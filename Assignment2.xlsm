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资料库\讲义和Textbook\CS\CS2034\Assignment\Assignment2\"/>
    </mc:Choice>
  </mc:AlternateContent>
  <xr:revisionPtr revIDLastSave="0" documentId="13_ncr:1_{9347FA0D-D671-4F22-99F2-5093B42051E9}" xr6:coauthVersionLast="47" xr6:coauthVersionMax="47" xr10:uidLastSave="{00000000-0000-0000-0000-000000000000}"/>
  <bookViews>
    <workbookView xWindow="-28920" yWindow="-120" windowWidth="29040" windowHeight="15840" xr2:uid="{00000000-000D-0000-FFFF-FFFF00000000}"/>
  </bookViews>
  <sheets>
    <sheet name="steps" sheetId="3" r:id="rId1"/>
    <sheet name="tweets" sheetId="2" r:id="rId2"/>
    <sheet name="scratch" sheetId="6" r:id="rId3"/>
    <sheet name="keywords" sheetId="5" r:id="rId4"/>
    <sheet name="hidden" sheetId="4" state="hidden" r:id="rId5"/>
  </sheets>
  <functionGroups builtInGroupCount="19"/>
  <definedNames>
    <definedName name="_xlnm._FilterDatabase" localSheetId="1" hidden="1">tweets!$A$1:$Q$2844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118" i="3" l="1"/>
  <c r="D124" i="3"/>
  <c r="D112" i="3"/>
  <c r="D121" i="3" l="1"/>
  <c r="D120" i="3"/>
  <c r="D119" i="3"/>
  <c r="D117" i="3"/>
  <c r="C23" i="3"/>
  <c r="P2" i="2" l="1"/>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Q1138" i="2"/>
  <c r="Q1139" i="2"/>
  <c r="Q1140" i="2"/>
  <c r="Q1141" i="2"/>
  <c r="Q1142" i="2"/>
  <c r="Q1143" i="2"/>
  <c r="Q1144" i="2"/>
  <c r="Q1145" i="2"/>
  <c r="Q1146" i="2"/>
  <c r="Q1147" i="2"/>
  <c r="Q1148" i="2"/>
  <c r="Q1149" i="2"/>
  <c r="Q1150" i="2"/>
  <c r="Q1151" i="2"/>
  <c r="Q1152" i="2"/>
  <c r="Q1153" i="2"/>
  <c r="Q1154" i="2"/>
  <c r="Q1155" i="2"/>
  <c r="Q1156" i="2"/>
  <c r="Q1157" i="2"/>
  <c r="Q1158" i="2"/>
  <c r="Q1159" i="2"/>
  <c r="Q1160" i="2"/>
  <c r="Q1161" i="2"/>
  <c r="Q1162" i="2"/>
  <c r="Q1163" i="2"/>
  <c r="Q1164" i="2"/>
  <c r="Q1165" i="2"/>
  <c r="Q1166" i="2"/>
  <c r="Q1167" i="2"/>
  <c r="Q1168" i="2"/>
  <c r="Q1169" i="2"/>
  <c r="Q1170" i="2"/>
  <c r="Q1171" i="2"/>
  <c r="Q1172" i="2"/>
  <c r="Q1173" i="2"/>
  <c r="Q1174" i="2"/>
  <c r="Q1175" i="2"/>
  <c r="Q1176" i="2"/>
  <c r="Q1177" i="2"/>
  <c r="Q1178" i="2"/>
  <c r="Q1179" i="2"/>
  <c r="Q1180" i="2"/>
  <c r="Q1181" i="2"/>
  <c r="Q1182" i="2"/>
  <c r="Q1183" i="2"/>
  <c r="Q1184" i="2"/>
  <c r="Q1185" i="2"/>
  <c r="Q1186" i="2"/>
  <c r="Q1187" i="2"/>
  <c r="Q1188" i="2"/>
  <c r="Q1189" i="2"/>
  <c r="Q1190" i="2"/>
  <c r="Q1191" i="2"/>
  <c r="Q1192" i="2"/>
  <c r="Q1193" i="2"/>
  <c r="Q1194" i="2"/>
  <c r="Q1195" i="2"/>
  <c r="Q1196" i="2"/>
  <c r="Q1197" i="2"/>
  <c r="Q1198" i="2"/>
  <c r="Q1199" i="2"/>
  <c r="Q1200" i="2"/>
  <c r="Q1201" i="2"/>
  <c r="Q1202" i="2"/>
  <c r="Q1203" i="2"/>
  <c r="Q1204" i="2"/>
  <c r="Q1205" i="2"/>
  <c r="Q1206" i="2"/>
  <c r="Q1207" i="2"/>
  <c r="Q1208" i="2"/>
  <c r="Q1209" i="2"/>
  <c r="Q1210" i="2"/>
  <c r="Q1211" i="2"/>
  <c r="Q1212" i="2"/>
  <c r="Q1213" i="2"/>
  <c r="Q1214" i="2"/>
  <c r="Q1215" i="2"/>
  <c r="Q1216" i="2"/>
  <c r="Q1217" i="2"/>
  <c r="Q1218" i="2"/>
  <c r="Q1219" i="2"/>
  <c r="Q1220" i="2"/>
  <c r="Q1221" i="2"/>
  <c r="Q1222" i="2"/>
  <c r="Q1223" i="2"/>
  <c r="Q1224" i="2"/>
  <c r="Q1225" i="2"/>
  <c r="Q1226" i="2"/>
  <c r="Q1227" i="2"/>
  <c r="Q1228" i="2"/>
  <c r="Q1229" i="2"/>
  <c r="Q1230" i="2"/>
  <c r="Q1231" i="2"/>
  <c r="Q1232" i="2"/>
  <c r="Q1233" i="2"/>
  <c r="Q1234" i="2"/>
  <c r="Q1235" i="2"/>
  <c r="Q1236" i="2"/>
  <c r="Q1237" i="2"/>
  <c r="Q1238" i="2"/>
  <c r="Q1239" i="2"/>
  <c r="Q1240" i="2"/>
  <c r="Q1241" i="2"/>
  <c r="Q1242" i="2"/>
  <c r="Q1243" i="2"/>
  <c r="Q1244" i="2"/>
  <c r="Q1245" i="2"/>
  <c r="Q1246" i="2"/>
  <c r="Q1247" i="2"/>
  <c r="Q1248" i="2"/>
  <c r="Q1249" i="2"/>
  <c r="Q1250" i="2"/>
  <c r="Q1251" i="2"/>
  <c r="Q1252" i="2"/>
  <c r="Q1253" i="2"/>
  <c r="Q1254" i="2"/>
  <c r="Q1255" i="2"/>
  <c r="Q1256" i="2"/>
  <c r="Q1257" i="2"/>
  <c r="Q1258" i="2"/>
  <c r="Q1259" i="2"/>
  <c r="Q1260" i="2"/>
  <c r="Q1261" i="2"/>
  <c r="Q1262" i="2"/>
  <c r="Q1263" i="2"/>
  <c r="Q1264" i="2"/>
  <c r="Q1265" i="2"/>
  <c r="Q1266" i="2"/>
  <c r="Q1267" i="2"/>
  <c r="Q1268" i="2"/>
  <c r="Q1269" i="2"/>
  <c r="Q1270" i="2"/>
  <c r="Q1271" i="2"/>
  <c r="Q1272" i="2"/>
  <c r="Q1273" i="2"/>
  <c r="Q1274" i="2"/>
  <c r="Q1275" i="2"/>
  <c r="Q1276" i="2"/>
  <c r="Q1277" i="2"/>
  <c r="Q1278" i="2"/>
  <c r="Q1279" i="2"/>
  <c r="Q1280" i="2"/>
  <c r="Q1281" i="2"/>
  <c r="Q1282" i="2"/>
  <c r="Q1283" i="2"/>
  <c r="Q1284" i="2"/>
  <c r="Q1285" i="2"/>
  <c r="Q1286" i="2"/>
  <c r="Q1287" i="2"/>
  <c r="Q1288" i="2"/>
  <c r="Q1289" i="2"/>
  <c r="Q1290" i="2"/>
  <c r="Q1291" i="2"/>
  <c r="Q1292" i="2"/>
  <c r="Q1293" i="2"/>
  <c r="Q1294" i="2"/>
  <c r="Q1295" i="2"/>
  <c r="Q1296" i="2"/>
  <c r="Q1297" i="2"/>
  <c r="Q1298" i="2"/>
  <c r="Q1299" i="2"/>
  <c r="Q1300" i="2"/>
  <c r="Q1301" i="2"/>
  <c r="Q1302" i="2"/>
  <c r="Q1303" i="2"/>
  <c r="Q1304" i="2"/>
  <c r="Q1305" i="2"/>
  <c r="Q1306" i="2"/>
  <c r="Q1307" i="2"/>
  <c r="Q1308" i="2"/>
  <c r="Q1309" i="2"/>
  <c r="Q1310" i="2"/>
  <c r="Q1311" i="2"/>
  <c r="Q1312" i="2"/>
  <c r="Q1313" i="2"/>
  <c r="Q1314" i="2"/>
  <c r="Q1315" i="2"/>
  <c r="Q1316" i="2"/>
  <c r="Q1317" i="2"/>
  <c r="Q1318" i="2"/>
  <c r="Q1319" i="2"/>
  <c r="Q1320" i="2"/>
  <c r="Q1321" i="2"/>
  <c r="Q1322" i="2"/>
  <c r="Q1323" i="2"/>
  <c r="Q1324" i="2"/>
  <c r="Q1325" i="2"/>
  <c r="Q1326" i="2"/>
  <c r="Q1327" i="2"/>
  <c r="Q1328" i="2"/>
  <c r="Q1329" i="2"/>
  <c r="Q1330" i="2"/>
  <c r="Q1331" i="2"/>
  <c r="Q1332" i="2"/>
  <c r="Q1333" i="2"/>
  <c r="Q1334" i="2"/>
  <c r="Q1335" i="2"/>
  <c r="Q1336" i="2"/>
  <c r="Q1337" i="2"/>
  <c r="Q1338" i="2"/>
  <c r="Q1339" i="2"/>
  <c r="Q1340" i="2"/>
  <c r="Q1341" i="2"/>
  <c r="Q1342" i="2"/>
  <c r="Q1343" i="2"/>
  <c r="Q1344" i="2"/>
  <c r="Q1345" i="2"/>
  <c r="Q1346" i="2"/>
  <c r="Q1347" i="2"/>
  <c r="Q1348" i="2"/>
  <c r="Q1349" i="2"/>
  <c r="Q1350" i="2"/>
  <c r="Q1351" i="2"/>
  <c r="Q1352" i="2"/>
  <c r="Q1353" i="2"/>
  <c r="Q1354" i="2"/>
  <c r="Q1355" i="2"/>
  <c r="Q1356" i="2"/>
  <c r="Q1357" i="2"/>
  <c r="Q1358" i="2"/>
  <c r="Q1359" i="2"/>
  <c r="Q1360" i="2"/>
  <c r="Q1361" i="2"/>
  <c r="Q1362" i="2"/>
  <c r="Q1363" i="2"/>
  <c r="Q1364" i="2"/>
  <c r="Q1365" i="2"/>
  <c r="Q1366" i="2"/>
  <c r="Q1367" i="2"/>
  <c r="Q1368" i="2"/>
  <c r="Q1369" i="2"/>
  <c r="Q1370" i="2"/>
  <c r="Q1371" i="2"/>
  <c r="Q1372" i="2"/>
  <c r="Q1373" i="2"/>
  <c r="Q1374" i="2"/>
  <c r="Q1375" i="2"/>
  <c r="Q1376" i="2"/>
  <c r="Q1377" i="2"/>
  <c r="Q1378" i="2"/>
  <c r="Q1379" i="2"/>
  <c r="Q1380" i="2"/>
  <c r="Q1381" i="2"/>
  <c r="Q1382" i="2"/>
  <c r="Q1383" i="2"/>
  <c r="Q1384" i="2"/>
  <c r="Q1385" i="2"/>
  <c r="Q1386" i="2"/>
  <c r="Q1387" i="2"/>
  <c r="Q1388" i="2"/>
  <c r="Q1389" i="2"/>
  <c r="Q1390" i="2"/>
  <c r="Q1391" i="2"/>
  <c r="Q1392" i="2"/>
  <c r="Q1393" i="2"/>
  <c r="Q1394" i="2"/>
  <c r="Q1395" i="2"/>
  <c r="Q1396" i="2"/>
  <c r="Q1397" i="2"/>
  <c r="Q1398" i="2"/>
  <c r="Q1399" i="2"/>
  <c r="Q1400" i="2"/>
  <c r="Q1401" i="2"/>
  <c r="Q1402" i="2"/>
  <c r="Q1403" i="2"/>
  <c r="Q1404" i="2"/>
  <c r="Q1405" i="2"/>
  <c r="Q1406" i="2"/>
  <c r="Q1407" i="2"/>
  <c r="Q1408" i="2"/>
  <c r="Q1409" i="2"/>
  <c r="Q1410" i="2"/>
  <c r="Q1411" i="2"/>
  <c r="Q1412" i="2"/>
  <c r="Q1413" i="2"/>
  <c r="Q1414" i="2"/>
  <c r="Q1415" i="2"/>
  <c r="Q1416" i="2"/>
  <c r="Q1417" i="2"/>
  <c r="Q1418" i="2"/>
  <c r="Q1419" i="2"/>
  <c r="Q1420" i="2"/>
  <c r="Q1421" i="2"/>
  <c r="Q1422" i="2"/>
  <c r="Q1423" i="2"/>
  <c r="Q1424" i="2"/>
  <c r="Q1425" i="2"/>
  <c r="Q1426" i="2"/>
  <c r="Q1427" i="2"/>
  <c r="Q1428" i="2"/>
  <c r="Q1429" i="2"/>
  <c r="Q1430" i="2"/>
  <c r="Q1431" i="2"/>
  <c r="Q1432" i="2"/>
  <c r="Q1433" i="2"/>
  <c r="Q1434" i="2"/>
  <c r="Q1435" i="2"/>
  <c r="Q1436" i="2"/>
  <c r="Q1437" i="2"/>
  <c r="Q1438" i="2"/>
  <c r="Q1439" i="2"/>
  <c r="Q1440" i="2"/>
  <c r="Q1441" i="2"/>
  <c r="Q1442" i="2"/>
  <c r="Q1443" i="2"/>
  <c r="Q1444" i="2"/>
  <c r="Q1445" i="2"/>
  <c r="Q1446" i="2"/>
  <c r="Q1447" i="2"/>
  <c r="Q1448" i="2"/>
  <c r="Q1449" i="2"/>
  <c r="Q1450" i="2"/>
  <c r="Q1451" i="2"/>
  <c r="Q1452" i="2"/>
  <c r="Q1453" i="2"/>
  <c r="Q1454" i="2"/>
  <c r="Q1455" i="2"/>
  <c r="Q1456" i="2"/>
  <c r="Q1457" i="2"/>
  <c r="Q1458" i="2"/>
  <c r="Q1459" i="2"/>
  <c r="Q1460" i="2"/>
  <c r="Q1461" i="2"/>
  <c r="Q1462" i="2"/>
  <c r="Q1463" i="2"/>
  <c r="Q1464" i="2"/>
  <c r="Q1465" i="2"/>
  <c r="Q1466" i="2"/>
  <c r="Q1467" i="2"/>
  <c r="Q1468" i="2"/>
  <c r="Q1469" i="2"/>
  <c r="Q1470" i="2"/>
  <c r="Q1471" i="2"/>
  <c r="Q1472" i="2"/>
  <c r="Q1473" i="2"/>
  <c r="Q1474" i="2"/>
  <c r="Q1475" i="2"/>
  <c r="Q1476" i="2"/>
  <c r="Q1477" i="2"/>
  <c r="Q1478" i="2"/>
  <c r="Q1479" i="2"/>
  <c r="Q1480" i="2"/>
  <c r="Q1481" i="2"/>
  <c r="Q1482" i="2"/>
  <c r="Q1483" i="2"/>
  <c r="Q1484" i="2"/>
  <c r="Q1485" i="2"/>
  <c r="Q1486" i="2"/>
  <c r="Q1487" i="2"/>
  <c r="Q1488" i="2"/>
  <c r="Q1489" i="2"/>
  <c r="Q1490" i="2"/>
  <c r="Q1491" i="2"/>
  <c r="Q1492" i="2"/>
  <c r="Q1493" i="2"/>
  <c r="Q1494" i="2"/>
  <c r="Q1495" i="2"/>
  <c r="Q1496" i="2"/>
  <c r="Q1497" i="2"/>
  <c r="Q1498" i="2"/>
  <c r="Q1499" i="2"/>
  <c r="Q1500" i="2"/>
  <c r="Q1501" i="2"/>
  <c r="Q1502" i="2"/>
  <c r="Q1503" i="2"/>
  <c r="Q1504" i="2"/>
  <c r="Q1505" i="2"/>
  <c r="Q1506" i="2"/>
  <c r="Q1507" i="2"/>
  <c r="Q1508" i="2"/>
  <c r="Q1509" i="2"/>
  <c r="Q1510" i="2"/>
  <c r="Q1511" i="2"/>
  <c r="Q1512" i="2"/>
  <c r="Q1513" i="2"/>
  <c r="Q1514" i="2"/>
  <c r="Q1515" i="2"/>
  <c r="Q1516" i="2"/>
  <c r="Q1517" i="2"/>
  <c r="Q1518" i="2"/>
  <c r="Q1519" i="2"/>
  <c r="Q1520" i="2"/>
  <c r="Q1521" i="2"/>
  <c r="Q1522" i="2"/>
  <c r="Q1523" i="2"/>
  <c r="Q1524" i="2"/>
  <c r="Q1525" i="2"/>
  <c r="Q1526" i="2"/>
  <c r="Q1527" i="2"/>
  <c r="Q1528" i="2"/>
  <c r="Q1529" i="2"/>
  <c r="Q1530" i="2"/>
  <c r="Q1531" i="2"/>
  <c r="Q1532" i="2"/>
  <c r="Q1533" i="2"/>
  <c r="Q1534" i="2"/>
  <c r="Q1535" i="2"/>
  <c r="Q1536" i="2"/>
  <c r="Q1537" i="2"/>
  <c r="Q1538" i="2"/>
  <c r="Q1539" i="2"/>
  <c r="Q1540" i="2"/>
  <c r="Q1541" i="2"/>
  <c r="Q1542" i="2"/>
  <c r="Q1543" i="2"/>
  <c r="Q1544" i="2"/>
  <c r="Q1545" i="2"/>
  <c r="Q1546" i="2"/>
  <c r="Q1547" i="2"/>
  <c r="Q1548" i="2"/>
  <c r="Q1549" i="2"/>
  <c r="Q1550" i="2"/>
  <c r="Q1551" i="2"/>
  <c r="Q1552" i="2"/>
  <c r="Q1553" i="2"/>
  <c r="Q1554" i="2"/>
  <c r="Q1555" i="2"/>
  <c r="Q1556" i="2"/>
  <c r="Q1557" i="2"/>
  <c r="Q1558" i="2"/>
  <c r="Q1559" i="2"/>
  <c r="Q1560" i="2"/>
  <c r="Q1561" i="2"/>
  <c r="Q1562" i="2"/>
  <c r="Q1563" i="2"/>
  <c r="Q1564" i="2"/>
  <c r="Q1565" i="2"/>
  <c r="Q1566" i="2"/>
  <c r="Q1567" i="2"/>
  <c r="Q1568" i="2"/>
  <c r="Q1569" i="2"/>
  <c r="Q1570" i="2"/>
  <c r="Q1571" i="2"/>
  <c r="Q1572" i="2"/>
  <c r="Q1573" i="2"/>
  <c r="Q1574" i="2"/>
  <c r="Q1575" i="2"/>
  <c r="Q1576" i="2"/>
  <c r="Q1577" i="2"/>
  <c r="Q1578" i="2"/>
  <c r="Q1579" i="2"/>
  <c r="Q1580" i="2"/>
  <c r="Q1581" i="2"/>
  <c r="Q1582" i="2"/>
  <c r="Q1583" i="2"/>
  <c r="Q1584" i="2"/>
  <c r="Q1585" i="2"/>
  <c r="Q1586" i="2"/>
  <c r="Q1587" i="2"/>
  <c r="Q1588" i="2"/>
  <c r="Q1589" i="2"/>
  <c r="Q1590" i="2"/>
  <c r="Q1591" i="2"/>
  <c r="Q1592" i="2"/>
  <c r="Q1593" i="2"/>
  <c r="Q1594" i="2"/>
  <c r="Q1595" i="2"/>
  <c r="Q1596" i="2"/>
  <c r="Q1597" i="2"/>
  <c r="Q1598" i="2"/>
  <c r="Q1599" i="2"/>
  <c r="Q1600" i="2"/>
  <c r="Q1601" i="2"/>
  <c r="Q1602" i="2"/>
  <c r="Q1603" i="2"/>
  <c r="Q1604" i="2"/>
  <c r="Q1605" i="2"/>
  <c r="Q1606" i="2"/>
  <c r="Q1607" i="2"/>
  <c r="Q1608" i="2"/>
  <c r="Q1609" i="2"/>
  <c r="Q1610" i="2"/>
  <c r="Q1611" i="2"/>
  <c r="Q1612" i="2"/>
  <c r="Q1613" i="2"/>
  <c r="Q1614" i="2"/>
  <c r="Q1615" i="2"/>
  <c r="Q1616" i="2"/>
  <c r="Q1617" i="2"/>
  <c r="Q1618" i="2"/>
  <c r="Q1619" i="2"/>
  <c r="Q1620" i="2"/>
  <c r="Q1621" i="2"/>
  <c r="Q1622" i="2"/>
  <c r="Q1623" i="2"/>
  <c r="Q1624" i="2"/>
  <c r="Q1625" i="2"/>
  <c r="Q1626" i="2"/>
  <c r="Q1627" i="2"/>
  <c r="Q1628" i="2"/>
  <c r="Q1629" i="2"/>
  <c r="Q1630" i="2"/>
  <c r="Q1631" i="2"/>
  <c r="Q1632" i="2"/>
  <c r="Q1633" i="2"/>
  <c r="Q1634" i="2"/>
  <c r="Q1635" i="2"/>
  <c r="Q1636" i="2"/>
  <c r="Q1637" i="2"/>
  <c r="Q1638" i="2"/>
  <c r="Q1639" i="2"/>
  <c r="Q1640" i="2"/>
  <c r="Q1641" i="2"/>
  <c r="Q1642" i="2"/>
  <c r="Q1643" i="2"/>
  <c r="Q1644" i="2"/>
  <c r="Q1645" i="2"/>
  <c r="Q1646" i="2"/>
  <c r="Q1647" i="2"/>
  <c r="Q1648" i="2"/>
  <c r="Q1649" i="2"/>
  <c r="Q1650" i="2"/>
  <c r="Q1651" i="2"/>
  <c r="Q1652" i="2"/>
  <c r="Q1653" i="2"/>
  <c r="Q1654" i="2"/>
  <c r="Q1655" i="2"/>
  <c r="Q1656" i="2"/>
  <c r="Q1657" i="2"/>
  <c r="Q1658" i="2"/>
  <c r="Q1659" i="2"/>
  <c r="Q1660" i="2"/>
  <c r="Q1661" i="2"/>
  <c r="Q1662" i="2"/>
  <c r="Q1663" i="2"/>
  <c r="Q1664" i="2"/>
  <c r="Q1665" i="2"/>
  <c r="Q1666" i="2"/>
  <c r="Q1667" i="2"/>
  <c r="Q1668" i="2"/>
  <c r="Q1669" i="2"/>
  <c r="Q1670" i="2"/>
  <c r="Q1671" i="2"/>
  <c r="Q1672" i="2"/>
  <c r="Q1673" i="2"/>
  <c r="Q1674" i="2"/>
  <c r="Q1675" i="2"/>
  <c r="Q1676" i="2"/>
  <c r="Q1677" i="2"/>
  <c r="Q1678" i="2"/>
  <c r="Q1679" i="2"/>
  <c r="Q1680" i="2"/>
  <c r="Q1681" i="2"/>
  <c r="Q1682" i="2"/>
  <c r="Q1683" i="2"/>
  <c r="Q1684" i="2"/>
  <c r="Q1685" i="2"/>
  <c r="Q1686" i="2"/>
  <c r="Q1687" i="2"/>
  <c r="Q1688" i="2"/>
  <c r="Q1689" i="2"/>
  <c r="Q1690" i="2"/>
  <c r="Q1691" i="2"/>
  <c r="Q1692" i="2"/>
  <c r="Q1693" i="2"/>
  <c r="Q1694" i="2"/>
  <c r="Q1695" i="2"/>
  <c r="Q1696" i="2"/>
  <c r="Q1697" i="2"/>
  <c r="Q1698" i="2"/>
  <c r="Q1699" i="2"/>
  <c r="Q1700" i="2"/>
  <c r="Q1701" i="2"/>
  <c r="Q1702" i="2"/>
  <c r="Q1703" i="2"/>
  <c r="Q1704" i="2"/>
  <c r="Q1705" i="2"/>
  <c r="Q1706" i="2"/>
  <c r="Q1707" i="2"/>
  <c r="Q1708" i="2"/>
  <c r="Q1709" i="2"/>
  <c r="Q1710" i="2"/>
  <c r="Q1711" i="2"/>
  <c r="Q1712" i="2"/>
  <c r="Q1713" i="2"/>
  <c r="Q1714" i="2"/>
  <c r="Q1715" i="2"/>
  <c r="Q1716" i="2"/>
  <c r="Q1717" i="2"/>
  <c r="Q1718" i="2"/>
  <c r="Q1719" i="2"/>
  <c r="Q1720" i="2"/>
  <c r="Q1721" i="2"/>
  <c r="Q1722" i="2"/>
  <c r="Q1723" i="2"/>
  <c r="Q1724" i="2"/>
  <c r="Q1725" i="2"/>
  <c r="Q1726" i="2"/>
  <c r="Q1727" i="2"/>
  <c r="Q1728" i="2"/>
  <c r="Q1729" i="2"/>
  <c r="Q1730" i="2"/>
  <c r="Q1731" i="2"/>
  <c r="Q1732" i="2"/>
  <c r="Q1733" i="2"/>
  <c r="Q1734" i="2"/>
  <c r="Q1735" i="2"/>
  <c r="Q1736" i="2"/>
  <c r="Q1737" i="2"/>
  <c r="Q1738" i="2"/>
  <c r="Q1739" i="2"/>
  <c r="Q1740" i="2"/>
  <c r="Q1741" i="2"/>
  <c r="Q1742" i="2"/>
  <c r="Q1743" i="2"/>
  <c r="Q1744" i="2"/>
  <c r="Q1745" i="2"/>
  <c r="Q1746" i="2"/>
  <c r="Q1747" i="2"/>
  <c r="Q1748" i="2"/>
  <c r="Q1749" i="2"/>
  <c r="Q1750" i="2"/>
  <c r="Q1751" i="2"/>
  <c r="Q1752" i="2"/>
  <c r="Q1753" i="2"/>
  <c r="Q1754" i="2"/>
  <c r="Q1755" i="2"/>
  <c r="Q1756" i="2"/>
  <c r="Q1757" i="2"/>
  <c r="Q1758" i="2"/>
  <c r="Q1759" i="2"/>
  <c r="Q1760" i="2"/>
  <c r="Q1761" i="2"/>
  <c r="Q1762" i="2"/>
  <c r="Q1763" i="2"/>
  <c r="Q1764" i="2"/>
  <c r="Q1765" i="2"/>
  <c r="Q1766" i="2"/>
  <c r="Q1767" i="2"/>
  <c r="Q1768" i="2"/>
  <c r="Q1769" i="2"/>
  <c r="Q1770" i="2"/>
  <c r="Q1771" i="2"/>
  <c r="Q1772" i="2"/>
  <c r="Q1773" i="2"/>
  <c r="Q1774" i="2"/>
  <c r="Q1775" i="2"/>
  <c r="Q1776" i="2"/>
  <c r="Q1777" i="2"/>
  <c r="Q1778" i="2"/>
  <c r="Q1779" i="2"/>
  <c r="Q1780" i="2"/>
  <c r="Q1781" i="2"/>
  <c r="Q1782" i="2"/>
  <c r="Q1783" i="2"/>
  <c r="Q1784" i="2"/>
  <c r="Q1785" i="2"/>
  <c r="Q1786" i="2"/>
  <c r="Q1787" i="2"/>
  <c r="Q1788" i="2"/>
  <c r="Q1789" i="2"/>
  <c r="Q1790" i="2"/>
  <c r="Q1791" i="2"/>
  <c r="Q1792" i="2"/>
  <c r="Q1793" i="2"/>
  <c r="Q1794" i="2"/>
  <c r="Q1795" i="2"/>
  <c r="Q1796" i="2"/>
  <c r="Q1797" i="2"/>
  <c r="Q1798" i="2"/>
  <c r="Q1799" i="2"/>
  <c r="Q1800" i="2"/>
  <c r="Q1801" i="2"/>
  <c r="Q1802" i="2"/>
  <c r="Q1803" i="2"/>
  <c r="Q1804" i="2"/>
  <c r="Q1805" i="2"/>
  <c r="Q1806" i="2"/>
  <c r="Q1807" i="2"/>
  <c r="Q1808" i="2"/>
  <c r="Q1809" i="2"/>
  <c r="Q1810" i="2"/>
  <c r="Q1811" i="2"/>
  <c r="Q1812" i="2"/>
  <c r="Q1813" i="2"/>
  <c r="Q1814" i="2"/>
  <c r="Q1815" i="2"/>
  <c r="Q1816" i="2"/>
  <c r="Q1817" i="2"/>
  <c r="Q1818" i="2"/>
  <c r="Q1819" i="2"/>
  <c r="Q1820" i="2"/>
  <c r="Q1821" i="2"/>
  <c r="Q1822" i="2"/>
  <c r="Q1823" i="2"/>
  <c r="Q1824" i="2"/>
  <c r="Q1825" i="2"/>
  <c r="Q1826" i="2"/>
  <c r="Q1827" i="2"/>
  <c r="Q1828" i="2"/>
  <c r="Q1829" i="2"/>
  <c r="Q1830" i="2"/>
  <c r="Q1831" i="2"/>
  <c r="Q1832" i="2"/>
  <c r="Q1833" i="2"/>
  <c r="Q1834" i="2"/>
  <c r="Q1835" i="2"/>
  <c r="Q1836" i="2"/>
  <c r="Q1837" i="2"/>
  <c r="Q1838" i="2"/>
  <c r="Q1839" i="2"/>
  <c r="Q1840" i="2"/>
  <c r="Q1841" i="2"/>
  <c r="Q1842" i="2"/>
  <c r="Q1843" i="2"/>
  <c r="Q1844" i="2"/>
  <c r="Q1845" i="2"/>
  <c r="Q1846" i="2"/>
  <c r="Q1847" i="2"/>
  <c r="Q1848" i="2"/>
  <c r="Q1849" i="2"/>
  <c r="Q1850" i="2"/>
  <c r="Q1851" i="2"/>
  <c r="Q1852" i="2"/>
  <c r="Q1853" i="2"/>
  <c r="Q1854" i="2"/>
  <c r="Q1855" i="2"/>
  <c r="Q1856" i="2"/>
  <c r="Q1857" i="2"/>
  <c r="Q1858" i="2"/>
  <c r="Q1859" i="2"/>
  <c r="Q1860" i="2"/>
  <c r="Q1861" i="2"/>
  <c r="Q1862" i="2"/>
  <c r="Q1863" i="2"/>
  <c r="Q1864" i="2"/>
  <c r="Q1865" i="2"/>
  <c r="Q1866" i="2"/>
  <c r="Q1867" i="2"/>
  <c r="Q1868" i="2"/>
  <c r="Q1869" i="2"/>
  <c r="Q1870" i="2"/>
  <c r="Q1871" i="2"/>
  <c r="Q1872" i="2"/>
  <c r="Q1873" i="2"/>
  <c r="Q1874" i="2"/>
  <c r="Q1875" i="2"/>
  <c r="Q1876" i="2"/>
  <c r="Q1877" i="2"/>
  <c r="Q1878" i="2"/>
  <c r="Q1879" i="2"/>
  <c r="Q1880" i="2"/>
  <c r="Q1881" i="2"/>
  <c r="Q1882" i="2"/>
  <c r="Q1883" i="2"/>
  <c r="Q1884" i="2"/>
  <c r="Q1885" i="2"/>
  <c r="Q1886" i="2"/>
  <c r="Q1887" i="2"/>
  <c r="Q1888" i="2"/>
  <c r="Q1889" i="2"/>
  <c r="Q1890" i="2"/>
  <c r="Q1891" i="2"/>
  <c r="Q1892" i="2"/>
  <c r="Q1893" i="2"/>
  <c r="Q1894" i="2"/>
  <c r="Q1895" i="2"/>
  <c r="Q1896" i="2"/>
  <c r="Q1897" i="2"/>
  <c r="Q1898" i="2"/>
  <c r="Q1899" i="2"/>
  <c r="Q1900" i="2"/>
  <c r="Q1901" i="2"/>
  <c r="Q1902" i="2"/>
  <c r="Q1903" i="2"/>
  <c r="Q1904" i="2"/>
  <c r="Q1905" i="2"/>
  <c r="Q1906" i="2"/>
  <c r="Q1907" i="2"/>
  <c r="Q1908" i="2"/>
  <c r="Q1909" i="2"/>
  <c r="Q1910" i="2"/>
  <c r="Q1911" i="2"/>
  <c r="Q1912" i="2"/>
  <c r="Q1913" i="2"/>
  <c r="Q1914" i="2"/>
  <c r="Q1915" i="2"/>
  <c r="Q1916" i="2"/>
  <c r="Q1917" i="2"/>
  <c r="Q1918" i="2"/>
  <c r="Q1919" i="2"/>
  <c r="Q1920" i="2"/>
  <c r="Q1921" i="2"/>
  <c r="Q1922" i="2"/>
  <c r="Q1923" i="2"/>
  <c r="Q1924" i="2"/>
  <c r="Q1925" i="2"/>
  <c r="Q1926" i="2"/>
  <c r="Q1927" i="2"/>
  <c r="Q1928" i="2"/>
  <c r="Q1929" i="2"/>
  <c r="Q1930" i="2"/>
  <c r="Q1931" i="2"/>
  <c r="Q1932" i="2"/>
  <c r="Q1933" i="2"/>
  <c r="Q1934" i="2"/>
  <c r="Q1935" i="2"/>
  <c r="Q1936" i="2"/>
  <c r="Q1937" i="2"/>
  <c r="Q1938" i="2"/>
  <c r="Q1939" i="2"/>
  <c r="Q1940" i="2"/>
  <c r="Q1941" i="2"/>
  <c r="Q1942" i="2"/>
  <c r="Q1943" i="2"/>
  <c r="Q1944" i="2"/>
  <c r="Q1945" i="2"/>
  <c r="Q1946" i="2"/>
  <c r="Q1947" i="2"/>
  <c r="Q1948" i="2"/>
  <c r="Q1949" i="2"/>
  <c r="Q1950" i="2"/>
  <c r="Q1951" i="2"/>
  <c r="Q1952" i="2"/>
  <c r="Q1953" i="2"/>
  <c r="Q1954" i="2"/>
  <c r="Q1955" i="2"/>
  <c r="Q1956" i="2"/>
  <c r="Q1957" i="2"/>
  <c r="Q1958" i="2"/>
  <c r="Q1959" i="2"/>
  <c r="Q1960" i="2"/>
  <c r="Q1961" i="2"/>
  <c r="Q1962" i="2"/>
  <c r="Q1963" i="2"/>
  <c r="Q1964" i="2"/>
  <c r="Q1965" i="2"/>
  <c r="Q1966" i="2"/>
  <c r="Q1967" i="2"/>
  <c r="Q1968" i="2"/>
  <c r="Q1969" i="2"/>
  <c r="Q1970" i="2"/>
  <c r="Q1971" i="2"/>
  <c r="Q1972" i="2"/>
  <c r="Q1973" i="2"/>
  <c r="Q1974" i="2"/>
  <c r="Q1975" i="2"/>
  <c r="Q1976" i="2"/>
  <c r="Q1977" i="2"/>
  <c r="Q1978" i="2"/>
  <c r="Q1979" i="2"/>
  <c r="Q1980" i="2"/>
  <c r="Q1981" i="2"/>
  <c r="Q1982" i="2"/>
  <c r="Q1983" i="2"/>
  <c r="Q1984" i="2"/>
  <c r="Q1985" i="2"/>
  <c r="Q1986" i="2"/>
  <c r="Q1987" i="2"/>
  <c r="Q1988" i="2"/>
  <c r="Q1989" i="2"/>
  <c r="Q1990" i="2"/>
  <c r="Q1991" i="2"/>
  <c r="Q1992" i="2"/>
  <c r="Q1993" i="2"/>
  <c r="Q1994" i="2"/>
  <c r="Q1995" i="2"/>
  <c r="Q1996" i="2"/>
  <c r="Q1997" i="2"/>
  <c r="Q1998" i="2"/>
  <c r="Q1999" i="2"/>
  <c r="Q2000" i="2"/>
  <c r="Q2001" i="2"/>
  <c r="Q2002" i="2"/>
  <c r="Q2003" i="2"/>
  <c r="Q2004" i="2"/>
  <c r="Q2005" i="2"/>
  <c r="Q2006" i="2"/>
  <c r="Q2007" i="2"/>
  <c r="Q2008" i="2"/>
  <c r="Q2009" i="2"/>
  <c r="Q2010" i="2"/>
  <c r="Q2011" i="2"/>
  <c r="Q2012" i="2"/>
  <c r="Q2013" i="2"/>
  <c r="Q2014" i="2"/>
  <c r="Q2015" i="2"/>
  <c r="Q2016" i="2"/>
  <c r="Q2017" i="2"/>
  <c r="Q2018" i="2"/>
  <c r="Q2019" i="2"/>
  <c r="Q2020" i="2"/>
  <c r="Q2021" i="2"/>
  <c r="Q2022" i="2"/>
  <c r="Q2023" i="2"/>
  <c r="Q2024" i="2"/>
  <c r="Q2025" i="2"/>
  <c r="Q2026" i="2"/>
  <c r="Q2027" i="2"/>
  <c r="Q2028" i="2"/>
  <c r="Q2029" i="2"/>
  <c r="Q2030" i="2"/>
  <c r="Q2031" i="2"/>
  <c r="Q2032" i="2"/>
  <c r="Q2033" i="2"/>
  <c r="Q2034" i="2"/>
  <c r="Q2035" i="2"/>
  <c r="Q2036" i="2"/>
  <c r="Q2037" i="2"/>
  <c r="Q2038" i="2"/>
  <c r="Q2039" i="2"/>
  <c r="Q2040" i="2"/>
  <c r="Q2041" i="2"/>
  <c r="Q2042" i="2"/>
  <c r="Q2043" i="2"/>
  <c r="Q2044" i="2"/>
  <c r="Q2045" i="2"/>
  <c r="Q2046" i="2"/>
  <c r="Q2047" i="2"/>
  <c r="Q2048" i="2"/>
  <c r="Q2049" i="2"/>
  <c r="Q2050" i="2"/>
  <c r="Q2051" i="2"/>
  <c r="Q2052" i="2"/>
  <c r="Q2053" i="2"/>
  <c r="Q2054" i="2"/>
  <c r="Q2055" i="2"/>
  <c r="Q2056" i="2"/>
  <c r="Q2057" i="2"/>
  <c r="Q2058" i="2"/>
  <c r="Q2059" i="2"/>
  <c r="Q2060" i="2"/>
  <c r="Q2061" i="2"/>
  <c r="Q2062" i="2"/>
  <c r="Q2063" i="2"/>
  <c r="Q2064" i="2"/>
  <c r="Q2065" i="2"/>
  <c r="Q2066" i="2"/>
  <c r="Q2067" i="2"/>
  <c r="Q2068" i="2"/>
  <c r="Q2069" i="2"/>
  <c r="Q2070" i="2"/>
  <c r="Q2071" i="2"/>
  <c r="Q2072" i="2"/>
  <c r="Q2073" i="2"/>
  <c r="Q2074" i="2"/>
  <c r="Q2075" i="2"/>
  <c r="Q2076" i="2"/>
  <c r="Q2077" i="2"/>
  <c r="Q2078" i="2"/>
  <c r="Q2079" i="2"/>
  <c r="Q2080" i="2"/>
  <c r="Q2081" i="2"/>
  <c r="Q2082" i="2"/>
  <c r="Q2083" i="2"/>
  <c r="Q2084" i="2"/>
  <c r="Q2085" i="2"/>
  <c r="Q2086" i="2"/>
  <c r="Q2087" i="2"/>
  <c r="Q2088" i="2"/>
  <c r="Q2089" i="2"/>
  <c r="Q2090" i="2"/>
  <c r="Q2091" i="2"/>
  <c r="Q2092" i="2"/>
  <c r="Q2093" i="2"/>
  <c r="Q2094" i="2"/>
  <c r="Q2095" i="2"/>
  <c r="Q2096" i="2"/>
  <c r="Q2097" i="2"/>
  <c r="Q2098" i="2"/>
  <c r="Q2099" i="2"/>
  <c r="Q2100" i="2"/>
  <c r="Q2101" i="2"/>
  <c r="Q2102" i="2"/>
  <c r="Q2103" i="2"/>
  <c r="Q2104" i="2"/>
  <c r="Q2105" i="2"/>
  <c r="Q2106" i="2"/>
  <c r="Q2107" i="2"/>
  <c r="Q2108" i="2"/>
  <c r="Q2109" i="2"/>
  <c r="Q2110" i="2"/>
  <c r="Q2111" i="2"/>
  <c r="Q2112" i="2"/>
  <c r="Q2113" i="2"/>
  <c r="Q2114" i="2"/>
  <c r="Q2115" i="2"/>
  <c r="Q2116" i="2"/>
  <c r="Q2117" i="2"/>
  <c r="Q2118" i="2"/>
  <c r="Q2119" i="2"/>
  <c r="Q2120" i="2"/>
  <c r="Q2121" i="2"/>
  <c r="Q2122" i="2"/>
  <c r="Q2123" i="2"/>
  <c r="Q2124" i="2"/>
  <c r="Q2125" i="2"/>
  <c r="Q2126" i="2"/>
  <c r="Q2127" i="2"/>
  <c r="Q2128" i="2"/>
  <c r="Q2129" i="2"/>
  <c r="Q2130" i="2"/>
  <c r="Q2131" i="2"/>
  <c r="Q2132" i="2"/>
  <c r="Q2133" i="2"/>
  <c r="Q2134" i="2"/>
  <c r="Q2135" i="2"/>
  <c r="Q2136" i="2"/>
  <c r="Q2137" i="2"/>
  <c r="Q2138" i="2"/>
  <c r="Q2139" i="2"/>
  <c r="Q2140" i="2"/>
  <c r="Q2141" i="2"/>
  <c r="Q2142" i="2"/>
  <c r="Q2143" i="2"/>
  <c r="Q2144" i="2"/>
  <c r="Q2145" i="2"/>
  <c r="Q2146" i="2"/>
  <c r="Q2147" i="2"/>
  <c r="Q2148" i="2"/>
  <c r="Q2149" i="2"/>
  <c r="Q2150" i="2"/>
  <c r="Q2151" i="2"/>
  <c r="Q2152" i="2"/>
  <c r="Q2153" i="2"/>
  <c r="Q2154" i="2"/>
  <c r="Q2155" i="2"/>
  <c r="Q2156" i="2"/>
  <c r="Q2157" i="2"/>
  <c r="Q2158" i="2"/>
  <c r="Q2159" i="2"/>
  <c r="Q2160" i="2"/>
  <c r="Q2161" i="2"/>
  <c r="Q2162" i="2"/>
  <c r="Q2163" i="2"/>
  <c r="Q2164" i="2"/>
  <c r="Q2165" i="2"/>
  <c r="Q2166" i="2"/>
  <c r="Q2167" i="2"/>
  <c r="Q2168" i="2"/>
  <c r="Q2169" i="2"/>
  <c r="Q2170" i="2"/>
  <c r="Q2171" i="2"/>
  <c r="Q2172" i="2"/>
  <c r="Q2173" i="2"/>
  <c r="Q2174" i="2"/>
  <c r="Q2175" i="2"/>
  <c r="Q2176" i="2"/>
  <c r="Q2177" i="2"/>
  <c r="Q2178" i="2"/>
  <c r="Q2179" i="2"/>
  <c r="Q2180" i="2"/>
  <c r="Q2181" i="2"/>
  <c r="Q2182" i="2"/>
  <c r="Q2183" i="2"/>
  <c r="Q2184" i="2"/>
  <c r="Q2185" i="2"/>
  <c r="Q2186" i="2"/>
  <c r="Q2187" i="2"/>
  <c r="Q2188" i="2"/>
  <c r="Q2189" i="2"/>
  <c r="Q2190" i="2"/>
  <c r="Q2191" i="2"/>
  <c r="Q2192" i="2"/>
  <c r="Q2193" i="2"/>
  <c r="Q2194" i="2"/>
  <c r="Q2195" i="2"/>
  <c r="Q2196" i="2"/>
  <c r="Q2197" i="2"/>
  <c r="Q2198" i="2"/>
  <c r="Q2199" i="2"/>
  <c r="Q2200" i="2"/>
  <c r="Q2201" i="2"/>
  <c r="Q2202" i="2"/>
  <c r="Q2203" i="2"/>
  <c r="Q2204" i="2"/>
  <c r="Q2205" i="2"/>
  <c r="Q2206" i="2"/>
  <c r="Q2207" i="2"/>
  <c r="Q2208" i="2"/>
  <c r="Q2209" i="2"/>
  <c r="Q2210" i="2"/>
  <c r="Q2211" i="2"/>
  <c r="Q2212" i="2"/>
  <c r="Q2213" i="2"/>
  <c r="Q2214" i="2"/>
  <c r="Q2215" i="2"/>
  <c r="Q2216" i="2"/>
  <c r="Q2217" i="2"/>
  <c r="Q2218" i="2"/>
  <c r="Q2219" i="2"/>
  <c r="Q2220" i="2"/>
  <c r="Q2221" i="2"/>
  <c r="Q2222" i="2"/>
  <c r="Q2223" i="2"/>
  <c r="Q2224" i="2"/>
  <c r="Q2225" i="2"/>
  <c r="Q2226" i="2"/>
  <c r="Q2227" i="2"/>
  <c r="Q2228" i="2"/>
  <c r="Q2229" i="2"/>
  <c r="Q2230" i="2"/>
  <c r="Q2231" i="2"/>
  <c r="Q2232" i="2"/>
  <c r="Q2233" i="2"/>
  <c r="Q2234" i="2"/>
  <c r="Q2235" i="2"/>
  <c r="Q2236" i="2"/>
  <c r="Q2237" i="2"/>
  <c r="Q2238" i="2"/>
  <c r="Q2239" i="2"/>
  <c r="Q2240" i="2"/>
  <c r="Q2241" i="2"/>
  <c r="Q2242" i="2"/>
  <c r="Q2243" i="2"/>
  <c r="Q2244" i="2"/>
  <c r="Q2245" i="2"/>
  <c r="Q2246" i="2"/>
  <c r="Q2247" i="2"/>
  <c r="Q2248" i="2"/>
  <c r="Q2249" i="2"/>
  <c r="Q2250" i="2"/>
  <c r="Q2251" i="2"/>
  <c r="Q2252" i="2"/>
  <c r="Q2253" i="2"/>
  <c r="Q2254" i="2"/>
  <c r="Q2255" i="2"/>
  <c r="Q2256" i="2"/>
  <c r="Q2257" i="2"/>
  <c r="Q2258" i="2"/>
  <c r="Q2259" i="2"/>
  <c r="Q2260" i="2"/>
  <c r="Q2261" i="2"/>
  <c r="Q2262" i="2"/>
  <c r="Q2263" i="2"/>
  <c r="Q2264" i="2"/>
  <c r="Q2265" i="2"/>
  <c r="Q2266" i="2"/>
  <c r="Q2267" i="2"/>
  <c r="Q2268" i="2"/>
  <c r="Q2269" i="2"/>
  <c r="Q2270" i="2"/>
  <c r="Q2271" i="2"/>
  <c r="Q2272" i="2"/>
  <c r="Q2273" i="2"/>
  <c r="Q2274" i="2"/>
  <c r="Q2275" i="2"/>
  <c r="Q2276" i="2"/>
  <c r="Q2277" i="2"/>
  <c r="Q2278" i="2"/>
  <c r="Q2279" i="2"/>
  <c r="Q2280" i="2"/>
  <c r="Q2281" i="2"/>
  <c r="Q2282" i="2"/>
  <c r="Q2283" i="2"/>
  <c r="Q2284" i="2"/>
  <c r="Q2285" i="2"/>
  <c r="Q2286" i="2"/>
  <c r="Q2287" i="2"/>
  <c r="Q2288" i="2"/>
  <c r="Q2289" i="2"/>
  <c r="Q2290" i="2"/>
  <c r="Q2291" i="2"/>
  <c r="Q2292" i="2"/>
  <c r="Q2293" i="2"/>
  <c r="Q2294" i="2"/>
  <c r="Q2295" i="2"/>
  <c r="Q2296" i="2"/>
  <c r="Q2297" i="2"/>
  <c r="Q2298" i="2"/>
  <c r="Q2299" i="2"/>
  <c r="Q2300" i="2"/>
  <c r="Q2301" i="2"/>
  <c r="Q2302" i="2"/>
  <c r="Q2303" i="2"/>
  <c r="Q2304" i="2"/>
  <c r="Q2305" i="2"/>
  <c r="Q2306" i="2"/>
  <c r="Q2307" i="2"/>
  <c r="Q2308" i="2"/>
  <c r="Q2309" i="2"/>
  <c r="Q2310" i="2"/>
  <c r="Q2311" i="2"/>
  <c r="Q2312" i="2"/>
  <c r="Q2313" i="2"/>
  <c r="Q2314" i="2"/>
  <c r="Q2315" i="2"/>
  <c r="Q2316" i="2"/>
  <c r="Q2317" i="2"/>
  <c r="Q2318" i="2"/>
  <c r="Q2319" i="2"/>
  <c r="Q2320" i="2"/>
  <c r="Q2321" i="2"/>
  <c r="Q2322" i="2"/>
  <c r="Q2323" i="2"/>
  <c r="Q2324" i="2"/>
  <c r="Q2325" i="2"/>
  <c r="Q2326" i="2"/>
  <c r="Q2327" i="2"/>
  <c r="Q2328" i="2"/>
  <c r="Q2329" i="2"/>
  <c r="Q2330" i="2"/>
  <c r="Q2331" i="2"/>
  <c r="Q2332" i="2"/>
  <c r="Q2333" i="2"/>
  <c r="Q2334" i="2"/>
  <c r="Q2335" i="2"/>
  <c r="Q2336" i="2"/>
  <c r="Q2337" i="2"/>
  <c r="Q2338" i="2"/>
  <c r="Q2339" i="2"/>
  <c r="Q2340" i="2"/>
  <c r="Q2341" i="2"/>
  <c r="Q2342" i="2"/>
  <c r="Q2343" i="2"/>
  <c r="Q2344" i="2"/>
  <c r="Q2345" i="2"/>
  <c r="Q2346" i="2"/>
  <c r="Q2347" i="2"/>
  <c r="Q2348" i="2"/>
  <c r="Q2349" i="2"/>
  <c r="Q2350" i="2"/>
  <c r="Q2351" i="2"/>
  <c r="Q2352" i="2"/>
  <c r="Q2353" i="2"/>
  <c r="Q2354" i="2"/>
  <c r="Q2355" i="2"/>
  <c r="Q2356" i="2"/>
  <c r="Q2357" i="2"/>
  <c r="Q2358" i="2"/>
  <c r="Q2359" i="2"/>
  <c r="Q2360" i="2"/>
  <c r="Q2361" i="2"/>
  <c r="Q2362" i="2"/>
  <c r="Q2363" i="2"/>
  <c r="Q2364" i="2"/>
  <c r="Q2365" i="2"/>
  <c r="Q2366" i="2"/>
  <c r="Q2367" i="2"/>
  <c r="Q2368" i="2"/>
  <c r="Q2369" i="2"/>
  <c r="Q2370" i="2"/>
  <c r="Q2371" i="2"/>
  <c r="Q2372" i="2"/>
  <c r="Q2373" i="2"/>
  <c r="Q2374" i="2"/>
  <c r="Q2375" i="2"/>
  <c r="Q2376" i="2"/>
  <c r="Q2377" i="2"/>
  <c r="Q2378" i="2"/>
  <c r="Q2379" i="2"/>
  <c r="Q2380" i="2"/>
  <c r="Q2381" i="2"/>
  <c r="Q2382" i="2"/>
  <c r="Q2383" i="2"/>
  <c r="Q2384" i="2"/>
  <c r="Q2385" i="2"/>
  <c r="Q2386" i="2"/>
  <c r="Q2387" i="2"/>
  <c r="Q2388" i="2"/>
  <c r="Q2389" i="2"/>
  <c r="Q2390" i="2"/>
  <c r="Q2391" i="2"/>
  <c r="Q2392" i="2"/>
  <c r="Q2393" i="2"/>
  <c r="Q2394" i="2"/>
  <c r="Q2395" i="2"/>
  <c r="Q2396" i="2"/>
  <c r="Q2397" i="2"/>
  <c r="Q2398" i="2"/>
  <c r="Q2399" i="2"/>
  <c r="Q2400" i="2"/>
  <c r="Q2401" i="2"/>
  <c r="Q2402" i="2"/>
  <c r="Q2403" i="2"/>
  <c r="Q2404" i="2"/>
  <c r="Q2405" i="2"/>
  <c r="Q2406" i="2"/>
  <c r="Q2407" i="2"/>
  <c r="Q2408" i="2"/>
  <c r="Q2409" i="2"/>
  <c r="Q2410" i="2"/>
  <c r="Q2411" i="2"/>
  <c r="Q2412" i="2"/>
  <c r="Q2413" i="2"/>
  <c r="Q2414" i="2"/>
  <c r="Q2415" i="2"/>
  <c r="Q2416" i="2"/>
  <c r="Q2417" i="2"/>
  <c r="Q2418" i="2"/>
  <c r="Q2419" i="2"/>
  <c r="Q2420" i="2"/>
  <c r="Q2421" i="2"/>
  <c r="Q2422" i="2"/>
  <c r="Q2423" i="2"/>
  <c r="Q2424" i="2"/>
  <c r="Q2425" i="2"/>
  <c r="Q2426" i="2"/>
  <c r="Q2427" i="2"/>
  <c r="Q2428" i="2"/>
  <c r="Q2429" i="2"/>
  <c r="Q2430" i="2"/>
  <c r="Q2431" i="2"/>
  <c r="Q2432" i="2"/>
  <c r="Q2433" i="2"/>
  <c r="Q2434" i="2"/>
  <c r="Q2435" i="2"/>
  <c r="Q2436" i="2"/>
  <c r="Q2437" i="2"/>
  <c r="Q2438" i="2"/>
  <c r="Q2439" i="2"/>
  <c r="Q2440" i="2"/>
  <c r="Q2441" i="2"/>
  <c r="Q2442" i="2"/>
  <c r="Q2443" i="2"/>
  <c r="Q2444" i="2"/>
  <c r="Q2445" i="2"/>
  <c r="Q2446" i="2"/>
  <c r="Q2447" i="2"/>
  <c r="Q2448" i="2"/>
  <c r="Q2449" i="2"/>
  <c r="Q2450" i="2"/>
  <c r="Q2451" i="2"/>
  <c r="Q2452" i="2"/>
  <c r="Q2453" i="2"/>
  <c r="Q2454" i="2"/>
  <c r="Q2455" i="2"/>
  <c r="Q2456" i="2"/>
  <c r="Q2457" i="2"/>
  <c r="Q2458" i="2"/>
  <c r="Q2459" i="2"/>
  <c r="Q2460" i="2"/>
  <c r="Q2461" i="2"/>
  <c r="Q2462" i="2"/>
  <c r="Q2463" i="2"/>
  <c r="Q2464" i="2"/>
  <c r="Q2465" i="2"/>
  <c r="Q2466" i="2"/>
  <c r="Q2467" i="2"/>
  <c r="Q2468" i="2"/>
  <c r="Q2469" i="2"/>
  <c r="Q2470" i="2"/>
  <c r="Q2471" i="2"/>
  <c r="Q2472" i="2"/>
  <c r="Q2473" i="2"/>
  <c r="Q2474" i="2"/>
  <c r="Q2475" i="2"/>
  <c r="Q2476" i="2"/>
  <c r="Q2477" i="2"/>
  <c r="Q2478" i="2"/>
  <c r="Q2479" i="2"/>
  <c r="Q2480" i="2"/>
  <c r="Q2481" i="2"/>
  <c r="Q2482" i="2"/>
  <c r="Q2483" i="2"/>
  <c r="Q2484" i="2"/>
  <c r="Q2485" i="2"/>
  <c r="Q2486" i="2"/>
  <c r="Q2487" i="2"/>
  <c r="Q2488" i="2"/>
  <c r="Q2489" i="2"/>
  <c r="Q2490" i="2"/>
  <c r="Q2491" i="2"/>
  <c r="Q2492" i="2"/>
  <c r="Q2493" i="2"/>
  <c r="Q2494" i="2"/>
  <c r="Q2495" i="2"/>
  <c r="Q2496" i="2"/>
  <c r="Q2497" i="2"/>
  <c r="Q2498" i="2"/>
  <c r="Q2499" i="2"/>
  <c r="Q2500" i="2"/>
  <c r="Q2501" i="2"/>
  <c r="Q2502" i="2"/>
  <c r="Q2503" i="2"/>
  <c r="Q2504" i="2"/>
  <c r="Q2505" i="2"/>
  <c r="Q2506" i="2"/>
  <c r="Q2507" i="2"/>
  <c r="Q2508" i="2"/>
  <c r="Q2509" i="2"/>
  <c r="Q2510" i="2"/>
  <c r="Q2511" i="2"/>
  <c r="Q2512" i="2"/>
  <c r="Q2513" i="2"/>
  <c r="Q2514" i="2"/>
  <c r="Q2515" i="2"/>
  <c r="Q2516" i="2"/>
  <c r="Q2517" i="2"/>
  <c r="Q2518" i="2"/>
  <c r="Q2519" i="2"/>
  <c r="Q2520" i="2"/>
  <c r="Q2521" i="2"/>
  <c r="Q2522" i="2"/>
  <c r="Q2523" i="2"/>
  <c r="Q2524" i="2"/>
  <c r="Q2525" i="2"/>
  <c r="Q2526" i="2"/>
  <c r="Q2527" i="2"/>
  <c r="Q2528" i="2"/>
  <c r="Q2529" i="2"/>
  <c r="Q2530" i="2"/>
  <c r="Q2531" i="2"/>
  <c r="Q2532" i="2"/>
  <c r="Q2533" i="2"/>
  <c r="Q2534" i="2"/>
  <c r="Q2535" i="2"/>
  <c r="Q2536" i="2"/>
  <c r="Q2537" i="2"/>
  <c r="Q2538" i="2"/>
  <c r="Q2539" i="2"/>
  <c r="Q2540" i="2"/>
  <c r="Q2541" i="2"/>
  <c r="Q2542" i="2"/>
  <c r="Q2543" i="2"/>
  <c r="Q2544" i="2"/>
  <c r="Q2545" i="2"/>
  <c r="Q2546" i="2"/>
  <c r="Q2547" i="2"/>
  <c r="Q2548" i="2"/>
  <c r="Q2549" i="2"/>
  <c r="Q2550" i="2"/>
  <c r="Q2551" i="2"/>
  <c r="Q2552" i="2"/>
  <c r="Q2553" i="2"/>
  <c r="Q2554" i="2"/>
  <c r="Q2555" i="2"/>
  <c r="Q2556" i="2"/>
  <c r="Q2557" i="2"/>
  <c r="Q2558" i="2"/>
  <c r="Q2559" i="2"/>
  <c r="Q2560" i="2"/>
  <c r="Q2561" i="2"/>
  <c r="Q2562" i="2"/>
  <c r="Q2563" i="2"/>
  <c r="Q2564" i="2"/>
  <c r="Q2565" i="2"/>
  <c r="Q2566" i="2"/>
  <c r="Q2567" i="2"/>
  <c r="Q2568" i="2"/>
  <c r="Q2569" i="2"/>
  <c r="Q2570" i="2"/>
  <c r="Q2571" i="2"/>
  <c r="Q2572" i="2"/>
  <c r="Q2573" i="2"/>
  <c r="Q2574" i="2"/>
  <c r="Q2575" i="2"/>
  <c r="Q2576" i="2"/>
  <c r="Q2577" i="2"/>
  <c r="Q2578" i="2"/>
  <c r="Q2579" i="2"/>
  <c r="Q2580" i="2"/>
  <c r="Q2581" i="2"/>
  <c r="Q2582" i="2"/>
  <c r="Q2583" i="2"/>
  <c r="Q2584" i="2"/>
  <c r="Q2585" i="2"/>
  <c r="Q2586" i="2"/>
  <c r="Q2587" i="2"/>
  <c r="Q2588" i="2"/>
  <c r="Q2589" i="2"/>
  <c r="Q2590" i="2"/>
  <c r="Q2591" i="2"/>
  <c r="Q2592" i="2"/>
  <c r="Q2593" i="2"/>
  <c r="Q2594" i="2"/>
  <c r="Q2595" i="2"/>
  <c r="Q2596" i="2"/>
  <c r="Q2597" i="2"/>
  <c r="Q2598" i="2"/>
  <c r="Q2599" i="2"/>
  <c r="Q2600" i="2"/>
  <c r="Q2601" i="2"/>
  <c r="Q2602" i="2"/>
  <c r="Q2603" i="2"/>
  <c r="Q2604" i="2"/>
  <c r="Q2605" i="2"/>
  <c r="Q2606" i="2"/>
  <c r="Q2607" i="2"/>
  <c r="Q2608" i="2"/>
  <c r="Q2609" i="2"/>
  <c r="Q2610" i="2"/>
  <c r="Q2611" i="2"/>
  <c r="Q2612" i="2"/>
  <c r="Q2613" i="2"/>
  <c r="Q2614" i="2"/>
  <c r="Q2615" i="2"/>
  <c r="Q2616" i="2"/>
  <c r="Q2617" i="2"/>
  <c r="Q2618" i="2"/>
  <c r="Q2619" i="2"/>
  <c r="Q2620" i="2"/>
  <c r="Q2621" i="2"/>
  <c r="Q2622" i="2"/>
  <c r="Q2623" i="2"/>
  <c r="Q2624" i="2"/>
  <c r="Q2625" i="2"/>
  <c r="Q2626" i="2"/>
  <c r="Q2627" i="2"/>
  <c r="Q2628" i="2"/>
  <c r="Q2629" i="2"/>
  <c r="Q2630" i="2"/>
  <c r="Q2631" i="2"/>
  <c r="Q2632" i="2"/>
  <c r="Q2633" i="2"/>
  <c r="Q2634" i="2"/>
  <c r="Q2635" i="2"/>
  <c r="Q2636" i="2"/>
  <c r="Q2637" i="2"/>
  <c r="Q2638" i="2"/>
  <c r="Q2639" i="2"/>
  <c r="Q2640" i="2"/>
  <c r="Q2641" i="2"/>
  <c r="Q2642" i="2"/>
  <c r="Q2643" i="2"/>
  <c r="Q2644" i="2"/>
  <c r="Q2645" i="2"/>
  <c r="Q2646" i="2"/>
  <c r="Q2647" i="2"/>
  <c r="Q2648" i="2"/>
  <c r="Q2649" i="2"/>
  <c r="Q2650" i="2"/>
  <c r="Q2651" i="2"/>
  <c r="Q2652" i="2"/>
  <c r="Q2653" i="2"/>
  <c r="Q2654" i="2"/>
  <c r="Q2655" i="2"/>
  <c r="Q2656" i="2"/>
  <c r="Q2657" i="2"/>
  <c r="Q2658" i="2"/>
  <c r="Q2659" i="2"/>
  <c r="Q2660" i="2"/>
  <c r="Q2661" i="2"/>
  <c r="Q2662" i="2"/>
  <c r="Q2663" i="2"/>
  <c r="Q2664" i="2"/>
  <c r="Q2665" i="2"/>
  <c r="Q2666" i="2"/>
  <c r="Q2667" i="2"/>
  <c r="Q2668" i="2"/>
  <c r="Q2669" i="2"/>
  <c r="Q2670" i="2"/>
  <c r="Q2671" i="2"/>
  <c r="Q2672" i="2"/>
  <c r="Q2673" i="2"/>
  <c r="Q2674" i="2"/>
  <c r="Q2675" i="2"/>
  <c r="Q2676" i="2"/>
  <c r="Q2677" i="2"/>
  <c r="Q2678" i="2"/>
  <c r="Q2679" i="2"/>
  <c r="Q2680" i="2"/>
  <c r="Q2681" i="2"/>
  <c r="Q2682" i="2"/>
  <c r="Q2683" i="2"/>
  <c r="Q2684" i="2"/>
  <c r="Q2685" i="2"/>
  <c r="Q2686" i="2"/>
  <c r="Q2687" i="2"/>
  <c r="Q2688" i="2"/>
  <c r="Q2689" i="2"/>
  <c r="Q2690" i="2"/>
  <c r="Q2691" i="2"/>
  <c r="Q2692" i="2"/>
  <c r="Q2693" i="2"/>
  <c r="Q2694" i="2"/>
  <c r="Q2695" i="2"/>
  <c r="Q2696" i="2"/>
  <c r="Q2697" i="2"/>
  <c r="Q2698" i="2"/>
  <c r="Q2699" i="2"/>
  <c r="Q2700" i="2"/>
  <c r="Q2701" i="2"/>
  <c r="Q2702" i="2"/>
  <c r="Q2703" i="2"/>
  <c r="Q2704" i="2"/>
  <c r="Q2705" i="2"/>
  <c r="Q2706" i="2"/>
  <c r="Q2707" i="2"/>
  <c r="Q2708" i="2"/>
  <c r="Q2709" i="2"/>
  <c r="Q2710" i="2"/>
  <c r="Q2711" i="2"/>
  <c r="Q2712" i="2"/>
  <c r="Q2713" i="2"/>
  <c r="Q2714" i="2"/>
  <c r="Q2715" i="2"/>
  <c r="Q2716" i="2"/>
  <c r="Q2717" i="2"/>
  <c r="Q2718" i="2"/>
  <c r="Q2719" i="2"/>
  <c r="Q2720" i="2"/>
  <c r="Q2721" i="2"/>
  <c r="Q2722" i="2"/>
  <c r="Q2723" i="2"/>
  <c r="Q2724" i="2"/>
  <c r="Q2725" i="2"/>
  <c r="Q2726" i="2"/>
  <c r="Q2727" i="2"/>
  <c r="Q2728" i="2"/>
  <c r="Q2729" i="2"/>
  <c r="Q2730" i="2"/>
  <c r="Q2731" i="2"/>
  <c r="Q2732" i="2"/>
  <c r="Q2733" i="2"/>
  <c r="Q2734" i="2"/>
  <c r="Q2735" i="2"/>
  <c r="Q2736" i="2"/>
  <c r="Q2737" i="2"/>
  <c r="Q2738" i="2"/>
  <c r="Q2739" i="2"/>
  <c r="Q2740" i="2"/>
  <c r="Q2741" i="2"/>
  <c r="Q2742" i="2"/>
  <c r="Q2743" i="2"/>
  <c r="Q2744" i="2"/>
  <c r="Q2745" i="2"/>
  <c r="Q2746" i="2"/>
  <c r="Q2747" i="2"/>
  <c r="Q2748" i="2"/>
  <c r="Q2749" i="2"/>
  <c r="Q2750" i="2"/>
  <c r="Q2751" i="2"/>
  <c r="Q2752" i="2"/>
  <c r="Q2753" i="2"/>
  <c r="Q2754" i="2"/>
  <c r="Q2755" i="2"/>
  <c r="Q2756" i="2"/>
  <c r="Q2757" i="2"/>
  <c r="Q2758" i="2"/>
  <c r="Q2759" i="2"/>
  <c r="Q2760" i="2"/>
  <c r="Q2761" i="2"/>
  <c r="Q2762" i="2"/>
  <c r="Q2763" i="2"/>
  <c r="Q2764" i="2"/>
  <c r="Q2765" i="2"/>
  <c r="Q2766" i="2"/>
  <c r="Q2767" i="2"/>
  <c r="Q2768" i="2"/>
  <c r="Q2769" i="2"/>
  <c r="Q2770" i="2"/>
  <c r="Q2771" i="2"/>
  <c r="Q2772" i="2"/>
  <c r="Q2773" i="2"/>
  <c r="Q2774" i="2"/>
  <c r="Q2775" i="2"/>
  <c r="Q2776" i="2"/>
  <c r="Q2777" i="2"/>
  <c r="Q2778" i="2"/>
  <c r="Q2779" i="2"/>
  <c r="Q2780" i="2"/>
  <c r="Q2781" i="2"/>
  <c r="Q2782" i="2"/>
  <c r="Q2783" i="2"/>
  <c r="Q2784" i="2"/>
  <c r="Q2785" i="2"/>
  <c r="Q2786" i="2"/>
  <c r="Q2787" i="2"/>
  <c r="Q2788" i="2"/>
  <c r="Q2789" i="2"/>
  <c r="Q2790" i="2"/>
  <c r="Q2791" i="2"/>
  <c r="Q2792" i="2"/>
  <c r="Q2793" i="2"/>
  <c r="Q2794" i="2"/>
  <c r="Q2795" i="2"/>
  <c r="Q2796" i="2"/>
  <c r="Q2797" i="2"/>
  <c r="Q2798" i="2"/>
  <c r="Q2799" i="2"/>
  <c r="Q2800" i="2"/>
  <c r="Q2801" i="2"/>
  <c r="Q2802" i="2"/>
  <c r="Q2803" i="2"/>
  <c r="Q2804" i="2"/>
  <c r="Q2805" i="2"/>
  <c r="Q2806" i="2"/>
  <c r="Q2807" i="2"/>
  <c r="Q2808" i="2"/>
  <c r="Q2809" i="2"/>
  <c r="Q2810" i="2"/>
  <c r="Q2811" i="2"/>
  <c r="Q2812" i="2"/>
  <c r="Q2813" i="2"/>
  <c r="Q2814" i="2"/>
  <c r="Q2815" i="2"/>
  <c r="Q2816" i="2"/>
  <c r="Q2817" i="2"/>
  <c r="Q2818" i="2"/>
  <c r="Q2819" i="2"/>
  <c r="Q2820" i="2"/>
  <c r="Q2821" i="2"/>
  <c r="Q2822" i="2"/>
  <c r="Q2823" i="2"/>
  <c r="Q2824" i="2"/>
  <c r="Q2825" i="2"/>
  <c r="Q2826" i="2"/>
  <c r="Q2827" i="2"/>
  <c r="Q2828" i="2"/>
  <c r="Q2829" i="2"/>
  <c r="Q2830" i="2"/>
  <c r="Q2831" i="2"/>
  <c r="Q2832" i="2"/>
  <c r="Q2833" i="2"/>
  <c r="Q2834" i="2"/>
  <c r="Q2835" i="2"/>
  <c r="Q2836" i="2"/>
  <c r="Q2837" i="2"/>
  <c r="Q2838" i="2"/>
  <c r="Q2839" i="2"/>
  <c r="Q2840" i="2"/>
  <c r="Q2841" i="2"/>
  <c r="Q2842" i="2"/>
  <c r="Q2843" i="2"/>
  <c r="Q2844" i="2"/>
  <c r="Q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6" i="2"/>
  <c r="P165" i="2"/>
  <c r="P167" i="2"/>
  <c r="P168" i="2"/>
  <c r="P170" i="2"/>
  <c r="P169"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6" i="2"/>
  <c r="P325"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2" i="2"/>
  <c r="P371" i="2"/>
  <c r="P373" i="2"/>
  <c r="P375" i="2"/>
  <c r="P374" i="2"/>
  <c r="P376" i="2"/>
  <c r="P377" i="2"/>
  <c r="P379" i="2"/>
  <c r="P378"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8" i="2"/>
  <c r="P437" i="2"/>
  <c r="P439" i="2"/>
  <c r="P440" i="2"/>
  <c r="P441" i="2"/>
  <c r="P442" i="2"/>
  <c r="P443" i="2"/>
  <c r="P444" i="2"/>
  <c r="P445" i="2"/>
  <c r="P447" i="2"/>
  <c r="P446"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9" i="2"/>
  <c r="P638" i="2"/>
  <c r="P637"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3" i="2"/>
  <c r="P692" i="2"/>
  <c r="P694" i="2"/>
  <c r="P695" i="2"/>
  <c r="P696" i="2"/>
  <c r="P698" i="2"/>
  <c r="P697" i="2"/>
  <c r="P699" i="2"/>
  <c r="P700" i="2"/>
  <c r="P701" i="2"/>
  <c r="P702" i="2"/>
  <c r="P703" i="2"/>
  <c r="P704" i="2"/>
  <c r="P705" i="2"/>
  <c r="P706" i="2"/>
  <c r="P707" i="2"/>
  <c r="P708" i="2"/>
  <c r="P709" i="2"/>
  <c r="P711" i="2"/>
  <c r="P710" i="2"/>
  <c r="P712" i="2"/>
  <c r="P713" i="2"/>
  <c r="P714" i="2"/>
  <c r="P715" i="2"/>
  <c r="P716" i="2"/>
  <c r="P717" i="2"/>
  <c r="P718" i="2"/>
  <c r="P719" i="2"/>
  <c r="P720" i="2"/>
  <c r="P721" i="2"/>
  <c r="P722" i="2"/>
  <c r="P723" i="2"/>
  <c r="P724" i="2"/>
  <c r="P725" i="2"/>
  <c r="P726" i="2"/>
  <c r="P727" i="2"/>
  <c r="P728" i="2"/>
  <c r="P729" i="2"/>
  <c r="P730" i="2"/>
  <c r="P732" i="2"/>
  <c r="P731" i="2"/>
  <c r="P733" i="2"/>
  <c r="P734" i="2"/>
  <c r="P735" i="2"/>
  <c r="P736" i="2"/>
  <c r="P737" i="2"/>
  <c r="P738" i="2"/>
  <c r="P739" i="2"/>
  <c r="P740" i="2"/>
  <c r="P741" i="2"/>
  <c r="P742" i="2"/>
  <c r="P743" i="2"/>
  <c r="P744" i="2"/>
  <c r="P745" i="2"/>
  <c r="P746" i="2"/>
  <c r="P747" i="2"/>
  <c r="P748" i="2"/>
  <c r="P750" i="2"/>
  <c r="P749" i="2"/>
  <c r="P751" i="2"/>
  <c r="P752" i="2"/>
  <c r="P753" i="2"/>
  <c r="P754" i="2"/>
  <c r="P755" i="2"/>
  <c r="P756" i="2"/>
  <c r="P757" i="2"/>
  <c r="P758" i="2"/>
  <c r="P759" i="2"/>
  <c r="P760" i="2"/>
  <c r="P761" i="2"/>
  <c r="P762" i="2"/>
  <c r="P763" i="2"/>
  <c r="P764" i="2"/>
  <c r="P765" i="2"/>
  <c r="P766" i="2"/>
  <c r="P767" i="2"/>
  <c r="P768" i="2"/>
  <c r="P769" i="2"/>
  <c r="P770" i="2"/>
  <c r="P772" i="2"/>
  <c r="P771" i="2"/>
  <c r="P773" i="2"/>
  <c r="P774" i="2"/>
  <c r="P775" i="2"/>
  <c r="P776" i="2"/>
  <c r="P777" i="2"/>
  <c r="P778" i="2"/>
  <c r="P779" i="2"/>
  <c r="P780" i="2"/>
  <c r="P781" i="2"/>
  <c r="P782" i="2"/>
  <c r="P783" i="2"/>
  <c r="P784" i="2"/>
  <c r="P785" i="2"/>
  <c r="P787" i="2"/>
  <c r="P786"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20" i="2"/>
  <c r="P919" i="2"/>
  <c r="P918" i="2"/>
  <c r="P921" i="2"/>
  <c r="P922" i="2"/>
  <c r="P923" i="2"/>
  <c r="P924" i="2"/>
  <c r="P925" i="2"/>
  <c r="P926" i="2"/>
  <c r="P927" i="2"/>
  <c r="P928" i="2"/>
  <c r="P929" i="2"/>
  <c r="P930" i="2"/>
  <c r="P931" i="2"/>
  <c r="P932" i="2"/>
  <c r="P933" i="2"/>
  <c r="P934" i="2"/>
  <c r="P935" i="2"/>
  <c r="P936" i="2"/>
  <c r="P937" i="2"/>
  <c r="P938" i="2"/>
  <c r="P939" i="2"/>
  <c r="P941" i="2"/>
  <c r="P942" i="2"/>
  <c r="P940"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70" i="2"/>
  <c r="P969"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P1002" i="2"/>
  <c r="P1003" i="2"/>
  <c r="P1004" i="2"/>
  <c r="P1005" i="2"/>
  <c r="P1006" i="2"/>
  <c r="P1007" i="2"/>
  <c r="P1008" i="2"/>
  <c r="P1009" i="2"/>
  <c r="P1010" i="2"/>
  <c r="P1011" i="2"/>
  <c r="P1012" i="2"/>
  <c r="P1013" i="2"/>
  <c r="P1014" i="2"/>
  <c r="P1015" i="2"/>
  <c r="P1016" i="2"/>
  <c r="P1017" i="2"/>
  <c r="P1018" i="2"/>
  <c r="P1019" i="2"/>
  <c r="P1020" i="2"/>
  <c r="P1021" i="2"/>
  <c r="P1022" i="2"/>
  <c r="P1023" i="2"/>
  <c r="P1024" i="2"/>
  <c r="P1025" i="2"/>
  <c r="P1026" i="2"/>
  <c r="P1027" i="2"/>
  <c r="P1028" i="2"/>
  <c r="P1029" i="2"/>
  <c r="P1030" i="2"/>
  <c r="P1031" i="2"/>
  <c r="P1032" i="2"/>
  <c r="P1033" i="2"/>
  <c r="P1034" i="2"/>
  <c r="P1035" i="2"/>
  <c r="P1036" i="2"/>
  <c r="P1037" i="2"/>
  <c r="P1038" i="2"/>
  <c r="P1039" i="2"/>
  <c r="P1040" i="2"/>
  <c r="P1041" i="2"/>
  <c r="P1042" i="2"/>
  <c r="P1043" i="2"/>
  <c r="P1044" i="2"/>
  <c r="P1045" i="2"/>
  <c r="P1046" i="2"/>
  <c r="P1047" i="2"/>
  <c r="P1048" i="2"/>
  <c r="P1049" i="2"/>
  <c r="P1050" i="2"/>
  <c r="P1051" i="2"/>
  <c r="P1052" i="2"/>
  <c r="P1053" i="2"/>
  <c r="P1054" i="2"/>
  <c r="P1055" i="2"/>
  <c r="P1056" i="2"/>
  <c r="P1057" i="2"/>
  <c r="P1058" i="2"/>
  <c r="P1059" i="2"/>
  <c r="P1060" i="2"/>
  <c r="P1061" i="2"/>
  <c r="P1062" i="2"/>
  <c r="P1063" i="2"/>
  <c r="P1064" i="2"/>
  <c r="P1065" i="2"/>
  <c r="P1066" i="2"/>
  <c r="P1067" i="2"/>
  <c r="P1068" i="2"/>
  <c r="P1069" i="2"/>
  <c r="P1070" i="2"/>
  <c r="P1071" i="2"/>
  <c r="P1072" i="2"/>
  <c r="P1073" i="2"/>
  <c r="P1074" i="2"/>
  <c r="P1075" i="2"/>
  <c r="P1076" i="2"/>
  <c r="P1077" i="2"/>
  <c r="P1078" i="2"/>
  <c r="P1079" i="2"/>
  <c r="P1080" i="2"/>
  <c r="P1081" i="2"/>
  <c r="P1082" i="2"/>
  <c r="P1083" i="2"/>
  <c r="P1084" i="2"/>
  <c r="P1085" i="2"/>
  <c r="P1086" i="2"/>
  <c r="P1087" i="2"/>
  <c r="P1088" i="2"/>
  <c r="P1089" i="2"/>
  <c r="P1090" i="2"/>
  <c r="P1091" i="2"/>
  <c r="P1092" i="2"/>
  <c r="P1093" i="2"/>
  <c r="P1094" i="2"/>
  <c r="P1095" i="2"/>
  <c r="P1096" i="2"/>
  <c r="P1097" i="2"/>
  <c r="P1098" i="2"/>
  <c r="P1099" i="2"/>
  <c r="P1100" i="2"/>
  <c r="P1101" i="2"/>
  <c r="P1102" i="2"/>
  <c r="P1104" i="2"/>
  <c r="P1103" i="2"/>
  <c r="P1105" i="2"/>
  <c r="P1106" i="2"/>
  <c r="P1107" i="2"/>
  <c r="P1108" i="2"/>
  <c r="P1109" i="2"/>
  <c r="P1110" i="2"/>
  <c r="P1111" i="2"/>
  <c r="P1112" i="2"/>
  <c r="P1113" i="2"/>
  <c r="P1114" i="2"/>
  <c r="P1115" i="2"/>
  <c r="P1116" i="2"/>
  <c r="P1117" i="2"/>
  <c r="P1118" i="2"/>
  <c r="P1119" i="2"/>
  <c r="P1120" i="2"/>
  <c r="P1121" i="2"/>
  <c r="P1122" i="2"/>
  <c r="P1123" i="2"/>
  <c r="P1124" i="2"/>
  <c r="P1125" i="2"/>
  <c r="P1126" i="2"/>
  <c r="P1127" i="2"/>
  <c r="P1128" i="2"/>
  <c r="P1129" i="2"/>
  <c r="P1130" i="2"/>
  <c r="P1131" i="2"/>
  <c r="P1132" i="2"/>
  <c r="P1133" i="2"/>
  <c r="P1134" i="2"/>
  <c r="P1135" i="2"/>
  <c r="P1136" i="2"/>
  <c r="P1137" i="2"/>
  <c r="P1138" i="2"/>
  <c r="P1139" i="2"/>
  <c r="P1140" i="2"/>
  <c r="P1141" i="2"/>
  <c r="P1142" i="2"/>
  <c r="P1143" i="2"/>
  <c r="P1144" i="2"/>
  <c r="P1145" i="2"/>
  <c r="P1146" i="2"/>
  <c r="P1147" i="2"/>
  <c r="P1149" i="2"/>
  <c r="P1148" i="2"/>
  <c r="P1150" i="2"/>
  <c r="P1151" i="2"/>
  <c r="P1152" i="2"/>
  <c r="P1153" i="2"/>
  <c r="P1154" i="2"/>
  <c r="P1155" i="2"/>
  <c r="P1156" i="2"/>
  <c r="P1157" i="2"/>
  <c r="P1158" i="2"/>
  <c r="P1159" i="2"/>
  <c r="P1160" i="2"/>
  <c r="P1161" i="2"/>
  <c r="P1162" i="2"/>
  <c r="P1163" i="2"/>
  <c r="P1164" i="2"/>
  <c r="P1165" i="2"/>
  <c r="P1166" i="2"/>
  <c r="P1167" i="2"/>
  <c r="P1168" i="2"/>
  <c r="P1169" i="2"/>
  <c r="P1170" i="2"/>
  <c r="P1171" i="2"/>
  <c r="P1172" i="2"/>
  <c r="P1173" i="2"/>
  <c r="P1174" i="2"/>
  <c r="P1175" i="2"/>
  <c r="P1176" i="2"/>
  <c r="P1177" i="2"/>
  <c r="P1178" i="2"/>
  <c r="P1179" i="2"/>
  <c r="P1180" i="2"/>
  <c r="P1182" i="2"/>
  <c r="P1181" i="2"/>
  <c r="P1183" i="2"/>
  <c r="P1184" i="2"/>
  <c r="P1185" i="2"/>
  <c r="P1186" i="2"/>
  <c r="P1187" i="2"/>
  <c r="P1188" i="2"/>
  <c r="P1189" i="2"/>
  <c r="P1190" i="2"/>
  <c r="P1191" i="2"/>
  <c r="P1192" i="2"/>
  <c r="P1193" i="2"/>
  <c r="P1194" i="2"/>
  <c r="P1195" i="2"/>
  <c r="P1196" i="2"/>
  <c r="P1197" i="2"/>
  <c r="P1198" i="2"/>
  <c r="P1200" i="2"/>
  <c r="P1199" i="2"/>
  <c r="P1201" i="2"/>
  <c r="P1202" i="2"/>
  <c r="P1203" i="2"/>
  <c r="P1204" i="2"/>
  <c r="P1205" i="2"/>
  <c r="P1206" i="2"/>
  <c r="P1207" i="2"/>
  <c r="P1208" i="2"/>
  <c r="P1209" i="2"/>
  <c r="P1210" i="2"/>
  <c r="P1211" i="2"/>
  <c r="P1212" i="2"/>
  <c r="P1213" i="2"/>
  <c r="P1214" i="2"/>
  <c r="P1215" i="2"/>
  <c r="P1216" i="2"/>
  <c r="P1217" i="2"/>
  <c r="P1218" i="2"/>
  <c r="P1219" i="2"/>
  <c r="P1220" i="2"/>
  <c r="P1221" i="2"/>
  <c r="P1222" i="2"/>
  <c r="P1223" i="2"/>
  <c r="P1224" i="2"/>
  <c r="P1225" i="2"/>
  <c r="P1226" i="2"/>
  <c r="P1227" i="2"/>
  <c r="P1228" i="2"/>
  <c r="P1229" i="2"/>
  <c r="P1230" i="2"/>
  <c r="P1231" i="2"/>
  <c r="P1232" i="2"/>
  <c r="P1233" i="2"/>
  <c r="P1234" i="2"/>
  <c r="P1235" i="2"/>
  <c r="P1236" i="2"/>
  <c r="P1237" i="2"/>
  <c r="P1238" i="2"/>
  <c r="P1239" i="2"/>
  <c r="P1240" i="2"/>
  <c r="P1241" i="2"/>
  <c r="P1242" i="2"/>
  <c r="P1243" i="2"/>
  <c r="P1244" i="2"/>
  <c r="P1245" i="2"/>
  <c r="P1246" i="2"/>
  <c r="P1247" i="2"/>
  <c r="P1250" i="2"/>
  <c r="P1249" i="2"/>
  <c r="P1248" i="2"/>
  <c r="P1251" i="2"/>
  <c r="P1252" i="2"/>
  <c r="P1253" i="2"/>
  <c r="P1254" i="2"/>
  <c r="P1255" i="2"/>
  <c r="P1256" i="2"/>
  <c r="P1257" i="2"/>
  <c r="P1258" i="2"/>
  <c r="P1259" i="2"/>
  <c r="P1260" i="2"/>
  <c r="P1261" i="2"/>
  <c r="P1262" i="2"/>
  <c r="P1263" i="2"/>
  <c r="P1264" i="2"/>
  <c r="P1266" i="2"/>
  <c r="P1265" i="2"/>
  <c r="P1267" i="2"/>
  <c r="P1268" i="2"/>
  <c r="P1269" i="2"/>
  <c r="P1270" i="2"/>
  <c r="P1271" i="2"/>
  <c r="P1272" i="2"/>
  <c r="P1273" i="2"/>
  <c r="P1274" i="2"/>
  <c r="P1275" i="2"/>
  <c r="P1276" i="2"/>
  <c r="P1277" i="2"/>
  <c r="P1278" i="2"/>
  <c r="P1279" i="2"/>
  <c r="P1280" i="2"/>
  <c r="P1281" i="2"/>
  <c r="P1283" i="2"/>
  <c r="P1282" i="2"/>
  <c r="P1284" i="2"/>
  <c r="P1285" i="2"/>
  <c r="P1286" i="2"/>
  <c r="P1287" i="2"/>
  <c r="P1288" i="2"/>
  <c r="P1289" i="2"/>
  <c r="P1290" i="2"/>
  <c r="P1291" i="2"/>
  <c r="P1292" i="2"/>
  <c r="P1293" i="2"/>
  <c r="P1294" i="2"/>
  <c r="P1295" i="2"/>
  <c r="P1296" i="2"/>
  <c r="P1297" i="2"/>
  <c r="P1298" i="2"/>
  <c r="P1299" i="2"/>
  <c r="P1300" i="2"/>
  <c r="P1301" i="2"/>
  <c r="P1302" i="2"/>
  <c r="P1303" i="2"/>
  <c r="P1304" i="2"/>
  <c r="P1305" i="2"/>
  <c r="P1306" i="2"/>
  <c r="P1307" i="2"/>
  <c r="P1308" i="2"/>
  <c r="P1309" i="2"/>
  <c r="P1310" i="2"/>
  <c r="P1311" i="2"/>
  <c r="P1312" i="2"/>
  <c r="P1313" i="2"/>
  <c r="P1314" i="2"/>
  <c r="P1315" i="2"/>
  <c r="P1316" i="2"/>
  <c r="P1317" i="2"/>
  <c r="P1318" i="2"/>
  <c r="P1319" i="2"/>
  <c r="P1320" i="2"/>
  <c r="P1321" i="2"/>
  <c r="P1322" i="2"/>
  <c r="P1324" i="2"/>
  <c r="P1323" i="2"/>
  <c r="P1325" i="2"/>
  <c r="P1326" i="2"/>
  <c r="P1327" i="2"/>
  <c r="P1328" i="2"/>
  <c r="P1329" i="2"/>
  <c r="P1330" i="2"/>
  <c r="P1331" i="2"/>
  <c r="P1332" i="2"/>
  <c r="P1333" i="2"/>
  <c r="P1334" i="2"/>
  <c r="P1335" i="2"/>
  <c r="P1336" i="2"/>
  <c r="P1337" i="2"/>
  <c r="P1338" i="2"/>
  <c r="P1339" i="2"/>
  <c r="P1340" i="2"/>
  <c r="P1341" i="2"/>
  <c r="P1342" i="2"/>
  <c r="P1343" i="2"/>
  <c r="P1344" i="2"/>
  <c r="P1345" i="2"/>
  <c r="P1346" i="2"/>
  <c r="P1347" i="2"/>
  <c r="P1348" i="2"/>
  <c r="P1349" i="2"/>
  <c r="P1350" i="2"/>
  <c r="P1351" i="2"/>
  <c r="P1352" i="2"/>
  <c r="P1353" i="2"/>
  <c r="P1354" i="2"/>
  <c r="P1355" i="2"/>
  <c r="P1356" i="2"/>
  <c r="P1357" i="2"/>
  <c r="P1358" i="2"/>
  <c r="P1359" i="2"/>
  <c r="P1360" i="2"/>
  <c r="P1361" i="2"/>
  <c r="P1362" i="2"/>
  <c r="P1363" i="2"/>
  <c r="P1364" i="2"/>
  <c r="P1365" i="2"/>
  <c r="P1366" i="2"/>
  <c r="P1367" i="2"/>
  <c r="P1368" i="2"/>
  <c r="P1369" i="2"/>
  <c r="P1370" i="2"/>
  <c r="P1371" i="2"/>
  <c r="P1372" i="2"/>
  <c r="P1373" i="2"/>
  <c r="P1374" i="2"/>
  <c r="P1375" i="2"/>
  <c r="P1376" i="2"/>
  <c r="P1377" i="2"/>
  <c r="P1378" i="2"/>
  <c r="P1379" i="2"/>
  <c r="P1380" i="2"/>
  <c r="P1381" i="2"/>
  <c r="P1382" i="2"/>
  <c r="P1383" i="2"/>
  <c r="P1384" i="2"/>
  <c r="P1385" i="2"/>
  <c r="P1386" i="2"/>
  <c r="P1387" i="2"/>
  <c r="P1388" i="2"/>
  <c r="P1389" i="2"/>
  <c r="P1390" i="2"/>
  <c r="P1391" i="2"/>
  <c r="P1392" i="2"/>
  <c r="P1393" i="2"/>
  <c r="P1394" i="2"/>
  <c r="P1395" i="2"/>
  <c r="P1396" i="2"/>
  <c r="P1397" i="2"/>
  <c r="P1398" i="2"/>
  <c r="P1399" i="2"/>
  <c r="P1400" i="2"/>
  <c r="P1401" i="2"/>
  <c r="P1402" i="2"/>
  <c r="P1403" i="2"/>
  <c r="P1404" i="2"/>
  <c r="P1405" i="2"/>
  <c r="P1406" i="2"/>
  <c r="P1407" i="2"/>
  <c r="P1408" i="2"/>
  <c r="P1409" i="2"/>
  <c r="P1410" i="2"/>
  <c r="P1411" i="2"/>
  <c r="P1412" i="2"/>
  <c r="P1413" i="2"/>
  <c r="P1414" i="2"/>
  <c r="P1415" i="2"/>
  <c r="P1416" i="2"/>
  <c r="P1417" i="2"/>
  <c r="P1418" i="2"/>
  <c r="P1419" i="2"/>
  <c r="P1420" i="2"/>
  <c r="P1421" i="2"/>
  <c r="P1422" i="2"/>
  <c r="P1423" i="2"/>
  <c r="P1424" i="2"/>
  <c r="P1425" i="2"/>
  <c r="P1426" i="2"/>
  <c r="P1427" i="2"/>
  <c r="P1428" i="2"/>
  <c r="P1429" i="2"/>
  <c r="P1430" i="2"/>
  <c r="P1431" i="2"/>
  <c r="P1432" i="2"/>
  <c r="P1433" i="2"/>
  <c r="P1434" i="2"/>
  <c r="P1435" i="2"/>
  <c r="P1436" i="2"/>
  <c r="P1437" i="2"/>
  <c r="P1438" i="2"/>
  <c r="P1439" i="2"/>
  <c r="P1440" i="2"/>
  <c r="P1441" i="2"/>
  <c r="P1442" i="2"/>
  <c r="P1443" i="2"/>
  <c r="P1444" i="2"/>
  <c r="P1445" i="2"/>
  <c r="P1446" i="2"/>
  <c r="P1447" i="2"/>
  <c r="P1448" i="2"/>
  <c r="P1449" i="2"/>
  <c r="P1450" i="2"/>
  <c r="P1451" i="2"/>
  <c r="P1452" i="2"/>
  <c r="P1453" i="2"/>
  <c r="P1454" i="2"/>
  <c r="P1455" i="2"/>
  <c r="P1456" i="2"/>
  <c r="P1457" i="2"/>
  <c r="P1458" i="2"/>
  <c r="P1459" i="2"/>
  <c r="P1460" i="2"/>
  <c r="P1462" i="2"/>
  <c r="P1461" i="2"/>
  <c r="P1463" i="2"/>
  <c r="P1466" i="2"/>
  <c r="P1467" i="2"/>
  <c r="P1464" i="2"/>
  <c r="P1465" i="2"/>
  <c r="P1468" i="2"/>
  <c r="P1469" i="2"/>
  <c r="P1470" i="2"/>
  <c r="P1471" i="2"/>
  <c r="P1472" i="2"/>
  <c r="P1473" i="2"/>
  <c r="P1474" i="2"/>
  <c r="P1475" i="2"/>
  <c r="P1476" i="2"/>
  <c r="P1477" i="2"/>
  <c r="P1478" i="2"/>
  <c r="P1479" i="2"/>
  <c r="P1480" i="2"/>
  <c r="P1481" i="2"/>
  <c r="P1482" i="2"/>
  <c r="P1483" i="2"/>
  <c r="P1484" i="2"/>
  <c r="P1485" i="2"/>
  <c r="P1486" i="2"/>
  <c r="P1487" i="2"/>
  <c r="P1488" i="2"/>
  <c r="P1489" i="2"/>
  <c r="P1490" i="2"/>
  <c r="P1491" i="2"/>
  <c r="P1492" i="2"/>
  <c r="P1493" i="2"/>
  <c r="P1494" i="2"/>
  <c r="P1496" i="2"/>
  <c r="P1495" i="2"/>
  <c r="P1497" i="2"/>
  <c r="P1498" i="2"/>
  <c r="P1499" i="2"/>
  <c r="P1500" i="2"/>
  <c r="P1501" i="2"/>
  <c r="P1502" i="2"/>
  <c r="P1503" i="2"/>
  <c r="P1504" i="2"/>
  <c r="P1505" i="2"/>
  <c r="P1506" i="2"/>
  <c r="P1507" i="2"/>
  <c r="P1508" i="2"/>
  <c r="P1509" i="2"/>
  <c r="P1510" i="2"/>
  <c r="P1511" i="2"/>
  <c r="P1512" i="2"/>
  <c r="P1513" i="2"/>
  <c r="P1514" i="2"/>
  <c r="P1515" i="2"/>
  <c r="P1516" i="2"/>
  <c r="P1517" i="2"/>
  <c r="P1518" i="2"/>
  <c r="P1519" i="2"/>
  <c r="P1520" i="2"/>
  <c r="P1521" i="2"/>
  <c r="P1522" i="2"/>
  <c r="P1523" i="2"/>
  <c r="P1524" i="2"/>
  <c r="P1525" i="2"/>
  <c r="P1526" i="2"/>
  <c r="P1527" i="2"/>
  <c r="P1528" i="2"/>
  <c r="P1529" i="2"/>
  <c r="P1530" i="2"/>
  <c r="P1531" i="2"/>
  <c r="P1532" i="2"/>
  <c r="P1533" i="2"/>
  <c r="P1534" i="2"/>
  <c r="P1535" i="2"/>
  <c r="P1536" i="2"/>
  <c r="P1537" i="2"/>
  <c r="P1538" i="2"/>
  <c r="P1539" i="2"/>
  <c r="P1540" i="2"/>
  <c r="P1541" i="2"/>
  <c r="P1542" i="2"/>
  <c r="P1543" i="2"/>
  <c r="P1544" i="2"/>
  <c r="P1545" i="2"/>
  <c r="P1546" i="2"/>
  <c r="P1547" i="2"/>
  <c r="P1548" i="2"/>
  <c r="P1549" i="2"/>
  <c r="P1550" i="2"/>
  <c r="P1551" i="2"/>
  <c r="P1553" i="2"/>
  <c r="P1552" i="2"/>
  <c r="P1554" i="2"/>
  <c r="P1555" i="2"/>
  <c r="P1557" i="2"/>
  <c r="P1556" i="2"/>
  <c r="P1558" i="2"/>
  <c r="P1559" i="2"/>
  <c r="P1560" i="2"/>
  <c r="P1561" i="2"/>
  <c r="P1562" i="2"/>
  <c r="P1563" i="2"/>
  <c r="P1564" i="2"/>
  <c r="P1565" i="2"/>
  <c r="P1566" i="2"/>
  <c r="P1567" i="2"/>
  <c r="P1568" i="2"/>
  <c r="P1569" i="2"/>
  <c r="P1570" i="2"/>
  <c r="P1571" i="2"/>
  <c r="P1572" i="2"/>
  <c r="P1573" i="2"/>
  <c r="P1574" i="2"/>
  <c r="P1575" i="2"/>
  <c r="P1576" i="2"/>
  <c r="P1578" i="2"/>
  <c r="P1577" i="2"/>
  <c r="P1579" i="2"/>
  <c r="P1580" i="2"/>
  <c r="P1581" i="2"/>
  <c r="P1582" i="2"/>
  <c r="P1583" i="2"/>
  <c r="P1584" i="2"/>
  <c r="P1585" i="2"/>
  <c r="P1586" i="2"/>
  <c r="P1587" i="2"/>
  <c r="P1590" i="2"/>
  <c r="P1588" i="2"/>
  <c r="P1589" i="2"/>
  <c r="P1591" i="2"/>
  <c r="P1592" i="2"/>
  <c r="P1593" i="2"/>
  <c r="P1594" i="2"/>
  <c r="P1595" i="2"/>
  <c r="P1596" i="2"/>
  <c r="P1597" i="2"/>
  <c r="P1598" i="2"/>
  <c r="P1599" i="2"/>
  <c r="P1600" i="2"/>
  <c r="P1601" i="2"/>
  <c r="P1602" i="2"/>
  <c r="P1603" i="2"/>
  <c r="P1604" i="2"/>
  <c r="P1605" i="2"/>
  <c r="P1606" i="2"/>
  <c r="P1607" i="2"/>
  <c r="P1608" i="2"/>
  <c r="P1609" i="2"/>
  <c r="P1610" i="2"/>
  <c r="P1611" i="2"/>
  <c r="P1612" i="2"/>
  <c r="P1613" i="2"/>
  <c r="P1614" i="2"/>
  <c r="P1615" i="2"/>
  <c r="P1616" i="2"/>
  <c r="P1617" i="2"/>
  <c r="P1618" i="2"/>
  <c r="P1619" i="2"/>
  <c r="P1620" i="2"/>
  <c r="P1621" i="2"/>
  <c r="P1622" i="2"/>
  <c r="P1623" i="2"/>
  <c r="P1624" i="2"/>
  <c r="P1625" i="2"/>
  <c r="P1626" i="2"/>
  <c r="P1627" i="2"/>
  <c r="P1628" i="2"/>
  <c r="P1629" i="2"/>
  <c r="P1630" i="2"/>
  <c r="P1631" i="2"/>
  <c r="P1632" i="2"/>
  <c r="P1633" i="2"/>
  <c r="P1634" i="2"/>
  <c r="P1635" i="2"/>
  <c r="P1636" i="2"/>
  <c r="P1637" i="2"/>
  <c r="P1638" i="2"/>
  <c r="P1639" i="2"/>
  <c r="P1640" i="2"/>
  <c r="P1641" i="2"/>
  <c r="P1642" i="2"/>
  <c r="P1643" i="2"/>
  <c r="P1644" i="2"/>
  <c r="P1645" i="2"/>
  <c r="P1646" i="2"/>
  <c r="P1647" i="2"/>
  <c r="P1648" i="2"/>
  <c r="P1649" i="2"/>
  <c r="P1650" i="2"/>
  <c r="P1651" i="2"/>
  <c r="P1652" i="2"/>
  <c r="P1653" i="2"/>
  <c r="P1654" i="2"/>
  <c r="P1655" i="2"/>
  <c r="P1656" i="2"/>
  <c r="P1657" i="2"/>
  <c r="P1658" i="2"/>
  <c r="P1659" i="2"/>
  <c r="P1660" i="2"/>
  <c r="P1661" i="2"/>
  <c r="P1662" i="2"/>
  <c r="P1663" i="2"/>
  <c r="P1664" i="2"/>
  <c r="P1665" i="2"/>
  <c r="P1666" i="2"/>
  <c r="P1667" i="2"/>
  <c r="P1668" i="2"/>
  <c r="P1669" i="2"/>
  <c r="P1670" i="2"/>
  <c r="P1671" i="2"/>
  <c r="P1672" i="2"/>
  <c r="P1673" i="2"/>
  <c r="P1675" i="2"/>
  <c r="P1674" i="2"/>
  <c r="P1676" i="2"/>
  <c r="P1677" i="2"/>
  <c r="P1678" i="2"/>
  <c r="P1679" i="2"/>
  <c r="P1680" i="2"/>
  <c r="P1681" i="2"/>
  <c r="P1682" i="2"/>
  <c r="P1683" i="2"/>
  <c r="P1684" i="2"/>
  <c r="P1685" i="2"/>
  <c r="P1686" i="2"/>
  <c r="P1687" i="2"/>
  <c r="P1688" i="2"/>
  <c r="P1689" i="2"/>
  <c r="P1690" i="2"/>
  <c r="P1692" i="2"/>
  <c r="P1691" i="2"/>
  <c r="P1693" i="2"/>
  <c r="P1694" i="2"/>
  <c r="P1695" i="2"/>
  <c r="P1696" i="2"/>
  <c r="P1697" i="2"/>
  <c r="P1698" i="2"/>
  <c r="P1699" i="2"/>
  <c r="P1700" i="2"/>
  <c r="P1701" i="2"/>
  <c r="P1702" i="2"/>
  <c r="P1703" i="2"/>
  <c r="P1704" i="2"/>
  <c r="P1705" i="2"/>
  <c r="P1706" i="2"/>
  <c r="P1707" i="2"/>
  <c r="P1708" i="2"/>
  <c r="P1709" i="2"/>
  <c r="P1710" i="2"/>
  <c r="P1711" i="2"/>
  <c r="P1712" i="2"/>
  <c r="P1713" i="2"/>
  <c r="P1714" i="2"/>
  <c r="P1716" i="2"/>
  <c r="P1715" i="2"/>
  <c r="P1717" i="2"/>
  <c r="P1718" i="2"/>
  <c r="P1719" i="2"/>
  <c r="P1720" i="2"/>
  <c r="P1721" i="2"/>
  <c r="P1722" i="2"/>
  <c r="P1723" i="2"/>
  <c r="P1724" i="2"/>
  <c r="P1725" i="2"/>
  <c r="P1726" i="2"/>
  <c r="P1727" i="2"/>
  <c r="P1728" i="2"/>
  <c r="P1729" i="2"/>
  <c r="P1730" i="2"/>
  <c r="P1731" i="2"/>
  <c r="P1732" i="2"/>
  <c r="P1733" i="2"/>
  <c r="P1734" i="2"/>
  <c r="P1735" i="2"/>
  <c r="P1736" i="2"/>
  <c r="P1737" i="2"/>
  <c r="P1738" i="2"/>
  <c r="P1739" i="2"/>
  <c r="P1740" i="2"/>
  <c r="P1741" i="2"/>
  <c r="P1742" i="2"/>
  <c r="P1743" i="2"/>
  <c r="P1744" i="2"/>
  <c r="P1745" i="2"/>
  <c r="P1746" i="2"/>
  <c r="P1747" i="2"/>
  <c r="P1748" i="2"/>
  <c r="P1749" i="2"/>
  <c r="P1750" i="2"/>
  <c r="P1751" i="2"/>
  <c r="P1752" i="2"/>
  <c r="P1753" i="2"/>
  <c r="P1754" i="2"/>
  <c r="P1755" i="2"/>
  <c r="P1756" i="2"/>
  <c r="P1757" i="2"/>
  <c r="P1758" i="2"/>
  <c r="P1759" i="2"/>
  <c r="P1760" i="2"/>
  <c r="P1761" i="2"/>
  <c r="P1762" i="2"/>
  <c r="P1763" i="2"/>
  <c r="P1764" i="2"/>
  <c r="P1765" i="2"/>
  <c r="P1766" i="2"/>
  <c r="P1767" i="2"/>
  <c r="P1768" i="2"/>
  <c r="P1769" i="2"/>
  <c r="P1770" i="2"/>
  <c r="P1771" i="2"/>
  <c r="P1772" i="2"/>
  <c r="P1774" i="2"/>
  <c r="P1773" i="2"/>
  <c r="P1775" i="2"/>
  <c r="P1776" i="2"/>
  <c r="P1777" i="2"/>
  <c r="P1778" i="2"/>
  <c r="P1779" i="2"/>
  <c r="P1780" i="2"/>
  <c r="P1781" i="2"/>
  <c r="P1782" i="2"/>
  <c r="P1783" i="2"/>
  <c r="P1784" i="2"/>
  <c r="P1785" i="2"/>
  <c r="P1786" i="2"/>
  <c r="P1787" i="2"/>
  <c r="P1788" i="2"/>
  <c r="P1789" i="2"/>
  <c r="P1790" i="2"/>
  <c r="P1791" i="2"/>
  <c r="P1792" i="2"/>
  <c r="P1793" i="2"/>
  <c r="P1794" i="2"/>
  <c r="P1795" i="2"/>
  <c r="P1796" i="2"/>
  <c r="P1797" i="2"/>
  <c r="P1798" i="2"/>
  <c r="P1799" i="2"/>
  <c r="P1800" i="2"/>
  <c r="P1801" i="2"/>
  <c r="P1802" i="2"/>
  <c r="P1803" i="2"/>
  <c r="P1804" i="2"/>
  <c r="P1805" i="2"/>
  <c r="P1806" i="2"/>
  <c r="P1807" i="2"/>
  <c r="P1808" i="2"/>
  <c r="P1809" i="2"/>
  <c r="P1810" i="2"/>
  <c r="P1811" i="2"/>
  <c r="P1812" i="2"/>
  <c r="P1813" i="2"/>
  <c r="P1814" i="2"/>
  <c r="P1815" i="2"/>
  <c r="P1816" i="2"/>
  <c r="P1817" i="2"/>
  <c r="P1819" i="2"/>
  <c r="P1818" i="2"/>
  <c r="P1820" i="2"/>
  <c r="P1821" i="2"/>
  <c r="P1822" i="2"/>
  <c r="P1823" i="2"/>
  <c r="P1824" i="2"/>
  <c r="P1825" i="2"/>
  <c r="P1826" i="2"/>
  <c r="P1827" i="2"/>
  <c r="P1828" i="2"/>
  <c r="P1829" i="2"/>
  <c r="P1830" i="2"/>
  <c r="P1831" i="2"/>
  <c r="P1832" i="2"/>
  <c r="P1833" i="2"/>
  <c r="P1834" i="2"/>
  <c r="P1835" i="2"/>
  <c r="P1836" i="2"/>
  <c r="P1837" i="2"/>
  <c r="P1838" i="2"/>
  <c r="P1839" i="2"/>
  <c r="P1840" i="2"/>
  <c r="P1841" i="2"/>
  <c r="P1842" i="2"/>
  <c r="P1843" i="2"/>
  <c r="P1844" i="2"/>
  <c r="P1845" i="2"/>
  <c r="P1846" i="2"/>
  <c r="P1847" i="2"/>
  <c r="P1848" i="2"/>
  <c r="P1849" i="2"/>
  <c r="P1850" i="2"/>
  <c r="P1854" i="2"/>
  <c r="P1851" i="2"/>
  <c r="P1855" i="2"/>
  <c r="P1852" i="2"/>
  <c r="P1853" i="2"/>
  <c r="P1857" i="2"/>
  <c r="P1856" i="2"/>
  <c r="P1858" i="2"/>
  <c r="P1859" i="2"/>
  <c r="P1860" i="2"/>
  <c r="P1861" i="2"/>
  <c r="P1862" i="2"/>
  <c r="P1863" i="2"/>
  <c r="P1864" i="2"/>
  <c r="P1865" i="2"/>
  <c r="P1866" i="2"/>
  <c r="P1867" i="2"/>
  <c r="P1868" i="2"/>
  <c r="P1869" i="2"/>
  <c r="P1870" i="2"/>
  <c r="P1871" i="2"/>
  <c r="P1872" i="2"/>
  <c r="P1873" i="2"/>
  <c r="P1874" i="2"/>
  <c r="P1875" i="2"/>
  <c r="P1876" i="2"/>
  <c r="P1877" i="2"/>
  <c r="P1878" i="2"/>
  <c r="P1879" i="2"/>
  <c r="P1880" i="2"/>
  <c r="P1881" i="2"/>
  <c r="P1882" i="2"/>
  <c r="P1883" i="2"/>
  <c r="P1884" i="2"/>
  <c r="P1885" i="2"/>
  <c r="P1886" i="2"/>
  <c r="P1887" i="2"/>
  <c r="P1888" i="2"/>
  <c r="P1889" i="2"/>
  <c r="P1890" i="2"/>
  <c r="P1891" i="2"/>
  <c r="P1892" i="2"/>
  <c r="P1893" i="2"/>
  <c r="P1894" i="2"/>
  <c r="P1895" i="2"/>
  <c r="P1896" i="2"/>
  <c r="P1897" i="2"/>
  <c r="P1898" i="2"/>
  <c r="P1899" i="2"/>
  <c r="P1900" i="2"/>
  <c r="P1901" i="2"/>
  <c r="P1902" i="2"/>
  <c r="P1903" i="2"/>
  <c r="P1904" i="2"/>
  <c r="P1905" i="2"/>
  <c r="P1906" i="2"/>
  <c r="P1907" i="2"/>
  <c r="P1909" i="2"/>
  <c r="P1908" i="2"/>
  <c r="P1910" i="2"/>
  <c r="P1911" i="2"/>
  <c r="P1912" i="2"/>
  <c r="P1913" i="2"/>
  <c r="P1914" i="2"/>
  <c r="P1915" i="2"/>
  <c r="P1916" i="2"/>
  <c r="P1917" i="2"/>
  <c r="P1919" i="2"/>
  <c r="P1918" i="2"/>
  <c r="P1920" i="2"/>
  <c r="P1921" i="2"/>
  <c r="P1922" i="2"/>
  <c r="P1923" i="2"/>
  <c r="P1924" i="2"/>
  <c r="P1925" i="2"/>
  <c r="P1926" i="2"/>
  <c r="P1927" i="2"/>
  <c r="P1928" i="2"/>
  <c r="P1929" i="2"/>
  <c r="P1930" i="2"/>
  <c r="P1931" i="2"/>
  <c r="P1932" i="2"/>
  <c r="P1933" i="2"/>
  <c r="P1934" i="2"/>
  <c r="P1935" i="2"/>
  <c r="P1936" i="2"/>
  <c r="P1937" i="2"/>
  <c r="P1938" i="2"/>
  <c r="P1939" i="2"/>
  <c r="P1940" i="2"/>
  <c r="P1941" i="2"/>
  <c r="P1942" i="2"/>
  <c r="P1943" i="2"/>
  <c r="P1944" i="2"/>
  <c r="P1945" i="2"/>
  <c r="P1946" i="2"/>
  <c r="P1947" i="2"/>
  <c r="P1948" i="2"/>
  <c r="P1949" i="2"/>
  <c r="P1950" i="2"/>
  <c r="P1951" i="2"/>
  <c r="P1952" i="2"/>
  <c r="P1954" i="2"/>
  <c r="P1953" i="2"/>
  <c r="P1955" i="2"/>
  <c r="P1956" i="2"/>
  <c r="P1957" i="2"/>
  <c r="P1958" i="2"/>
  <c r="P1959" i="2"/>
  <c r="P1960" i="2"/>
  <c r="P1962" i="2"/>
  <c r="P1961" i="2"/>
  <c r="P1963" i="2"/>
  <c r="P1964" i="2"/>
  <c r="P1965" i="2"/>
  <c r="P1966" i="2"/>
  <c r="P1967" i="2"/>
  <c r="P1968" i="2"/>
  <c r="P1969" i="2"/>
  <c r="P1970" i="2"/>
  <c r="P1971" i="2"/>
  <c r="P1972" i="2"/>
  <c r="P1973" i="2"/>
  <c r="P1974" i="2"/>
  <c r="P1975" i="2"/>
  <c r="P1976" i="2"/>
  <c r="P1977" i="2"/>
  <c r="P1978" i="2"/>
  <c r="P1979" i="2"/>
  <c r="P1980" i="2"/>
  <c r="P1981" i="2"/>
  <c r="P1982" i="2"/>
  <c r="P1983" i="2"/>
  <c r="P1984" i="2"/>
  <c r="P1985" i="2"/>
  <c r="P1986" i="2"/>
  <c r="P1987" i="2"/>
  <c r="P1988" i="2"/>
  <c r="P1989" i="2"/>
  <c r="P1990" i="2"/>
  <c r="P1991" i="2"/>
  <c r="P1992" i="2"/>
  <c r="P1993" i="2"/>
  <c r="P1994" i="2"/>
  <c r="P1995" i="2"/>
  <c r="P1996" i="2"/>
  <c r="P1997" i="2"/>
  <c r="P1998" i="2"/>
  <c r="P1999" i="2"/>
  <c r="P2000" i="2"/>
  <c r="P2001" i="2"/>
  <c r="P2002" i="2"/>
  <c r="P2003" i="2"/>
  <c r="P2004" i="2"/>
  <c r="P2005" i="2"/>
  <c r="P2006" i="2"/>
  <c r="P2007" i="2"/>
  <c r="P2008" i="2"/>
  <c r="P2009" i="2"/>
  <c r="P2010" i="2"/>
  <c r="P2011" i="2"/>
  <c r="P2012" i="2"/>
  <c r="P2013" i="2"/>
  <c r="P2014" i="2"/>
  <c r="P2015" i="2"/>
  <c r="P2016" i="2"/>
  <c r="P2017" i="2"/>
  <c r="P2018" i="2"/>
  <c r="P2019" i="2"/>
  <c r="P2020" i="2"/>
  <c r="P2021" i="2"/>
  <c r="P2022" i="2"/>
  <c r="P2023" i="2"/>
  <c r="P2024" i="2"/>
  <c r="P2025" i="2"/>
  <c r="P2026" i="2"/>
  <c r="P2027" i="2"/>
  <c r="P2028" i="2"/>
  <c r="P2029" i="2"/>
  <c r="P2030" i="2"/>
  <c r="P2031" i="2"/>
  <c r="P2032" i="2"/>
  <c r="P2033" i="2"/>
  <c r="P2034" i="2"/>
  <c r="P2035" i="2"/>
  <c r="P2036" i="2"/>
  <c r="P2037" i="2"/>
  <c r="P2038" i="2"/>
  <c r="P2039" i="2"/>
  <c r="P2040" i="2"/>
  <c r="P2041" i="2"/>
  <c r="P2042" i="2"/>
  <c r="P2043" i="2"/>
  <c r="P2044" i="2"/>
  <c r="P2045" i="2"/>
  <c r="P2046" i="2"/>
  <c r="P2047" i="2"/>
  <c r="P2048" i="2"/>
  <c r="P2049" i="2"/>
  <c r="P2050" i="2"/>
  <c r="P2051" i="2"/>
  <c r="P2052" i="2"/>
  <c r="P2053" i="2"/>
  <c r="P2054" i="2"/>
  <c r="P2055" i="2"/>
  <c r="P2056" i="2"/>
  <c r="P2057" i="2"/>
  <c r="P2058" i="2"/>
  <c r="P2059" i="2"/>
  <c r="P2060" i="2"/>
  <c r="P2061" i="2"/>
  <c r="P2062" i="2"/>
  <c r="P2063" i="2"/>
  <c r="P2064" i="2"/>
  <c r="P2065" i="2"/>
  <c r="P2066" i="2"/>
  <c r="P2067" i="2"/>
  <c r="P2069" i="2"/>
  <c r="P2068" i="2"/>
  <c r="P2070" i="2"/>
  <c r="P2071" i="2"/>
  <c r="P2072" i="2"/>
  <c r="P2073" i="2"/>
  <c r="P2074" i="2"/>
  <c r="P2075" i="2"/>
  <c r="P2076" i="2"/>
  <c r="P2077" i="2"/>
  <c r="P2078" i="2"/>
  <c r="P2079" i="2"/>
  <c r="P2080" i="2"/>
  <c r="P2081" i="2"/>
  <c r="P2082" i="2"/>
  <c r="P2083" i="2"/>
  <c r="P2084" i="2"/>
  <c r="P2085" i="2"/>
  <c r="P2086" i="2"/>
  <c r="P2087" i="2"/>
  <c r="P2088" i="2"/>
  <c r="P2089" i="2"/>
  <c r="P2090" i="2"/>
  <c r="P2091" i="2"/>
  <c r="P2092" i="2"/>
  <c r="P2093" i="2"/>
  <c r="P2094" i="2"/>
  <c r="P2095" i="2"/>
  <c r="P2096" i="2"/>
  <c r="P2097" i="2"/>
  <c r="P2098" i="2"/>
  <c r="P2099" i="2"/>
  <c r="P2100" i="2"/>
  <c r="P2101" i="2"/>
  <c r="P2102" i="2"/>
  <c r="P2104" i="2"/>
  <c r="P2103" i="2"/>
  <c r="P2105" i="2"/>
  <c r="P2106" i="2"/>
  <c r="P2107" i="2"/>
  <c r="P2108" i="2"/>
  <c r="P2109" i="2"/>
  <c r="P2110" i="2"/>
  <c r="P2111" i="2"/>
  <c r="P2112" i="2"/>
  <c r="P2113" i="2"/>
  <c r="P2114" i="2"/>
  <c r="P2115" i="2"/>
  <c r="P2116" i="2"/>
  <c r="P2117" i="2"/>
  <c r="P2118" i="2"/>
  <c r="P2119" i="2"/>
  <c r="P2120" i="2"/>
  <c r="P2121" i="2"/>
  <c r="P2122" i="2"/>
  <c r="P2123" i="2"/>
  <c r="P2124" i="2"/>
  <c r="P2125" i="2"/>
  <c r="P2126" i="2"/>
  <c r="P2127" i="2"/>
  <c r="P2128" i="2"/>
  <c r="P2129" i="2"/>
  <c r="P2130" i="2"/>
  <c r="P2131" i="2"/>
  <c r="P2132" i="2"/>
  <c r="P2133" i="2"/>
  <c r="P2134" i="2"/>
  <c r="P2135" i="2"/>
  <c r="P2136" i="2"/>
  <c r="P2137" i="2"/>
  <c r="P2138" i="2"/>
  <c r="P2139" i="2"/>
  <c r="P2140" i="2"/>
  <c r="P2144" i="2"/>
  <c r="P2143" i="2"/>
  <c r="P2141" i="2"/>
  <c r="P2142" i="2"/>
  <c r="P2145" i="2"/>
  <c r="P2146" i="2"/>
  <c r="P2147" i="2"/>
  <c r="P2148" i="2"/>
  <c r="P2149" i="2"/>
  <c r="P2150" i="2"/>
  <c r="P2151" i="2"/>
  <c r="P2152" i="2"/>
  <c r="P2153" i="2"/>
  <c r="P2154" i="2"/>
  <c r="P2155" i="2"/>
  <c r="P2156" i="2"/>
  <c r="P2157" i="2"/>
  <c r="P2158" i="2"/>
  <c r="P2159" i="2"/>
  <c r="P2160" i="2"/>
  <c r="P2161" i="2"/>
  <c r="P2162" i="2"/>
  <c r="P2163" i="2"/>
  <c r="P2164" i="2"/>
  <c r="P2165" i="2"/>
  <c r="P2166" i="2"/>
  <c r="P2167" i="2"/>
  <c r="P2168" i="2"/>
  <c r="P2169" i="2"/>
  <c r="P2170" i="2"/>
  <c r="P2171" i="2"/>
  <c r="P2172" i="2"/>
  <c r="P2173" i="2"/>
  <c r="P2174" i="2"/>
  <c r="P2175" i="2"/>
  <c r="P2176" i="2"/>
  <c r="P2177" i="2"/>
  <c r="P2178" i="2"/>
  <c r="P2179" i="2"/>
  <c r="P2180" i="2"/>
  <c r="P2181" i="2"/>
  <c r="P2182" i="2"/>
  <c r="P2183" i="2"/>
  <c r="P2184" i="2"/>
  <c r="P2185" i="2"/>
  <c r="P2186" i="2"/>
  <c r="P2187" i="2"/>
  <c r="P2188" i="2"/>
  <c r="P2189" i="2"/>
  <c r="P2190" i="2"/>
  <c r="P2191" i="2"/>
  <c r="P2192" i="2"/>
  <c r="P2193" i="2"/>
  <c r="P2194" i="2"/>
  <c r="P2195" i="2"/>
  <c r="P2196" i="2"/>
  <c r="P2197" i="2"/>
  <c r="P2198" i="2"/>
  <c r="P2199" i="2"/>
  <c r="P2200" i="2"/>
  <c r="P2201" i="2"/>
  <c r="P2202" i="2"/>
  <c r="P2203" i="2"/>
  <c r="P2204" i="2"/>
  <c r="P2205" i="2"/>
  <c r="P2206" i="2"/>
  <c r="P2207" i="2"/>
  <c r="P2208" i="2"/>
  <c r="P2209" i="2"/>
  <c r="P2210" i="2"/>
  <c r="P2211" i="2"/>
  <c r="P2212" i="2"/>
  <c r="P2213" i="2"/>
  <c r="P2214" i="2"/>
  <c r="P2215" i="2"/>
  <c r="P2216" i="2"/>
  <c r="P2217" i="2"/>
  <c r="P2218" i="2"/>
  <c r="P2219" i="2"/>
  <c r="P2220" i="2"/>
  <c r="P2221" i="2"/>
  <c r="P2222" i="2"/>
  <c r="P2223" i="2"/>
  <c r="P2224" i="2"/>
  <c r="P2225" i="2"/>
  <c r="P2226" i="2"/>
  <c r="P2227" i="2"/>
  <c r="P2228" i="2"/>
  <c r="P2229" i="2"/>
  <c r="P2230" i="2"/>
  <c r="P2231" i="2"/>
  <c r="P2232" i="2"/>
  <c r="P2233" i="2"/>
  <c r="P2234" i="2"/>
  <c r="P2235" i="2"/>
  <c r="P2236" i="2"/>
  <c r="P2237" i="2"/>
  <c r="P2238" i="2"/>
  <c r="P2239" i="2"/>
  <c r="P2240" i="2"/>
  <c r="P2241" i="2"/>
  <c r="P2242" i="2"/>
  <c r="P2243" i="2"/>
  <c r="P2244" i="2"/>
  <c r="P2245" i="2"/>
  <c r="P2246" i="2"/>
  <c r="P2247" i="2"/>
  <c r="P2248" i="2"/>
  <c r="P2249" i="2"/>
  <c r="P2250" i="2"/>
  <c r="P2251" i="2"/>
  <c r="P2252" i="2"/>
  <c r="P2253" i="2"/>
  <c r="P2254" i="2"/>
  <c r="P2255" i="2"/>
  <c r="P2256" i="2"/>
  <c r="P2257" i="2"/>
  <c r="P2258" i="2"/>
  <c r="P2259" i="2"/>
  <c r="P2260" i="2"/>
  <c r="P2261" i="2"/>
  <c r="P2262" i="2"/>
  <c r="P2263" i="2"/>
  <c r="P2264" i="2"/>
  <c r="P2265" i="2"/>
  <c r="P2266" i="2"/>
  <c r="P2267" i="2"/>
  <c r="P2268" i="2"/>
  <c r="P2269" i="2"/>
  <c r="P2270" i="2"/>
  <c r="P2271" i="2"/>
  <c r="P2272" i="2"/>
  <c r="P2273" i="2"/>
  <c r="P2274" i="2"/>
  <c r="P2275" i="2"/>
  <c r="P2276" i="2"/>
  <c r="P2277" i="2"/>
  <c r="P2278" i="2"/>
  <c r="P2279" i="2"/>
  <c r="P2280" i="2"/>
  <c r="P2281" i="2"/>
  <c r="P2282" i="2"/>
  <c r="P2283" i="2"/>
  <c r="P2284" i="2"/>
  <c r="P2285" i="2"/>
  <c r="P2286" i="2"/>
  <c r="P2287" i="2"/>
  <c r="P2288" i="2"/>
  <c r="P2289" i="2"/>
  <c r="P2290" i="2"/>
  <c r="P2291" i="2"/>
  <c r="P2292" i="2"/>
  <c r="P2293" i="2"/>
  <c r="P2294" i="2"/>
  <c r="P2295" i="2"/>
  <c r="P2296" i="2"/>
  <c r="P2297" i="2"/>
  <c r="P2298" i="2"/>
  <c r="P2299" i="2"/>
  <c r="P2300" i="2"/>
  <c r="P2301" i="2"/>
  <c r="P2302" i="2"/>
  <c r="P2303" i="2"/>
  <c r="P2304" i="2"/>
  <c r="P2305" i="2"/>
  <c r="P2306" i="2"/>
  <c r="P2307" i="2"/>
  <c r="P2308" i="2"/>
  <c r="P2309" i="2"/>
  <c r="P2310" i="2"/>
  <c r="P2311" i="2"/>
  <c r="P2312" i="2"/>
  <c r="P2313" i="2"/>
  <c r="P2316" i="2"/>
  <c r="P2314" i="2"/>
  <c r="P2315" i="2"/>
  <c r="P2317" i="2"/>
  <c r="P2318" i="2"/>
  <c r="P2319" i="2"/>
  <c r="P2320" i="2"/>
  <c r="P2321" i="2"/>
  <c r="P2322" i="2"/>
  <c r="P2323" i="2"/>
  <c r="P2324" i="2"/>
  <c r="P2325" i="2"/>
  <c r="P2326" i="2"/>
  <c r="P2327" i="2"/>
  <c r="P2328" i="2"/>
  <c r="P2329" i="2"/>
  <c r="P2330" i="2"/>
  <c r="P2331" i="2"/>
  <c r="P2332" i="2"/>
  <c r="P2333" i="2"/>
  <c r="P2334" i="2"/>
  <c r="P2335" i="2"/>
  <c r="P2336" i="2"/>
  <c r="P2337" i="2"/>
  <c r="P2338" i="2"/>
  <c r="P2339" i="2"/>
  <c r="P2340" i="2"/>
  <c r="P2341" i="2"/>
  <c r="P2342" i="2"/>
  <c r="P2343" i="2"/>
  <c r="P2344" i="2"/>
  <c r="P2345" i="2"/>
  <c r="P2346" i="2"/>
  <c r="P2347" i="2"/>
  <c r="P2348" i="2"/>
  <c r="P2349" i="2"/>
  <c r="P2350" i="2"/>
  <c r="P2351" i="2"/>
  <c r="P2352" i="2"/>
  <c r="P2353" i="2"/>
  <c r="P2354" i="2"/>
  <c r="P2355" i="2"/>
  <c r="P2356" i="2"/>
  <c r="P2357" i="2"/>
  <c r="P2358" i="2"/>
  <c r="P2359" i="2"/>
  <c r="P2360" i="2"/>
  <c r="P2361" i="2"/>
  <c r="P2362" i="2"/>
  <c r="P2363" i="2"/>
  <c r="P2364" i="2"/>
  <c r="P2365" i="2"/>
  <c r="P2366" i="2"/>
  <c r="P2367" i="2"/>
  <c r="P2368" i="2"/>
  <c r="P2369" i="2"/>
  <c r="P2370" i="2"/>
  <c r="P2371" i="2"/>
  <c r="P2372" i="2"/>
  <c r="P2373" i="2"/>
  <c r="P2374" i="2"/>
  <c r="P2375" i="2"/>
  <c r="P2376" i="2"/>
  <c r="P2377" i="2"/>
  <c r="P2378" i="2"/>
  <c r="P2379" i="2"/>
  <c r="P2380" i="2"/>
  <c r="P2381" i="2"/>
  <c r="P2382" i="2"/>
  <c r="P2383" i="2"/>
  <c r="P2384" i="2"/>
  <c r="P2385" i="2"/>
  <c r="P2386" i="2"/>
  <c r="P2387" i="2"/>
  <c r="P2388" i="2"/>
  <c r="P2389" i="2"/>
  <c r="P2390" i="2"/>
  <c r="P2391" i="2"/>
  <c r="P2392" i="2"/>
  <c r="P2393" i="2"/>
  <c r="P2394" i="2"/>
  <c r="P2395" i="2"/>
  <c r="P2396" i="2"/>
  <c r="P2397" i="2"/>
  <c r="P2398" i="2"/>
  <c r="P2399" i="2"/>
  <c r="P2400" i="2"/>
  <c r="P2401" i="2"/>
  <c r="P2402" i="2"/>
  <c r="P2403" i="2"/>
  <c r="P2404" i="2"/>
  <c r="P2405" i="2"/>
  <c r="P2406" i="2"/>
  <c r="P2407" i="2"/>
  <c r="P2408" i="2"/>
  <c r="P2409" i="2"/>
  <c r="P2410" i="2"/>
  <c r="P2412" i="2"/>
  <c r="P2411" i="2"/>
  <c r="P2413" i="2"/>
  <c r="P2414" i="2"/>
  <c r="P2415" i="2"/>
  <c r="P2416" i="2"/>
  <c r="P2417" i="2"/>
  <c r="P2418" i="2"/>
  <c r="P2419" i="2"/>
  <c r="P2420" i="2"/>
  <c r="P2421" i="2"/>
  <c r="P2422" i="2"/>
  <c r="P2423" i="2"/>
  <c r="P2424" i="2"/>
  <c r="P2425" i="2"/>
  <c r="P2426" i="2"/>
  <c r="P2427" i="2"/>
  <c r="P2428" i="2"/>
  <c r="P2429" i="2"/>
  <c r="P2430" i="2"/>
  <c r="P2431" i="2"/>
  <c r="P2432" i="2"/>
  <c r="P2433" i="2"/>
  <c r="P2434" i="2"/>
  <c r="P2435" i="2"/>
  <c r="P2436" i="2"/>
  <c r="P2437" i="2"/>
  <c r="P2438" i="2"/>
  <c r="P2439" i="2"/>
  <c r="P2440" i="2"/>
  <c r="P2441" i="2"/>
  <c r="P2442" i="2"/>
  <c r="P2443" i="2"/>
  <c r="P2444" i="2"/>
  <c r="P2445" i="2"/>
  <c r="P2446" i="2"/>
  <c r="P2447" i="2"/>
  <c r="P2448" i="2"/>
  <c r="P2449" i="2"/>
  <c r="P2450" i="2"/>
  <c r="P2451" i="2"/>
  <c r="P2452" i="2"/>
  <c r="P2453" i="2"/>
  <c r="P2454" i="2"/>
  <c r="P2455" i="2"/>
  <c r="P2456" i="2"/>
  <c r="P2457" i="2"/>
  <c r="P2458" i="2"/>
  <c r="P2459" i="2"/>
  <c r="P2460" i="2"/>
  <c r="P2461" i="2"/>
  <c r="P2462" i="2"/>
  <c r="P2463" i="2"/>
  <c r="P2464" i="2"/>
  <c r="P2465" i="2"/>
  <c r="P2466" i="2"/>
  <c r="P2467" i="2"/>
  <c r="P2468" i="2"/>
  <c r="P2469" i="2"/>
  <c r="P2470" i="2"/>
  <c r="P2471" i="2"/>
  <c r="P2473" i="2"/>
  <c r="P2474" i="2"/>
  <c r="P2472" i="2"/>
  <c r="P2475" i="2"/>
  <c r="P2476" i="2"/>
  <c r="P2477" i="2"/>
  <c r="P2478" i="2"/>
  <c r="P2479" i="2"/>
  <c r="P2480" i="2"/>
  <c r="P2481" i="2"/>
  <c r="P2482" i="2"/>
  <c r="P2483" i="2"/>
  <c r="P2484" i="2"/>
  <c r="P2485" i="2"/>
  <c r="P2486" i="2"/>
  <c r="P2487" i="2"/>
  <c r="P2488" i="2"/>
  <c r="P2489" i="2"/>
  <c r="P2490" i="2"/>
  <c r="P2491" i="2"/>
  <c r="P2492" i="2"/>
  <c r="P2493" i="2"/>
  <c r="P2494" i="2"/>
  <c r="P2495" i="2"/>
  <c r="P2496" i="2"/>
  <c r="P2497" i="2"/>
  <c r="P2498" i="2"/>
  <c r="P2499" i="2"/>
  <c r="P2500" i="2"/>
  <c r="P2501" i="2"/>
  <c r="P2502" i="2"/>
  <c r="P2503" i="2"/>
  <c r="P2504" i="2"/>
  <c r="P2505" i="2"/>
  <c r="P2506" i="2"/>
  <c r="P2507" i="2"/>
  <c r="P2508" i="2"/>
  <c r="P2509" i="2"/>
  <c r="P2510" i="2"/>
  <c r="P2511" i="2"/>
  <c r="P2512" i="2"/>
  <c r="P2513" i="2"/>
  <c r="P2514" i="2"/>
  <c r="P2515" i="2"/>
  <c r="P2516" i="2"/>
  <c r="P2517" i="2"/>
  <c r="P2518" i="2"/>
  <c r="P2519" i="2"/>
  <c r="P2520" i="2"/>
  <c r="P2521" i="2"/>
  <c r="P2523" i="2"/>
  <c r="P2522" i="2"/>
  <c r="P2524" i="2"/>
  <c r="P2525" i="2"/>
  <c r="P2526" i="2"/>
  <c r="P2527" i="2"/>
  <c r="P2528" i="2"/>
  <c r="P2529" i="2"/>
  <c r="P2530" i="2"/>
  <c r="P2531" i="2"/>
  <c r="P2532" i="2"/>
  <c r="P2533" i="2"/>
  <c r="P2534" i="2"/>
  <c r="P2535" i="2"/>
  <c r="P2536" i="2"/>
  <c r="P2537" i="2"/>
  <c r="P2538" i="2"/>
  <c r="P2539" i="2"/>
  <c r="P2540" i="2"/>
  <c r="P2541" i="2"/>
  <c r="P2542" i="2"/>
  <c r="P2543" i="2"/>
  <c r="P2544" i="2"/>
  <c r="P2545" i="2"/>
  <c r="P2546" i="2"/>
  <c r="P2547" i="2"/>
  <c r="P2548" i="2"/>
  <c r="P2549" i="2"/>
  <c r="P2550" i="2"/>
  <c r="P2551" i="2"/>
  <c r="P2552" i="2"/>
  <c r="P2553" i="2"/>
  <c r="P2554" i="2"/>
  <c r="P2555" i="2"/>
  <c r="P2556" i="2"/>
  <c r="P2557" i="2"/>
  <c r="P2558" i="2"/>
  <c r="P2559" i="2"/>
  <c r="P2560" i="2"/>
  <c r="P2561" i="2"/>
  <c r="P2562" i="2"/>
  <c r="P2563" i="2"/>
  <c r="P2564" i="2"/>
  <c r="P2565" i="2"/>
  <c r="P2566" i="2"/>
  <c r="P2567" i="2"/>
  <c r="P2568" i="2"/>
  <c r="P2569" i="2"/>
  <c r="P2570" i="2"/>
  <c r="P2571" i="2"/>
  <c r="P2572" i="2"/>
  <c r="P2573" i="2"/>
  <c r="P2574" i="2"/>
  <c r="P2575" i="2"/>
  <c r="P2576" i="2"/>
  <c r="P2577" i="2"/>
  <c r="P2578" i="2"/>
  <c r="P2579" i="2"/>
  <c r="P2580" i="2"/>
  <c r="P2581" i="2"/>
  <c r="P2582" i="2"/>
  <c r="P2583" i="2"/>
  <c r="P2584" i="2"/>
  <c r="P2585" i="2"/>
  <c r="P2586" i="2"/>
  <c r="P2587" i="2"/>
  <c r="P2588" i="2"/>
  <c r="P2589" i="2"/>
  <c r="P2590" i="2"/>
  <c r="P2591" i="2"/>
  <c r="P2592" i="2"/>
  <c r="P2593" i="2"/>
  <c r="P2594" i="2"/>
  <c r="P2595" i="2"/>
  <c r="P2596" i="2"/>
  <c r="P2597" i="2"/>
  <c r="P2598" i="2"/>
  <c r="P2599" i="2"/>
  <c r="P2600" i="2"/>
  <c r="P2601" i="2"/>
  <c r="P2602" i="2"/>
  <c r="P2603" i="2"/>
  <c r="P2604" i="2"/>
  <c r="P2605" i="2"/>
  <c r="P2606" i="2"/>
  <c r="P2607" i="2"/>
  <c r="P2608" i="2"/>
  <c r="P2609" i="2"/>
  <c r="P2610" i="2"/>
  <c r="P2611" i="2"/>
  <c r="P2613" i="2"/>
  <c r="P2612" i="2"/>
  <c r="P2614" i="2"/>
  <c r="P2615" i="2"/>
  <c r="P2616" i="2"/>
  <c r="P2617" i="2"/>
  <c r="P2618" i="2"/>
  <c r="P2619" i="2"/>
  <c r="P2620" i="2"/>
  <c r="P2621" i="2"/>
  <c r="P2622" i="2"/>
  <c r="P2623" i="2"/>
  <c r="P2624" i="2"/>
  <c r="P2625" i="2"/>
  <c r="P2626" i="2"/>
  <c r="P2627" i="2"/>
  <c r="P2628" i="2"/>
  <c r="P2629" i="2"/>
  <c r="P2630" i="2"/>
  <c r="P2631" i="2"/>
  <c r="P2632" i="2"/>
  <c r="P2633" i="2"/>
  <c r="P2634" i="2"/>
  <c r="P2635" i="2"/>
  <c r="P2637" i="2"/>
  <c r="P2636" i="2"/>
  <c r="P2638" i="2"/>
  <c r="P2639" i="2"/>
  <c r="P2640" i="2"/>
  <c r="P2641" i="2"/>
  <c r="P2642" i="2"/>
  <c r="P2643" i="2"/>
  <c r="P2644" i="2"/>
  <c r="P2645" i="2"/>
  <c r="P2646" i="2"/>
  <c r="P2647" i="2"/>
  <c r="P2648" i="2"/>
  <c r="P2649" i="2"/>
  <c r="P2650" i="2"/>
  <c r="P2651" i="2"/>
  <c r="P2652" i="2"/>
  <c r="P2653" i="2"/>
  <c r="P2654" i="2"/>
  <c r="P2655" i="2"/>
  <c r="P2656" i="2"/>
  <c r="P2657" i="2"/>
  <c r="P2658" i="2"/>
  <c r="P2659" i="2"/>
  <c r="P2660" i="2"/>
  <c r="P2661" i="2"/>
  <c r="P2662" i="2"/>
  <c r="P2663" i="2"/>
  <c r="P2664" i="2"/>
  <c r="P2665" i="2"/>
  <c r="P2666" i="2"/>
  <c r="P2667" i="2"/>
  <c r="P2668" i="2"/>
  <c r="P2669" i="2"/>
  <c r="P2670" i="2"/>
  <c r="P2671" i="2"/>
  <c r="P2672" i="2"/>
  <c r="P2673" i="2"/>
  <c r="P2674" i="2"/>
  <c r="P2675" i="2"/>
  <c r="P2676" i="2"/>
  <c r="P2677" i="2"/>
  <c r="P2678" i="2"/>
  <c r="P2679" i="2"/>
  <c r="P2680" i="2"/>
  <c r="P2681" i="2"/>
  <c r="P2682" i="2"/>
  <c r="P2683" i="2"/>
  <c r="P2684" i="2"/>
  <c r="P2685" i="2"/>
  <c r="P2686" i="2"/>
  <c r="P2687" i="2"/>
  <c r="P2688" i="2"/>
  <c r="P2689" i="2"/>
  <c r="P2690" i="2"/>
  <c r="P2691" i="2"/>
  <c r="P2692" i="2"/>
  <c r="P2693" i="2"/>
  <c r="P2694" i="2"/>
  <c r="P2695" i="2"/>
  <c r="P2696" i="2"/>
  <c r="P2697" i="2"/>
  <c r="P2698" i="2"/>
  <c r="P2699" i="2"/>
  <c r="P2700" i="2"/>
  <c r="P2701" i="2"/>
  <c r="P2702" i="2"/>
  <c r="P2703" i="2"/>
  <c r="P2704" i="2"/>
  <c r="P2705" i="2"/>
  <c r="P2706" i="2"/>
  <c r="P2707" i="2"/>
  <c r="P2708" i="2"/>
  <c r="P2709" i="2"/>
  <c r="P2710" i="2"/>
  <c r="P2711" i="2"/>
  <c r="P2712" i="2"/>
  <c r="P2713" i="2"/>
  <c r="P2714" i="2"/>
  <c r="P2715" i="2"/>
  <c r="P2716" i="2"/>
  <c r="P2717" i="2"/>
  <c r="P2718" i="2"/>
  <c r="P2719" i="2"/>
  <c r="P2720" i="2"/>
  <c r="P2721" i="2"/>
  <c r="P2722" i="2"/>
  <c r="P2723" i="2"/>
  <c r="P2724" i="2"/>
  <c r="P2725" i="2"/>
  <c r="P2726" i="2"/>
  <c r="P2727" i="2"/>
  <c r="P2728" i="2"/>
  <c r="P2729" i="2"/>
  <c r="P2730" i="2"/>
  <c r="P2731" i="2"/>
  <c r="P2732" i="2"/>
  <c r="P2733" i="2"/>
  <c r="P2734" i="2"/>
  <c r="P2735" i="2"/>
  <c r="P2736" i="2"/>
  <c r="P2737" i="2"/>
  <c r="P2738" i="2"/>
  <c r="P2739" i="2"/>
  <c r="P2740" i="2"/>
  <c r="P2741" i="2"/>
  <c r="P2742" i="2"/>
  <c r="P2743" i="2"/>
  <c r="P2744" i="2"/>
  <c r="P2745" i="2"/>
  <c r="P2746" i="2"/>
  <c r="P2747" i="2"/>
  <c r="P2748" i="2"/>
  <c r="P2749" i="2"/>
  <c r="P2750" i="2"/>
  <c r="P2752" i="2"/>
  <c r="P2751" i="2"/>
  <c r="P2753" i="2"/>
  <c r="P2754" i="2"/>
  <c r="P2755" i="2"/>
  <c r="P2756" i="2"/>
  <c r="P2757" i="2"/>
  <c r="P2758" i="2"/>
  <c r="P2759" i="2"/>
  <c r="P2760" i="2"/>
  <c r="P2761" i="2"/>
  <c r="P2762" i="2"/>
  <c r="P2763" i="2"/>
  <c r="P2764" i="2"/>
  <c r="P2765" i="2"/>
  <c r="P2766" i="2"/>
  <c r="P2767" i="2"/>
  <c r="P2768" i="2"/>
  <c r="P2769" i="2"/>
  <c r="P2770" i="2"/>
  <c r="P2771" i="2"/>
  <c r="P2772" i="2"/>
  <c r="P2773" i="2"/>
  <c r="P2774" i="2"/>
  <c r="P2775" i="2"/>
  <c r="P2777" i="2"/>
  <c r="P2776" i="2"/>
  <c r="P2778" i="2"/>
  <c r="P2779" i="2"/>
  <c r="P2780" i="2"/>
  <c r="P2781" i="2"/>
  <c r="P2782" i="2"/>
  <c r="P2783" i="2"/>
  <c r="P2784" i="2"/>
  <c r="P2785" i="2"/>
  <c r="P2786" i="2"/>
  <c r="P2787" i="2"/>
  <c r="P2788" i="2"/>
  <c r="P2789" i="2"/>
  <c r="P2790" i="2"/>
  <c r="P2791" i="2"/>
  <c r="P2792" i="2"/>
  <c r="P2793" i="2"/>
  <c r="P2794" i="2"/>
  <c r="P2795" i="2"/>
  <c r="P2796" i="2"/>
  <c r="P2797" i="2"/>
  <c r="P2798" i="2"/>
  <c r="P2799" i="2"/>
  <c r="P2800" i="2"/>
  <c r="P2801" i="2"/>
  <c r="P2802" i="2"/>
  <c r="P2803" i="2"/>
  <c r="P2804" i="2"/>
  <c r="P2805" i="2"/>
  <c r="P2806" i="2"/>
  <c r="P2807" i="2"/>
  <c r="P2808" i="2"/>
  <c r="P2809" i="2"/>
  <c r="P2810" i="2"/>
  <c r="P2811" i="2"/>
  <c r="P2812" i="2"/>
  <c r="P2813" i="2"/>
  <c r="P2814" i="2"/>
  <c r="P2815" i="2"/>
  <c r="P2816" i="2"/>
  <c r="P2817" i="2"/>
  <c r="P2818" i="2"/>
  <c r="P2819" i="2"/>
  <c r="P2820" i="2"/>
  <c r="P2821" i="2"/>
  <c r="P2822" i="2"/>
  <c r="P2823" i="2"/>
  <c r="P2824" i="2"/>
  <c r="P2825" i="2"/>
  <c r="P2826" i="2"/>
  <c r="P2827" i="2"/>
  <c r="P2828" i="2"/>
  <c r="P2829" i="2"/>
  <c r="P2830" i="2"/>
  <c r="P2831" i="2"/>
  <c r="P2832" i="2"/>
  <c r="P2833" i="2"/>
  <c r="P2834" i="2"/>
  <c r="P2835" i="2"/>
  <c r="P2836" i="2"/>
  <c r="P2837" i="2"/>
  <c r="P2838" i="2"/>
  <c r="P2839" i="2"/>
  <c r="P2840" i="2"/>
  <c r="P2841" i="2"/>
  <c r="P2842" i="2"/>
  <c r="P2843" i="2"/>
  <c r="P2844" i="2"/>
  <c r="M3" i="2"/>
  <c r="M4" i="2"/>
  <c r="M5" i="2"/>
  <c r="M6" i="2"/>
  <c r="M7" i="2"/>
  <c r="M8" i="2"/>
  <c r="M9" i="2"/>
  <c r="M10" i="2"/>
  <c r="M11" i="2"/>
  <c r="M12" i="2"/>
  <c r="M13" i="2"/>
  <c r="M15" i="2"/>
  <c r="M14"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4" i="2"/>
  <c r="M163" i="2"/>
  <c r="M166" i="2"/>
  <c r="M165" i="2"/>
  <c r="M167" i="2"/>
  <c r="M168" i="2"/>
  <c r="M170" i="2"/>
  <c r="M169"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2" i="2"/>
  <c r="M261"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6" i="2"/>
  <c r="M325"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6" i="2"/>
  <c r="M375" i="2"/>
  <c r="M379" i="2"/>
  <c r="M377" i="2"/>
  <c r="M378" i="2"/>
  <c r="M381" i="2"/>
  <c r="M380"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1" i="2"/>
  <c r="M410"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8" i="2"/>
  <c r="M437" i="2"/>
  <c r="M439" i="2"/>
  <c r="M440" i="2"/>
  <c r="M441" i="2"/>
  <c r="M442" i="2"/>
  <c r="M443" i="2"/>
  <c r="M444" i="2"/>
  <c r="M445" i="2"/>
  <c r="M447" i="2"/>
  <c r="M446"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8" i="2"/>
  <c r="M639" i="2"/>
  <c r="M636" i="2"/>
  <c r="M637"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2" i="2"/>
  <c r="M731" i="2"/>
  <c r="M733" i="2"/>
  <c r="M734" i="2"/>
  <c r="M735" i="2"/>
  <c r="M736" i="2"/>
  <c r="M737" i="2"/>
  <c r="M738" i="2"/>
  <c r="M739" i="2"/>
  <c r="M741" i="2"/>
  <c r="M740" i="2"/>
  <c r="M742" i="2"/>
  <c r="M743" i="2"/>
  <c r="M744" i="2"/>
  <c r="M745" i="2"/>
  <c r="M746" i="2"/>
  <c r="M747" i="2"/>
  <c r="M748" i="2"/>
  <c r="M750" i="2"/>
  <c r="M749"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6" i="2"/>
  <c r="M915" i="2"/>
  <c r="M919" i="2"/>
  <c r="M920" i="2"/>
  <c r="M917" i="2"/>
  <c r="M918" i="2"/>
  <c r="M921" i="2"/>
  <c r="M922" i="2"/>
  <c r="M923" i="2"/>
  <c r="M924" i="2"/>
  <c r="M925" i="2"/>
  <c r="M926" i="2"/>
  <c r="M927" i="2"/>
  <c r="M928" i="2"/>
  <c r="M929" i="2"/>
  <c r="M930" i="2"/>
  <c r="M931" i="2"/>
  <c r="M932" i="2"/>
  <c r="M933" i="2"/>
  <c r="M934" i="2"/>
  <c r="M935" i="2"/>
  <c r="M936" i="2"/>
  <c r="M937" i="2"/>
  <c r="M938" i="2"/>
  <c r="M939" i="2"/>
  <c r="M941" i="2"/>
  <c r="M942" i="2"/>
  <c r="M940"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70" i="2"/>
  <c r="M969" i="2"/>
  <c r="M971" i="2"/>
  <c r="M972" i="2"/>
  <c r="M973" i="2"/>
  <c r="M974" i="2"/>
  <c r="M975" i="2"/>
  <c r="M976" i="2"/>
  <c r="M977" i="2"/>
  <c r="M978" i="2"/>
  <c r="M979" i="2"/>
  <c r="M980" i="2"/>
  <c r="M981" i="2"/>
  <c r="M982" i="2"/>
  <c r="M983" i="2"/>
  <c r="M984" i="2"/>
  <c r="M985" i="2"/>
  <c r="M986" i="2"/>
  <c r="M987" i="2"/>
  <c r="M988" i="2"/>
  <c r="M989" i="2"/>
  <c r="M990" i="2"/>
  <c r="M991" i="2"/>
  <c r="M992" i="2"/>
  <c r="M993" i="2"/>
  <c r="M995" i="2"/>
  <c r="M994"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7" i="2"/>
  <c r="M1076"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4" i="2"/>
  <c r="M1103"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9" i="2"/>
  <c r="M1148"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30" i="2"/>
  <c r="M1229" i="2"/>
  <c r="M1231" i="2"/>
  <c r="M1232" i="2"/>
  <c r="M1233" i="2"/>
  <c r="M1234" i="2"/>
  <c r="M1235" i="2"/>
  <c r="M1236" i="2"/>
  <c r="M1237" i="2"/>
  <c r="M1238" i="2"/>
  <c r="M1239" i="2"/>
  <c r="M1240" i="2"/>
  <c r="M1241" i="2"/>
  <c r="M1242" i="2"/>
  <c r="M1243" i="2"/>
  <c r="M1244" i="2"/>
  <c r="M1245" i="2"/>
  <c r="M1247" i="2"/>
  <c r="M1246" i="2"/>
  <c r="M1250" i="2"/>
  <c r="M1249" i="2"/>
  <c r="M1248" i="2"/>
  <c r="M1252" i="2"/>
  <c r="M1251" i="2"/>
  <c r="M1253" i="2"/>
  <c r="M1254" i="2"/>
  <c r="M1255" i="2"/>
  <c r="M1256" i="2"/>
  <c r="M1257" i="2"/>
  <c r="M1258" i="2"/>
  <c r="M1259" i="2"/>
  <c r="M1260" i="2"/>
  <c r="M1261" i="2"/>
  <c r="M1262" i="2"/>
  <c r="M1263" i="2"/>
  <c r="M1264" i="2"/>
  <c r="M1266" i="2"/>
  <c r="M1265" i="2"/>
  <c r="M1267" i="2"/>
  <c r="M1268" i="2"/>
  <c r="M1269" i="2"/>
  <c r="M1270" i="2"/>
  <c r="M1271" i="2"/>
  <c r="M1272" i="2"/>
  <c r="M1273" i="2"/>
  <c r="M1274" i="2"/>
  <c r="M1275" i="2"/>
  <c r="M1276" i="2"/>
  <c r="M1277" i="2"/>
  <c r="M1278" i="2"/>
  <c r="M1279" i="2"/>
  <c r="M1280" i="2"/>
  <c r="M1281" i="2"/>
  <c r="M1283" i="2"/>
  <c r="M1282" i="2"/>
  <c r="M1284" i="2"/>
  <c r="M1285" i="2"/>
  <c r="M1286" i="2"/>
  <c r="M1287" i="2"/>
  <c r="M1288" i="2"/>
  <c r="M1289" i="2"/>
  <c r="M1290" i="2"/>
  <c r="M1291" i="2"/>
  <c r="M1292" i="2"/>
  <c r="M1293" i="2"/>
  <c r="M1294" i="2"/>
  <c r="M1295" i="2"/>
  <c r="M1296" i="2"/>
  <c r="M1297" i="2"/>
  <c r="M1298" i="2"/>
  <c r="M1299" i="2"/>
  <c r="M1300" i="2"/>
  <c r="M1301" i="2"/>
  <c r="M1302" i="2"/>
  <c r="M1303" i="2"/>
  <c r="M1304" i="2"/>
  <c r="M1305" i="2"/>
  <c r="M1306" i="2"/>
  <c r="M1307" i="2"/>
  <c r="M1308" i="2"/>
  <c r="M1309" i="2"/>
  <c r="M1310" i="2"/>
  <c r="M1311" i="2"/>
  <c r="M1312" i="2"/>
  <c r="M1313" i="2"/>
  <c r="M1314" i="2"/>
  <c r="M1315" i="2"/>
  <c r="M1317" i="2"/>
  <c r="M1316" i="2"/>
  <c r="M1318" i="2"/>
  <c r="M1319" i="2"/>
  <c r="M1320" i="2"/>
  <c r="M1321" i="2"/>
  <c r="M1322" i="2"/>
  <c r="M1323" i="2"/>
  <c r="M1324" i="2"/>
  <c r="M1325" i="2"/>
  <c r="M1326" i="2"/>
  <c r="M1327" i="2"/>
  <c r="M1328" i="2"/>
  <c r="M1329" i="2"/>
  <c r="M1330" i="2"/>
  <c r="M1331" i="2"/>
  <c r="M1332" i="2"/>
  <c r="M1333" i="2"/>
  <c r="M1334" i="2"/>
  <c r="M1335" i="2"/>
  <c r="M1336" i="2"/>
  <c r="M1337" i="2"/>
  <c r="M1338" i="2"/>
  <c r="M1339" i="2"/>
  <c r="M1340" i="2"/>
  <c r="M1341" i="2"/>
  <c r="M1342" i="2"/>
  <c r="M1343" i="2"/>
  <c r="M1345" i="2"/>
  <c r="M1344" i="2"/>
  <c r="M1346" i="2"/>
  <c r="M1347" i="2"/>
  <c r="M1348" i="2"/>
  <c r="M1349" i="2"/>
  <c r="M1350" i="2"/>
  <c r="M1351" i="2"/>
  <c r="M1352" i="2"/>
  <c r="M1353" i="2"/>
  <c r="M1354" i="2"/>
  <c r="M1355" i="2"/>
  <c r="M1356" i="2"/>
  <c r="M1357" i="2"/>
  <c r="M1358" i="2"/>
  <c r="M1359" i="2"/>
  <c r="M1360" i="2"/>
  <c r="M1361" i="2"/>
  <c r="M1362" i="2"/>
  <c r="M1363" i="2"/>
  <c r="M1364" i="2"/>
  <c r="M1365" i="2"/>
  <c r="M1366" i="2"/>
  <c r="M1367" i="2"/>
  <c r="M1368" i="2"/>
  <c r="M1369" i="2"/>
  <c r="M1370" i="2"/>
  <c r="M1371" i="2"/>
  <c r="M1372" i="2"/>
  <c r="M1373" i="2"/>
  <c r="M1374" i="2"/>
  <c r="M1375" i="2"/>
  <c r="M1376" i="2"/>
  <c r="M1377" i="2"/>
  <c r="M1378" i="2"/>
  <c r="M1379" i="2"/>
  <c r="M1380" i="2"/>
  <c r="M1381" i="2"/>
  <c r="M1382" i="2"/>
  <c r="M1383" i="2"/>
  <c r="M1384" i="2"/>
  <c r="M1385" i="2"/>
  <c r="M1386" i="2"/>
  <c r="M1387" i="2"/>
  <c r="M1388" i="2"/>
  <c r="M1389" i="2"/>
  <c r="M1390" i="2"/>
  <c r="M1391" i="2"/>
  <c r="M1392" i="2"/>
  <c r="M1393" i="2"/>
  <c r="M1394" i="2"/>
  <c r="M1395" i="2"/>
  <c r="M1396" i="2"/>
  <c r="M1397" i="2"/>
  <c r="M1398" i="2"/>
  <c r="M1399" i="2"/>
  <c r="M1400" i="2"/>
  <c r="M1401" i="2"/>
  <c r="M1402" i="2"/>
  <c r="M1403" i="2"/>
  <c r="M1404" i="2"/>
  <c r="M1405" i="2"/>
  <c r="M1406" i="2"/>
  <c r="M1407" i="2"/>
  <c r="M1408" i="2"/>
  <c r="M1409" i="2"/>
  <c r="M1410" i="2"/>
  <c r="M1411" i="2"/>
  <c r="M1412" i="2"/>
  <c r="M1413" i="2"/>
  <c r="M1414" i="2"/>
  <c r="M1415" i="2"/>
  <c r="M1416" i="2"/>
  <c r="M1417" i="2"/>
  <c r="M1418" i="2"/>
  <c r="M1419" i="2"/>
  <c r="M1420" i="2"/>
  <c r="M1421" i="2"/>
  <c r="M1422" i="2"/>
  <c r="M1423" i="2"/>
  <c r="M1424" i="2"/>
  <c r="M1425" i="2"/>
  <c r="M1426" i="2"/>
  <c r="M1427" i="2"/>
  <c r="M1428" i="2"/>
  <c r="M1429" i="2"/>
  <c r="M1430" i="2"/>
  <c r="M1431" i="2"/>
  <c r="M1432" i="2"/>
  <c r="M1433" i="2"/>
  <c r="M1434" i="2"/>
  <c r="M1435" i="2"/>
  <c r="M1436" i="2"/>
  <c r="M1437" i="2"/>
  <c r="M1438" i="2"/>
  <c r="M1439" i="2"/>
  <c r="M1440" i="2"/>
  <c r="M1441" i="2"/>
  <c r="M1442" i="2"/>
  <c r="M1443" i="2"/>
  <c r="M1444" i="2"/>
  <c r="M1445" i="2"/>
  <c r="M1446" i="2"/>
  <c r="M1447" i="2"/>
  <c r="M1448" i="2"/>
  <c r="M1449" i="2"/>
  <c r="M1450" i="2"/>
  <c r="M1451" i="2"/>
  <c r="M1452" i="2"/>
  <c r="M1453" i="2"/>
  <c r="M1454" i="2"/>
  <c r="M1455" i="2"/>
  <c r="M1456" i="2"/>
  <c r="M1457" i="2"/>
  <c r="M1458" i="2"/>
  <c r="M1459" i="2"/>
  <c r="M1460" i="2"/>
  <c r="M1461" i="2"/>
  <c r="M1462" i="2"/>
  <c r="M1463" i="2"/>
  <c r="M1466" i="2"/>
  <c r="M1464" i="2"/>
  <c r="M1465" i="2"/>
  <c r="M1467" i="2"/>
  <c r="M1468" i="2"/>
  <c r="M1469" i="2"/>
  <c r="M1470" i="2"/>
  <c r="M1471" i="2"/>
  <c r="M1472" i="2"/>
  <c r="M1473" i="2"/>
  <c r="M1474" i="2"/>
  <c r="M1475" i="2"/>
  <c r="M1476" i="2"/>
  <c r="M1477" i="2"/>
  <c r="M1478" i="2"/>
  <c r="M1479" i="2"/>
  <c r="M1480" i="2"/>
  <c r="M1481" i="2"/>
  <c r="M1482" i="2"/>
  <c r="M1483" i="2"/>
  <c r="M1484" i="2"/>
  <c r="M1485" i="2"/>
  <c r="M1486" i="2"/>
  <c r="M1487" i="2"/>
  <c r="M1488" i="2"/>
  <c r="M1489" i="2"/>
  <c r="M1490" i="2"/>
  <c r="M1491" i="2"/>
  <c r="M1492" i="2"/>
  <c r="M1493" i="2"/>
  <c r="M1494" i="2"/>
  <c r="M1495" i="2"/>
  <c r="M1496" i="2"/>
  <c r="M1497" i="2"/>
  <c r="M1498" i="2"/>
  <c r="M1499" i="2"/>
  <c r="M1500" i="2"/>
  <c r="M1501" i="2"/>
  <c r="M1502" i="2"/>
  <c r="M1503" i="2"/>
  <c r="M1504" i="2"/>
  <c r="M1505" i="2"/>
  <c r="M1506" i="2"/>
  <c r="M1507" i="2"/>
  <c r="M1508" i="2"/>
  <c r="M1509" i="2"/>
  <c r="M1510" i="2"/>
  <c r="M1511" i="2"/>
  <c r="M1512" i="2"/>
  <c r="M1513" i="2"/>
  <c r="M1514" i="2"/>
  <c r="M1515" i="2"/>
  <c r="M1516" i="2"/>
  <c r="M1517" i="2"/>
  <c r="M1518" i="2"/>
  <c r="M1519" i="2"/>
  <c r="M1520" i="2"/>
  <c r="M1521" i="2"/>
  <c r="M1522" i="2"/>
  <c r="M1523" i="2"/>
  <c r="M1524" i="2"/>
  <c r="M1525" i="2"/>
  <c r="M1526" i="2"/>
  <c r="M1527" i="2"/>
  <c r="M1528" i="2"/>
  <c r="M1529" i="2"/>
  <c r="M1530" i="2"/>
  <c r="M1531" i="2"/>
  <c r="M1532" i="2"/>
  <c r="M1533" i="2"/>
  <c r="M1534" i="2"/>
  <c r="M1535" i="2"/>
  <c r="M1536" i="2"/>
  <c r="M1537" i="2"/>
  <c r="M1538" i="2"/>
  <c r="M1539" i="2"/>
  <c r="M1540" i="2"/>
  <c r="M1541" i="2"/>
  <c r="M1542" i="2"/>
  <c r="M1543" i="2"/>
  <c r="M1544" i="2"/>
  <c r="M1545" i="2"/>
  <c r="M1546" i="2"/>
  <c r="M1547" i="2"/>
  <c r="M1548" i="2"/>
  <c r="M1549" i="2"/>
  <c r="M1551" i="2"/>
  <c r="M1550" i="2"/>
  <c r="M1553" i="2"/>
  <c r="M1552" i="2"/>
  <c r="M1554" i="2"/>
  <c r="M1557" i="2"/>
  <c r="M1555" i="2"/>
  <c r="M1556" i="2"/>
  <c r="M1558" i="2"/>
  <c r="M1559" i="2"/>
  <c r="M1560" i="2"/>
  <c r="M1561" i="2"/>
  <c r="M1562" i="2"/>
  <c r="M1563" i="2"/>
  <c r="M1564" i="2"/>
  <c r="M1565" i="2"/>
  <c r="M1567" i="2"/>
  <c r="M1566" i="2"/>
  <c r="M1568" i="2"/>
  <c r="M1569" i="2"/>
  <c r="M1570" i="2"/>
  <c r="M1571" i="2"/>
  <c r="M1572" i="2"/>
  <c r="M1573" i="2"/>
  <c r="M1574" i="2"/>
  <c r="M1575" i="2"/>
  <c r="M1576" i="2"/>
  <c r="M1578" i="2"/>
  <c r="M1577" i="2"/>
  <c r="M1579" i="2"/>
  <c r="M1580" i="2"/>
  <c r="M1581" i="2"/>
  <c r="M1582" i="2"/>
  <c r="M1583" i="2"/>
  <c r="M1584" i="2"/>
  <c r="M1585" i="2"/>
  <c r="M1586" i="2"/>
  <c r="M1587" i="2"/>
  <c r="M1590" i="2"/>
  <c r="M1588" i="2"/>
  <c r="M1589" i="2"/>
  <c r="M1591" i="2"/>
  <c r="M1592" i="2"/>
  <c r="M1593" i="2"/>
  <c r="M1594" i="2"/>
  <c r="M1595" i="2"/>
  <c r="M1596" i="2"/>
  <c r="M1597" i="2"/>
  <c r="M1598" i="2"/>
  <c r="M1599" i="2"/>
  <c r="M1600" i="2"/>
  <c r="M1601" i="2"/>
  <c r="M1602" i="2"/>
  <c r="M1603" i="2"/>
  <c r="M1604" i="2"/>
  <c r="M1605" i="2"/>
  <c r="M1606" i="2"/>
  <c r="M1607" i="2"/>
  <c r="M1608" i="2"/>
  <c r="M1609" i="2"/>
  <c r="M1610" i="2"/>
  <c r="M1611" i="2"/>
  <c r="M1612" i="2"/>
  <c r="M1613" i="2"/>
  <c r="M1614" i="2"/>
  <c r="M1615" i="2"/>
  <c r="M1616" i="2"/>
  <c r="M1617" i="2"/>
  <c r="M1618" i="2"/>
  <c r="M1619" i="2"/>
  <c r="M1620" i="2"/>
  <c r="M1621" i="2"/>
  <c r="M1622" i="2"/>
  <c r="M1623" i="2"/>
  <c r="M1624" i="2"/>
  <c r="M1625" i="2"/>
  <c r="M1626" i="2"/>
  <c r="M1627" i="2"/>
  <c r="M1628" i="2"/>
  <c r="M1629" i="2"/>
  <c r="M1630" i="2"/>
  <c r="M1631" i="2"/>
  <c r="M1632" i="2"/>
  <c r="M1633" i="2"/>
  <c r="M1634" i="2"/>
  <c r="M1635" i="2"/>
  <c r="M1636" i="2"/>
  <c r="M1637" i="2"/>
  <c r="M1638" i="2"/>
  <c r="M1639" i="2"/>
  <c r="M1640" i="2"/>
  <c r="M1641" i="2"/>
  <c r="M1642" i="2"/>
  <c r="M1643" i="2"/>
  <c r="M1644" i="2"/>
  <c r="M1645" i="2"/>
  <c r="M1646" i="2"/>
  <c r="M1647" i="2"/>
  <c r="M1648" i="2"/>
  <c r="M1649" i="2"/>
  <c r="M1650" i="2"/>
  <c r="M1651" i="2"/>
  <c r="M1652" i="2"/>
  <c r="M1653" i="2"/>
  <c r="M1654" i="2"/>
  <c r="M1655" i="2"/>
  <c r="M1656" i="2"/>
  <c r="M1657" i="2"/>
  <c r="M1658" i="2"/>
  <c r="M1659" i="2"/>
  <c r="M1660" i="2"/>
  <c r="M1661" i="2"/>
  <c r="M1662" i="2"/>
  <c r="M1663" i="2"/>
  <c r="M1664" i="2"/>
  <c r="M1665" i="2"/>
  <c r="M1666" i="2"/>
  <c r="M1667" i="2"/>
  <c r="M1668" i="2"/>
  <c r="M1669" i="2"/>
  <c r="M1670" i="2"/>
  <c r="M1671" i="2"/>
  <c r="M1672" i="2"/>
  <c r="M1673" i="2"/>
  <c r="M1674" i="2"/>
  <c r="M1675" i="2"/>
  <c r="M1676" i="2"/>
  <c r="M1677" i="2"/>
  <c r="M1678" i="2"/>
  <c r="M1679" i="2"/>
  <c r="M1680" i="2"/>
  <c r="M1681" i="2"/>
  <c r="M1682" i="2"/>
  <c r="M1683" i="2"/>
  <c r="M1684" i="2"/>
  <c r="M1685" i="2"/>
  <c r="M1686" i="2"/>
  <c r="M1687" i="2"/>
  <c r="M1688" i="2"/>
  <c r="M1689" i="2"/>
  <c r="M1690" i="2"/>
  <c r="M1691" i="2"/>
  <c r="M1692" i="2"/>
  <c r="M1693" i="2"/>
  <c r="M1694" i="2"/>
  <c r="M1695" i="2"/>
  <c r="M1696" i="2"/>
  <c r="M1697" i="2"/>
  <c r="M1698" i="2"/>
  <c r="M1699" i="2"/>
  <c r="M1700" i="2"/>
  <c r="M1701" i="2"/>
  <c r="M1702" i="2"/>
  <c r="M1703" i="2"/>
  <c r="M1704" i="2"/>
  <c r="M1705" i="2"/>
  <c r="M1706" i="2"/>
  <c r="M1707" i="2"/>
  <c r="M1708" i="2"/>
  <c r="M1709" i="2"/>
  <c r="M1710" i="2"/>
  <c r="M1711" i="2"/>
  <c r="M1712" i="2"/>
  <c r="M1713" i="2"/>
  <c r="M1714" i="2"/>
  <c r="M1716" i="2"/>
  <c r="M1715" i="2"/>
  <c r="M1717" i="2"/>
  <c r="M1718" i="2"/>
  <c r="M1719" i="2"/>
  <c r="M1720" i="2"/>
  <c r="M1721" i="2"/>
  <c r="M1722" i="2"/>
  <c r="M1723" i="2"/>
  <c r="M1724" i="2"/>
  <c r="M1725" i="2"/>
  <c r="M1726" i="2"/>
  <c r="M1727" i="2"/>
  <c r="M1728" i="2"/>
  <c r="M1729" i="2"/>
  <c r="M1730" i="2"/>
  <c r="M1731" i="2"/>
  <c r="M1732" i="2"/>
  <c r="M1733" i="2"/>
  <c r="M1734" i="2"/>
  <c r="M1735" i="2"/>
  <c r="M1736" i="2"/>
  <c r="M1737" i="2"/>
  <c r="M1738" i="2"/>
  <c r="M1739" i="2"/>
  <c r="M1740" i="2"/>
  <c r="M1741" i="2"/>
  <c r="M1742" i="2"/>
  <c r="M1743" i="2"/>
  <c r="M1744" i="2"/>
  <c r="M1745" i="2"/>
  <c r="M1746" i="2"/>
  <c r="M1747" i="2"/>
  <c r="M1748" i="2"/>
  <c r="M1749" i="2"/>
  <c r="M1750" i="2"/>
  <c r="M1751" i="2"/>
  <c r="M1752" i="2"/>
  <c r="M1753" i="2"/>
  <c r="M1754" i="2"/>
  <c r="M1755" i="2"/>
  <c r="M1756" i="2"/>
  <c r="M1757" i="2"/>
  <c r="M1758" i="2"/>
  <c r="M1759" i="2"/>
  <c r="M1760" i="2"/>
  <c r="M1761" i="2"/>
  <c r="M1762" i="2"/>
  <c r="M1763" i="2"/>
  <c r="M1764" i="2"/>
  <c r="M1765" i="2"/>
  <c r="M1766" i="2"/>
  <c r="M1767" i="2"/>
  <c r="M1768" i="2"/>
  <c r="M1769" i="2"/>
  <c r="M1770" i="2"/>
  <c r="M1771" i="2"/>
  <c r="M1772" i="2"/>
  <c r="M1774" i="2"/>
  <c r="M1773" i="2"/>
  <c r="M1775" i="2"/>
  <c r="M1776" i="2"/>
  <c r="M1777" i="2"/>
  <c r="M1778" i="2"/>
  <c r="M1779" i="2"/>
  <c r="M1780" i="2"/>
  <c r="M1781" i="2"/>
  <c r="M1782" i="2"/>
  <c r="M1783" i="2"/>
  <c r="M1784" i="2"/>
  <c r="M1785" i="2"/>
  <c r="M1786" i="2"/>
  <c r="M1787" i="2"/>
  <c r="M1788" i="2"/>
  <c r="M1789" i="2"/>
  <c r="M1790" i="2"/>
  <c r="M1791" i="2"/>
  <c r="M1792" i="2"/>
  <c r="M1793" i="2"/>
  <c r="M1794" i="2"/>
  <c r="M1795" i="2"/>
  <c r="M1796" i="2"/>
  <c r="M1797" i="2"/>
  <c r="M1798" i="2"/>
  <c r="M1799" i="2"/>
  <c r="M1800" i="2"/>
  <c r="M1801" i="2"/>
  <c r="M1802" i="2"/>
  <c r="M1803" i="2"/>
  <c r="M1804" i="2"/>
  <c r="M1805" i="2"/>
  <c r="M1806" i="2"/>
  <c r="M1807" i="2"/>
  <c r="M1808" i="2"/>
  <c r="M1809" i="2"/>
  <c r="M1810" i="2"/>
  <c r="M1811" i="2"/>
  <c r="M1812" i="2"/>
  <c r="M1813" i="2"/>
  <c r="M1814" i="2"/>
  <c r="M1815" i="2"/>
  <c r="M1816" i="2"/>
  <c r="M1817" i="2"/>
  <c r="M1819" i="2"/>
  <c r="M1818" i="2"/>
  <c r="M1820" i="2"/>
  <c r="M1821" i="2"/>
  <c r="M1822" i="2"/>
  <c r="M1823" i="2"/>
  <c r="M1824" i="2"/>
  <c r="M1825" i="2"/>
  <c r="M1826" i="2"/>
  <c r="M1827" i="2"/>
  <c r="M1828" i="2"/>
  <c r="M1829" i="2"/>
  <c r="M1830" i="2"/>
  <c r="M1831" i="2"/>
  <c r="M1832" i="2"/>
  <c r="M1833" i="2"/>
  <c r="M1834" i="2"/>
  <c r="M1835" i="2"/>
  <c r="M1836" i="2"/>
  <c r="M1837" i="2"/>
  <c r="M1838" i="2"/>
  <c r="M1839" i="2"/>
  <c r="M1840" i="2"/>
  <c r="M1841" i="2"/>
  <c r="M1842" i="2"/>
  <c r="M1843" i="2"/>
  <c r="M1844" i="2"/>
  <c r="M1846" i="2"/>
  <c r="M1845" i="2"/>
  <c r="M1847" i="2"/>
  <c r="M1848" i="2"/>
  <c r="M1849" i="2"/>
  <c r="M1850" i="2"/>
  <c r="M1855" i="2"/>
  <c r="M1851" i="2"/>
  <c r="M1852" i="2"/>
  <c r="M1853" i="2"/>
  <c r="M1854" i="2"/>
  <c r="M1857" i="2"/>
  <c r="M1856" i="2"/>
  <c r="M1858" i="2"/>
  <c r="M1859" i="2"/>
  <c r="M1860" i="2"/>
  <c r="M1861" i="2"/>
  <c r="M1862" i="2"/>
  <c r="M1863" i="2"/>
  <c r="M1864" i="2"/>
  <c r="M1865" i="2"/>
  <c r="M1866" i="2"/>
  <c r="M1867" i="2"/>
  <c r="M1868" i="2"/>
  <c r="M1869" i="2"/>
  <c r="M1870" i="2"/>
  <c r="M1871" i="2"/>
  <c r="M1872" i="2"/>
  <c r="M1873" i="2"/>
  <c r="M1874" i="2"/>
  <c r="M1875" i="2"/>
  <c r="M1876" i="2"/>
  <c r="M1877" i="2"/>
  <c r="M1878" i="2"/>
  <c r="M1879" i="2"/>
  <c r="M1880" i="2"/>
  <c r="M1881" i="2"/>
  <c r="M1882" i="2"/>
  <c r="M1883" i="2"/>
  <c r="M1884" i="2"/>
  <c r="M1885" i="2"/>
  <c r="M1886" i="2"/>
  <c r="M1887" i="2"/>
  <c r="M1888" i="2"/>
  <c r="M1889" i="2"/>
  <c r="M1890" i="2"/>
  <c r="M1891" i="2"/>
  <c r="M1892" i="2"/>
  <c r="M1893" i="2"/>
  <c r="M1894" i="2"/>
  <c r="M1895" i="2"/>
  <c r="M1896" i="2"/>
  <c r="M1897" i="2"/>
  <c r="M1898" i="2"/>
  <c r="M1899" i="2"/>
  <c r="M1900" i="2"/>
  <c r="M1901" i="2"/>
  <c r="M1902" i="2"/>
  <c r="M1903" i="2"/>
  <c r="M1904" i="2"/>
  <c r="M1905" i="2"/>
  <c r="M1906" i="2"/>
  <c r="M1907" i="2"/>
  <c r="M1909" i="2"/>
  <c r="M1908" i="2"/>
  <c r="M1911" i="2"/>
  <c r="M1910" i="2"/>
  <c r="M1912" i="2"/>
  <c r="M1913" i="2"/>
  <c r="M1914" i="2"/>
  <c r="M1915" i="2"/>
  <c r="M1916" i="2"/>
  <c r="M1917" i="2"/>
  <c r="M1919" i="2"/>
  <c r="M1918" i="2"/>
  <c r="M1920" i="2"/>
  <c r="M1921" i="2"/>
  <c r="M1922" i="2"/>
  <c r="M1923" i="2"/>
  <c r="M1924" i="2"/>
  <c r="M1925" i="2"/>
  <c r="M1926" i="2"/>
  <c r="M1927" i="2"/>
  <c r="M1928" i="2"/>
  <c r="M1929" i="2"/>
  <c r="M1930" i="2"/>
  <c r="M1931" i="2"/>
  <c r="M1932" i="2"/>
  <c r="M1933" i="2"/>
  <c r="M1934" i="2"/>
  <c r="M1935" i="2"/>
  <c r="M1936" i="2"/>
  <c r="M1937" i="2"/>
  <c r="M1938" i="2"/>
  <c r="M1939" i="2"/>
  <c r="M1940" i="2"/>
  <c r="M1941" i="2"/>
  <c r="M1942" i="2"/>
  <c r="M1943" i="2"/>
  <c r="M1944" i="2"/>
  <c r="M1945" i="2"/>
  <c r="M1946" i="2"/>
  <c r="M1947" i="2"/>
  <c r="M1948" i="2"/>
  <c r="M1949" i="2"/>
  <c r="M1950" i="2"/>
  <c r="M1951" i="2"/>
  <c r="M1952" i="2"/>
  <c r="M1953" i="2"/>
  <c r="M1954" i="2"/>
  <c r="M1955" i="2"/>
  <c r="M1956" i="2"/>
  <c r="M1957" i="2"/>
  <c r="M1958" i="2"/>
  <c r="M1959" i="2"/>
  <c r="M1960" i="2"/>
  <c r="M1962" i="2"/>
  <c r="M1961" i="2"/>
  <c r="M1963" i="2"/>
  <c r="M1964" i="2"/>
  <c r="M1965" i="2"/>
  <c r="M1966" i="2"/>
  <c r="M1967" i="2"/>
  <c r="M1968" i="2"/>
  <c r="M1969" i="2"/>
  <c r="M1970" i="2"/>
  <c r="M1971" i="2"/>
  <c r="M1972" i="2"/>
  <c r="M1973" i="2"/>
  <c r="M1974" i="2"/>
  <c r="M1975" i="2"/>
  <c r="M1976" i="2"/>
  <c r="M1977" i="2"/>
  <c r="M1978" i="2"/>
  <c r="M1979" i="2"/>
  <c r="M1980" i="2"/>
  <c r="M1981" i="2"/>
  <c r="M1982" i="2"/>
  <c r="M1983" i="2"/>
  <c r="M1984" i="2"/>
  <c r="M1985" i="2"/>
  <c r="M1986" i="2"/>
  <c r="M1987" i="2"/>
  <c r="M1988" i="2"/>
  <c r="M1989" i="2"/>
  <c r="M1990" i="2"/>
  <c r="M1991" i="2"/>
  <c r="M1992" i="2"/>
  <c r="M1994" i="2"/>
  <c r="M1993" i="2"/>
  <c r="M1995" i="2"/>
  <c r="M1996" i="2"/>
  <c r="M1997" i="2"/>
  <c r="M1998" i="2"/>
  <c r="M1999" i="2"/>
  <c r="M2000" i="2"/>
  <c r="M2001" i="2"/>
  <c r="M2002" i="2"/>
  <c r="M2003" i="2"/>
  <c r="M2004" i="2"/>
  <c r="M2005" i="2"/>
  <c r="M2006" i="2"/>
  <c r="M2007" i="2"/>
  <c r="M2008" i="2"/>
  <c r="M2009" i="2"/>
  <c r="M2010" i="2"/>
  <c r="M2011" i="2"/>
  <c r="M2012" i="2"/>
  <c r="M2013" i="2"/>
  <c r="M2014" i="2"/>
  <c r="M2015" i="2"/>
  <c r="M2016" i="2"/>
  <c r="M2017" i="2"/>
  <c r="M2018" i="2"/>
  <c r="M2019" i="2"/>
  <c r="M2020" i="2"/>
  <c r="M2021" i="2"/>
  <c r="M2022" i="2"/>
  <c r="M2023" i="2"/>
  <c r="M2024" i="2"/>
  <c r="M2025" i="2"/>
  <c r="M2026" i="2"/>
  <c r="M2027" i="2"/>
  <c r="M2028" i="2"/>
  <c r="M2029" i="2"/>
  <c r="M2030" i="2"/>
  <c r="M2031" i="2"/>
  <c r="M2032" i="2"/>
  <c r="M2033" i="2"/>
  <c r="M2034" i="2"/>
  <c r="M2035" i="2"/>
  <c r="M2036" i="2"/>
  <c r="M2037" i="2"/>
  <c r="M2038" i="2"/>
  <c r="M2039" i="2"/>
  <c r="M2040" i="2"/>
  <c r="M2041" i="2"/>
  <c r="M2042" i="2"/>
  <c r="M2043" i="2"/>
  <c r="M2044" i="2"/>
  <c r="M2045" i="2"/>
  <c r="M2046" i="2"/>
  <c r="M2047" i="2"/>
  <c r="M2048" i="2"/>
  <c r="M2049" i="2"/>
  <c r="M2050" i="2"/>
  <c r="M2051" i="2"/>
  <c r="M2052" i="2"/>
  <c r="M2053" i="2"/>
  <c r="M2054" i="2"/>
  <c r="M2055" i="2"/>
  <c r="M2056" i="2"/>
  <c r="M2057" i="2"/>
  <c r="M2058" i="2"/>
  <c r="M2059" i="2"/>
  <c r="M2060" i="2"/>
  <c r="M2061" i="2"/>
  <c r="M2062" i="2"/>
  <c r="M2063" i="2"/>
  <c r="M2064" i="2"/>
  <c r="M2065" i="2"/>
  <c r="M2066" i="2"/>
  <c r="M2067" i="2"/>
  <c r="M2069" i="2"/>
  <c r="M2068" i="2"/>
  <c r="M2070" i="2"/>
  <c r="M2071" i="2"/>
  <c r="M2072" i="2"/>
  <c r="M2073" i="2"/>
  <c r="M2074" i="2"/>
  <c r="M2075" i="2"/>
  <c r="M2076" i="2"/>
  <c r="M2077" i="2"/>
  <c r="M2078" i="2"/>
  <c r="M2079" i="2"/>
  <c r="M2080" i="2"/>
  <c r="M2081" i="2"/>
  <c r="M2082" i="2"/>
  <c r="M2083" i="2"/>
  <c r="M2084" i="2"/>
  <c r="M2085" i="2"/>
  <c r="M2086" i="2"/>
  <c r="M2087" i="2"/>
  <c r="M2088" i="2"/>
  <c r="M2089" i="2"/>
  <c r="M2090" i="2"/>
  <c r="M2091" i="2"/>
  <c r="M2092" i="2"/>
  <c r="M2093" i="2"/>
  <c r="M2094" i="2"/>
  <c r="M2095" i="2"/>
  <c r="M2096" i="2"/>
  <c r="M2097" i="2"/>
  <c r="M2098" i="2"/>
  <c r="M2099" i="2"/>
  <c r="M2100" i="2"/>
  <c r="M2101" i="2"/>
  <c r="M2102" i="2"/>
  <c r="M2103" i="2"/>
  <c r="M2104" i="2"/>
  <c r="M2105" i="2"/>
  <c r="M2106" i="2"/>
  <c r="M2107" i="2"/>
  <c r="M2108" i="2"/>
  <c r="M2109" i="2"/>
  <c r="M2110" i="2"/>
  <c r="M2111" i="2"/>
  <c r="M2112" i="2"/>
  <c r="M2113" i="2"/>
  <c r="M2114" i="2"/>
  <c r="M2115" i="2"/>
  <c r="M2116" i="2"/>
  <c r="M2117" i="2"/>
  <c r="M2118" i="2"/>
  <c r="M2119" i="2"/>
  <c r="M2120" i="2"/>
  <c r="M2121" i="2"/>
  <c r="M2122" i="2"/>
  <c r="M2123" i="2"/>
  <c r="M2124" i="2"/>
  <c r="M2125" i="2"/>
  <c r="M2126" i="2"/>
  <c r="M2127" i="2"/>
  <c r="M2128" i="2"/>
  <c r="M2129" i="2"/>
  <c r="M2130" i="2"/>
  <c r="M2131" i="2"/>
  <c r="M2132" i="2"/>
  <c r="M2133" i="2"/>
  <c r="M2134" i="2"/>
  <c r="M2135" i="2"/>
  <c r="M2136" i="2"/>
  <c r="M2137" i="2"/>
  <c r="M2138" i="2"/>
  <c r="M2140" i="2"/>
  <c r="M2139" i="2"/>
  <c r="M2143" i="2"/>
  <c r="M2144" i="2"/>
  <c r="M2142" i="2"/>
  <c r="M2141" i="2"/>
  <c r="M2145" i="2"/>
  <c r="M2146" i="2"/>
  <c r="M2147" i="2"/>
  <c r="M2148" i="2"/>
  <c r="M2149" i="2"/>
  <c r="M2150" i="2"/>
  <c r="M2151" i="2"/>
  <c r="M2152" i="2"/>
  <c r="M2153" i="2"/>
  <c r="M2154" i="2"/>
  <c r="M2155" i="2"/>
  <c r="M2156" i="2"/>
  <c r="M2157" i="2"/>
  <c r="M2158" i="2"/>
  <c r="M2159" i="2"/>
  <c r="M2160" i="2"/>
  <c r="M2161" i="2"/>
  <c r="M2162" i="2"/>
  <c r="M2163" i="2"/>
  <c r="M2164" i="2"/>
  <c r="M2165" i="2"/>
  <c r="M2166" i="2"/>
  <c r="M2167" i="2"/>
  <c r="M2168" i="2"/>
  <c r="M2169" i="2"/>
  <c r="M2170" i="2"/>
  <c r="M2171" i="2"/>
  <c r="M2172" i="2"/>
  <c r="M2173" i="2"/>
  <c r="M2174" i="2"/>
  <c r="M2175" i="2"/>
  <c r="M2176" i="2"/>
  <c r="M2177" i="2"/>
  <c r="M2178" i="2"/>
  <c r="M2179" i="2"/>
  <c r="M2180" i="2"/>
  <c r="M2181" i="2"/>
  <c r="M2182" i="2"/>
  <c r="M2183" i="2"/>
  <c r="M2184" i="2"/>
  <c r="M2185" i="2"/>
  <c r="M2186" i="2"/>
  <c r="M2187" i="2"/>
  <c r="M2188" i="2"/>
  <c r="M2189" i="2"/>
  <c r="M2190" i="2"/>
  <c r="M2191" i="2"/>
  <c r="M2192" i="2"/>
  <c r="M2193" i="2"/>
  <c r="M2194" i="2"/>
  <c r="M2195" i="2"/>
  <c r="M2196" i="2"/>
  <c r="M2197" i="2"/>
  <c r="M2198" i="2"/>
  <c r="M2199" i="2"/>
  <c r="M2200" i="2"/>
  <c r="M2201" i="2"/>
  <c r="M2202" i="2"/>
  <c r="M2203" i="2"/>
  <c r="M2204" i="2"/>
  <c r="M2205" i="2"/>
  <c r="M2206" i="2"/>
  <c r="M2207" i="2"/>
  <c r="M2208" i="2"/>
  <c r="M2209" i="2"/>
  <c r="M2210" i="2"/>
  <c r="M2211" i="2"/>
  <c r="M2212" i="2"/>
  <c r="M2213" i="2"/>
  <c r="M2214" i="2"/>
  <c r="M2215" i="2"/>
  <c r="M2216" i="2"/>
  <c r="M2217" i="2"/>
  <c r="M2218" i="2"/>
  <c r="M2219" i="2"/>
  <c r="M2220" i="2"/>
  <c r="M2221" i="2"/>
  <c r="M2222" i="2"/>
  <c r="M2223" i="2"/>
  <c r="M2224" i="2"/>
  <c r="M2225" i="2"/>
  <c r="M2226" i="2"/>
  <c r="M2227" i="2"/>
  <c r="M2228" i="2"/>
  <c r="M2229" i="2"/>
  <c r="M2230" i="2"/>
  <c r="M2231" i="2"/>
  <c r="M2232" i="2"/>
  <c r="M2233" i="2"/>
  <c r="M2234" i="2"/>
  <c r="M2235" i="2"/>
  <c r="M2236" i="2"/>
  <c r="M2237" i="2"/>
  <c r="M2238" i="2"/>
  <c r="M2239" i="2"/>
  <c r="M2240" i="2"/>
  <c r="M2241" i="2"/>
  <c r="M2242" i="2"/>
  <c r="M2243" i="2"/>
  <c r="M2244" i="2"/>
  <c r="M2245" i="2"/>
  <c r="M2246" i="2"/>
  <c r="M2247" i="2"/>
  <c r="M2248" i="2"/>
  <c r="M2249" i="2"/>
  <c r="M2250" i="2"/>
  <c r="M2251" i="2"/>
  <c r="M2252" i="2"/>
  <c r="M2253" i="2"/>
  <c r="M2254" i="2"/>
  <c r="M2255" i="2"/>
  <c r="M2256" i="2"/>
  <c r="M2257" i="2"/>
  <c r="M2258" i="2"/>
  <c r="M2259" i="2"/>
  <c r="M2260" i="2"/>
  <c r="M2261" i="2"/>
  <c r="M2262" i="2"/>
  <c r="M2263" i="2"/>
  <c r="M2264" i="2"/>
  <c r="M2265" i="2"/>
  <c r="M2266" i="2"/>
  <c r="M2267" i="2"/>
  <c r="M2268" i="2"/>
  <c r="M2269" i="2"/>
  <c r="M2270" i="2"/>
  <c r="M2271" i="2"/>
  <c r="M2272" i="2"/>
  <c r="M2273" i="2"/>
  <c r="M2274" i="2"/>
  <c r="M2275" i="2"/>
  <c r="M2276" i="2"/>
  <c r="M2277" i="2"/>
  <c r="M2278" i="2"/>
  <c r="M2279" i="2"/>
  <c r="M2280" i="2"/>
  <c r="M2281" i="2"/>
  <c r="M2282" i="2"/>
  <c r="M2283" i="2"/>
  <c r="M2284" i="2"/>
  <c r="M2285" i="2"/>
  <c r="M2286" i="2"/>
  <c r="M2287" i="2"/>
  <c r="M2288" i="2"/>
  <c r="M2289" i="2"/>
  <c r="M2290" i="2"/>
  <c r="M2291" i="2"/>
  <c r="M2292" i="2"/>
  <c r="M2293" i="2"/>
  <c r="M2294" i="2"/>
  <c r="M2295" i="2"/>
  <c r="M2296" i="2"/>
  <c r="M2297" i="2"/>
  <c r="M2298" i="2"/>
  <c r="M2299" i="2"/>
  <c r="M2300" i="2"/>
  <c r="M2301" i="2"/>
  <c r="M2302" i="2"/>
  <c r="M2303" i="2"/>
  <c r="M2304" i="2"/>
  <c r="M2305" i="2"/>
  <c r="M2306" i="2"/>
  <c r="M2307" i="2"/>
  <c r="M2308" i="2"/>
  <c r="M2309" i="2"/>
  <c r="M2310" i="2"/>
  <c r="M2311" i="2"/>
  <c r="M2312" i="2"/>
  <c r="M2313" i="2"/>
  <c r="M2316" i="2"/>
  <c r="M2315" i="2"/>
  <c r="M2314" i="2"/>
  <c r="M2317" i="2"/>
  <c r="M2318" i="2"/>
  <c r="M2319" i="2"/>
  <c r="M2320" i="2"/>
  <c r="M2321" i="2"/>
  <c r="M2322" i="2"/>
  <c r="M2323" i="2"/>
  <c r="M2324" i="2"/>
  <c r="M2325" i="2"/>
  <c r="M2326" i="2"/>
  <c r="M2327" i="2"/>
  <c r="M2328" i="2"/>
  <c r="M2330" i="2"/>
  <c r="M2329" i="2"/>
  <c r="M2331" i="2"/>
  <c r="M2332" i="2"/>
  <c r="M2333" i="2"/>
  <c r="M2334" i="2"/>
  <c r="M2335" i="2"/>
  <c r="M2336" i="2"/>
  <c r="M2337" i="2"/>
  <c r="M2338" i="2"/>
  <c r="M2339" i="2"/>
  <c r="M2340" i="2"/>
  <c r="M2341" i="2"/>
  <c r="M2342" i="2"/>
  <c r="M2343" i="2"/>
  <c r="M2344" i="2"/>
  <c r="M2345" i="2"/>
  <c r="M2346" i="2"/>
  <c r="M2347" i="2"/>
  <c r="M2348" i="2"/>
  <c r="M2349" i="2"/>
  <c r="M2350" i="2"/>
  <c r="M2351" i="2"/>
  <c r="M2352" i="2"/>
  <c r="M2353" i="2"/>
  <c r="M2354" i="2"/>
  <c r="M2355" i="2"/>
  <c r="M2356" i="2"/>
  <c r="M2357" i="2"/>
  <c r="M2358" i="2"/>
  <c r="M2359" i="2"/>
  <c r="M2360" i="2"/>
  <c r="M2361" i="2"/>
  <c r="M2362" i="2"/>
  <c r="M2363" i="2"/>
  <c r="M2364" i="2"/>
  <c r="M2365" i="2"/>
  <c r="M2366" i="2"/>
  <c r="M2367" i="2"/>
  <c r="M2368" i="2"/>
  <c r="M2369" i="2"/>
  <c r="M2370" i="2"/>
  <c r="M2371" i="2"/>
  <c r="M2372" i="2"/>
  <c r="M2373" i="2"/>
  <c r="M2374" i="2"/>
  <c r="M2375" i="2"/>
  <c r="M2376" i="2"/>
  <c r="M2377" i="2"/>
  <c r="M2378" i="2"/>
  <c r="M2379" i="2"/>
  <c r="M2380" i="2"/>
  <c r="M2381" i="2"/>
  <c r="M2382" i="2"/>
  <c r="M2383" i="2"/>
  <c r="M2384" i="2"/>
  <c r="M2385" i="2"/>
  <c r="M2386" i="2"/>
  <c r="M2387" i="2"/>
  <c r="M2388" i="2"/>
  <c r="M2389" i="2"/>
  <c r="M2390" i="2"/>
  <c r="M2391" i="2"/>
  <c r="M2392" i="2"/>
  <c r="M2393" i="2"/>
  <c r="M2394" i="2"/>
  <c r="M2395" i="2"/>
  <c r="M2396" i="2"/>
  <c r="M2397" i="2"/>
  <c r="M2398" i="2"/>
  <c r="M2399" i="2"/>
  <c r="M2400" i="2"/>
  <c r="M2401" i="2"/>
  <c r="M2402" i="2"/>
  <c r="M2403" i="2"/>
  <c r="M2404" i="2"/>
  <c r="M2405" i="2"/>
  <c r="M2406" i="2"/>
  <c r="M2407" i="2"/>
  <c r="M2408" i="2"/>
  <c r="M2409" i="2"/>
  <c r="M2410" i="2"/>
  <c r="M2411" i="2"/>
  <c r="M2412" i="2"/>
  <c r="M2413" i="2"/>
  <c r="M2414" i="2"/>
  <c r="M2415" i="2"/>
  <c r="M2416" i="2"/>
  <c r="M2417" i="2"/>
  <c r="M2418" i="2"/>
  <c r="M2419" i="2"/>
  <c r="M2420" i="2"/>
  <c r="M2421" i="2"/>
  <c r="M2422" i="2"/>
  <c r="M2423" i="2"/>
  <c r="M2424" i="2"/>
  <c r="M2425" i="2"/>
  <c r="M2426" i="2"/>
  <c r="M2427" i="2"/>
  <c r="M2428" i="2"/>
  <c r="M2429" i="2"/>
  <c r="M2430" i="2"/>
  <c r="M2431" i="2"/>
  <c r="M2432" i="2"/>
  <c r="M2433" i="2"/>
  <c r="M2434" i="2"/>
  <c r="M2435" i="2"/>
  <c r="M2436" i="2"/>
  <c r="M2437" i="2"/>
  <c r="M2438" i="2"/>
  <c r="M2439" i="2"/>
  <c r="M2440" i="2"/>
  <c r="M2441" i="2"/>
  <c r="M2442" i="2"/>
  <c r="M2443" i="2"/>
  <c r="M2444" i="2"/>
  <c r="M2445" i="2"/>
  <c r="M2446" i="2"/>
  <c r="M2447" i="2"/>
  <c r="M2448" i="2"/>
  <c r="M2449" i="2"/>
  <c r="M2450" i="2"/>
  <c r="M2451" i="2"/>
  <c r="M2452" i="2"/>
  <c r="M2453" i="2"/>
  <c r="M2454" i="2"/>
  <c r="M2455" i="2"/>
  <c r="M2456" i="2"/>
  <c r="M2457" i="2"/>
  <c r="M2458" i="2"/>
  <c r="M2459" i="2"/>
  <c r="M2460" i="2"/>
  <c r="M2461" i="2"/>
  <c r="M2462" i="2"/>
  <c r="M2463" i="2"/>
  <c r="M2464" i="2"/>
  <c r="M2465" i="2"/>
  <c r="M2466" i="2"/>
  <c r="M2467" i="2"/>
  <c r="M2468" i="2"/>
  <c r="M2469" i="2"/>
  <c r="M2470" i="2"/>
  <c r="M2471" i="2"/>
  <c r="M2474" i="2"/>
  <c r="M2472" i="2"/>
  <c r="M2473" i="2"/>
  <c r="M2475" i="2"/>
  <c r="M2476" i="2"/>
  <c r="M2477" i="2"/>
  <c r="M2478" i="2"/>
  <c r="M2479" i="2"/>
  <c r="M2480" i="2"/>
  <c r="M2481" i="2"/>
  <c r="M2482" i="2"/>
  <c r="M2483" i="2"/>
  <c r="M2484" i="2"/>
  <c r="M2485" i="2"/>
  <c r="M2486" i="2"/>
  <c r="M2487" i="2"/>
  <c r="M2488" i="2"/>
  <c r="M2489" i="2"/>
  <c r="M2490" i="2"/>
  <c r="M2491" i="2"/>
  <c r="M2492" i="2"/>
  <c r="M2493" i="2"/>
  <c r="M2494" i="2"/>
  <c r="M2495" i="2"/>
  <c r="M2496" i="2"/>
  <c r="M2497" i="2"/>
  <c r="M2498" i="2"/>
  <c r="M2499" i="2"/>
  <c r="M2500" i="2"/>
  <c r="M2501" i="2"/>
  <c r="M2502" i="2"/>
  <c r="M2503" i="2"/>
  <c r="M2504" i="2"/>
  <c r="M2505" i="2"/>
  <c r="M2506" i="2"/>
  <c r="M2507" i="2"/>
  <c r="M2508" i="2"/>
  <c r="M2509" i="2"/>
  <c r="M2510" i="2"/>
  <c r="M2511" i="2"/>
  <c r="M2512" i="2"/>
  <c r="M2513" i="2"/>
  <c r="M2514" i="2"/>
  <c r="M2515" i="2"/>
  <c r="M2516" i="2"/>
  <c r="M2517" i="2"/>
  <c r="M2519" i="2"/>
  <c r="M2518" i="2"/>
  <c r="M2520" i="2"/>
  <c r="M2521" i="2"/>
  <c r="M2522" i="2"/>
  <c r="M2523" i="2"/>
  <c r="M2524" i="2"/>
  <c r="M2525" i="2"/>
  <c r="M2526" i="2"/>
  <c r="M2527" i="2"/>
  <c r="M2528" i="2"/>
  <c r="M2529" i="2"/>
  <c r="M2530" i="2"/>
  <c r="M2531" i="2"/>
  <c r="M2532" i="2"/>
  <c r="M2533" i="2"/>
  <c r="M2534" i="2"/>
  <c r="M2535" i="2"/>
  <c r="M2536" i="2"/>
  <c r="M2537" i="2"/>
  <c r="M2538" i="2"/>
  <c r="M2540" i="2"/>
  <c r="M2539" i="2"/>
  <c r="M2541" i="2"/>
  <c r="M2542" i="2"/>
  <c r="M2543" i="2"/>
  <c r="M2544" i="2"/>
  <c r="M2545" i="2"/>
  <c r="M2546" i="2"/>
  <c r="M2547" i="2"/>
  <c r="M2548" i="2"/>
  <c r="M2549" i="2"/>
  <c r="M2550" i="2"/>
  <c r="M2551" i="2"/>
  <c r="M2552" i="2"/>
  <c r="M2553" i="2"/>
  <c r="M2554" i="2"/>
  <c r="M2555" i="2"/>
  <c r="M2556" i="2"/>
  <c r="M2557" i="2"/>
  <c r="M2558" i="2"/>
  <c r="M2559" i="2"/>
  <c r="M2560" i="2"/>
  <c r="M2561" i="2"/>
  <c r="M2562" i="2"/>
  <c r="M2563" i="2"/>
  <c r="M2564" i="2"/>
  <c r="M2565" i="2"/>
  <c r="M2566" i="2"/>
  <c r="M2567" i="2"/>
  <c r="M2568" i="2"/>
  <c r="M2569" i="2"/>
  <c r="M2570" i="2"/>
  <c r="M2571" i="2"/>
  <c r="M2572" i="2"/>
  <c r="M2573" i="2"/>
  <c r="M2574" i="2"/>
  <c r="M2575" i="2"/>
  <c r="M2576" i="2"/>
  <c r="M2577" i="2"/>
  <c r="M2578" i="2"/>
  <c r="M2579" i="2"/>
  <c r="M2580" i="2"/>
  <c r="M2581" i="2"/>
  <c r="M2582" i="2"/>
  <c r="M2583" i="2"/>
  <c r="M2584" i="2"/>
  <c r="M2585" i="2"/>
  <c r="M2586" i="2"/>
  <c r="M2587" i="2"/>
  <c r="M2588" i="2"/>
  <c r="M2589" i="2"/>
  <c r="M2590" i="2"/>
  <c r="M2591" i="2"/>
  <c r="M2592" i="2"/>
  <c r="M2593" i="2"/>
  <c r="M2594" i="2"/>
  <c r="M2595" i="2"/>
  <c r="M2596" i="2"/>
  <c r="M2597" i="2"/>
  <c r="M2598" i="2"/>
  <c r="M2599" i="2"/>
  <c r="M2600" i="2"/>
  <c r="M2601" i="2"/>
  <c r="M2602" i="2"/>
  <c r="M2603" i="2"/>
  <c r="M2604" i="2"/>
  <c r="M2605" i="2"/>
  <c r="M2606" i="2"/>
  <c r="M2607" i="2"/>
  <c r="M2608" i="2"/>
  <c r="M2609" i="2"/>
  <c r="M2610" i="2"/>
  <c r="M2611" i="2"/>
  <c r="M2612" i="2"/>
  <c r="M2613" i="2"/>
  <c r="M2614" i="2"/>
  <c r="M2615" i="2"/>
  <c r="M2616" i="2"/>
  <c r="M2617" i="2"/>
  <c r="M2618" i="2"/>
  <c r="M2619" i="2"/>
  <c r="M2620" i="2"/>
  <c r="M2621" i="2"/>
  <c r="M2622" i="2"/>
  <c r="M2623" i="2"/>
  <c r="M2624" i="2"/>
  <c r="M2625" i="2"/>
  <c r="M2626" i="2"/>
  <c r="M2627" i="2"/>
  <c r="M2628" i="2"/>
  <c r="M2629" i="2"/>
  <c r="M2630" i="2"/>
  <c r="M2631" i="2"/>
  <c r="M2632" i="2"/>
  <c r="M2633" i="2"/>
  <c r="M2634" i="2"/>
  <c r="M2635" i="2"/>
  <c r="M2637" i="2"/>
  <c r="M2636" i="2"/>
  <c r="M2638" i="2"/>
  <c r="M2639" i="2"/>
  <c r="M2640" i="2"/>
  <c r="M2641" i="2"/>
  <c r="M2642" i="2"/>
  <c r="M2643" i="2"/>
  <c r="M2644" i="2"/>
  <c r="M2645" i="2"/>
  <c r="M2646" i="2"/>
  <c r="M2647" i="2"/>
  <c r="M2648" i="2"/>
  <c r="M2649" i="2"/>
  <c r="M2650" i="2"/>
  <c r="M2651" i="2"/>
  <c r="M2652" i="2"/>
  <c r="M2653" i="2"/>
  <c r="M2654" i="2"/>
  <c r="M2655" i="2"/>
  <c r="M2656" i="2"/>
  <c r="M2657" i="2"/>
  <c r="M2658" i="2"/>
  <c r="M2659" i="2"/>
  <c r="M2660" i="2"/>
  <c r="M2661" i="2"/>
  <c r="M2662" i="2"/>
  <c r="M2663" i="2"/>
  <c r="M2664" i="2"/>
  <c r="M2665" i="2"/>
  <c r="M2666" i="2"/>
  <c r="M2667" i="2"/>
  <c r="M2668" i="2"/>
  <c r="M2669" i="2"/>
  <c r="M2670" i="2"/>
  <c r="M2671" i="2"/>
  <c r="M2672" i="2"/>
  <c r="M2673" i="2"/>
  <c r="M2674" i="2"/>
  <c r="M2675" i="2"/>
  <c r="M2676" i="2"/>
  <c r="M2677" i="2"/>
  <c r="M2678" i="2"/>
  <c r="M2679" i="2"/>
  <c r="M2680" i="2"/>
  <c r="M2681" i="2"/>
  <c r="M2682" i="2"/>
  <c r="M2683" i="2"/>
  <c r="M2684" i="2"/>
  <c r="M2685" i="2"/>
  <c r="M2686" i="2"/>
  <c r="M2687" i="2"/>
  <c r="M2688" i="2"/>
  <c r="M2689" i="2"/>
  <c r="M2690" i="2"/>
  <c r="M2691" i="2"/>
  <c r="M2692" i="2"/>
  <c r="M2693" i="2"/>
  <c r="M2694" i="2"/>
  <c r="M2695" i="2"/>
  <c r="M2696" i="2"/>
  <c r="M2697" i="2"/>
  <c r="M2698" i="2"/>
  <c r="M2699" i="2"/>
  <c r="M2700" i="2"/>
  <c r="M2701" i="2"/>
  <c r="M2702" i="2"/>
  <c r="M2703" i="2"/>
  <c r="M2704" i="2"/>
  <c r="M2705" i="2"/>
  <c r="M2706" i="2"/>
  <c r="M2707" i="2"/>
  <c r="M2708" i="2"/>
  <c r="M2709" i="2"/>
  <c r="M2710" i="2"/>
  <c r="M2711" i="2"/>
  <c r="M2712" i="2"/>
  <c r="M2713" i="2"/>
  <c r="M2714" i="2"/>
  <c r="M2716" i="2"/>
  <c r="M2715" i="2"/>
  <c r="M2717" i="2"/>
  <c r="M2718" i="2"/>
  <c r="M2719" i="2"/>
  <c r="M2720" i="2"/>
  <c r="M2721" i="2"/>
  <c r="M2722" i="2"/>
  <c r="M2723" i="2"/>
  <c r="M2724" i="2"/>
  <c r="M2725" i="2"/>
  <c r="M2726" i="2"/>
  <c r="M2727" i="2"/>
  <c r="M2728" i="2"/>
  <c r="M2729" i="2"/>
  <c r="M2730" i="2"/>
  <c r="M2731" i="2"/>
  <c r="M2732" i="2"/>
  <c r="M2733" i="2"/>
  <c r="M2734" i="2"/>
  <c r="M2735" i="2"/>
  <c r="M2736" i="2"/>
  <c r="M2737" i="2"/>
  <c r="M2738" i="2"/>
  <c r="M2739" i="2"/>
  <c r="M2740" i="2"/>
  <c r="M2741" i="2"/>
  <c r="M2742" i="2"/>
  <c r="M2743" i="2"/>
  <c r="M2744" i="2"/>
  <c r="M2745" i="2"/>
  <c r="M2746" i="2"/>
  <c r="M2748" i="2"/>
  <c r="M2747" i="2"/>
  <c r="M2749" i="2"/>
  <c r="M2750" i="2"/>
  <c r="M2751" i="2"/>
  <c r="M2752" i="2"/>
  <c r="M2753" i="2"/>
  <c r="M2754" i="2"/>
  <c r="M2755" i="2"/>
  <c r="M2756" i="2"/>
  <c r="M2757" i="2"/>
  <c r="M2758" i="2"/>
  <c r="M2759" i="2"/>
  <c r="M2760" i="2"/>
  <c r="M2761" i="2"/>
  <c r="M2762" i="2"/>
  <c r="M2763" i="2"/>
  <c r="M2764" i="2"/>
  <c r="M2765" i="2"/>
  <c r="M2766" i="2"/>
  <c r="M2767" i="2"/>
  <c r="M2768" i="2"/>
  <c r="M2769" i="2"/>
  <c r="M2770" i="2"/>
  <c r="M2771" i="2"/>
  <c r="M2772" i="2"/>
  <c r="M2773" i="2"/>
  <c r="M2774" i="2"/>
  <c r="M2775" i="2"/>
  <c r="M2776" i="2"/>
  <c r="M2777" i="2"/>
  <c r="M2778" i="2"/>
  <c r="M2779" i="2"/>
  <c r="M2780" i="2"/>
  <c r="M2781" i="2"/>
  <c r="M2782" i="2"/>
  <c r="M2783" i="2"/>
  <c r="M2784" i="2"/>
  <c r="M2785" i="2"/>
  <c r="M2786" i="2"/>
  <c r="M2787" i="2"/>
  <c r="M2788" i="2"/>
  <c r="M2789" i="2"/>
  <c r="M2790" i="2"/>
  <c r="M2791" i="2"/>
  <c r="M2792" i="2"/>
  <c r="M2793" i="2"/>
  <c r="M2794" i="2"/>
  <c r="M2795" i="2"/>
  <c r="M2796" i="2"/>
  <c r="M2797" i="2"/>
  <c r="M2798" i="2"/>
  <c r="M2799" i="2"/>
  <c r="M2800" i="2"/>
  <c r="M2801" i="2"/>
  <c r="M2802" i="2"/>
  <c r="M2803" i="2"/>
  <c r="M2804" i="2"/>
  <c r="M2805" i="2"/>
  <c r="M2806" i="2"/>
  <c r="M2807" i="2"/>
  <c r="M2808" i="2"/>
  <c r="M2809" i="2"/>
  <c r="M2810" i="2"/>
  <c r="M2811" i="2"/>
  <c r="M2812" i="2"/>
  <c r="M2813" i="2"/>
  <c r="M2814" i="2"/>
  <c r="M2815" i="2"/>
  <c r="M2816" i="2"/>
  <c r="M2817" i="2"/>
  <c r="M2818" i="2"/>
  <c r="M2819" i="2"/>
  <c r="M2820" i="2"/>
  <c r="M2821" i="2"/>
  <c r="M2822" i="2"/>
  <c r="M2823" i="2"/>
  <c r="M2824" i="2"/>
  <c r="M2825" i="2"/>
  <c r="M2826" i="2"/>
  <c r="M2827" i="2"/>
  <c r="M2828" i="2"/>
  <c r="M2829" i="2"/>
  <c r="M2830" i="2"/>
  <c r="M2831" i="2"/>
  <c r="M2832" i="2"/>
  <c r="M2833" i="2"/>
  <c r="M2834" i="2"/>
  <c r="M2835" i="2"/>
  <c r="M2836" i="2"/>
  <c r="M2837" i="2"/>
  <c r="M2838" i="2"/>
  <c r="M2839" i="2"/>
  <c r="M2840" i="2"/>
  <c r="M2841" i="2"/>
  <c r="M2842" i="2"/>
  <c r="M2843" i="2"/>
  <c r="M2844" i="2"/>
  <c r="M2" i="2"/>
  <c r="O911" i="2" a="1"/>
  <c r="O2133" i="2" a="1"/>
  <c r="O2228" i="2" a="1"/>
  <c r="O261" i="2" a="1"/>
  <c r="O909" i="2" a="1"/>
  <c r="O2473" i="2" a="1"/>
  <c r="O2130" i="2" a="1"/>
  <c r="O2376" i="2" a="1"/>
  <c r="O1674" i="2" a="1"/>
  <c r="O170" i="2" a="1"/>
  <c r="O683" i="2" a="1"/>
  <c r="O747" i="2" a="1"/>
  <c r="O197" i="2" a="1"/>
  <c r="O761" i="2" a="1"/>
  <c r="O698" i="2" a="1"/>
  <c r="O1454" i="2" a="1"/>
  <c r="O538" i="2" a="1"/>
  <c r="O608" i="2" a="1"/>
  <c r="O750" i="2" a="1"/>
  <c r="O2786" i="2" a="1"/>
  <c r="O2295" i="2" a="1"/>
  <c r="O1829" i="2" a="1"/>
  <c r="O2822" i="2" a="1"/>
  <c r="O1854" i="2" a="1"/>
  <c r="O559" i="2" a="1"/>
  <c r="O2614" i="2" a="1"/>
  <c r="O328" i="2" a="1"/>
  <c r="O1954" i="2" a="1"/>
  <c r="O1274" i="2" a="1"/>
  <c r="O1003" i="2" a="1"/>
  <c r="O965" i="2" a="1"/>
  <c r="O1532" i="2" a="1"/>
  <c r="O2555" i="2" a="1"/>
  <c r="O438" i="2" a="1"/>
  <c r="O228" i="2" a="1"/>
  <c r="O204" i="2" a="1"/>
  <c r="O757" i="2" a="1"/>
  <c r="O404" i="2" a="1"/>
  <c r="O1984" i="2" a="1"/>
  <c r="O1320" i="2" a="1"/>
  <c r="O384" i="2" a="1"/>
  <c r="O32" i="2" a="1"/>
  <c r="O310" i="2" a="1"/>
  <c r="O553" i="2" a="1"/>
  <c r="O2061" i="2" a="1"/>
  <c r="O105" i="2" a="1"/>
  <c r="O2135" i="2" a="1"/>
  <c r="O499" i="2" a="1"/>
  <c r="O492" i="2" a="1"/>
  <c r="O2117" i="2" a="1"/>
  <c r="O2043" i="2" a="1"/>
  <c r="O2274" i="2" a="1"/>
  <c r="O183" i="2" a="1"/>
  <c r="O2511" i="2" a="1"/>
  <c r="O1545" i="2" a="1"/>
  <c r="O357" i="2" a="1"/>
  <c r="O312" i="2" a="1"/>
  <c r="O2086" i="2" a="1"/>
  <c r="O882" i="2" a="1"/>
  <c r="O70" i="2" a="1"/>
  <c r="O222" i="2" a="1"/>
  <c r="O436" i="2" a="1"/>
  <c r="O1913" i="2" a="1"/>
  <c r="O1660" i="2" a="1"/>
  <c r="O208" i="2" a="1"/>
  <c r="O321" i="2" a="1"/>
  <c r="O852" i="2" a="1"/>
  <c r="O2720" i="2" a="1"/>
  <c r="O1764" i="2" a="1"/>
  <c r="O2338" i="2" a="1"/>
  <c r="O1408" i="2" a="1"/>
  <c r="O1386" i="2" a="1"/>
  <c r="O1863" i="2" a="1"/>
  <c r="O1909" i="2" a="1"/>
  <c r="O2789" i="2" a="1"/>
  <c r="O1955" i="2" a="1"/>
  <c r="O523" i="2" a="1"/>
  <c r="O2773" i="2" a="1"/>
  <c r="O1855" i="2" a="1"/>
  <c r="O920" i="2" a="1"/>
  <c r="O1631" i="2" a="1"/>
  <c r="O386" i="2" a="1"/>
  <c r="O925" i="2" a="1"/>
  <c r="O2215" i="2" a="1"/>
  <c r="O616" i="2" a="1"/>
  <c r="O1895" i="2" a="1"/>
  <c r="O2334" i="2" a="1"/>
  <c r="O1463" i="2" a="1"/>
  <c r="O1167" i="2" a="1"/>
  <c r="O2127" i="2" a="1"/>
  <c r="O1216" i="2" a="1"/>
  <c r="O2256" i="2" a="1"/>
  <c r="O1499" i="2" a="1"/>
  <c r="O711" i="2" a="1"/>
  <c r="O196" i="2" a="1"/>
  <c r="O1819" i="2" a="1"/>
  <c r="O1393" i="2" a="1"/>
  <c r="O1582" i="2" a="1"/>
  <c r="O1094" i="2" a="1"/>
  <c r="O2589" i="2" a="1"/>
  <c r="O691" i="2" a="1"/>
  <c r="O997" i="2" a="1"/>
  <c r="O900" i="2" a="1"/>
  <c r="O1019" i="2" a="1"/>
  <c r="O2379" i="2" a="1"/>
  <c r="O20" i="2" a="1"/>
  <c r="O1717" i="2" a="1"/>
  <c r="O2293" i="2" a="1"/>
  <c r="O2263" i="2" a="1"/>
  <c r="O829" i="2" a="1"/>
  <c r="O2139" i="2" a="1"/>
  <c r="O1451" i="2" a="1"/>
  <c r="O2384" i="2" a="1"/>
  <c r="O572" i="2" a="1"/>
  <c r="O2109" i="2" a="1"/>
  <c r="O2759" i="2" a="1"/>
  <c r="O185" i="2" a="1"/>
  <c r="O468" i="2" a="1"/>
  <c r="O1798" i="2" a="1"/>
  <c r="O2246" i="2" a="1"/>
  <c r="O2440" i="2" a="1"/>
  <c r="O819" i="2" a="1"/>
  <c r="O825" i="2" a="1"/>
  <c r="O2286" i="2" a="1"/>
  <c r="O1831" i="2" a="1"/>
  <c r="O609" i="2" a="1"/>
  <c r="O1619" i="2" a="1"/>
  <c r="O1354" i="2" a="1"/>
  <c r="O612" i="2" a="1"/>
  <c r="O884" i="2" a="1"/>
  <c r="O102" i="2" a="1"/>
  <c r="O2074" i="2" a="1"/>
  <c r="O1149" i="2" a="1"/>
  <c r="O63" i="2" a="1"/>
  <c r="O255" i="2" a="1"/>
  <c r="O1096" i="2" a="1"/>
  <c r="O1129" i="2" a="1"/>
  <c r="O1763" i="2" a="1"/>
  <c r="O1930" i="2" a="1"/>
  <c r="O570" i="2" a="1"/>
  <c r="O2191" i="2" a="1"/>
  <c r="O751" i="2" a="1"/>
  <c r="O1509" i="2" a="1"/>
  <c r="O606" i="2" a="1"/>
  <c r="O120" i="2" a="1"/>
  <c r="O1017" i="2" a="1"/>
  <c r="O377" i="2" a="1"/>
  <c r="O2318" i="2" a="1"/>
  <c r="O987" i="2" a="1"/>
  <c r="O1770" i="2" a="1"/>
  <c r="O2247" i="2" a="1"/>
  <c r="O141" i="2" a="1"/>
  <c r="O671" i="2" a="1"/>
  <c r="O626" i="2" a="1"/>
  <c r="O1928" i="2" a="1"/>
  <c r="O1497" i="2" a="1"/>
  <c r="O1032" i="2" a="1"/>
  <c r="O2047" i="2" a="1"/>
  <c r="O1716" i="2" a="1"/>
  <c r="O489" i="2" a="1"/>
  <c r="O215" i="2" a="1"/>
  <c r="O846" i="2" a="1"/>
  <c r="O1384" i="2" a="1"/>
  <c r="O528" i="2" a="1"/>
  <c r="O728" i="2" a="1"/>
  <c r="O1676" i="2" a="1"/>
  <c r="O2788" i="2" a="1"/>
  <c r="O1025" i="2" a="1"/>
  <c r="O2350" i="2" a="1"/>
  <c r="O191" i="2" a="1"/>
  <c r="O162" i="2" a="1"/>
  <c r="O639" i="2" a="1"/>
  <c r="O2637" i="2" a="1"/>
  <c r="O2037" i="2" a="1"/>
  <c r="O1256" i="2" a="1"/>
  <c r="O2382" i="2" a="1"/>
  <c r="O2636" i="2" a="1"/>
  <c r="O1139" i="2" a="1"/>
  <c r="O2012" i="2" a="1"/>
  <c r="O2571" i="2" a="1"/>
  <c r="O149" i="2" a="1"/>
  <c r="O1783" i="2" a="1"/>
  <c r="O1215" i="2" a="1"/>
  <c r="O1362" i="2" a="1"/>
  <c r="O22" i="2" a="1"/>
  <c r="O2009" i="2" a="1"/>
  <c r="O1683" i="2" a="1"/>
  <c r="O941" i="2" a="1"/>
  <c r="O1794" i="2" a="1"/>
  <c r="O1566" i="2" a="1"/>
  <c r="O643" i="2" a="1"/>
  <c r="O1348" i="2" a="1"/>
  <c r="O1664" i="2" a="1"/>
  <c r="O315" i="2" a="1"/>
  <c r="O2190" i="2" a="1"/>
  <c r="O2594" i="2" a="1"/>
  <c r="O1203" i="2" a="1"/>
  <c r="O282" i="2" a="1"/>
  <c r="O1689" i="2" a="1"/>
  <c r="O902" i="2" a="1"/>
  <c r="O2613" i="2" a="1"/>
  <c r="O2214" i="2" a="1"/>
  <c r="O596" i="2" a="1"/>
  <c r="O2306" i="2" a="1"/>
  <c r="O2516" i="2" a="1"/>
  <c r="O2441" i="2" a="1"/>
  <c r="O279" i="2" a="1"/>
  <c r="O2505" i="2" a="1"/>
  <c r="O2709" i="2" a="1"/>
  <c r="O2492" i="2" a="1"/>
  <c r="O470" i="2" a="1"/>
  <c r="O2370" i="2" a="1"/>
  <c r="O2069" i="2" a="1"/>
  <c r="O1711" i="2" a="1"/>
  <c r="O1047" i="2" a="1"/>
  <c r="O2676" i="2" a="1"/>
  <c r="O1739" i="2" a="1"/>
  <c r="O7" i="2" a="1"/>
  <c r="O582" i="2" a="1"/>
  <c r="O1325" i="2" a="1"/>
  <c r="O1780" i="2" a="1"/>
  <c r="O2554" i="2" a="1"/>
  <c r="O510" i="2" a="1"/>
  <c r="O1039" i="2" a="1"/>
  <c r="O1250" i="2" a="1"/>
  <c r="O1166" i="2" a="1"/>
  <c r="O472" i="2" a="1"/>
  <c r="O230" i="2" a="1"/>
  <c r="O1808" i="2" a="1"/>
  <c r="O2533" i="2" a="1"/>
  <c r="O748" i="2" a="1"/>
  <c r="O1324" i="2" a="1"/>
  <c r="O1407" i="2" a="1"/>
  <c r="O2033" i="2" a="1"/>
  <c r="O163" i="2" a="1"/>
  <c r="O145" i="2" a="1"/>
  <c r="O269" i="2" a="1"/>
  <c r="O268" i="2" a="1"/>
  <c r="O732" i="2" a="1"/>
  <c r="O773" i="2" a="1"/>
  <c r="O1156" i="2" a="1"/>
  <c r="O1128" i="2" a="1"/>
  <c r="O694" i="2" a="1"/>
  <c r="O2706" i="2" a="1"/>
  <c r="O2840" i="2" a="1"/>
  <c r="O2267" i="2" a="1"/>
  <c r="O1186" i="2" a="1"/>
  <c r="O248" i="2" a="1"/>
  <c r="O2123" i="2" a="1"/>
  <c r="O272" i="2" a="1"/>
  <c r="O2493" i="2" a="1"/>
  <c r="O28" i="2" a="1"/>
  <c r="O2364" i="2" a="1"/>
  <c r="O1510" i="2" a="1"/>
  <c r="O2621" i="2" a="1"/>
  <c r="O173" i="2" a="1"/>
  <c r="O1567" i="2" a="1"/>
  <c r="O1687" i="2" a="1"/>
  <c r="O375" i="2" a="1"/>
  <c r="O1557" i="2" a="1"/>
  <c r="O2576" i="2" a="1"/>
  <c r="O1680" i="2" a="1"/>
  <c r="O1864" i="2" a="1"/>
  <c r="O2736" i="2" a="1"/>
  <c r="O250" i="2" a="1"/>
  <c r="O2252" i="2" a="1"/>
  <c r="O2536" i="2" a="1"/>
  <c r="O1333" i="2" a="1"/>
  <c r="O591" i="2" a="1"/>
  <c r="O1705" i="2" a="1"/>
  <c r="O794" i="2" a="1"/>
  <c r="O1613" i="2" a="1"/>
  <c r="O311" i="2" a="1"/>
  <c r="O2777" i="2" a="1"/>
  <c r="O1977" i="2" a="1"/>
  <c r="O1618" i="2" a="1"/>
  <c r="O1490" i="2" a="1"/>
  <c r="O326" i="2" a="1"/>
  <c r="O547" i="2" a="1"/>
  <c r="O1992" i="2" a="1"/>
  <c r="O441" i="2" a="1"/>
  <c r="O1884" i="2" a="1"/>
  <c r="O2454" i="2" a="1"/>
  <c r="O1488" i="2" a="1"/>
  <c r="O2270" i="2" a="1"/>
  <c r="O534" i="2" a="1"/>
  <c r="O1669" i="2" a="1"/>
  <c r="O111" i="2" a="1"/>
  <c r="O793" i="2" a="1"/>
  <c r="O2675" i="2" a="1"/>
  <c r="O1573" i="2" a="1"/>
  <c r="O881" i="2" a="1"/>
  <c r="O1489" i="2" a="1"/>
  <c r="O539" i="2" a="1"/>
  <c r="O52" i="2" a="1"/>
  <c r="O762" i="2" a="1"/>
  <c r="O1024" i="2" a="1"/>
  <c r="O743" i="2" a="1"/>
  <c r="O2529" i="2" a="1"/>
  <c r="O520" i="2" a="1"/>
  <c r="O1033" i="2" a="1"/>
  <c r="O697" i="2" a="1"/>
  <c r="O1518" i="2" a="1"/>
  <c r="O1420" i="2" a="1"/>
  <c r="O455" i="2" a="1"/>
  <c r="O231" i="2" a="1"/>
  <c r="O2045" i="2" a="1"/>
  <c r="O2337" i="2" a="1"/>
  <c r="O1657" i="2" a="1"/>
  <c r="O82" i="2" a="1"/>
  <c r="O1715" i="2" a="1"/>
  <c r="O1630" i="2" a="1"/>
  <c r="O3" i="2" a="1"/>
  <c r="O2213" i="2" a="1"/>
  <c r="O2652" i="2" a="1"/>
  <c r="O80" i="2" a="1"/>
  <c r="O431" i="2" a="1"/>
  <c r="O975" i="2" a="1"/>
  <c r="O1525" i="2" a="1"/>
  <c r="O1735" i="2" a="1"/>
  <c r="O1851" i="2" a="1"/>
  <c r="O238" i="2" a="1"/>
  <c r="O2106" i="2" a="1"/>
  <c r="O1225" i="2" a="1"/>
  <c r="O809" i="2" a="1"/>
  <c r="O989" i="2" a="1"/>
  <c r="O1468" i="2" a="1"/>
  <c r="O998" i="2" a="1"/>
  <c r="O1316" i="2" a="1"/>
  <c r="O93" i="2" a="1"/>
  <c r="O2578" i="2" a="1"/>
  <c r="O497" i="2" a="1"/>
  <c r="O2825" i="2" a="1"/>
  <c r="O1198" i="2" a="1"/>
  <c r="O1792" i="2" a="1"/>
  <c r="O2150" i="2" a="1"/>
  <c r="O1184" i="2" a="1"/>
  <c r="O1549" i="2" a="1"/>
  <c r="O40" i="2" a="1"/>
  <c r="O1177" i="2" a="1"/>
  <c r="O562" i="2" a="1"/>
  <c r="O589" i="2" a="1"/>
  <c r="O2229" i="2" a="1"/>
  <c r="O2290" i="2" a="1"/>
  <c r="O1849" i="2" a="1"/>
  <c r="O167" i="2" a="1"/>
  <c r="O1885" i="2" a="1"/>
  <c r="O128" i="2" a="1"/>
  <c r="O2757" i="2" a="1"/>
  <c r="O2711" i="2" a="1"/>
  <c r="O1546" i="2" a="1"/>
  <c r="O1857" i="2" a="1"/>
  <c r="O1765" i="2" a="1"/>
  <c r="O2096" i="2" a="1"/>
  <c r="O1917" i="2" a="1"/>
  <c r="O1632" i="2" a="1"/>
  <c r="O1967" i="2" a="1"/>
  <c r="O397" i="2" a="1"/>
  <c r="O313" i="2" a="1"/>
  <c r="O2564" i="2" a="1"/>
  <c r="O2298" i="2" a="1"/>
  <c r="O1365" i="2" a="1"/>
  <c r="O1051" i="2" a="1"/>
  <c r="O229" i="2" a="1"/>
  <c r="O1496" i="2" a="1"/>
  <c r="O84" i="2" a="1"/>
  <c r="O1564" i="2" a="1"/>
  <c r="O2332" i="2" a="1"/>
  <c r="O1287" i="2" a="1"/>
  <c r="O827" i="2" a="1"/>
  <c r="O864" i="2" a="1"/>
  <c r="O2362" i="2" a="1"/>
  <c r="O2606" i="2" a="1"/>
  <c r="O11" i="2" a="1"/>
  <c r="O403" i="2" a="1"/>
  <c r="O1891" i="2" a="1"/>
  <c r="O1006" i="2" a="1"/>
  <c r="O2484" i="2" a="1"/>
  <c r="O953" i="2" a="1"/>
  <c r="O955" i="2" a="1"/>
  <c r="O949" i="2" a="1"/>
  <c r="O2185" i="2" a="1"/>
  <c r="O1868" i="2" a="1"/>
  <c r="O2500" i="2" a="1"/>
  <c r="O958" i="2" a="1"/>
  <c r="O2713" i="2" a="1"/>
  <c r="O2563" i="2" a="1"/>
  <c r="O1237" i="2" a="1"/>
  <c r="O502" i="2" a="1"/>
  <c r="O352" i="2" a="1"/>
  <c r="O2617" i="2" a="1"/>
  <c r="O994" i="2" a="1"/>
  <c r="O309" i="2" a="1"/>
  <c r="O1137" i="2" a="1"/>
  <c r="O314" i="2" a="1"/>
  <c r="O2082" i="2" a="1"/>
  <c r="O2211" i="2" a="1"/>
  <c r="O2482" i="2" a="1"/>
  <c r="O471" i="2" a="1"/>
  <c r="O2437" i="2" a="1"/>
  <c r="O2753" i="2" a="1"/>
  <c r="O2147" i="2" a="1"/>
  <c r="O598" i="2" a="1"/>
  <c r="O29" i="2" a="1"/>
  <c r="O1005" i="2" a="1"/>
  <c r="O1627" i="2" a="1"/>
  <c r="O2541" i="2" a="1"/>
  <c r="O1643" i="2" a="1"/>
  <c r="O1655" i="2" a="1"/>
  <c r="O1629" i="2" a="1"/>
  <c r="O972" i="2" a="1"/>
  <c r="O2272" i="2" a="1"/>
  <c r="O1659" i="2" a="1"/>
  <c r="O2581" i="2" a="1"/>
  <c r="O1028" i="2" a="1"/>
  <c r="O2575" i="2" a="1"/>
  <c r="O395" i="2" a="1"/>
  <c r="O680" i="2" a="1"/>
  <c r="O1376" i="2" a="1"/>
  <c r="O2154" i="2" a="1"/>
  <c r="O1466" i="2" a="1"/>
  <c r="O792" i="2" a="1"/>
  <c r="O1467" i="2" a="1"/>
  <c r="O1001" i="2" a="1"/>
  <c r="O1965" i="2" a="1"/>
  <c r="O2684" i="2" a="1"/>
  <c r="O1793" i="2" a="1"/>
  <c r="O51" i="2" a="1"/>
  <c r="O1944" i="2" a="1"/>
  <c r="O2797" i="2" a="1"/>
  <c r="O731" i="2" a="1"/>
  <c r="O684" i="2" a="1"/>
  <c r="O1213" i="2" a="1"/>
  <c r="O1801" i="2" a="1"/>
  <c r="O1114" i="2" a="1"/>
  <c r="O379" i="2" a="1"/>
  <c r="O1328" i="2" a="1"/>
  <c r="O1249" i="2" a="1"/>
  <c r="O1339" i="2" a="1"/>
  <c r="O475" i="2" a="1"/>
  <c r="O1257" i="2" a="1"/>
  <c r="O2502" i="2" a="1"/>
  <c r="O334" i="2" a="1"/>
  <c r="O1714" i="2" a="1"/>
  <c r="O943" i="2" a="1"/>
  <c r="O1882" i="2" a="1"/>
  <c r="O2751" i="2" a="1"/>
  <c r="O177" i="2" a="1"/>
  <c r="O411" i="2" a="1"/>
  <c r="O1575" i="2" a="1"/>
  <c r="O2483" i="2" a="1"/>
  <c r="O1892" i="2" a="1"/>
  <c r="O2524" i="2" a="1"/>
  <c r="O2656" i="2" a="1"/>
  <c r="O2146" i="2" a="1"/>
  <c r="O343" i="2" a="1"/>
  <c r="O35" i="2" a="1"/>
  <c r="O1933" i="2" a="1"/>
  <c r="O888" i="2" a="1"/>
  <c r="O1411" i="2" a="1"/>
  <c r="O95" i="2" a="1"/>
  <c r="O2682" i="2" a="1"/>
  <c r="O2655" i="2" a="1"/>
  <c r="O409" i="2" a="1"/>
  <c r="O1614" i="2" a="1"/>
  <c r="O1108" i="2" a="1"/>
  <c r="O2060" i="2" a="1"/>
  <c r="O2169" i="2" a="1"/>
  <c r="O563" i="2" a="1"/>
  <c r="O48" i="2" a="1"/>
  <c r="O2434" i="2" a="1"/>
  <c r="O2745" i="2" a="1"/>
  <c r="O1748" i="2" a="1"/>
  <c r="O2678" i="2" a="1"/>
  <c r="O745" i="2" a="1"/>
  <c r="O2481" i="2" a="1"/>
  <c r="O2314" i="2" a="1"/>
  <c r="O1303" i="2" a="1"/>
  <c r="O2288" i="2" a="1"/>
  <c r="O2308" i="2" a="1"/>
  <c r="O340" i="2" a="1"/>
  <c r="O1214" i="2" a="1"/>
  <c r="O727" i="2" a="1"/>
  <c r="O266" i="2" a="1"/>
  <c r="O389" i="2" a="1"/>
  <c r="O1899" i="2" a="1"/>
  <c r="O654" i="2" a="1"/>
  <c r="O2488" i="2" a="1"/>
  <c r="O962" i="2" a="1"/>
  <c r="O957" i="2" a="1"/>
  <c r="O967" i="2" a="1"/>
  <c r="O2192" i="2" a="1"/>
  <c r="O1254" i="2" a="1"/>
  <c r="O1571" i="2" a="1"/>
  <c r="O2167" i="2" a="1"/>
  <c r="O2164" i="2" a="1"/>
  <c r="O262" i="2" a="1"/>
  <c r="O1481" i="2" a="1"/>
  <c r="O2196" i="2" a="1"/>
  <c r="O906" i="2" a="1"/>
  <c r="O879" i="2" a="1"/>
  <c r="O76" i="2" a="1"/>
  <c r="O221" i="2" a="1"/>
  <c r="O1960" i="2" a="1"/>
  <c r="O1360" i="2" a="1"/>
  <c r="O554" i="2" a="1"/>
  <c r="O1971" i="2" a="1"/>
  <c r="O1503" i="2" a="1"/>
  <c r="O724" i="2" a="1"/>
  <c r="O99" i="2" a="1"/>
  <c r="O168" i="2" a="1"/>
  <c r="O2477" i="2" a="1"/>
  <c r="O1297" i="2" a="1"/>
  <c r="O31" i="2" a="1"/>
  <c r="O1007" i="2" a="1"/>
  <c r="O1927" i="2" a="1"/>
  <c r="O2543" i="2" a="1"/>
  <c r="O296" i="2" a="1"/>
  <c r="O1675" i="2" a="1"/>
  <c r="O2067" i="2" a="1"/>
  <c r="O2220" i="2" a="1"/>
  <c r="O2025" i="2" a="1"/>
  <c r="O333" i="2" a="1"/>
  <c r="O2685" i="2" a="1"/>
  <c r="O772" i="2" a="1"/>
  <c r="O251" i="2" a="1"/>
  <c r="O106" i="2" a="1"/>
  <c r="O1574" i="2" a="1"/>
  <c r="O531" i="2" a="1"/>
  <c r="O1480" i="2" a="1"/>
  <c r="O1356" i="2" a="1"/>
  <c r="O2279" i="2" a="1"/>
  <c r="O1396" i="2" a="1"/>
  <c r="O722" i="2" a="1"/>
  <c r="O1300" i="2" a="1"/>
  <c r="O1389" i="2" a="1"/>
  <c r="O2415" i="2" a="1"/>
  <c r="O2661" i="2" a="1"/>
  <c r="O299" i="2" a="1"/>
  <c r="O152" i="2" a="1"/>
  <c r="O1409" i="2" a="1"/>
  <c r="O1401" i="2" a="1"/>
  <c r="O491" i="2" a="1"/>
  <c r="O1369" i="2" a="1"/>
  <c r="O1639" i="2" a="1"/>
  <c r="O2705" i="2" a="1"/>
  <c r="O2610" i="2" a="1"/>
  <c r="O38" i="2" a="1"/>
  <c r="O1443" i="2" a="1"/>
  <c r="O2523" i="2" a="1"/>
  <c r="O686" i="2" a="1"/>
  <c r="O2143" i="2" a="1"/>
  <c r="O9" i="2" a="1"/>
  <c r="O1889" i="2" a="1"/>
  <c r="O1258" i="2" a="1"/>
  <c r="O2485" i="2" a="1"/>
  <c r="O1597" i="2" a="1"/>
  <c r="O823" i="2" a="1"/>
  <c r="O2200" i="2" a="1"/>
  <c r="O355" i="2" a="1"/>
  <c r="O1307" i="2" a="1"/>
  <c r="O676" i="2" a="1"/>
  <c r="O2205" i="2" a="1"/>
  <c r="O13" i="2" a="1"/>
  <c r="O1314" i="2" a="1"/>
  <c r="O1113" i="2" a="1"/>
  <c r="O1355" i="2" a="1"/>
  <c r="O2600" i="2" a="1"/>
  <c r="O1079" i="2" a="1"/>
  <c r="O110" i="2" a="1"/>
  <c r="O1278" i="2" a="1"/>
  <c r="O43" i="2" a="1"/>
  <c r="O2182" i="2" a="1"/>
  <c r="O421" i="2" a="1"/>
  <c r="O760" i="2" a="1"/>
  <c r="O2170" i="2" a="1"/>
  <c r="O2195" i="2" a="1"/>
  <c r="O2027" i="2" a="1"/>
  <c r="O1530" i="2" a="1"/>
  <c r="O1531" i="2" a="1"/>
  <c r="O1617" i="2" a="1"/>
  <c r="O2307" i="2" a="1"/>
  <c r="O2245" i="2" a="1"/>
  <c r="O2149" i="2" a="1"/>
  <c r="O2239" i="2" a="1"/>
  <c r="O358" i="2" a="1"/>
  <c r="O55" i="2" a="1"/>
  <c r="O1620" i="2" a="1"/>
  <c r="O85" i="2" a="1"/>
  <c r="O1800" i="2" a="1"/>
  <c r="O543" i="2" a="1"/>
  <c r="O1553" i="2" a="1"/>
  <c r="O401" i="2" a="1"/>
  <c r="O1275" i="2" a="1"/>
  <c r="O645" i="2" a="1"/>
  <c r="O2496" i="2" a="1"/>
  <c r="O931" i="2" a="1"/>
  <c r="O959" i="2" a="1"/>
  <c r="O2155" i="2" a="1"/>
  <c r="O2515" i="2" a="1"/>
  <c r="O1277" i="2" a="1"/>
  <c r="O1578" i="2" a="1"/>
  <c r="O2186" i="2" a="1"/>
  <c r="O576" i="2" a="1"/>
  <c r="O159" i="2" a="1"/>
  <c r="O1688" i="2" a="1"/>
  <c r="O1883" i="2" a="1"/>
  <c r="O999" i="2" a="1"/>
  <c r="O1290" i="2" a="1"/>
  <c r="O2313" i="2" a="1"/>
  <c r="O72" i="2" a="1"/>
  <c r="O422" i="2" a="1"/>
  <c r="O2035" i="2" a="1"/>
  <c r="O512" i="2" a="1"/>
  <c r="O1329" i="2" a="1"/>
  <c r="O1656" i="2" a="1"/>
  <c r="O2358" i="2" a="1"/>
  <c r="O1925" i="2" a="1"/>
  <c r="O382" i="2" a="1"/>
  <c r="O2102" i="2" a="1"/>
  <c r="O1755" i="2" a="1"/>
  <c r="O2408" i="2" a="1"/>
  <c r="O669" i="2" a="1"/>
  <c r="O1963" i="2" a="1"/>
  <c r="O2113" i="2" a="1"/>
  <c r="O714" i="2" a="1"/>
  <c r="O620" i="2" a="1"/>
  <c r="O242" i="2" a="1"/>
  <c r="O555" i="2" a="1"/>
  <c r="O2044" i="2" a="1"/>
  <c r="O734" i="2" a="1"/>
  <c r="O1067" i="2" a="1"/>
  <c r="O327" i="2" a="1"/>
  <c r="O1157" i="2" a="1"/>
  <c r="O1718" i="2" a="1"/>
  <c r="O2019" i="2" a="1"/>
  <c r="O2732" i="2" a="1"/>
  <c r="O2265" i="2" a="1"/>
  <c r="O2268" i="2" a="1"/>
  <c r="O1170" i="2" a="1"/>
  <c r="O2249" i="2" a="1"/>
  <c r="O2666" i="2" a="1"/>
  <c r="O1725" i="2" a="1"/>
  <c r="O2368" i="2" a="1"/>
  <c r="O573" i="2" a="1"/>
  <c r="O2104" i="2" a="1"/>
  <c r="O544" i="2" a="1"/>
  <c r="O17" i="2" a="1"/>
  <c r="O1897" i="2" a="1"/>
  <c r="O1266" i="2" a="1"/>
  <c r="O2487" i="2" a="1"/>
  <c r="O1602" i="2" a="1"/>
  <c r="O660" i="2" a="1"/>
  <c r="O1084" i="2" a="1"/>
  <c r="O584" i="2" a="1"/>
  <c r="O2011" i="2" a="1"/>
  <c r="O2480" i="2" a="1"/>
  <c r="O2787" i="2" a="1"/>
  <c r="O2405" i="2" a="1"/>
  <c r="O2271" i="2" a="1"/>
  <c r="O2838" i="2" a="1"/>
  <c r="O659" i="2" a="1"/>
  <c r="O1004" i="2" a="1"/>
  <c r="O1091" i="2" a="1"/>
  <c r="O730" i="2" a="1"/>
  <c r="O2114" i="2" a="1"/>
  <c r="O100" i="2" a="1"/>
  <c r="O1981" i="2" a="1"/>
  <c r="O1125" i="2" a="1"/>
  <c r="O77" i="2" a="1"/>
  <c r="O1598" i="2" a="1"/>
  <c r="O2001" i="2" a="1"/>
  <c r="O424" i="2" a="1"/>
  <c r="O1335" i="2" a="1"/>
  <c r="O635" i="2" a="1"/>
  <c r="O1460" i="2" a="1"/>
  <c r="O291" i="2" a="1"/>
  <c r="O1811" i="2" a="1"/>
  <c r="O1220" i="2" a="1"/>
  <c r="O871" i="2" a="1"/>
  <c r="O160" i="2" a="1"/>
  <c r="O1075" i="2" a="1"/>
  <c r="O2817" i="2" a="1"/>
  <c r="O1850" i="2" a="1"/>
  <c r="O419" i="2" a="1"/>
  <c r="O1276" i="2" a="1"/>
  <c r="O649" i="2" a="1"/>
  <c r="O2498" i="2" a="1"/>
  <c r="O934" i="2" a="1"/>
  <c r="O1210" i="2" a="1"/>
  <c r="O2165" i="2" a="1"/>
  <c r="O4" i="2" a="1"/>
  <c r="O1279" i="2" a="1"/>
  <c r="O1588" i="2" a="1"/>
  <c r="O657" i="2" a="1"/>
  <c r="O1189" i="2" a="1"/>
  <c r="O1606" i="2" a="1"/>
  <c r="O104" i="2" a="1"/>
  <c r="O2254" i="2" a="1"/>
  <c r="O771" i="2" a="1"/>
  <c r="O656" i="2" a="1"/>
  <c r="O2287" i="2" a="1"/>
  <c r="O66" i="2" a="1"/>
  <c r="O1768" i="2" a="1"/>
  <c r="O2036" i="2" a="1"/>
  <c r="O2129" i="2" a="1"/>
  <c r="O1449" i="2" a="1"/>
  <c r="O2506" i="2" a="1"/>
  <c r="O1440" i="2" a="1"/>
  <c r="O1071" i="2" a="1"/>
  <c r="O498" i="2" a="1"/>
  <c r="O485" i="2" a="1"/>
  <c r="O193" i="2" a="1"/>
  <c r="O285" i="2" a="1"/>
  <c r="O2333" i="2" a="1"/>
  <c r="O971" i="2" a="1"/>
  <c r="O614" i="2" a="1"/>
  <c r="O1624" i="2" a="1"/>
  <c r="O841" i="2" a="1"/>
  <c r="O332" i="2" a="1"/>
  <c r="O607" i="2" a="1"/>
  <c r="O2377" i="2" a="1"/>
  <c r="O1352" i="2" a="1"/>
  <c r="O176" i="2" a="1"/>
  <c r="O480" i="2" a="1"/>
  <c r="O754" i="2" a="1"/>
  <c r="O693" i="2" a="1"/>
  <c r="O130" i="2" a="1"/>
  <c r="O1548" i="2" a="1"/>
  <c r="O2710" i="2" a="1"/>
  <c r="O1652" i="2" a="1"/>
  <c r="O374" i="2" a="1"/>
  <c r="O184" i="2" a="1"/>
  <c r="O1898" i="2" a="1"/>
  <c r="O652" i="2" a="1"/>
  <c r="O2491" i="2" a="1"/>
  <c r="O1592" i="2" a="1"/>
  <c r="O951" i="2" a="1"/>
  <c r="O2174" i="2" a="1"/>
  <c r="O658" i="2" a="1"/>
  <c r="O1877" i="2" a="1"/>
  <c r="O2080" i="2" a="1"/>
  <c r="O1817" i="2" a="1"/>
  <c r="O1539" i="2" a="1"/>
  <c r="O435" i="2" a="1"/>
  <c r="O930" i="2" a="1"/>
  <c r="O1937" i="2" a="1"/>
  <c r="O2161" i="2" a="1"/>
  <c r="O1450" i="2" a="1"/>
  <c r="O516" i="2" a="1"/>
  <c r="O467" i="2" a="1"/>
  <c r="O1138" i="2" a="1"/>
  <c r="O202" i="2" a="1"/>
  <c r="O1228" i="2" a="1"/>
  <c r="O2282" i="2" a="1"/>
  <c r="O667" i="2" a="1"/>
  <c r="O2809" i="2" a="1"/>
  <c r="O2105" i="2" a="1"/>
  <c r="O1666" i="2" a="1"/>
  <c r="O2042" i="2" a="1"/>
  <c r="O2233" i="2" a="1"/>
  <c r="O717" i="2" a="1"/>
  <c r="O1239" i="2" a="1"/>
  <c r="O2152" i="2" a="1"/>
  <c r="O627" i="2" a="1"/>
  <c r="O2746" i="2" a="1"/>
  <c r="O2294" i="2" a="1"/>
  <c r="O1265" i="2" a="1"/>
  <c r="O2567" i="2" a="1"/>
  <c r="O1932" i="2" a="1"/>
  <c r="O814" i="2" a="1"/>
  <c r="O1242" i="2" a="1"/>
  <c r="O837" i="2" a="1"/>
  <c r="O1720" i="2" a="1"/>
  <c r="O139" i="2" a="1"/>
  <c r="O2687" i="2" a="1"/>
  <c r="O976" i="2" a="1"/>
  <c r="O1086" i="2" a="1"/>
  <c r="O2224" i="2" a="1"/>
  <c r="O2430" i="2" a="1"/>
  <c r="O2153" i="2" a="1"/>
  <c r="O960" i="2" a="1"/>
  <c r="O1491" i="2" a="1"/>
  <c r="O2217" i="2" a="1"/>
  <c r="O1787" i="2" a="1"/>
  <c r="O1563" i="2" a="1"/>
  <c r="O1772" i="2" a="1"/>
  <c r="O1245" i="2" a="1"/>
  <c r="O2023" i="2" a="1"/>
  <c r="O1073" i="2" a="1"/>
  <c r="O1394" i="2" a="1"/>
  <c r="O1826" i="2" a="1"/>
  <c r="O1336" i="2" a="1"/>
  <c r="O2349" i="2" a="1"/>
  <c r="O164" i="2" a="1"/>
  <c r="O661" i="2" a="1"/>
  <c r="O1873" i="2" a="1"/>
  <c r="O662" i="2" a="1"/>
  <c r="O2758" i="2" a="1"/>
  <c r="O926" i="2" a="1"/>
  <c r="O2181" i="2" a="1"/>
  <c r="O2765" i="2" a="1"/>
  <c r="O1201" i="2" a="1"/>
  <c r="O1229" i="2" a="1"/>
  <c r="O1130" i="2" a="1"/>
  <c r="O430" i="2" a="1"/>
  <c r="O692" i="2" a="1"/>
  <c r="O1281" i="2" a="1"/>
  <c r="O1834" i="2" a="1"/>
  <c r="O1372" i="2" a="1"/>
  <c r="O121" i="2" a="1"/>
  <c r="O824" i="2" a="1"/>
  <c r="O1719" i="2" a="1"/>
  <c r="O666" i="2" a="1"/>
  <c r="O86" i="2" a="1"/>
  <c r="O2513" i="2" a="1"/>
  <c r="O2603" i="2" a="1"/>
  <c r="O2039" i="2" a="1"/>
  <c r="O319" i="2" a="1"/>
  <c r="O564" i="2" a="1"/>
  <c r="O1541" i="2" a="1"/>
  <c r="O277" i="2" a="1"/>
  <c r="O1526" i="2" a="1"/>
  <c r="O887" i="2" a="1"/>
  <c r="O2407" i="2" a="1"/>
  <c r="O483" i="2" a="1"/>
  <c r="O795" i="2" a="1"/>
  <c r="O2830" i="2" a="1"/>
  <c r="O2584" i="2" a="1"/>
  <c r="O1771" i="2" a="1"/>
  <c r="O2693" i="2" a="1"/>
  <c r="O2708" i="2" a="1"/>
  <c r="O1224" i="2" a="1"/>
  <c r="O2038" i="2" a="1"/>
  <c r="O2311" i="2" a="1"/>
  <c r="O354" i="2" a="1"/>
  <c r="O1888" i="2" a="1"/>
  <c r="O133" i="2" a="1"/>
  <c r="O1311" i="2" a="1"/>
  <c r="O892" i="2" a="1"/>
  <c r="O1133" i="2" a="1"/>
  <c r="O767" i="2" a="1"/>
  <c r="O1915" i="2" a="1"/>
  <c r="O1412" i="2" a="1"/>
  <c r="O917" i="2" a="1"/>
  <c r="O448" i="2" a="1"/>
  <c r="O2833" i="2" a="1"/>
  <c r="O2814" i="2" a="1"/>
  <c r="O2240" i="2" a="1"/>
  <c r="O2509" i="2" a="1"/>
  <c r="O220" i="2" a="1"/>
  <c r="O1777" i="2" a="1"/>
  <c r="O1550" i="2" a="1"/>
  <c r="O2316" i="2" a="1"/>
  <c r="O514" i="2" a="1"/>
  <c r="O1492" i="2" a="1"/>
  <c r="O2064" i="2" a="1"/>
  <c r="O664" i="2" a="1"/>
  <c r="O2501" i="2" a="1"/>
  <c r="O933" i="2" a="1"/>
  <c r="O929" i="2" a="1"/>
  <c r="O753" i="2" a="1"/>
  <c r="O469" i="2" a="1"/>
  <c r="O2433" i="2" a="1"/>
  <c r="O361" i="2" a="1"/>
  <c r="O1251" i="2" a="1"/>
  <c r="O1779" i="2" a="1"/>
  <c r="O1929" i="2" a="1"/>
  <c r="O2812" i="2" a="1"/>
  <c r="O880" i="2" a="1"/>
  <c r="O1591" i="2" a="1"/>
  <c r="O1437" i="2" a="1"/>
  <c r="O91" i="2" a="1"/>
  <c r="O2716" i="2" a="1"/>
  <c r="O1662" i="2" a="1"/>
  <c r="O1637" i="2" a="1"/>
  <c r="O991" i="2" a="1"/>
  <c r="O1752" i="2" a="1"/>
  <c r="O1456" i="2" a="1"/>
  <c r="O621" i="2" a="1"/>
  <c r="O2335" i="2" a="1"/>
  <c r="O1063" i="2" a="1"/>
  <c r="O92" i="2" a="1"/>
  <c r="O174" i="2" a="1"/>
  <c r="O428" i="2" a="1"/>
  <c r="O1398" i="2" a="1"/>
  <c r="O778" i="2" a="1"/>
  <c r="O709" i="2" a="1"/>
  <c r="O1327" i="2" a="1"/>
  <c r="O2184" i="2" a="1"/>
  <c r="O2791" i="2" a="1"/>
  <c r="O1432" i="2" a="1"/>
  <c r="O2486" i="2" a="1"/>
  <c r="O2008" i="2" a="1"/>
  <c r="O1117" i="2" a="1"/>
  <c r="O1776" i="2" a="1"/>
  <c r="O447" i="2" a="1"/>
  <c r="O1733" i="2" a="1"/>
  <c r="O2303" i="2" a="1"/>
  <c r="O2425" i="2" a="1"/>
  <c r="O2819" i="2" a="1"/>
  <c r="O603" i="2" a="1"/>
  <c r="O2778" i="2" a="1"/>
  <c r="O46" i="2" a="1"/>
  <c r="O1243" i="2" a="1"/>
  <c r="O1052" i="2" a="1"/>
  <c r="O367" i="2" a="1"/>
  <c r="O2634" i="2" a="1"/>
  <c r="O1740" i="2" a="1"/>
  <c r="O1757" i="2" a="1"/>
  <c r="O1824" i="2" a="1"/>
  <c r="O1102" i="2" a="1"/>
  <c r="O107" i="2" a="1"/>
  <c r="O2138" i="2" a="1"/>
  <c r="O2203" i="2" a="1"/>
  <c r="O644" i="2" a="1"/>
  <c r="O617" i="2" a="1"/>
  <c r="O1367" i="2" a="1"/>
  <c r="O1410" i="2" a="1"/>
  <c r="O134" i="2" a="1"/>
  <c r="O703" i="2" a="1"/>
  <c r="O53" i="2" a="1"/>
  <c r="O1399" i="2" a="1"/>
  <c r="O896" i="2" a="1"/>
  <c r="O1247" i="2" a="1"/>
  <c r="O394" i="2" a="1"/>
  <c r="O1283" i="2" a="1"/>
  <c r="O2781" i="2" a="1"/>
  <c r="O123" i="2" a="1"/>
  <c r="O2588" i="2" a="1"/>
  <c r="O818" i="2" a="1"/>
  <c r="O2084" i="2" a="1"/>
  <c r="O695" i="2" a="1"/>
  <c r="O2216" i="2" a="1"/>
  <c r="O2050" i="2" a="1"/>
  <c r="O515" i="2" a="1"/>
  <c r="O503" i="2" a="1"/>
  <c r="O1064" i="2" a="1"/>
  <c r="O1827" i="2" a="1"/>
  <c r="O363" i="2" a="1"/>
  <c r="O2416" i="2" a="1"/>
  <c r="O283" i="2" a="1"/>
  <c r="O908" i="2" a="1"/>
  <c r="O1180" i="2" a="1"/>
  <c r="O2073" i="2" a="1"/>
  <c r="O479" i="2" a="1"/>
  <c r="O1837" i="2" a="1"/>
  <c r="O8" i="2" a="1"/>
  <c r="O2344" i="2" a="1"/>
  <c r="O1030" i="2" a="1"/>
  <c r="O98" i="2" a="1"/>
  <c r="O2548" i="2" a="1"/>
  <c r="O461" i="2" a="1"/>
  <c r="O2118" i="2" a="1"/>
  <c r="O263" i="2" a="1"/>
  <c r="O2176" i="2" a="1"/>
  <c r="O2768" i="2" a="1"/>
  <c r="O2818" i="2" a="1"/>
  <c r="O1447" i="2" a="1"/>
  <c r="O597" i="2" a="1"/>
  <c r="O1378" i="2" a="1"/>
  <c r="O1382" i="2" a="1"/>
  <c r="O1402" i="2" a="1"/>
  <c r="O148" i="2" a="1"/>
  <c r="O1134" i="2" a="1"/>
  <c r="O1747" i="2" a="1"/>
  <c r="O1528" i="2" a="1"/>
  <c r="O284" i="2" a="1"/>
  <c r="O1948" i="2" a="1"/>
  <c r="O2345" i="2" a="1"/>
  <c r="O1150" i="2" a="1"/>
  <c r="O287" i="2" a="1"/>
  <c r="O2278" i="2" a="1"/>
  <c r="O2404" i="2" a="1"/>
  <c r="O1754" i="2" a="1"/>
  <c r="O1018" i="2" a="1"/>
  <c r="O2510" i="2" a="1"/>
  <c r="O936" i="2" a="1"/>
  <c r="O961" i="2" a="1"/>
  <c r="O194" i="2" a="1"/>
  <c r="O1839" i="2" a="1"/>
  <c r="O633" i="2" a="1"/>
  <c r="O2266" i="2" a="1"/>
  <c r="O1161" i="2" a="1"/>
  <c r="O1559" i="2" a="1"/>
  <c r="O1835" i="2" a="1"/>
  <c r="O2815" i="2" a="1"/>
  <c r="O776" i="2" a="1"/>
  <c r="O689" i="2" a="1"/>
  <c r="O418" i="2" a="1"/>
  <c r="O1673" i="2" a="1"/>
  <c r="O2383" i="2" a="1"/>
  <c r="O704" i="2" a="1"/>
  <c r="O560" i="2" a="1"/>
  <c r="O2821" i="2" a="1"/>
  <c r="O101" i="2" a="1"/>
  <c r="O885" i="2" a="1"/>
  <c r="O37" i="2" a="1"/>
  <c r="O2827" i="2" a="1"/>
  <c r="O2378" i="2" a="1"/>
  <c r="O716" i="2" a="1"/>
  <c r="O2168" i="2" a="1"/>
  <c r="O347" i="2" a="1"/>
  <c r="O2439" i="2" a="1"/>
  <c r="O2719" i="2" a="1"/>
  <c r="O14" i="2" a="1"/>
  <c r="O2462" i="2" a="1"/>
  <c r="O429" i="2" a="1"/>
  <c r="O1818" i="2" a="1"/>
  <c r="O1862" i="2" a="1"/>
  <c r="O2010" i="2" a="1"/>
  <c r="O318" i="2" a="1"/>
  <c r="O2206" i="2" a="1"/>
  <c r="O549" i="2" a="1"/>
  <c r="O2689" i="2" a="1"/>
  <c r="O2412" i="2" a="1"/>
  <c r="O1646" i="2" a="1"/>
  <c r="O97" i="2" a="1"/>
  <c r="O1635" i="2" a="1"/>
  <c r="O2774" i="2" a="1"/>
  <c r="O2085" i="2" a="1"/>
  <c r="O442" i="2" a="1"/>
  <c r="O2299" i="2" a="1"/>
  <c r="O1292" i="2" a="1"/>
  <c r="O234" i="2" a="1"/>
  <c r="O2747" i="2" a="1"/>
  <c r="O687" i="2" a="1"/>
  <c r="O2034" i="2" a="1"/>
  <c r="O2380" i="2" a="1"/>
  <c r="O593" i="2" a="1"/>
  <c r="O303" i="2" a="1"/>
  <c r="O1400" i="2" a="1"/>
  <c r="O298" i="2" a="1"/>
  <c r="O488" i="2" a="1"/>
  <c r="O928" i="2" a="1"/>
  <c r="O860" i="2" a="1"/>
  <c r="O1464" i="2" a="1"/>
  <c r="O2764" i="2" a="1"/>
  <c r="O1730" i="2" a="1"/>
  <c r="O286" i="2" a="1"/>
  <c r="O1146" i="2" a="1"/>
  <c r="O2667" i="2" a="1"/>
  <c r="O1000" i="2" a="1"/>
  <c r="O2218" i="2" a="1"/>
  <c r="O412" i="2" a="1"/>
  <c r="O1991" i="2" a="1"/>
  <c r="O1057" i="2" a="1"/>
  <c r="O474" i="2" a="1"/>
  <c r="O1734" i="2" a="1"/>
  <c r="O336" i="2" a="1"/>
  <c r="O2062" i="2" a="1"/>
  <c r="O521" i="2" a="1"/>
  <c r="O992" i="2" a="1"/>
  <c r="O1996" i="2" a="1"/>
  <c r="O1949" i="2" a="1"/>
  <c r="O1230" i="2" a="1"/>
  <c r="O2494" i="2" a="1"/>
  <c r="O1690" i="2" a="1"/>
  <c r="O1778" i="2" a="1"/>
  <c r="O897" i="2" a="1"/>
  <c r="O878" i="2" a="1"/>
  <c r="O2558" i="2" a="1"/>
  <c r="O2813" i="2" a="1"/>
  <c r="O742" i="2" a="1"/>
  <c r="O2579" i="2" a="1"/>
  <c r="O568" i="2" a="1"/>
  <c r="O206" i="2" a="1"/>
  <c r="O1388" i="2" a="1"/>
  <c r="O1012" i="2" a="1"/>
  <c r="O634" i="2" a="1"/>
  <c r="O2244" i="2" a="1"/>
  <c r="O915" i="2" a="1"/>
  <c r="O1615" i="2" a="1"/>
  <c r="O2178" i="2" a="1"/>
  <c r="O2559" i="2" a="1"/>
  <c r="O2810" i="2" a="1"/>
  <c r="O569" i="2" a="1"/>
  <c r="O1269" i="2" a="1"/>
  <c r="O1569" i="2" a="1"/>
  <c r="O947" i="2" a="1"/>
  <c r="O2457" i="2" a="1"/>
  <c r="O1062" i="2" a="1"/>
  <c r="O1008" i="2" a="1"/>
  <c r="O2545" i="2" a="1"/>
  <c r="O2542" i="2" a="1"/>
  <c r="O2715" i="2" a="1"/>
  <c r="O2552" i="2" a="1"/>
  <c r="O579" i="2" a="1"/>
  <c r="O678" i="2" a="1"/>
  <c r="O1697" i="2" a="1"/>
  <c r="O807" i="2" a="1"/>
  <c r="O456" i="2" a="1"/>
  <c r="O873" i="2" a="1"/>
  <c r="O1175" i="2" a="1"/>
  <c r="O2518" i="2" a="1"/>
  <c r="O1200" i="2" a="1"/>
  <c r="O550" i="2" a="1"/>
  <c r="O1816" i="2" a="1"/>
  <c r="O2722" i="2" a="1"/>
  <c r="O2527" i="2" a="1"/>
  <c r="O1103" i="2" a="1"/>
  <c r="O2355" i="2" a="1"/>
  <c r="O1093" i="2" a="1"/>
  <c r="O820" i="2" a="1"/>
  <c r="O2807" i="2" a="1"/>
  <c r="O1998" i="2" a="1"/>
  <c r="O1143" i="2" a="1"/>
  <c r="O849" i="2" a="1"/>
  <c r="O1782" i="2" a="1"/>
  <c r="O454" i="2" a="1"/>
  <c r="O1668" i="2" a="1"/>
  <c r="O2490" i="2" a="1"/>
  <c r="O179" i="2" a="1"/>
  <c r="O2389" i="2" a="1"/>
  <c r="O2046" i="2" a="1"/>
  <c r="O1151" i="2" a="1"/>
  <c r="O1594" i="2" a="1"/>
  <c r="O782" i="2" a="1"/>
  <c r="O1302" i="2" a="1"/>
  <c r="O1066" i="2" a="1"/>
  <c r="O189" i="2" a="1"/>
  <c r="O459" i="2" a="1"/>
  <c r="O1636" i="2" a="1"/>
  <c r="O618" i="2" a="1"/>
  <c r="O316" i="2" a="1"/>
  <c r="O2197" i="2" a="1"/>
  <c r="O233" i="2" a="1"/>
  <c r="O88" i="2" a="1"/>
  <c r="O2470" i="2" a="1"/>
  <c r="O241" i="2" a="1"/>
  <c r="O982" i="2" a="1"/>
  <c r="O2595" i="2" a="1"/>
  <c r="O867" i="2" a="1"/>
  <c r="O798" i="2" a="1"/>
  <c r="O1671" i="2" a="1"/>
  <c r="O49" i="2" a="1"/>
  <c r="O270" i="2" a="1"/>
  <c r="O1132" i="2" a="1"/>
  <c r="O1397" i="2" a="1"/>
  <c r="O276" i="2" a="1"/>
  <c r="O2476" i="2" a="1"/>
  <c r="O1452" i="2" a="1"/>
  <c r="O2532" i="2" a="1"/>
  <c r="O392" i="2" a="1"/>
  <c r="O267" i="2" a="1"/>
  <c r="O2026" i="2" a="1"/>
  <c r="O2198" i="2" a="1"/>
  <c r="O1315" i="2" a="1"/>
  <c r="O2546" i="2" a="1"/>
  <c r="O1435" i="2" a="1"/>
  <c r="O980" i="2" a="1"/>
  <c r="O1805" i="2" a="1"/>
  <c r="O2592" i="2" a="1"/>
  <c r="O877" i="2" a="1"/>
  <c r="O2331" i="2" a="1"/>
  <c r="O668" i="2" a="1"/>
  <c r="O2577" i="2" a="1"/>
  <c r="O1273" i="2" a="1"/>
  <c r="O517" i="2" a="1"/>
  <c r="O2796" i="2" a="1"/>
  <c r="O188" i="2" a="1"/>
  <c r="O214" i="2" a="1"/>
  <c r="O1841" i="2" a="1"/>
  <c r="O2065" i="2" a="1"/>
  <c r="O2177" i="2" a="1"/>
  <c r="O681" i="2" a="1"/>
  <c r="O1252" i="2" a="1"/>
  <c r="O575" i="2" a="1"/>
  <c r="O1653" i="2" a="1"/>
  <c r="O1226" i="2" a="1"/>
  <c r="O236" i="2" a="1"/>
  <c r="O2201" i="2" a="1"/>
  <c r="O2673" i="2" a="1"/>
  <c r="O450" i="2" a="1"/>
  <c r="O847" i="2" a="1"/>
  <c r="O257" i="2" a="1"/>
  <c r="O2499" i="2" a="1"/>
  <c r="O1455" i="2" a="1"/>
  <c r="O1218" i="2" a="1"/>
  <c r="O993" i="2" a="1"/>
  <c r="O1540" i="2" a="1"/>
  <c r="O938" i="2" a="1"/>
  <c r="O1246" i="2" a="1"/>
  <c r="O1903" i="2" a="1"/>
  <c r="O464" i="2" a="1"/>
  <c r="O1347" i="2" a="1"/>
  <c r="O1374" i="2" a="1"/>
  <c r="O511" i="2" a="1"/>
  <c r="O763" i="2" a="1"/>
  <c r="O2837" i="2" a="1"/>
  <c r="O638" i="2" a="1"/>
  <c r="O410" i="2" a="1"/>
  <c r="O647" i="2" a="1"/>
  <c r="O1576" i="2" a="1"/>
  <c r="O465" i="2" a="1"/>
  <c r="O213" i="2" a="1"/>
  <c r="O769" i="2" a="1"/>
  <c r="O2547" i="2" a="1"/>
  <c r="O624" i="2" a="1"/>
  <c r="O2531" i="2" a="1"/>
  <c r="O2188" i="2" a="1"/>
  <c r="O2077" i="2" a="1"/>
  <c r="O114" i="2" a="1"/>
  <c r="O1415" i="2" a="1"/>
  <c r="O482" i="2" a="1"/>
  <c r="O103" i="2" a="1"/>
  <c r="O2467" i="2" a="1"/>
  <c r="O2455" i="2" a="1"/>
  <c r="O1072" i="2" a="1"/>
  <c r="O64" i="2" a="1"/>
  <c r="O2075" i="2" a="1"/>
  <c r="O629" i="2" a="1"/>
  <c r="O1860" i="2" a="1"/>
  <c r="O2660" i="2" a="1"/>
  <c r="O2048" i="2" a="1"/>
  <c r="O1293" i="2" a="1"/>
  <c r="O396" i="2" a="1"/>
  <c r="O2570" i="2" a="1"/>
  <c r="O2017" i="2" a="1"/>
  <c r="O187" i="2" a="1"/>
  <c r="O1145" i="2" a="1"/>
  <c r="O2394" i="2" a="1"/>
  <c r="O952" i="2" a="1"/>
  <c r="O1789" i="2" a="1"/>
  <c r="O425" i="2" a="1"/>
  <c r="O1312" i="2" a="1"/>
  <c r="O302" i="2" a="1"/>
  <c r="O1938" i="2" a="1"/>
  <c r="O1713" i="2" a="1"/>
  <c r="O988" i="2" a="1"/>
  <c r="O1418" i="2" a="1"/>
  <c r="O890" i="2" a="1"/>
  <c r="O143" i="2" a="1"/>
  <c r="O1672" i="2" a="1"/>
  <c r="O2503" i="2" a="1"/>
  <c r="O2369" i="2" a="1"/>
  <c r="O2452" i="2" a="1"/>
  <c r="O1821" i="2" a="1"/>
  <c r="O1148" i="2" a="1"/>
  <c r="O983" i="2" a="1"/>
  <c r="O1035" i="2" a="1"/>
  <c r="O1906" i="2" a="1"/>
  <c r="O701" i="2" a="1"/>
  <c r="O1313" i="2" a="1"/>
  <c r="O542" i="2" a="1"/>
  <c r="O623" i="2" a="1"/>
  <c r="O1202" i="2" a="1"/>
  <c r="O369" i="2" a="1"/>
  <c r="O723" i="2" a="1"/>
  <c r="O527" i="2" a="1"/>
  <c r="O636" i="2" a="1"/>
  <c r="O292" i="2" a="1"/>
  <c r="O399" i="2" a="1"/>
  <c r="O2144" i="2" a="1"/>
  <c r="O2107" i="2" a="1"/>
  <c r="O118" i="2" a="1"/>
  <c r="O1501" i="2" a="1"/>
  <c r="O1585" i="2" a="1"/>
  <c r="O950" i="2" a="1"/>
  <c r="O478" i="2" a="1"/>
  <c r="O1833" i="2" a="1"/>
  <c r="O1338" i="2" a="1"/>
  <c r="O2794" i="2" a="1"/>
  <c r="O2521" i="2" a="1"/>
  <c r="O1318" i="2" a="1"/>
  <c r="O2816" i="2" a="1"/>
  <c r="O2537" i="2" a="1"/>
  <c r="O1217" i="2" a="1"/>
  <c r="O2151" i="2" a="1"/>
  <c r="O2679" i="2" a="1"/>
  <c r="O1264" i="2" a="1"/>
  <c r="O2633" i="2" a="1"/>
  <c r="O2284" i="2" a="1"/>
  <c r="O842" i="2" a="1"/>
  <c r="O1192" i="2" a="1"/>
  <c r="O1543" i="2" a="1"/>
  <c r="O1391" i="2" a="1"/>
  <c r="O2094" i="2" a="1"/>
  <c r="O541" i="2" a="1"/>
  <c r="O508" i="2" a="1"/>
  <c r="O393" i="2" a="1"/>
  <c r="O1558" i="2" a="1"/>
  <c r="O1188" i="2" a="1"/>
  <c r="O1199" i="2" a="1"/>
  <c r="O1002" i="2" a="1"/>
  <c r="O1403" i="2" a="1"/>
  <c r="O1211" i="2" a="1"/>
  <c r="O1684" i="2" a="1"/>
  <c r="O1424" i="2" a="1"/>
  <c r="O288" i="2" a="1"/>
  <c r="O736" i="2" a="1"/>
  <c r="O1344" i="2" a="1"/>
  <c r="O628" i="2" a="1"/>
  <c r="O845" i="2" a="1"/>
  <c r="O124" i="2" a="1"/>
  <c r="O232" i="2" a="1"/>
  <c r="O2766" i="2" a="1"/>
  <c r="O2749" i="2" a="1"/>
  <c r="O244" i="2" a="1"/>
  <c r="O948" i="2" a="1"/>
  <c r="O1419" i="2" a="1"/>
  <c r="O2131" i="2" a="1"/>
  <c r="O615" i="2" a="1"/>
  <c r="O1840" i="2" a="1"/>
  <c r="O125" i="2" a="1"/>
  <c r="O919" i="2" a="1"/>
  <c r="O1869" i="2" a="1"/>
  <c r="O650" i="2" a="1"/>
  <c r="O1520" i="2" a="1"/>
  <c r="O1165" i="2" a="1"/>
  <c r="O2835" i="2" a="1"/>
  <c r="O2602" i="2" a="1"/>
  <c r="O2231" i="2" a="1"/>
  <c r="O1946" i="2" a="1"/>
  <c r="O1219" i="2" a="1"/>
  <c r="O1370" i="2" a="1"/>
  <c r="O1241" i="2" a="1"/>
  <c r="O2028" i="2" a="1"/>
  <c r="O995" i="2" a="1"/>
  <c r="O548" i="2" a="1"/>
  <c r="O1194" i="2" a="1"/>
  <c r="O1187" i="2" a="1"/>
  <c r="O2063" i="2" a="1"/>
  <c r="O586" i="2" a="1"/>
  <c r="O1517" i="2" a="1"/>
  <c r="O834" i="2" a="1"/>
  <c r="O899" i="2" a="1"/>
  <c r="O1804" i="2" a="1"/>
  <c r="O2103" i="2" a="1"/>
  <c r="O1696" i="2" a="1"/>
  <c r="O2446" i="2" a="1"/>
  <c r="O996" i="2" a="1"/>
  <c r="O2006" i="2" a="1"/>
  <c r="O1568" i="2" a="1"/>
  <c r="O1163" i="2" a="1"/>
  <c r="O674" i="2" a="1"/>
  <c r="O874" i="2" a="1"/>
  <c r="O2132" i="2" a="1"/>
  <c r="O866" i="2" a="1"/>
  <c r="O1847" i="2" a="1"/>
  <c r="O1487" i="2" a="1"/>
  <c r="O1825" i="2" a="1"/>
  <c r="O1506" i="2" a="1"/>
  <c r="O613" i="2" a="1"/>
  <c r="O2259" i="2" a="1"/>
  <c r="O60" i="2" a="1"/>
  <c r="O1358" i="2" a="1"/>
  <c r="O2453" i="2" a="1"/>
  <c r="O540" i="2" a="1"/>
  <c r="O1282" i="2" a="1"/>
  <c r="O1918" i="2" a="1"/>
  <c r="O1521" i="2" a="1"/>
  <c r="O281" i="2" a="1"/>
  <c r="O1995" i="2" a="1"/>
  <c r="O1321" i="2" a="1"/>
  <c r="O1168" i="2" a="1"/>
  <c r="O1027" i="2" a="1"/>
  <c r="O1207" i="2" a="1"/>
  <c r="O2163" i="2" a="1"/>
  <c r="O2795" i="2" a="1"/>
  <c r="O1555" i="2" a="1"/>
  <c r="O320" i="2" a="1"/>
  <c r="O2013" i="2" a="1"/>
  <c r="O1542" i="2" a="1"/>
  <c r="O1990" i="2" a="1"/>
  <c r="O774" i="2" a="1"/>
  <c r="O1581" i="2" a="1"/>
  <c r="O151" i="2" a="1"/>
  <c r="O2474" i="2" a="1"/>
  <c r="O1900" i="2" a="1"/>
  <c r="O518" i="2" a="1"/>
  <c r="O826" i="2" a="1"/>
  <c r="O1590" i="2" a="1"/>
  <c r="O945" i="2" a="1"/>
  <c r="O1858" i="2" a="1"/>
  <c r="O2417" i="2" a="1"/>
  <c r="O787" i="2" a="1"/>
  <c r="O1319" i="2" a="1"/>
  <c r="O817" i="2" a="1"/>
  <c r="O1204" i="2" a="1"/>
  <c r="O1255" i="2" a="1"/>
  <c r="O733" i="2" a="1"/>
  <c r="O812" i="2" a="1"/>
  <c r="O1724" i="2" a="1"/>
  <c r="O922" i="2" a="1"/>
  <c r="O2059" i="2" a="1"/>
  <c r="O2551" i="2" a="1"/>
  <c r="O2367" i="2" a="1"/>
  <c r="O305" i="2" a="1"/>
  <c r="O1758" i="2" a="1"/>
  <c r="O2497" i="2" a="1"/>
  <c r="O854" i="2" a="1"/>
  <c r="O913" i="2" a="1"/>
  <c r="O356" i="2" a="1"/>
  <c r="O1997" i="2" a="1"/>
  <c r="O387" i="2" a="1"/>
  <c r="O2070" i="2" a="1"/>
  <c r="O712" i="2" a="1"/>
  <c r="O2607" i="2" a="1"/>
  <c r="O1579" i="2" a="1"/>
  <c r="O2740" i="2" a="1"/>
  <c r="O2565" i="2" a="1"/>
  <c r="O2248" i="2" a="1"/>
  <c r="O802" i="2" a="1"/>
  <c r="O840" i="2" a="1"/>
  <c r="O2629" i="2" a="1"/>
  <c r="O893" i="2" a="1"/>
  <c r="O1698" i="2" a="1"/>
  <c r="O2612" i="2" a="1"/>
  <c r="O977" i="2" a="1"/>
  <c r="O1570" i="2" a="1"/>
  <c r="O682" i="2" a="1"/>
  <c r="O481" i="2" a="1"/>
  <c r="O853" i="2" a="1"/>
  <c r="O764" i="2" a="1"/>
  <c r="O2475" i="2" a="1"/>
  <c r="O2842" i="2" a="1"/>
  <c r="O1029" i="2" a="1"/>
  <c r="O2049" i="2" a="1"/>
  <c r="O1042" i="2" a="1"/>
  <c r="O1803" i="2" a="1"/>
  <c r="O1045" i="2" a="1"/>
  <c r="O385" i="2" a="1"/>
  <c r="O383" i="2" a="1"/>
  <c r="O1744" i="2" a="1"/>
  <c r="O473" i="2" a="1"/>
  <c r="O1580" i="2" a="1"/>
  <c r="O407" i="2" a="1"/>
  <c r="O457" i="2" a="1"/>
  <c r="O337" i="2" a="1"/>
  <c r="O685" i="2" a="1"/>
  <c r="O2326" i="2" a="1"/>
  <c r="O68" i="2" a="1"/>
  <c r="O1038" i="2" a="1"/>
  <c r="O2460" i="2" a="1"/>
  <c r="O1508" i="2" a="1"/>
  <c r="O1692" i="2" a="1"/>
  <c r="O706" i="2" a="1"/>
  <c r="O2793" i="2" a="1"/>
  <c r="O2580" i="2" a="1"/>
  <c r="O2280" i="2" a="1"/>
  <c r="O2088" i="2" a="1"/>
  <c r="O1322" i="2" a="1"/>
  <c r="O1087" i="2" a="1"/>
  <c r="O1326" i="2" a="1"/>
  <c r="O1760" i="2" a="1"/>
  <c r="O108" i="2" a="1"/>
  <c r="O2742" i="2" a="1"/>
  <c r="O1866" i="2" a="1"/>
  <c r="O254" i="2" a="1"/>
  <c r="O346" i="2" a="1"/>
  <c r="O1872" i="2" a="1"/>
  <c r="O2356" i="2" a="1"/>
  <c r="O1479" i="2" a="1"/>
  <c r="O329" i="2" a="1"/>
  <c r="O339" i="2" a="1"/>
  <c r="O2618" i="2" a="1"/>
  <c r="O2329" i="2" a="1"/>
  <c r="O1268" i="2" a="1"/>
  <c r="O330" i="2" a="1"/>
  <c r="O1980" i="2" a="1"/>
  <c r="O1958" i="2" a="1"/>
  <c r="O181" i="2" a="1"/>
  <c r="O1572" i="2" a="1"/>
  <c r="O195" i="2" a="1"/>
  <c r="O2087" i="2" a="1"/>
  <c r="O1921" i="2" a="1"/>
  <c r="O726" i="2" a="1"/>
  <c r="O2289" i="2" a="1"/>
  <c r="O1781" i="2" a="1"/>
  <c r="O2411" i="2" a="1"/>
  <c r="O391" i="2" a="1"/>
  <c r="O2090" i="2" a="1"/>
  <c r="O2639" i="2" a="1"/>
  <c r="O1544" i="2" a="1"/>
  <c r="O2560" i="2" a="1"/>
  <c r="O1893" i="2" a="1"/>
  <c r="O1935" i="2" a="1"/>
  <c r="O2121" i="2" a="1"/>
  <c r="O2156" i="2" a="1"/>
  <c r="O2423" i="2" a="1"/>
  <c r="O2601" i="2" a="1"/>
  <c r="O2805" i="2" a="1"/>
  <c r="O2444" i="2" a="1"/>
  <c r="O637" i="2" a="1"/>
  <c r="O1476" i="2" a="1"/>
  <c r="O1121" i="2" a="1"/>
  <c r="O226" i="2" a="1"/>
  <c r="O513" i="2" a="1"/>
  <c r="O1346" i="2" a="1"/>
  <c r="O67" i="2" a="1"/>
  <c r="O1694" i="2" a="1"/>
  <c r="O175" i="2" a="1"/>
  <c r="O1587" i="2" a="1"/>
  <c r="O317" i="2" a="1"/>
  <c r="O2032" i="2" a="1"/>
  <c r="O1507" i="2" a="1"/>
  <c r="O758" i="2" a="1"/>
  <c r="O1472" i="2" a="1"/>
  <c r="O1209" i="2" a="1"/>
  <c r="O331" i="2" a="1"/>
  <c r="O1727" i="2" a="1"/>
  <c r="O1950" i="2" a="1"/>
  <c r="O1791" i="2" a="1"/>
  <c r="O2140" i="2" a="1"/>
  <c r="O1261" i="2" a="1"/>
  <c r="O901" i="2" a="1"/>
  <c r="O1796" i="2" a="1"/>
  <c r="O2424" i="2" a="1"/>
  <c r="O2255" i="2" a="1"/>
  <c r="O1902" i="2" a="1"/>
  <c r="O1330" i="2" a="1"/>
  <c r="O1848" i="2" a="1"/>
  <c r="O2443" i="2" a="1"/>
  <c r="O2101" i="2" a="1"/>
  <c r="O1749" i="2" a="1"/>
  <c r="O746" i="2" a="1"/>
  <c r="O1736" i="2" a="1"/>
  <c r="O1140" i="2" a="1"/>
  <c r="O1633" i="2" a="1"/>
  <c r="O984" i="2" a="1"/>
  <c r="O1406" i="2" a="1"/>
  <c r="O2083" i="2" a="1"/>
  <c r="O2291" i="2" a="1"/>
  <c r="O833" i="2" a="1"/>
  <c r="O1753" i="2" a="1"/>
  <c r="O2724" i="2" a="1"/>
  <c r="O2193" i="2" a="1"/>
  <c r="O1119" i="2" a="1"/>
  <c r="O1446" i="2" a="1"/>
  <c r="O2702" i="2" a="1"/>
  <c r="O96" i="2" a="1"/>
  <c r="O2657" i="2" a="1"/>
  <c r="O2459" i="2" a="1"/>
  <c r="O2406" i="2" a="1"/>
  <c r="O1142" i="2" a="1"/>
  <c r="O1498" i="2" a="1"/>
  <c r="O725" i="2" a="1"/>
  <c r="O1110" i="2" a="1"/>
  <c r="O1034" i="2" a="1"/>
  <c r="O1536" i="2" a="1"/>
  <c r="O2261" i="2" a="1"/>
  <c r="O1069" i="2" a="1"/>
  <c r="O1022" i="2" a="1"/>
  <c r="O452" i="2" a="1"/>
  <c r="O1767" i="2" a="1"/>
  <c r="O1434" i="2" a="1"/>
  <c r="O2696" i="2" a="1"/>
  <c r="O655" i="2" a="1"/>
  <c r="O1154" i="2" a="1"/>
  <c r="O1706" i="2" a="1"/>
  <c r="O1799" i="2" a="1"/>
  <c r="O1879" i="2" a="1"/>
  <c r="O1363" i="2" a="1"/>
  <c r="O2242" i="2" a="1"/>
  <c r="O1766" i="2" a="1"/>
  <c r="O1678" i="2" a="1"/>
  <c r="O1285" i="2" a="1"/>
  <c r="O50" i="2" a="1"/>
  <c r="O1746" i="2" a="1"/>
  <c r="O295" i="2" a="1"/>
  <c r="O2743" i="2" a="1"/>
  <c r="O2726" i="2" a="1"/>
  <c r="O2095" i="2" a="1"/>
  <c r="O1838" i="2" a="1"/>
  <c r="O599" i="2" a="1"/>
  <c r="O1171" i="2" a="1"/>
  <c r="O1049" i="2" a="1"/>
  <c r="O2691" i="2" a="1"/>
  <c r="O1871" i="2" a="1"/>
  <c r="O810" i="2" a="1"/>
  <c r="O1993" i="2" a="1"/>
  <c r="O54" i="2" a="1"/>
  <c r="O2733" i="2" a="1"/>
  <c r="O2638" i="2" a="1"/>
  <c r="O1120" i="2" a="1"/>
  <c r="O942" i="2" a="1"/>
  <c r="O402" i="2" a="1"/>
  <c r="O1244" i="2" a="1"/>
  <c r="O815" i="2" a="1"/>
  <c r="O640" i="2" a="1"/>
  <c r="O1465" i="2" a="1"/>
  <c r="O1425" i="2" a="1"/>
  <c r="O2398" i="2" a="1"/>
  <c r="O1048" i="2" a="1"/>
  <c r="O796" i="2" a="1"/>
  <c r="O2622" i="2" a="1"/>
  <c r="O1593" i="2" a="1"/>
  <c r="O1107" i="2" a="1"/>
  <c r="O42" i="2" a="1"/>
  <c r="O2005" i="2" a="1"/>
  <c r="O522" i="2" a="1"/>
  <c r="O1875" i="2" a="1"/>
  <c r="O1169" i="2" a="1"/>
  <c r="O1552" i="2" a="1"/>
  <c r="O1554" i="2" a="1"/>
  <c r="O171" i="2" a="1"/>
  <c r="O1970" i="2" a="1"/>
  <c r="O380" i="2" a="1"/>
  <c r="O831" i="2" a="1"/>
  <c r="O2281" i="2" a="1"/>
  <c r="O2680" i="2" a="1"/>
  <c r="O677" i="2" a="1"/>
  <c r="O1881" i="2" a="1"/>
  <c r="O1089" i="2" a="1"/>
  <c r="O373" i="2" a="1"/>
  <c r="O81" i="2" a="1"/>
  <c r="O2628" i="2" a="1"/>
  <c r="O2031" i="2" a="1"/>
  <c r="O1162" i="2" a="1"/>
  <c r="O1537" i="2" a="1"/>
  <c r="O1505" i="2" a="1"/>
  <c r="O777" i="2" a="1"/>
  <c r="O783" i="2" a="1"/>
  <c r="O2556" i="2" a="1"/>
  <c r="O440" i="2" a="1"/>
  <c r="O2699" i="2" a="1"/>
  <c r="O2738" i="2" a="1"/>
  <c r="O1583" i="2" a="1"/>
  <c r="O1136" i="2" a="1"/>
  <c r="O1098" i="2" a="1"/>
  <c r="O300" i="2" a="1"/>
  <c r="O1041" i="2" a="1"/>
  <c r="O1813" i="2" a="1"/>
  <c r="O1473" i="2" a="1"/>
  <c r="O1323" i="2" a="1"/>
  <c r="O365" i="2" a="1"/>
  <c r="O719" i="2" a="1"/>
  <c r="O2574" i="2" a="1"/>
  <c r="O604" i="2" a="1"/>
  <c r="O1904" i="2" a="1"/>
  <c r="O1940" i="2" a="1"/>
  <c r="O2373" i="2" a="1"/>
  <c r="O856" i="2" a="1"/>
  <c r="O2737" i="2" a="1"/>
  <c r="O1974" i="2" a="1"/>
  <c r="O741" i="2" a="1"/>
  <c r="O1037" i="2" a="1"/>
  <c r="O1556" i="2" a="1"/>
  <c r="O863" i="2" a="1"/>
  <c r="O2371" i="2" a="1"/>
  <c r="O2671" i="2" a="1"/>
  <c r="O360" i="2" a="1"/>
  <c r="O2831" i="2" a="1"/>
  <c r="O2016" i="2" a="1"/>
  <c r="O2649" i="2" a="1"/>
  <c r="O1961" i="2" a="1"/>
  <c r="O1886" i="2" a="1"/>
  <c r="O2225" i="2" a="1"/>
  <c r="O2352" i="2" a="1"/>
  <c r="O1820" i="2" a="1"/>
  <c r="O876" i="2" a="1"/>
  <c r="O2566" i="2" a="1"/>
  <c r="O718" i="2" a="1"/>
  <c r="O182" i="2" a="1"/>
  <c r="O1280" i="2" a="1"/>
  <c r="O1956" i="2" a="1"/>
  <c r="O525" i="2" a="1"/>
  <c r="O921" i="2" a="1"/>
  <c r="O161" i="2" a="1"/>
  <c r="O797" i="2" a="1"/>
  <c r="O344" i="2" a="1"/>
  <c r="O2801" i="2" a="1"/>
  <c r="O144" i="2" a="1"/>
  <c r="O2336" i="2" a="1"/>
  <c r="O353" i="2" a="1"/>
  <c r="O1065" i="2" a="1"/>
  <c r="O1263" i="2" a="1"/>
  <c r="O1919" i="2" a="1"/>
  <c r="O2779" i="2" a="1"/>
  <c r="O2735" i="2" a="1"/>
  <c r="O1206" i="2" a="1"/>
  <c r="O1700" i="2" a="1"/>
  <c r="O1867" i="2" a="1"/>
  <c r="O1055" i="2" a="1"/>
  <c r="O2530" i="2" a="1"/>
  <c r="O1723" i="2" a="1"/>
  <c r="O434" i="2" a="1"/>
  <c r="O1512" i="2" a="1"/>
  <c r="O34" i="2" a="1"/>
  <c r="O500" i="2" a="1"/>
  <c r="O791" i="2" a="1"/>
  <c r="O2360" i="2" a="1"/>
  <c r="O1116" i="2" a="1"/>
  <c r="O2159" i="2" a="1"/>
  <c r="O1118" i="2" a="1"/>
  <c r="O140" i="2" a="1"/>
  <c r="O1060" i="2" a="1"/>
  <c r="O2391" i="2" a="1"/>
  <c r="O1596" i="2" a="1"/>
  <c r="O1560" i="2" a="1"/>
  <c r="O735" i="2" a="1"/>
  <c r="O1494" i="2" a="1"/>
  <c r="O1429" i="2" a="1"/>
  <c r="O1470" i="2" a="1"/>
  <c r="O2844" i="2" a="1"/>
  <c r="O2704" i="2" a="1"/>
  <c r="O875" i="2" a="1"/>
  <c r="O265" i="2" a="1"/>
  <c r="O1423" i="2" a="1"/>
  <c r="O1271" i="2" a="1"/>
  <c r="O227" i="2" a="1"/>
  <c r="O1308" i="2" a="1"/>
  <c r="O1969" i="2" a="1"/>
  <c r="O2024" i="2" a="1"/>
  <c r="O506" i="2" a="1"/>
  <c r="O1195" i="2" a="1"/>
  <c r="O1340" i="2" a="1"/>
  <c r="O2695" i="2" a="1"/>
  <c r="O721" i="2" a="1"/>
  <c r="O69" i="2" a="1"/>
  <c r="O2397" i="2" a="1"/>
  <c r="O583" i="2" a="1"/>
  <c r="O707" i="2" a="1"/>
  <c r="O1905" i="2" a="1"/>
  <c r="O2319" i="2" a="1"/>
  <c r="O937" i="2" a="1"/>
  <c r="O62" i="2" a="1"/>
  <c r="O2616" i="2" a="1"/>
  <c r="O2495" i="2" a="1"/>
  <c r="O2605" i="2" a="1"/>
  <c r="O10" i="2" a="1"/>
  <c r="O536" i="2" a="1"/>
  <c r="O1289" i="2" a="1"/>
  <c r="O1589" i="2" a="1"/>
  <c r="O2053" i="2" a="1"/>
  <c r="O1856" i="2" a="1"/>
  <c r="O1623" i="2" a="1"/>
  <c r="O2450" i="2" a="1"/>
  <c r="O2557" i="2" a="1"/>
  <c r="O2324" i="2" a="1"/>
  <c r="O1172" i="2" a="1"/>
  <c r="O73" i="2" a="1"/>
  <c r="O2586" i="2" a="1"/>
  <c r="O963" i="2" a="1"/>
  <c r="O368" i="2" a="1"/>
  <c r="O271" i="2" a="1"/>
  <c r="O246" i="2" a="1"/>
  <c r="O592" i="2" a="1"/>
  <c r="O1381" i="2" a="1"/>
  <c r="O2116" i="2" a="1"/>
  <c r="O2243" i="2" a="1"/>
  <c r="O537" i="2" a="1"/>
  <c r="O243" i="2" a="1"/>
  <c r="O56" i="2" a="1"/>
  <c r="O775" i="2" a="1"/>
  <c r="O806" i="2" a="1"/>
  <c r="O2091" i="2" a="1"/>
  <c r="O2273" i="2" a="1"/>
  <c r="O1691" i="2" a="1"/>
  <c r="O2385" i="2" a="1"/>
  <c r="O1622" i="2" a="1"/>
  <c r="O74" i="2" a="1"/>
  <c r="O487" i="2" a="1"/>
  <c r="O1621" i="2" a="1"/>
  <c r="O1458" i="2" a="1"/>
  <c r="O1651" i="2" a="1"/>
  <c r="O78" i="2" a="1"/>
  <c r="O2157" i="2" a="1"/>
  <c r="O1745" i="2" a="1"/>
  <c r="O1985" i="2" a="1"/>
  <c r="O2171" i="2" a="1"/>
  <c r="O1681" i="2" a="1"/>
  <c r="O1152" i="2" a="1"/>
  <c r="O770" i="2" a="1"/>
  <c r="O830" i="2" a="1"/>
  <c r="O1232" i="2" a="1"/>
  <c r="O2366" i="2" a="1"/>
  <c r="O2741" i="2" a="1"/>
  <c r="O1482" i="2" a="1"/>
  <c r="O869" i="2" a="1"/>
  <c r="O2645" i="2" a="1"/>
  <c r="O546" i="2" a="1"/>
  <c r="O1191" i="2" a="1"/>
  <c r="O1823" i="2" a="1"/>
  <c r="O1475" i="2" a="1"/>
  <c r="O594" i="2" a="1"/>
  <c r="O2843" i="2" a="1"/>
  <c r="O247" i="2" a="1"/>
  <c r="O2199" i="2" a="1"/>
  <c r="O1775" i="2" a="1"/>
  <c r="O1907" i="2" a="1"/>
  <c r="O1959" i="2" a="1"/>
  <c r="O2611" i="2" a="1"/>
  <c r="O2829" i="2" a="1"/>
  <c r="O137" i="2" a="1"/>
  <c r="O1797" i="2" a="1"/>
  <c r="O2189" i="2" a="1"/>
  <c r="O2790" i="2" a="1"/>
  <c r="O2142" i="2" a="1"/>
  <c r="O964" i="2" a="1"/>
  <c r="O2399" i="2" a="1"/>
  <c r="O2328" i="2" a="1"/>
  <c r="O2507" i="2" a="1"/>
  <c r="O1649" i="2" a="1"/>
  <c r="O416" i="2" a="1"/>
  <c r="O1502" i="2" a="1"/>
  <c r="O364" i="2" a="1"/>
  <c r="O2653" i="2" a="1"/>
  <c r="O505" i="2" a="1"/>
  <c r="O1551" i="2" a="1"/>
  <c r="O190" i="2" a="1"/>
  <c r="O2775" i="2" a="1"/>
  <c r="O935" i="2" a="1"/>
  <c r="O990" i="2" a="1"/>
  <c r="O1625" i="2" a="1"/>
  <c r="O786" i="2" a="1"/>
  <c r="O2312" i="2" a="1"/>
  <c r="O415" i="2" a="1"/>
  <c r="O768" i="2" a="1"/>
  <c r="O2597" i="2" a="1"/>
  <c r="O2644" i="2" a="1"/>
  <c r="O1090" i="2" a="1"/>
  <c r="O688" i="2" a="1"/>
  <c r="O2760" i="2" a="1"/>
  <c r="O1511" i="2" a="1"/>
  <c r="O2315" i="2" a="1"/>
  <c r="O2381" i="2" a="1"/>
  <c r="O533" i="2" a="1"/>
  <c r="O349" i="2" a="1"/>
  <c r="O39" i="2" a="1"/>
  <c r="O1270" i="2" a="1"/>
  <c r="O844" i="2" a="1"/>
  <c r="O376" i="2" a="1"/>
  <c r="O2665" i="2" a="1"/>
  <c r="O2145" i="2" a="1"/>
  <c r="O2158" i="2" a="1"/>
  <c r="O1088" i="2" a="1"/>
  <c r="O381" i="2" a="1"/>
  <c r="O729" i="2" a="1"/>
  <c r="O1721" i="2" a="1"/>
  <c r="O2309" i="2" a="1"/>
  <c r="O1044" i="2" a="1"/>
  <c r="O1153" i="2" a="1"/>
  <c r="O756" i="2" a="1"/>
  <c r="O663" i="2" a="1"/>
  <c r="O172" i="2" a="1"/>
  <c r="O87" i="2" a="1"/>
  <c r="O1185" i="2" a="1"/>
  <c r="O264" i="2" a="1"/>
  <c r="O2262" i="2" a="1"/>
  <c r="O870" i="2" a="1"/>
  <c r="O65" i="2" a="1"/>
  <c r="O2841" i="2" a="1"/>
  <c r="O1527" i="2" a="1"/>
  <c r="O1233" i="2" a="1"/>
  <c r="O1444" i="2" a="1"/>
  <c r="O1124" i="2" a="1"/>
  <c r="O1642" i="2" a="1"/>
  <c r="O702" i="2" a="1"/>
  <c r="O973" i="2" a="1"/>
  <c r="O1288" i="2" a="1"/>
  <c r="O115" i="2" a="1"/>
  <c r="O2593" i="2" a="1"/>
  <c r="O484" i="2" a="1"/>
  <c r="O1703" i="2" a="1"/>
  <c r="O2351" i="2" a="1"/>
  <c r="O1608" i="2" a="1"/>
  <c r="O71" i="2" a="1"/>
  <c r="O1986" i="2" a="1"/>
  <c r="O672" i="2" a="1"/>
  <c r="O1068" i="2" a="1"/>
  <c r="O1331" i="2" a="1"/>
  <c r="O451" i="2" a="1"/>
  <c r="O2517" i="2" a="1"/>
  <c r="O2783" i="2" a="1"/>
  <c r="O1599" i="2" a="1"/>
  <c r="O580" i="2" a="1"/>
  <c r="O2802" i="2" a="1"/>
  <c r="O2400" i="2" a="1"/>
  <c r="O532" i="2" a="1"/>
  <c r="O301" i="2" a="1"/>
  <c r="O1104" i="2" a="1"/>
  <c r="O1941" i="2" a="1"/>
  <c r="O2651" i="2" a="1"/>
  <c r="O2731" i="2" a="1"/>
  <c r="O800" i="2" a="1"/>
  <c r="O1729" i="2" a="1"/>
  <c r="O1433" i="2" a="1"/>
  <c r="O1357" i="2" a="1"/>
  <c r="O1910" i="2" a="1"/>
  <c r="O886" i="2" a="1"/>
  <c r="O700" i="2" a="1"/>
  <c r="O619" i="2" a="1"/>
  <c r="O1026" i="2" a="1"/>
  <c r="O2221" i="2" a="1"/>
  <c r="O1417" i="2" a="1"/>
  <c r="O2803" i="2" a="1"/>
  <c r="O2180" i="2" a="1"/>
  <c r="O1728" i="2" a="1"/>
  <c r="O405" i="2" a="1"/>
  <c r="O2112" i="2" a="1"/>
  <c r="O2305" i="2" a="1"/>
  <c r="O699" i="2" a="1"/>
  <c r="O740" i="2" a="1"/>
  <c r="O2528" i="2" a="1"/>
  <c r="O2635" i="2" a="1"/>
  <c r="O713" i="2" a="1"/>
  <c r="O26" i="2" a="1"/>
  <c r="O898" i="2" a="1"/>
  <c r="O2535" i="2" a="1"/>
  <c r="O2643" i="2" a="1"/>
  <c r="O551" i="2" a="1"/>
  <c r="O1975" i="2" a="1"/>
  <c r="O1968" i="2" a="1"/>
  <c r="O2340" i="2" a="1"/>
  <c r="O529" i="2" a="1"/>
  <c r="O83" i="2" a="1"/>
  <c r="O779" i="2" a="1"/>
  <c r="O567" i="2" a="1"/>
  <c r="O350" i="2" a="1"/>
  <c r="O1023" i="2" a="1"/>
  <c r="O1547" i="2" a="1"/>
  <c r="O2115" i="2" a="1"/>
  <c r="O1190" i="2" a="1"/>
  <c r="O2663" i="2" a="1"/>
  <c r="O278" i="2" a="1"/>
  <c r="O2420" i="2" a="1"/>
  <c r="O2624" i="2" a="1"/>
  <c r="O2436" i="2" a="1"/>
  <c r="O338" i="2" a="1"/>
  <c r="O2688" i="2" a="1"/>
  <c r="O2670" i="2" a="1"/>
  <c r="O1912" i="2" a="1"/>
  <c r="O1966" i="2" a="1"/>
  <c r="O883" i="2" a="1"/>
  <c r="O1123" i="2" a="1"/>
  <c r="O1183" i="2" a="1"/>
  <c r="O258" i="2" a="1"/>
  <c r="O861" i="2" a="1"/>
  <c r="O200" i="2" a="1"/>
  <c r="O1248" i="2" a="1"/>
  <c r="O462" i="2" a="1"/>
  <c r="O588" i="2" a="1"/>
  <c r="O2134" i="2" a="1"/>
  <c r="O2236" i="2" a="1"/>
  <c r="O1115" i="2" a="1"/>
  <c r="O2021" i="2" a="1"/>
  <c r="O749" i="2" a="1"/>
  <c r="O2504" i="2" a="1"/>
  <c r="O458" i="2" a="1"/>
  <c r="O1342" i="2" a="1"/>
  <c r="O366" i="2" a="1"/>
  <c r="O2390" i="2" a="1"/>
  <c r="O894" i="2" a="1"/>
  <c r="O205" i="2" a="1"/>
  <c r="O1181" i="2" a="1"/>
  <c r="O804" i="2" a="1"/>
  <c r="O2204" i="2" a="1"/>
  <c r="O2208" i="2" a="1"/>
  <c r="O126" i="2" a="1"/>
  <c r="O2767" i="2" a="1"/>
  <c r="O129" i="2" a="1"/>
  <c r="O2739" i="2" a="1"/>
  <c r="O388" i="2" a="1"/>
  <c r="O1611" i="2" a="1"/>
  <c r="O414" i="2" a="1"/>
  <c r="O2429" i="2" a="1"/>
  <c r="O2275" i="2" a="1"/>
  <c r="O2003" i="2" a="1"/>
  <c r="O2572" i="2" a="1"/>
  <c r="O463" i="2" a="1"/>
  <c r="O18" i="2" a="1"/>
  <c r="O1853" i="2" a="1"/>
  <c r="O2339" i="2" a="1"/>
  <c r="O1061" i="2" a="1"/>
  <c r="O1931" i="2" a="1"/>
  <c r="O1106" i="2" a="1"/>
  <c r="O2386" i="2" a="1"/>
  <c r="O519" i="2" a="1"/>
  <c r="O1353" i="2" a="1"/>
  <c r="O1814" i="2" a="1"/>
  <c r="O1461" i="2" a="1"/>
  <c r="O2648" i="2" a="1"/>
  <c r="O2727" i="2" a="1"/>
  <c r="O2002" i="2" a="1"/>
  <c r="O1626" i="2" a="1"/>
  <c r="O2609" i="2" a="1"/>
  <c r="O912" i="2" a="1"/>
  <c r="O1519" i="2" a="1"/>
  <c r="O1127" i="2" a="1"/>
  <c r="O2585" i="2" a="1"/>
  <c r="O1477" i="2" a="1"/>
  <c r="O2403" i="2" a="1"/>
  <c r="O2804" i="2" a="1"/>
  <c r="O1445" i="2" a="1"/>
  <c r="O1844" i="2" a="1"/>
  <c r="O2078" i="2" a="1"/>
  <c r="O1080" i="2" a="1"/>
  <c r="O2447" i="2" a="1"/>
  <c r="O969" i="2" a="1"/>
  <c r="O2544" i="2" a="1"/>
  <c r="O1155" i="2" a="1"/>
  <c r="O1504" i="2" a="1"/>
  <c r="O954" i="2" a="1"/>
  <c r="O1182" i="2" a="1"/>
  <c r="O679" i="2" a="1"/>
  <c r="O1774" i="2" a="1"/>
  <c r="O1428" i="2" a="1"/>
  <c r="O821" i="2" a="1"/>
  <c r="O209" i="2" a="1"/>
  <c r="O493" i="2" a="1"/>
  <c r="O1234" i="2" a="1"/>
  <c r="O2550" i="2" a="1"/>
  <c r="O146" i="2" a="1"/>
  <c r="O113" i="2" a="1"/>
  <c r="O1441" i="2" a="1"/>
  <c r="O1471" i="2" a="1"/>
  <c r="O611" i="2" a="1"/>
  <c r="O2004" i="2" a="1"/>
  <c r="O1978" i="2" a="1"/>
  <c r="O2686" i="2" a="1"/>
  <c r="O805" i="2" a="1"/>
  <c r="O2342" i="2" a="1"/>
  <c r="O2111" i="2" a="1"/>
  <c r="O370" i="2" a="1"/>
  <c r="O851" i="2" a="1"/>
  <c r="O1616" i="2" a="1"/>
  <c r="O1784" i="2" a="1"/>
  <c r="O507" i="2" a="1"/>
  <c r="O1987" i="2" a="1"/>
  <c r="O985" i="2" a="1"/>
  <c r="O1013" i="2" a="1"/>
  <c r="O2092" i="2" a="1"/>
  <c r="O2472" i="2" a="1"/>
  <c r="O2478" i="2" a="1"/>
  <c r="O2253" i="2" a="1"/>
  <c r="O169" i="2" a="1"/>
  <c r="O850" i="2" a="1"/>
  <c r="O2569" i="2" a="1"/>
  <c r="O2549" i="2" a="1"/>
  <c r="O2669" i="2" a="1"/>
  <c r="O545" i="2" a="1"/>
  <c r="O2" i="2" a="1"/>
  <c r="O2148" i="2" a="1"/>
  <c r="O2721" i="2" a="1"/>
  <c r="O2348" i="2" a="1"/>
  <c r="O1939" i="2" a="1"/>
  <c r="O524" i="2" a="1"/>
  <c r="O1298" i="2" a="1"/>
  <c r="O1070" i="2" a="1"/>
  <c r="O1345" i="2" a="1"/>
  <c r="O449" i="2" a="1"/>
  <c r="O16" i="2" a="1"/>
  <c r="O1951" i="2" a="1"/>
  <c r="O1638" i="2" a="1"/>
  <c r="O58" i="2" a="1"/>
  <c r="O1081" i="2" a="1"/>
  <c r="O1640" i="2" a="1"/>
  <c r="O2183" i="2" a="1"/>
  <c r="O132" i="2" a="1"/>
  <c r="O2677" i="2" a="1"/>
  <c r="O2353" i="2" a="1"/>
  <c r="O1059" i="2" a="1"/>
  <c r="O2823" i="2" a="1"/>
  <c r="O1373" i="2" a="1"/>
  <c r="O1205" i="2" a="1"/>
  <c r="O2251" i="2" a="1"/>
  <c r="O1685" i="2" a="1"/>
  <c r="O1212" i="2" a="1"/>
  <c r="O1058" i="2" a="1"/>
  <c r="O1786" i="2" a="1"/>
  <c r="O1259" i="2" a="1"/>
  <c r="O1453" i="2" a="1"/>
  <c r="O2300" i="2" a="1"/>
  <c r="O2100" i="2" a="1"/>
  <c r="O1436" i="2" a="1"/>
  <c r="O224" i="2" a="1"/>
  <c r="O1513" i="2" a="1"/>
  <c r="O1750" i="2" a="1"/>
  <c r="O1807" i="2" a="1"/>
  <c r="O486" i="2" a="1"/>
  <c r="O2054" i="2" a="1"/>
  <c r="O1756" i="2" a="1"/>
  <c r="O2672" i="2" a="1"/>
  <c r="O2000" i="2" a="1"/>
  <c r="O1842" i="2" a="1"/>
  <c r="O1976" i="2" a="1"/>
  <c r="O1306" i="2" a="1"/>
  <c r="O1343" i="2" a="1"/>
  <c r="O2238" i="2" a="1"/>
  <c r="O19" i="2" a="1"/>
  <c r="O420" i="2" a="1"/>
  <c r="O1972" i="2" a="1"/>
  <c r="O406" i="2" a="1"/>
  <c r="O2692" i="2" a="1"/>
  <c r="O1083" i="2" a="1"/>
  <c r="O5" i="2" a="1"/>
  <c r="O304" i="2" a="1"/>
  <c r="O2591" i="2" a="1"/>
  <c r="O648" i="2" a="1"/>
  <c r="O1644" i="2" a="1"/>
  <c r="O595" i="2" a="1"/>
  <c r="O1056" i="2" a="1"/>
  <c r="O1141" i="2" a="1"/>
  <c r="O1534" i="2" a="1"/>
  <c r="O571" i="2" a="1"/>
  <c r="O1092" i="2" a="1"/>
  <c r="O1223" i="2" a="1"/>
  <c r="O1738" i="2" a="1"/>
  <c r="O1934" i="2" a="1"/>
  <c r="O1876" i="2" a="1"/>
  <c r="O351" i="2" a="1"/>
  <c r="O1413" i="2" a="1"/>
  <c r="O2489" i="2" a="1"/>
  <c r="O1641" i="2" a="1"/>
  <c r="O2418" i="2" a="1"/>
  <c r="O2234" i="2" a="1"/>
  <c r="O372" i="2" a="1"/>
  <c r="O201" i="2" a="1"/>
  <c r="O253" i="2" a="1"/>
  <c r="O1514" i="2" a="1"/>
  <c r="O1078" i="2" a="1"/>
  <c r="O839" i="2" a="1"/>
  <c r="O738" i="2" a="1"/>
  <c r="O561" i="2" a="1"/>
  <c r="O1515" i="2" a="1"/>
  <c r="O2258" i="2" a="1"/>
  <c r="O2230" i="2" a="1"/>
  <c r="O2354" i="2" a="1"/>
  <c r="O325" i="2" a="1"/>
  <c r="O1815" i="2" a="1"/>
  <c r="O89" i="2" a="1"/>
  <c r="O1294" i="2" a="1"/>
  <c r="O142" i="2" a="1"/>
  <c r="O136" i="2" a="1"/>
  <c r="O1208" i="2" a="1"/>
  <c r="O1126" i="2" a="1"/>
  <c r="O1957" i="2" a="1"/>
  <c r="O2641" i="2" a="1"/>
  <c r="O2782" i="2" a="1"/>
  <c r="O2668" i="2" a="1"/>
  <c r="O2659" i="2" a="1"/>
  <c r="O2750" i="2" a="1"/>
  <c r="O1936" i="2" a="1"/>
  <c r="O622" i="2" a="1"/>
  <c r="O153" i="2" a="1"/>
  <c r="O2427" i="2" a="1"/>
  <c r="O2310" i="2" a="1"/>
  <c r="O2762" i="2" a="1"/>
  <c r="O408" i="2" a="1"/>
  <c r="O2522" i="2" a="1"/>
  <c r="O2540" i="2" a="1"/>
  <c r="O1529" i="2" a="1"/>
  <c r="O2212" i="2" a="1"/>
  <c r="O1894" i="2" a="1"/>
  <c r="O460" i="2" a="1"/>
  <c r="O335" i="2" a="1"/>
  <c r="O2799" i="2" a="1"/>
  <c r="O822" i="2" a="1"/>
  <c r="O23" i="2" a="1"/>
  <c r="O2625" i="2" a="1"/>
  <c r="O1712" i="2" a="1"/>
  <c r="O2512" i="2" a="1"/>
  <c r="O1679" i="2" a="1"/>
  <c r="O1522" i="2" a="1"/>
  <c r="O2466" i="2" a="1"/>
  <c r="O836" i="2" a="1"/>
  <c r="O1334" i="2" a="1"/>
  <c r="O245" i="2" a="1"/>
  <c r="O1304" i="2" a="1"/>
  <c r="O2068" i="2" a="1"/>
  <c r="O21" i="2" a="1"/>
  <c r="O2051" i="2" a="1"/>
  <c r="O1236" i="2" a="1"/>
  <c r="O2598" i="2" a="1"/>
  <c r="O2374" i="2" a="1"/>
  <c r="O1309" i="2" a="1"/>
  <c r="O1291" i="2" a="1"/>
  <c r="O784" i="2" a="1"/>
  <c r="O2640" i="2" a="1"/>
  <c r="O1262" i="2" a="1"/>
  <c r="O2718" i="2" a="1"/>
  <c r="O2361" i="2" a="1"/>
  <c r="O2141" i="2" a="1"/>
  <c r="O1359" i="2" a="1"/>
  <c r="O2664" i="2" a="1"/>
  <c r="O552" i="2" a="1"/>
  <c r="O1238" i="2" a="1"/>
  <c r="O710" i="2" a="1"/>
  <c r="O910" i="2" a="1"/>
  <c r="O495" i="2" a="1"/>
  <c r="O2392" i="2" a="1"/>
  <c r="O437" i="2" a="1"/>
  <c r="O2124" i="2" a="1"/>
  <c r="O1843" i="2" a="1"/>
  <c r="O1979" i="2" a="1"/>
  <c r="O1310" i="2" a="1"/>
  <c r="O918" i="2" a="1"/>
  <c r="O1595" i="2" a="1"/>
  <c r="O1021" i="2" a="1"/>
  <c r="O1076" i="2" a="1"/>
  <c r="O2464" i="2" a="1"/>
  <c r="O1707" i="2" a="1"/>
  <c r="O755" i="2" a="1"/>
  <c r="O2089" i="2" a="1"/>
  <c r="O1231" i="2" a="1"/>
  <c r="O2020" i="2" a="1"/>
  <c r="O240" i="2" a="1"/>
  <c r="O307" i="2" a="1"/>
  <c r="O675" i="2" a="1"/>
  <c r="O1421" i="2" a="1"/>
  <c r="O297" i="2" a="1"/>
  <c r="O1732" i="2" a="1"/>
  <c r="O1648" i="2" a="1"/>
  <c r="O494" i="2" a="1"/>
  <c r="O2583" i="2" a="1"/>
  <c r="O2449" i="2" a="1"/>
  <c r="O249" i="2" a="1"/>
  <c r="O927" i="2" a="1"/>
  <c r="O590" i="2" a="1"/>
  <c r="O1380" i="2" a="1"/>
  <c r="O828" i="2" a="1"/>
  <c r="O413" i="2" a="1"/>
  <c r="O509" i="2" a="1"/>
  <c r="O2604" i="2" a="1"/>
  <c r="O2066" i="2" a="1"/>
  <c r="O1101" i="2" a="1"/>
  <c r="O1665" i="2" a="1"/>
  <c r="O237" i="2" a="1"/>
  <c r="O944" i="2" a="1"/>
  <c r="O2172" i="2" a="1"/>
  <c r="O2292" i="2" a="1"/>
  <c r="O1105" i="2" a="1"/>
  <c r="O2698" i="2" a="1"/>
  <c r="O832" i="2" a="1"/>
  <c r="O1414" i="2" a="1"/>
  <c r="O2451" i="2" a="1"/>
  <c r="O2561" i="2" a="1"/>
  <c r="O180" i="2" a="1"/>
  <c r="O2836" i="2" a="1"/>
  <c r="O1762" i="2" a="1"/>
  <c r="O2620" i="2" a="1"/>
  <c r="O2296" i="2" a="1"/>
  <c r="O2674" i="2" a="1"/>
  <c r="O2014" i="2" a="1"/>
  <c r="O585" i="2" a="1"/>
  <c r="O2631" i="2" a="1"/>
  <c r="O1601" i="2" a="1"/>
  <c r="O1699" i="2" a="1"/>
  <c r="O1645" i="2" a="1"/>
  <c r="O256" i="2" a="1"/>
  <c r="O2744" i="2" a="1"/>
  <c r="O1983" i="2" a="1"/>
  <c r="O2615" i="2" a="1"/>
  <c r="O2771" i="2" a="1"/>
  <c r="O2162" i="2" a="1"/>
  <c r="O813" i="2" a="1"/>
  <c r="O1600" i="2" a="1"/>
  <c r="O857" i="2" a="1"/>
  <c r="O1610" i="2" a="1"/>
  <c r="O2041" i="2" a="1"/>
  <c r="O1438" i="2" a="1"/>
  <c r="O1164" i="2" a="1"/>
  <c r="O57" i="2" a="1"/>
  <c r="O653" i="2" a="1"/>
  <c r="O744" i="2" a="1"/>
  <c r="O1709" i="2" a="1"/>
  <c r="O2824" i="2" a="1"/>
  <c r="O1870" i="2" a="1"/>
  <c r="O27" i="2" a="1"/>
  <c r="O2463" i="2" a="1"/>
  <c r="O2701" i="2" a="1"/>
  <c r="O2277" i="2" a="1"/>
  <c r="O1577" i="2" a="1"/>
  <c r="O2553" i="2" a="1"/>
  <c r="O673" i="2" a="1"/>
  <c r="O630" i="2" a="1"/>
  <c r="O2832" i="2" a="1"/>
  <c r="O362" i="2" a="1"/>
  <c r="O696" i="2" a="1"/>
  <c r="O1761" i="2" a="1"/>
  <c r="O2071" i="2" a="1"/>
  <c r="O1742" i="2" a="1"/>
  <c r="O1197" i="2" a="1"/>
  <c r="O1299" i="2" a="1"/>
  <c r="O2438" i="2" a="1"/>
  <c r="O766" i="2" a="1"/>
  <c r="O2076" i="2" a="1"/>
  <c r="O1650" i="2" a="1"/>
  <c r="O2647" i="2" a="1"/>
  <c r="O1586" i="2" a="1"/>
  <c r="O2269" i="2" a="1"/>
  <c r="O1922" i="2" a="1"/>
  <c r="O2321" i="2" a="1"/>
  <c r="O117" i="2" a="1"/>
  <c r="O44" i="2" a="1"/>
  <c r="O1677" i="2" a="1"/>
  <c r="O1082" i="2" a="1"/>
  <c r="O2250" i="2" a="1"/>
  <c r="O2590" i="2" a="1"/>
  <c r="O1751" i="2" a="1"/>
  <c r="O2276" i="2" a="1"/>
  <c r="O1607" i="2" a="1"/>
  <c r="O398" i="2" a="1"/>
  <c r="O2442" i="2" a="1"/>
  <c r="O2264" i="2" a="1"/>
  <c r="O260" i="2" a="1"/>
  <c r="O1040" i="2" a="1"/>
  <c r="O2806" i="2" a="1"/>
  <c r="O970" i="2" a="1"/>
  <c r="O1131" i="2" a="1"/>
  <c r="O690" i="2" a="1"/>
  <c r="O453" i="2" a="1"/>
  <c r="O2057" i="2" a="1"/>
  <c r="O1474" i="2" a="1"/>
  <c r="O1973" i="2" a="1"/>
  <c r="O889" i="2" a="1"/>
  <c r="O781" i="2" a="1"/>
  <c r="O1790" i="2" a="1"/>
  <c r="O2365" i="2" a="1"/>
  <c r="O2784" i="2" a="1"/>
  <c r="O1743" i="2" a="1"/>
  <c r="O1144" i="2" a="1"/>
  <c r="O2125" i="2" a="1"/>
  <c r="O2297" i="2" a="1"/>
  <c r="O2317" i="2" a="1"/>
  <c r="O2471" i="2" a="1"/>
  <c r="O2325" i="2" a="1"/>
  <c r="O2828" i="2" a="1"/>
  <c r="O2363" i="2" a="1"/>
  <c r="O2346" i="2" a="1"/>
  <c r="O2445" i="2" a="1"/>
  <c r="O1658" i="2" a="1"/>
  <c r="O1341" i="2" a="1"/>
  <c r="O341" i="2" a="1"/>
  <c r="O1366" i="2" a="1"/>
  <c r="O2697" i="2" a="1"/>
  <c r="O2232" i="2" a="1"/>
  <c r="O218" i="2" a="1"/>
  <c r="O789" i="2" a="1"/>
  <c r="O476" i="2" a="1"/>
  <c r="O211" i="2" a="1"/>
  <c r="O2222" i="2" a="1"/>
  <c r="O289" i="2" a="1"/>
  <c r="O2465" i="2" a="1"/>
  <c r="O835" i="2" a="1"/>
  <c r="O426" i="2" a="1"/>
  <c r="O2700" i="2" a="1"/>
  <c r="O178" i="2" a="1"/>
  <c r="O348" i="2" a="1"/>
  <c r="O1810" i="2" a="1"/>
  <c r="O2237" i="2" a="1"/>
  <c r="O2320" i="2" a="1"/>
  <c r="O2761" i="2" a="1"/>
  <c r="O109" i="2" a="1"/>
  <c r="O2179" i="2" a="1"/>
  <c r="O345" i="2" a="1"/>
  <c r="O1923" i="2" a="1"/>
  <c r="O1385" i="2" a="1"/>
  <c r="O2426" i="2" a="1"/>
  <c r="O720" i="2" a="1"/>
  <c r="O1387" i="2" a="1"/>
  <c r="O1809" i="2" a="1"/>
  <c r="O642" i="2" a="1"/>
  <c r="O432" i="2" a="1"/>
  <c r="O2754" i="2" a="1"/>
  <c r="O1538" i="2" a="1"/>
  <c r="O1822" i="2" a="1"/>
  <c r="O1196" i="2" a="1"/>
  <c r="O1284" i="2" a="1"/>
  <c r="O294" i="2" a="1"/>
  <c r="O210" i="2" a="1"/>
  <c r="O2456" i="2" a="1"/>
  <c r="O1416" i="2" a="1"/>
  <c r="O2820" i="2" a="1"/>
  <c r="O1952" i="2" a="1"/>
  <c r="O1486" i="2" a="1"/>
  <c r="O443" i="2" a="1"/>
  <c r="O2227" i="2" a="1"/>
  <c r="O2160" i="2" a="1"/>
  <c r="O2072" i="2" a="1"/>
  <c r="O1769" i="2" a="1"/>
  <c r="O808" i="2" a="1"/>
  <c r="O785" i="2" a="1"/>
  <c r="O1016" i="2" a="1"/>
  <c r="O1947" i="2" a="1"/>
  <c r="O2458" i="2" a="1"/>
  <c r="O207" i="2" a="1"/>
  <c r="O1901" i="2" a="1"/>
  <c r="O979" i="2" a="1"/>
  <c r="O293" i="2" a="1"/>
  <c r="O477" i="2" a="1"/>
  <c r="O400" i="2" a="1"/>
  <c r="O2330" i="2" a="1"/>
  <c r="O816" i="2" a="1"/>
  <c r="O1535" i="2" a="1"/>
  <c r="O1924" i="2" a="1"/>
  <c r="O259" i="2" a="1"/>
  <c r="O966" i="2" a="1"/>
  <c r="O1430" i="2" a="1"/>
  <c r="O1584" i="2" a="1"/>
  <c r="O59" i="2" a="1"/>
  <c r="O790" i="2" a="1"/>
  <c r="O198" i="2" a="1"/>
  <c r="O1253" i="2" a="1"/>
  <c r="O15" i="2" a="1"/>
  <c r="O2207" i="2" a="1"/>
  <c r="O1667" i="2" a="1"/>
  <c r="O708" i="2" a="1"/>
  <c r="O2402" i="2" a="1"/>
  <c r="O1371" i="2" a="1"/>
  <c r="O2341" i="2" a="1"/>
  <c r="O556" i="2" a="1"/>
  <c r="O916" i="2" a="1"/>
  <c r="O2839" i="2" a="1"/>
  <c r="O581" i="2" a="1"/>
  <c r="O2343" i="2" a="1"/>
  <c r="O1731" i="2" a="1"/>
  <c r="O1015" i="2" a="1"/>
  <c r="O1945" i="2" a="1"/>
  <c r="O2173" i="2" a="1"/>
  <c r="O2632" i="2" a="1"/>
  <c r="O1926" i="2" a="1"/>
  <c r="O558" i="2" a="1"/>
  <c r="O1267" i="2" a="1"/>
  <c r="O1404" i="2" a="1"/>
  <c r="O2223" i="2" a="1"/>
  <c r="O1999" i="2" a="1"/>
  <c r="O2410" i="2" a="1"/>
  <c r="O855" i="2" a="1"/>
  <c r="O2432" i="2" a="1"/>
  <c r="O2519" i="2" a="1"/>
  <c r="O2058" i="2" a="1"/>
  <c r="O1478" i="2" a="1"/>
  <c r="O1962" i="2" a="1"/>
  <c r="O2834" i="2" a="1"/>
  <c r="O1260" i="2" a="1"/>
  <c r="O2469" i="2" a="1"/>
  <c r="O1485" i="2" a="1"/>
  <c r="O165" i="2" a="1"/>
  <c r="O1693" i="2" a="1"/>
  <c r="O47" i="2" a="1"/>
  <c r="O557" i="2" a="1"/>
  <c r="O147" i="2" a="1"/>
  <c r="O651" i="2" a="1"/>
  <c r="O2428" i="2" a="1"/>
  <c r="O1405" i="2" a="1"/>
  <c r="O274" i="2" a="1"/>
  <c r="O1663" i="2" a="1"/>
  <c r="O1989" i="2" a="1"/>
  <c r="O1422" i="2" a="1"/>
  <c r="O2707" i="2" a="1"/>
  <c r="O2108" i="2" a="1"/>
  <c r="O1014" i="2" a="1"/>
  <c r="O526" i="2" a="1"/>
  <c r="O2717" i="2" a="1"/>
  <c r="O2582" i="2" a="1"/>
  <c r="O1880" i="2" a="1"/>
  <c r="O1832" i="2" a="1"/>
  <c r="O1227" i="2" a="1"/>
  <c r="O2514" i="2" a="1"/>
  <c r="O968" i="2" a="1"/>
  <c r="O155" i="2" a="1"/>
  <c r="O946" i="2" a="1"/>
  <c r="O154" i="2" a="1"/>
  <c r="O739" i="2" a="1"/>
  <c r="O2093" i="2" a="1"/>
  <c r="O1836" i="2" a="1"/>
  <c r="O12" i="2" a="1"/>
  <c r="O905" i="2" a="1"/>
  <c r="O1036" i="2" a="1"/>
  <c r="O157" i="2" a="1"/>
  <c r="O601" i="2" a="1"/>
  <c r="O2056" i="2" a="1"/>
  <c r="O378" i="2" a="1"/>
  <c r="O199" i="2" a="1"/>
  <c r="O981" i="2" a="1"/>
  <c r="O904" i="2" a="1"/>
  <c r="O2703" i="2" a="1"/>
  <c r="O2372" i="2" a="1"/>
  <c r="O1235" i="2" a="1"/>
  <c r="O1383" i="2" a="1"/>
  <c r="O641" i="2" a="1"/>
  <c r="O1010" i="2" a="1"/>
  <c r="O2301" i="2" a="1"/>
  <c r="O2040" i="2" a="1"/>
  <c r="O1878" i="2" a="1"/>
  <c r="O1390" i="2" a="1"/>
  <c r="O2055" i="2" a="1"/>
  <c r="O1222" i="2" a="1"/>
  <c r="O1173" i="2" a="1"/>
  <c r="O1994" i="2" a="1"/>
  <c r="O2826" i="2" a="1"/>
  <c r="O1122" i="2" a="1"/>
  <c r="O501" i="2" a="1"/>
  <c r="O1112" i="2" a="1"/>
  <c r="O1462" i="2" a="1"/>
  <c r="O2646" i="2" a="1"/>
  <c r="O2755" i="2" a="1"/>
  <c r="O306" i="2" a="1"/>
  <c r="O1612" i="2" a="1"/>
  <c r="O1741" i="2" a="1"/>
  <c r="O1160" i="2" a="1"/>
  <c r="O1788" i="2" a="1"/>
  <c r="O1020" i="2" a="1"/>
  <c r="O2119" i="2" a="1"/>
  <c r="O1361" i="2" a="1"/>
  <c r="O907" i="2" a="1"/>
  <c r="O759" i="2" a="1"/>
  <c r="O2007" i="2" a="1"/>
  <c r="O25" i="2" a="1"/>
  <c r="O1516" i="2" a="1"/>
  <c r="O610" i="2" a="1"/>
  <c r="O1533" i="2" a="1"/>
  <c r="O2769" i="2" a="1"/>
  <c r="O41" i="2" a="1"/>
  <c r="O2792" i="2" a="1"/>
  <c r="O1852" i="2" a="1"/>
  <c r="O1670" i="2" a="1"/>
  <c r="O986" i="2" a="1"/>
  <c r="O2257" i="2" a="1"/>
  <c r="O1493" i="2" a="1"/>
  <c r="O862" i="2" a="1"/>
  <c r="O1647" i="2" a="1"/>
  <c r="O1109" i="2" a="1"/>
  <c r="O2712" i="2" a="1"/>
  <c r="O1982" i="2" a="1"/>
  <c r="O156" i="2" a="1"/>
  <c r="O2098" i="2" a="1"/>
  <c r="O308" i="2" a="1"/>
  <c r="O631" i="2" a="1"/>
  <c r="O715" i="2" a="1"/>
  <c r="O1305" i="2" a="1"/>
  <c r="O1609" i="2" a="1"/>
  <c r="O2626" i="2" a="1"/>
  <c r="O1272" i="2" a="1"/>
  <c r="O444" i="2" a="1"/>
  <c r="O252" i="2" a="1"/>
  <c r="O2202" i="2" a="1"/>
  <c r="O2422" i="2" a="1"/>
  <c r="O2690" i="2" a="1"/>
  <c r="O439" i="2" a="1"/>
  <c r="O1861" i="2" a="1"/>
  <c r="O605" i="2" a="1"/>
  <c r="O1147" i="2" a="1"/>
  <c r="O1364" i="2" a="1"/>
  <c r="O2393" i="2" a="1"/>
  <c r="O2166" i="2" a="1"/>
  <c r="O1031" i="2" a="1"/>
  <c r="O2770" i="2" a="1"/>
  <c r="O2359" i="2" a="1"/>
  <c r="O2413" i="2" a="1"/>
  <c r="O1050" i="2" a="1"/>
  <c r="O2479" i="2" a="1"/>
  <c r="O843" i="2" a="1"/>
  <c r="O2079" i="2" a="1"/>
  <c r="O2431" i="2" a="1"/>
  <c r="O1095" i="2" a="1"/>
  <c r="O566" i="2" a="1"/>
  <c r="O2448" i="2" a="1"/>
  <c r="O2776" i="2" a="1"/>
  <c r="O2401" i="2" a="1"/>
  <c r="O1890" i="2" a="1"/>
  <c r="O868" i="2" a="1"/>
  <c r="O1074" i="2" a="1"/>
  <c r="O632" i="2" a="1"/>
  <c r="O2396" i="2" a="1"/>
  <c r="O1179" i="2" a="1"/>
  <c r="O371" i="2" a="1"/>
  <c r="O2029" i="2" a="1"/>
  <c r="O235" i="2" a="1"/>
  <c r="O127" i="2" a="1"/>
  <c r="O36" i="2" a="1"/>
  <c r="O1964" i="2" a="1"/>
  <c r="O203" i="2" a="1"/>
  <c r="O94" i="2" a="1"/>
  <c r="O2187" i="2" a="1"/>
  <c r="O665" i="2" a="1"/>
  <c r="O2734" i="2" a="1"/>
  <c r="O45" i="2" a="1"/>
  <c r="O2642" i="2" a="1"/>
  <c r="O1908" i="2" a="1"/>
  <c r="O490" i="2" a="1"/>
  <c r="O799" i="2" a="1"/>
  <c r="O280" i="2" a="1"/>
  <c r="O122" i="2" a="1"/>
  <c r="O1377" i="2" a="1"/>
  <c r="O1295" i="2" a="1"/>
  <c r="O1431" i="2" a="1"/>
  <c r="O2623" i="2" a="1"/>
  <c r="O275" i="2" a="1"/>
  <c r="O2323" i="2" a="1"/>
  <c r="O1682" i="2" a="1"/>
  <c r="O1695" i="2" a="1"/>
  <c r="O390" i="2" a="1"/>
  <c r="O1100" i="2" a="1"/>
  <c r="O1524" i="2" a="1"/>
  <c r="O2241" i="2" a="1"/>
  <c r="O1702" i="2" a="1"/>
  <c r="O1046" i="2" a="1"/>
  <c r="O1379" i="2" a="1"/>
  <c r="O1726" i="2" a="1"/>
  <c r="O1828" i="2" a="1"/>
  <c r="O1634" i="2" a="1"/>
  <c r="O1349" i="2" a="1"/>
  <c r="O2414" i="2" a="1"/>
  <c r="O2573" i="2" a="1"/>
  <c r="O788" i="2" a="1"/>
  <c r="O1943" i="2" a="1"/>
  <c r="O1845" i="2" a="1"/>
  <c r="O1392" i="2" a="1"/>
  <c r="O2210" i="2" a="1"/>
  <c r="O765" i="2" a="1"/>
  <c r="O2395" i="2" a="1"/>
  <c r="O2730" i="2" a="1"/>
  <c r="O1395" i="2" a="1"/>
  <c r="O577" i="2" a="1"/>
  <c r="O75" i="2" a="1"/>
  <c r="O1427" i="2" a="1"/>
  <c r="O1710" i="2" a="1"/>
  <c r="O2126" i="2" a="1"/>
  <c r="O737" i="2" a="1"/>
  <c r="O158" i="2" a="1"/>
  <c r="O2798" i="2" a="1"/>
  <c r="O119" i="2" a="1"/>
  <c r="O1375" i="2" a="1"/>
  <c r="O2658" i="2" a="1"/>
  <c r="O2683" i="2" a="1"/>
  <c r="O223" i="2" a="1"/>
  <c r="O1158" i="2" a="1"/>
  <c r="O2018" i="2" a="1"/>
  <c r="O2409" i="2" a="1"/>
  <c r="O2175" i="2" a="1"/>
  <c r="O1426" i="2" a="1"/>
  <c r="O446" i="2" a="1"/>
  <c r="O2714" i="2" a="1"/>
  <c r="O2785" i="2" a="1"/>
  <c r="O1603" i="2" a="1"/>
  <c r="O1500" i="2" a="1"/>
  <c r="O2748" i="2" a="1"/>
  <c r="O2022" i="2" a="1"/>
  <c r="O2347" i="2" a="1"/>
  <c r="O2468" i="2" a="1"/>
  <c r="O1654" i="2" a="1"/>
  <c r="O1459" i="2" a="1"/>
  <c r="O2630" i="2" a="1"/>
  <c r="O90" i="2" a="1"/>
  <c r="O2694" i="2" a="1"/>
  <c r="O2099" i="2" a="1"/>
  <c r="O956" i="2" a="1"/>
  <c r="O1661" i="2" a="1"/>
  <c r="O1701" i="2" a="1"/>
  <c r="O1806" i="2" a="1"/>
  <c r="O2599" i="2" a="1"/>
  <c r="O2662" i="2" a="1"/>
  <c r="O602" i="2" a="1"/>
  <c r="O112" i="2" a="1"/>
  <c r="O2194" i="2" a="1"/>
  <c r="O138" i="2" a="1"/>
  <c r="O1708" i="2" a="1"/>
  <c r="O79" i="2" a="1"/>
  <c r="O2681" i="2" a="1"/>
  <c r="O1439" i="2" a="1"/>
  <c r="O2723" i="2" a="1"/>
  <c r="O1916" i="2" a="1"/>
  <c r="O2627" i="2" a="1"/>
  <c r="O2128" i="2" a="1"/>
  <c r="O2235" i="2" a="1"/>
  <c r="O6" i="2" a="1"/>
  <c r="O1043" i="2" a="1"/>
  <c r="O2461" i="2" a="1"/>
  <c r="O1469" i="2" a="1"/>
  <c r="O2322" i="2" a="1"/>
  <c r="O192" i="2" a="1"/>
  <c r="O2081" i="2" a="1"/>
  <c r="O2375" i="2" a="1"/>
  <c r="O2729" i="2" a="1"/>
  <c r="O974" i="2" a="1"/>
  <c r="O2725" i="2" a="1"/>
  <c r="O2209" i="2" a="1"/>
  <c r="O445" i="2" a="1"/>
  <c r="O1011" i="2" a="1"/>
  <c r="O1111" i="2" a="1"/>
  <c r="O433" i="2" a="1"/>
  <c r="O914" i="2" a="1"/>
  <c r="O2015" i="2" a="1"/>
  <c r="O290" i="2" a="1"/>
  <c r="O1795" i="2" a="1"/>
  <c r="O2568" i="2" a="1"/>
  <c r="O273" i="2" a="1"/>
  <c r="O1565" i="2" a="1"/>
  <c r="O225" i="2" a="1"/>
  <c r="O895" i="2" a="1"/>
  <c r="O2539" i="2" a="1"/>
  <c r="O2808" i="2" a="1"/>
  <c r="O1562" i="2" a="1"/>
  <c r="O166" i="2" a="1"/>
  <c r="O865" i="2" a="1"/>
  <c r="O1911" i="2" a="1"/>
  <c r="O1830" i="2" a="1"/>
  <c r="O578" i="2" a="1"/>
  <c r="O212" i="2" a="1"/>
  <c r="O186" i="2" a="1"/>
  <c r="O2285" i="2" a="1"/>
  <c r="O2526" i="2" a="1"/>
  <c r="O2219" i="2" a="1"/>
  <c r="O2772" i="2" a="1"/>
  <c r="O1135" i="2" a="1"/>
  <c r="O2520" i="2" a="1"/>
  <c r="O1332" i="2" a="1"/>
  <c r="O1896" i="2" a="1"/>
  <c r="O1296" i="2" a="1"/>
  <c r="O2421" i="2" a="1"/>
  <c r="O2756" i="2" a="1"/>
  <c r="O2525" i="2" a="1"/>
  <c r="O2226" i="2" a="1"/>
  <c r="O135" i="2" a="1"/>
  <c r="O2122" i="2" a="1"/>
  <c r="O924" i="2" a="1"/>
  <c r="O2137" i="2" a="1"/>
  <c r="O1457" i="2" a="1"/>
  <c r="O1722" i="2" a="1"/>
  <c r="O535" i="2" a="1"/>
  <c r="O2120" i="2" a="1"/>
  <c r="O1484" i="2" a="1"/>
  <c r="O496" i="2" a="1"/>
  <c r="O1920" i="2" a="1"/>
  <c r="O1178" i="2" a="1"/>
  <c r="O324" i="2" a="1"/>
  <c r="O1812" i="2" a="1"/>
  <c r="O216" i="2" a="1"/>
  <c r="O2650" i="2" a="1"/>
  <c r="O1442" i="2" a="1"/>
  <c r="O780" i="2" a="1"/>
  <c r="O1846" i="2" a="1"/>
  <c r="O1737" i="2" a="1"/>
  <c r="O1628" i="2" a="1"/>
  <c r="O322" i="2" a="1"/>
  <c r="O2030" i="2" a="1"/>
  <c r="O939" i="2" a="1"/>
  <c r="O2304" i="2" a="1"/>
  <c r="O2110" i="2" a="1"/>
  <c r="O1174" i="2" a="1"/>
  <c r="O239" i="2" a="1"/>
  <c r="O2752" i="2" a="1"/>
  <c r="O2419" i="2" a="1"/>
  <c r="O1865" i="2" a="1"/>
  <c r="O600" i="2" a="1"/>
  <c r="O466" i="2" a="1"/>
  <c r="O940" i="2" a="1"/>
  <c r="O1286" i="2" a="1"/>
  <c r="O801" i="2" a="1"/>
  <c r="O646" i="2" a="1"/>
  <c r="O670" i="2" a="1"/>
  <c r="O1785" i="2" a="1"/>
  <c r="O1802" i="2" a="1"/>
  <c r="O423" i="2" a="1"/>
  <c r="O1988" i="2" a="1"/>
  <c r="O1009" i="2" a="1"/>
  <c r="O803" i="2" a="1"/>
  <c r="O848" i="2" a="1"/>
  <c r="O2534" i="2" a="1"/>
  <c r="O2562" i="2" a="1"/>
  <c r="O1097" i="2" a="1"/>
  <c r="O2811" i="2" a="1"/>
  <c r="O359" i="2" a="1"/>
  <c r="O858" i="2" a="1"/>
  <c r="O1604" i="2" a="1"/>
  <c r="O752" i="2" a="1"/>
  <c r="O1448" i="2" a="1"/>
  <c r="O2608" i="2" a="1"/>
  <c r="O978" i="2" a="1"/>
  <c r="O1942" i="2" a="1"/>
  <c r="O1953" i="2" a="1"/>
  <c r="O2327" i="2" a="1"/>
  <c r="O1523" i="2" a="1"/>
  <c r="O1914" i="2" a="1"/>
  <c r="O1053" i="2" a="1"/>
  <c r="O891" i="2" a="1"/>
  <c r="O1874" i="2" a="1"/>
  <c r="O1054" i="2" a="1"/>
  <c r="O1759" i="2" a="1"/>
  <c r="O504" i="2" a="1"/>
  <c r="O323" i="2" a="1"/>
  <c r="O2052" i="2" a="1"/>
  <c r="O574" i="2" a="1"/>
  <c r="O61" i="2" a="1"/>
  <c r="O1483" i="2" a="1"/>
  <c r="O1605" i="2" a="1"/>
  <c r="O1099" i="2" a="1"/>
  <c r="O872" i="2" a="1"/>
  <c r="O1351" i="2" a="1"/>
  <c r="O1704" i="2" a="1"/>
  <c r="O1561" i="2" a="1"/>
  <c r="O2596" i="2" a="1"/>
  <c r="O587" i="2" a="1"/>
  <c r="O1350" i="2" a="1"/>
  <c r="O2097" i="2" a="1"/>
  <c r="O1159" i="2" a="1"/>
  <c r="O1221" i="2" a="1"/>
  <c r="O131" i="2" a="1"/>
  <c r="O1686" i="2" a="1"/>
  <c r="O811" i="2" a="1"/>
  <c r="O565" i="2" a="1"/>
  <c r="O1887" i="2" a="1"/>
  <c r="O30" i="2" a="1"/>
  <c r="O217" i="2" a="1"/>
  <c r="O859" i="2" a="1"/>
  <c r="O1301" i="2" a="1"/>
  <c r="O1337" i="2" a="1"/>
  <c r="O2260" i="2" a="1"/>
  <c r="O2357" i="2" a="1"/>
  <c r="O2654" i="2" a="1"/>
  <c r="O427" i="2" a="1"/>
  <c r="O1317" i="2" a="1"/>
  <c r="O2388" i="2" a="1"/>
  <c r="O2538" i="2" a="1"/>
  <c r="O150" i="2" a="1"/>
  <c r="O1368" i="2" a="1"/>
  <c r="O2763" i="2" a="1"/>
  <c r="O342" i="2" a="1"/>
  <c r="O932" i="2" a="1"/>
  <c r="O1176" i="2" a="1"/>
  <c r="O2728" i="2" a="1"/>
  <c r="O2302" i="2" a="1"/>
  <c r="O2283" i="2" a="1"/>
  <c r="O2587" i="2" a="1"/>
  <c r="O705" i="2" a="1"/>
  <c r="O530" i="2" a="1"/>
  <c r="O625" i="2" a="1"/>
  <c r="O24" i="2" a="1"/>
  <c r="O417" i="2" a="1"/>
  <c r="O1495" i="2" a="1"/>
  <c r="O2780" i="2" a="1"/>
  <c r="O219" i="2" a="1"/>
  <c r="O1085" i="2" a="1"/>
  <c r="O2136" i="2" a="1"/>
  <c r="O1240" i="2" a="1"/>
  <c r="O2508" i="2" a="1"/>
  <c r="O116" i="2" a="1"/>
  <c r="O1859" i="2" a="1"/>
  <c r="O838" i="2" a="1"/>
  <c r="O2387" i="2" a="1"/>
  <c r="O2619" i="2" a="1"/>
  <c r="O1193" i="2" a="1"/>
  <c r="O903" i="2" a="1"/>
  <c r="O1773" i="2" a="1"/>
  <c r="O2800" i="2" a="1"/>
  <c r="O923" i="2" a="1"/>
  <c r="O2435" i="2" a="1"/>
  <c r="O1077" i="2" a="1"/>
  <c r="O33" i="2" a="1"/>
  <c r="C74" i="3" a="1"/>
  <c r="C60" i="3" a="1"/>
  <c r="O33" i="2" l="1"/>
  <c r="O1077" i="2"/>
  <c r="O2435" i="2"/>
  <c r="O923" i="2"/>
  <c r="O2800" i="2"/>
  <c r="O1773" i="2"/>
  <c r="O903" i="2"/>
  <c r="O1193" i="2"/>
  <c r="O2619" i="2"/>
  <c r="O2387" i="2"/>
  <c r="O838" i="2"/>
  <c r="O1859" i="2"/>
  <c r="O116" i="2"/>
  <c r="O2508" i="2"/>
  <c r="O1240" i="2"/>
  <c r="O2136" i="2"/>
  <c r="O1085" i="2"/>
  <c r="O219" i="2"/>
  <c r="O2780" i="2"/>
  <c r="O1495" i="2"/>
  <c r="O417" i="2"/>
  <c r="O24" i="2"/>
  <c r="O625" i="2"/>
  <c r="O530" i="2"/>
  <c r="O705" i="2"/>
  <c r="O2587" i="2"/>
  <c r="O2283" i="2"/>
  <c r="O2302" i="2"/>
  <c r="O2728" i="2"/>
  <c r="O1176" i="2"/>
  <c r="O932" i="2"/>
  <c r="O342" i="2"/>
  <c r="O2763" i="2"/>
  <c r="O1368" i="2"/>
  <c r="O150" i="2"/>
  <c r="O2538" i="2"/>
  <c r="O2388" i="2"/>
  <c r="O1317" i="2"/>
  <c r="O427" i="2"/>
  <c r="O2654" i="2"/>
  <c r="O2357" i="2"/>
  <c r="O2260" i="2"/>
  <c r="O1337" i="2"/>
  <c r="O1301" i="2"/>
  <c r="O859" i="2"/>
  <c r="O217" i="2"/>
  <c r="O30" i="2"/>
  <c r="O1887" i="2"/>
  <c r="O565" i="2"/>
  <c r="O811" i="2"/>
  <c r="O1686" i="2"/>
  <c r="O131" i="2"/>
  <c r="O1221" i="2"/>
  <c r="O1159" i="2"/>
  <c r="O2097" i="2"/>
  <c r="O1350" i="2"/>
  <c r="O587" i="2"/>
  <c r="O2596" i="2"/>
  <c r="O1561" i="2"/>
  <c r="O1704" i="2"/>
  <c r="O1351" i="2"/>
  <c r="O872" i="2"/>
  <c r="O1099" i="2"/>
  <c r="O1605" i="2"/>
  <c r="O1483" i="2"/>
  <c r="O61" i="2"/>
  <c r="O574" i="2"/>
  <c r="O2052" i="2"/>
  <c r="O323" i="2"/>
  <c r="O504" i="2"/>
  <c r="O1759" i="2"/>
  <c r="O1054" i="2"/>
  <c r="O1874" i="2"/>
  <c r="O891" i="2"/>
  <c r="O1053" i="2"/>
  <c r="O1914" i="2"/>
  <c r="O1523" i="2"/>
  <c r="O2327" i="2"/>
  <c r="O1953" i="2"/>
  <c r="O1942" i="2"/>
  <c r="O978" i="2"/>
  <c r="O2608" i="2"/>
  <c r="O1448" i="2"/>
  <c r="O752" i="2"/>
  <c r="O1604" i="2"/>
  <c r="O858" i="2"/>
  <c r="O359" i="2"/>
  <c r="O2811" i="2"/>
  <c r="O1097" i="2"/>
  <c r="O2562" i="2"/>
  <c r="O2534" i="2"/>
  <c r="O848" i="2"/>
  <c r="O803" i="2"/>
  <c r="O1009" i="2"/>
  <c r="O1988" i="2"/>
  <c r="O423" i="2"/>
  <c r="O1802" i="2"/>
  <c r="O1785" i="2"/>
  <c r="O670" i="2"/>
  <c r="O646" i="2"/>
  <c r="O801" i="2"/>
  <c r="O1286" i="2"/>
  <c r="O940" i="2"/>
  <c r="O466" i="2"/>
  <c r="O600" i="2"/>
  <c r="O1865" i="2"/>
  <c r="O2419" i="2"/>
  <c r="O2752" i="2"/>
  <c r="O239" i="2"/>
  <c r="O1174" i="2"/>
  <c r="O2110" i="2"/>
  <c r="O2304" i="2"/>
  <c r="O939" i="2"/>
  <c r="O2030" i="2"/>
  <c r="O322" i="2"/>
  <c r="O1628" i="2"/>
  <c r="O1737" i="2"/>
  <c r="O1846" i="2"/>
  <c r="O780" i="2"/>
  <c r="O1442" i="2"/>
  <c r="O2650" i="2"/>
  <c r="O216" i="2"/>
  <c r="O1812" i="2"/>
  <c r="O324" i="2"/>
  <c r="O1178" i="2"/>
  <c r="O1920" i="2"/>
  <c r="O496" i="2"/>
  <c r="O1484" i="2"/>
  <c r="O2120" i="2"/>
  <c r="O535" i="2"/>
  <c r="O1722" i="2"/>
  <c r="O1457" i="2"/>
  <c r="O2137" i="2"/>
  <c r="O924" i="2"/>
  <c r="O2122" i="2"/>
  <c r="O135" i="2"/>
  <c r="O2226" i="2"/>
  <c r="O2525" i="2"/>
  <c r="O2756" i="2"/>
  <c r="O2421" i="2"/>
  <c r="O1296" i="2"/>
  <c r="O1896" i="2"/>
  <c r="O1332" i="2"/>
  <c r="O2520" i="2"/>
  <c r="O1135" i="2"/>
  <c r="O2772" i="2"/>
  <c r="O2219" i="2"/>
  <c r="O2526" i="2"/>
  <c r="O2285" i="2"/>
  <c r="O186" i="2"/>
  <c r="O212" i="2"/>
  <c r="O578" i="2"/>
  <c r="O1830" i="2"/>
  <c r="O1911" i="2"/>
  <c r="O865" i="2"/>
  <c r="O166" i="2"/>
  <c r="O1562" i="2"/>
  <c r="O2808" i="2"/>
  <c r="O2539" i="2"/>
  <c r="O895" i="2"/>
  <c r="O225" i="2"/>
  <c r="O1565" i="2"/>
  <c r="O273" i="2"/>
  <c r="O2568" i="2"/>
  <c r="O1795" i="2"/>
  <c r="O290" i="2"/>
  <c r="O2015" i="2"/>
  <c r="O914" i="2"/>
  <c r="O433" i="2"/>
  <c r="O1111" i="2"/>
  <c r="O1011" i="2"/>
  <c r="O445" i="2"/>
  <c r="O2209" i="2"/>
  <c r="O2725" i="2"/>
  <c r="O974" i="2"/>
  <c r="O2729" i="2"/>
  <c r="O2375" i="2"/>
  <c r="O2081" i="2"/>
  <c r="O192" i="2"/>
  <c r="O2322" i="2"/>
  <c r="O1469" i="2"/>
  <c r="O2461" i="2"/>
  <c r="O1043" i="2"/>
  <c r="O6" i="2"/>
  <c r="O2235" i="2"/>
  <c r="O2128" i="2"/>
  <c r="O2627" i="2"/>
  <c r="O1916" i="2"/>
  <c r="O2723" i="2"/>
  <c r="O1439" i="2"/>
  <c r="O2681" i="2"/>
  <c r="O79" i="2"/>
  <c r="O1708" i="2"/>
  <c r="O138" i="2"/>
  <c r="O2194" i="2"/>
  <c r="O112" i="2"/>
  <c r="O602" i="2"/>
  <c r="O2662" i="2"/>
  <c r="O2599" i="2"/>
  <c r="O1806" i="2"/>
  <c r="O1701" i="2"/>
  <c r="O1661" i="2"/>
  <c r="O956" i="2"/>
  <c r="O2099" i="2"/>
  <c r="O2694" i="2"/>
  <c r="O90" i="2"/>
  <c r="O2630" i="2"/>
  <c r="O1459" i="2"/>
  <c r="O1654" i="2"/>
  <c r="O2468" i="2"/>
  <c r="O2347" i="2"/>
  <c r="O2022" i="2"/>
  <c r="O2748" i="2"/>
  <c r="O1500" i="2"/>
  <c r="O1603" i="2"/>
  <c r="O2785" i="2"/>
  <c r="O2714" i="2"/>
  <c r="O446" i="2"/>
  <c r="O1426" i="2"/>
  <c r="O2175" i="2"/>
  <c r="O2409" i="2"/>
  <c r="O2018" i="2"/>
  <c r="O1158" i="2"/>
  <c r="O223" i="2"/>
  <c r="O2683" i="2"/>
  <c r="O2658" i="2"/>
  <c r="O1375" i="2"/>
  <c r="O119" i="2"/>
  <c r="O2798" i="2"/>
  <c r="O158" i="2"/>
  <c r="O737" i="2"/>
  <c r="O2126" i="2"/>
  <c r="O1710" i="2"/>
  <c r="O1427" i="2"/>
  <c r="O75" i="2"/>
  <c r="O577" i="2"/>
  <c r="O1395" i="2"/>
  <c r="O2730" i="2"/>
  <c r="O2395" i="2"/>
  <c r="O765" i="2"/>
  <c r="O2210" i="2"/>
  <c r="O1392" i="2"/>
  <c r="O1845" i="2"/>
  <c r="O1943" i="2"/>
  <c r="O788" i="2"/>
  <c r="O2573" i="2"/>
  <c r="O2414" i="2"/>
  <c r="O1349" i="2"/>
  <c r="O1634" i="2"/>
  <c r="O1828" i="2"/>
  <c r="O1726" i="2"/>
  <c r="O1379" i="2"/>
  <c r="O1046" i="2"/>
  <c r="O1702" i="2"/>
  <c r="O2241" i="2"/>
  <c r="O1524" i="2"/>
  <c r="O1100" i="2"/>
  <c r="O390" i="2"/>
  <c r="O1695" i="2"/>
  <c r="O1682" i="2"/>
  <c r="O2323" i="2"/>
  <c r="O275" i="2"/>
  <c r="O2623" i="2"/>
  <c r="O1431" i="2"/>
  <c r="O1295" i="2"/>
  <c r="O1377" i="2"/>
  <c r="O122" i="2"/>
  <c r="O280" i="2"/>
  <c r="O799" i="2"/>
  <c r="O490" i="2"/>
  <c r="O1908" i="2"/>
  <c r="O2642" i="2"/>
  <c r="O45" i="2"/>
  <c r="O2734" i="2"/>
  <c r="O665" i="2"/>
  <c r="O2187" i="2"/>
  <c r="O94" i="2"/>
  <c r="O203" i="2"/>
  <c r="O1964" i="2"/>
  <c r="O36" i="2"/>
  <c r="O127" i="2"/>
  <c r="O235" i="2"/>
  <c r="O2029" i="2"/>
  <c r="O371" i="2"/>
  <c r="O1179" i="2"/>
  <c r="O2396" i="2"/>
  <c r="O632" i="2"/>
  <c r="O1074" i="2"/>
  <c r="O868" i="2"/>
  <c r="O1890" i="2"/>
  <c r="O2401" i="2"/>
  <c r="O2776" i="2"/>
  <c r="O2448" i="2"/>
  <c r="O566" i="2"/>
  <c r="O1095" i="2"/>
  <c r="O2431" i="2"/>
  <c r="O2079" i="2"/>
  <c r="O843" i="2"/>
  <c r="O2479" i="2"/>
  <c r="O1050" i="2"/>
  <c r="O2413" i="2"/>
  <c r="O2359" i="2"/>
  <c r="O2770" i="2"/>
  <c r="O1031" i="2"/>
  <c r="O2166" i="2"/>
  <c r="O2393" i="2"/>
  <c r="O1364" i="2"/>
  <c r="O1147" i="2"/>
  <c r="O605" i="2"/>
  <c r="O1861" i="2"/>
  <c r="O439" i="2"/>
  <c r="O2690" i="2"/>
  <c r="O2422" i="2"/>
  <c r="O2202" i="2"/>
  <c r="O252" i="2"/>
  <c r="O444" i="2"/>
  <c r="O1272" i="2"/>
  <c r="O2626" i="2"/>
  <c r="O1609" i="2"/>
  <c r="O1305" i="2"/>
  <c r="O715" i="2"/>
  <c r="O631" i="2"/>
  <c r="O308" i="2"/>
  <c r="O2098" i="2"/>
  <c r="O156" i="2"/>
  <c r="O1982" i="2"/>
  <c r="O2712" i="2"/>
  <c r="O1109" i="2"/>
  <c r="O1647" i="2"/>
  <c r="O862" i="2"/>
  <c r="O1493" i="2"/>
  <c r="O2257" i="2"/>
  <c r="O986" i="2"/>
  <c r="O1670" i="2"/>
  <c r="O1852" i="2"/>
  <c r="O2792" i="2"/>
  <c r="O41" i="2"/>
  <c r="O2769" i="2"/>
  <c r="O1533" i="2"/>
  <c r="O610" i="2"/>
  <c r="O1516" i="2"/>
  <c r="O25" i="2"/>
  <c r="O2007" i="2"/>
  <c r="O759" i="2"/>
  <c r="O907" i="2"/>
  <c r="O1361" i="2"/>
  <c r="O2119" i="2"/>
  <c r="O1020" i="2"/>
  <c r="O1788" i="2"/>
  <c r="O1160" i="2"/>
  <c r="O1741" i="2"/>
  <c r="O1612" i="2"/>
  <c r="O306" i="2"/>
  <c r="O2755" i="2"/>
  <c r="O2646" i="2"/>
  <c r="O1462" i="2"/>
  <c r="O1112" i="2"/>
  <c r="O501" i="2"/>
  <c r="O1122" i="2"/>
  <c r="O2826" i="2"/>
  <c r="O1994" i="2"/>
  <c r="O1173" i="2"/>
  <c r="O1222" i="2"/>
  <c r="O2055" i="2"/>
  <c r="O1390" i="2"/>
  <c r="O1878" i="2"/>
  <c r="O2040" i="2"/>
  <c r="O2301" i="2"/>
  <c r="O1010" i="2"/>
  <c r="O641" i="2"/>
  <c r="O1383" i="2"/>
  <c r="O1235" i="2"/>
  <c r="O2372" i="2"/>
  <c r="O2703" i="2"/>
  <c r="O904" i="2"/>
  <c r="O981" i="2"/>
  <c r="O199" i="2"/>
  <c r="O378" i="2"/>
  <c r="O2056" i="2"/>
  <c r="O601" i="2"/>
  <c r="O157" i="2"/>
  <c r="O1036" i="2"/>
  <c r="O905" i="2"/>
  <c r="O12" i="2"/>
  <c r="O1836" i="2"/>
  <c r="O2093" i="2"/>
  <c r="O739" i="2"/>
  <c r="O154" i="2"/>
  <c r="O946" i="2"/>
  <c r="O155" i="2"/>
  <c r="O968" i="2"/>
  <c r="O2514" i="2"/>
  <c r="O1227" i="2"/>
  <c r="O1832" i="2"/>
  <c r="O1880" i="2"/>
  <c r="O2582" i="2"/>
  <c r="O2717" i="2"/>
  <c r="O526" i="2"/>
  <c r="O1014" i="2"/>
  <c r="O2108" i="2"/>
  <c r="O2707" i="2"/>
  <c r="O1422" i="2"/>
  <c r="O1989" i="2"/>
  <c r="O1663" i="2"/>
  <c r="O274" i="2"/>
  <c r="O1405" i="2"/>
  <c r="O2428" i="2"/>
  <c r="O651" i="2"/>
  <c r="O147" i="2"/>
  <c r="O557" i="2"/>
  <c r="O47" i="2"/>
  <c r="O1693" i="2"/>
  <c r="O165" i="2"/>
  <c r="O1485" i="2"/>
  <c r="O2469" i="2"/>
  <c r="O1260" i="2"/>
  <c r="O2834" i="2"/>
  <c r="O1962" i="2"/>
  <c r="O1478" i="2"/>
  <c r="O2058" i="2"/>
  <c r="O2519" i="2"/>
  <c r="O2432" i="2"/>
  <c r="O855" i="2"/>
  <c r="O2410" i="2"/>
  <c r="O1999" i="2"/>
  <c r="O2223" i="2"/>
  <c r="O1404" i="2"/>
  <c r="O1267" i="2"/>
  <c r="O558" i="2"/>
  <c r="O1926" i="2"/>
  <c r="O2632" i="2"/>
  <c r="O2173" i="2"/>
  <c r="O1945" i="2"/>
  <c r="O1015" i="2"/>
  <c r="O1731" i="2"/>
  <c r="O2343" i="2"/>
  <c r="O581" i="2"/>
  <c r="O2839" i="2"/>
  <c r="O916" i="2"/>
  <c r="O556" i="2"/>
  <c r="O2341" i="2"/>
  <c r="O1371" i="2"/>
  <c r="O2402" i="2"/>
  <c r="O708" i="2"/>
  <c r="O1667" i="2"/>
  <c r="O2207" i="2"/>
  <c r="O15" i="2"/>
  <c r="O1253" i="2"/>
  <c r="O198" i="2"/>
  <c r="O790" i="2"/>
  <c r="O59" i="2"/>
  <c r="O1584" i="2"/>
  <c r="O1430" i="2"/>
  <c r="O966" i="2"/>
  <c r="O259" i="2"/>
  <c r="O1924" i="2"/>
  <c r="O1535" i="2"/>
  <c r="O816" i="2"/>
  <c r="O2330" i="2"/>
  <c r="O400" i="2"/>
  <c r="O477" i="2"/>
  <c r="O293" i="2"/>
  <c r="O979" i="2"/>
  <c r="O1901" i="2"/>
  <c r="O207" i="2"/>
  <c r="O2458" i="2"/>
  <c r="O1947" i="2"/>
  <c r="O1016" i="2"/>
  <c r="O785" i="2"/>
  <c r="O808" i="2"/>
  <c r="O1769" i="2"/>
  <c r="O2072" i="2"/>
  <c r="O2160" i="2"/>
  <c r="O2227" i="2"/>
  <c r="O443" i="2"/>
  <c r="O1486" i="2"/>
  <c r="O1952" i="2"/>
  <c r="O2820" i="2"/>
  <c r="O1416" i="2"/>
  <c r="O2456" i="2"/>
  <c r="O210" i="2"/>
  <c r="O294" i="2"/>
  <c r="O1284" i="2"/>
  <c r="O1196" i="2"/>
  <c r="O1822" i="2"/>
  <c r="O1538" i="2"/>
  <c r="O2754" i="2"/>
  <c r="O432" i="2"/>
  <c r="O642" i="2"/>
  <c r="O1809" i="2"/>
  <c r="O1387" i="2"/>
  <c r="O720" i="2"/>
  <c r="O2426" i="2"/>
  <c r="O1385" i="2"/>
  <c r="O1923" i="2"/>
  <c r="O345" i="2"/>
  <c r="O2179" i="2"/>
  <c r="O109" i="2"/>
  <c r="O2761" i="2"/>
  <c r="O2320" i="2"/>
  <c r="O2237" i="2"/>
  <c r="O1810" i="2"/>
  <c r="O348" i="2"/>
  <c r="O178" i="2"/>
  <c r="O2700" i="2"/>
  <c r="O426" i="2"/>
  <c r="O835" i="2"/>
  <c r="O2465" i="2"/>
  <c r="O289" i="2"/>
  <c r="O2222" i="2"/>
  <c r="O211" i="2"/>
  <c r="O476" i="2"/>
  <c r="O789" i="2"/>
  <c r="O218" i="2"/>
  <c r="O2232" i="2"/>
  <c r="O2697" i="2"/>
  <c r="O1366" i="2"/>
  <c r="O341" i="2"/>
  <c r="O1341" i="2"/>
  <c r="O1658" i="2"/>
  <c r="O2445" i="2"/>
  <c r="O2346" i="2"/>
  <c r="O2363" i="2"/>
  <c r="O2828" i="2"/>
  <c r="O2325" i="2"/>
  <c r="O2471" i="2"/>
  <c r="O2317" i="2"/>
  <c r="O2297" i="2"/>
  <c r="O2125" i="2"/>
  <c r="O1144" i="2"/>
  <c r="O1743" i="2"/>
  <c r="O2784" i="2"/>
  <c r="O2365" i="2"/>
  <c r="O1790" i="2"/>
  <c r="O781" i="2"/>
  <c r="O889" i="2"/>
  <c r="O1973" i="2"/>
  <c r="O1474" i="2"/>
  <c r="O2057" i="2"/>
  <c r="O453" i="2"/>
  <c r="O690" i="2"/>
  <c r="O1131" i="2"/>
  <c r="O970" i="2"/>
  <c r="O2806" i="2"/>
  <c r="O1040" i="2"/>
  <c r="O260" i="2"/>
  <c r="O2264" i="2"/>
  <c r="O2442" i="2"/>
  <c r="O398" i="2"/>
  <c r="O1607" i="2"/>
  <c r="O2276" i="2"/>
  <c r="O1751" i="2"/>
  <c r="O2590" i="2"/>
  <c r="O2250" i="2"/>
  <c r="O1082" i="2"/>
  <c r="O1677" i="2"/>
  <c r="O44" i="2"/>
  <c r="O117" i="2"/>
  <c r="O2321" i="2"/>
  <c r="O1922" i="2"/>
  <c r="O2269" i="2"/>
  <c r="O1586" i="2"/>
  <c r="O2647" i="2"/>
  <c r="O1650" i="2"/>
  <c r="O2076" i="2"/>
  <c r="O766" i="2"/>
  <c r="O2438" i="2"/>
  <c r="O1299" i="2"/>
  <c r="O1197" i="2"/>
  <c r="O1742" i="2"/>
  <c r="O2071" i="2"/>
  <c r="O1761" i="2"/>
  <c r="O696" i="2"/>
  <c r="O362" i="2"/>
  <c r="O2832" i="2"/>
  <c r="O630" i="2"/>
  <c r="O673" i="2"/>
  <c r="O2553" i="2"/>
  <c r="O1577" i="2"/>
  <c r="O2277" i="2"/>
  <c r="O2701" i="2"/>
  <c r="O2463" i="2"/>
  <c r="O27" i="2"/>
  <c r="O1870" i="2"/>
  <c r="O2824" i="2"/>
  <c r="O1709" i="2"/>
  <c r="O744" i="2"/>
  <c r="O653" i="2"/>
  <c r="O57" i="2"/>
  <c r="O1164" i="2"/>
  <c r="O1438" i="2"/>
  <c r="O2041" i="2"/>
  <c r="O1610" i="2"/>
  <c r="O857" i="2"/>
  <c r="O1600" i="2"/>
  <c r="O813" i="2"/>
  <c r="O2162" i="2"/>
  <c r="O2771" i="2"/>
  <c r="O2615" i="2"/>
  <c r="O1983" i="2"/>
  <c r="O2744" i="2"/>
  <c r="O256" i="2"/>
  <c r="O1645" i="2"/>
  <c r="O1699" i="2"/>
  <c r="O1601" i="2"/>
  <c r="O2631" i="2"/>
  <c r="O585" i="2"/>
  <c r="O2014" i="2"/>
  <c r="O2674" i="2"/>
  <c r="O2296" i="2"/>
  <c r="O2620" i="2"/>
  <c r="O1762" i="2"/>
  <c r="O2836" i="2"/>
  <c r="O180" i="2"/>
  <c r="O2561" i="2"/>
  <c r="O2451" i="2"/>
  <c r="O1414" i="2"/>
  <c r="O832" i="2"/>
  <c r="O2698" i="2"/>
  <c r="O1105" i="2"/>
  <c r="O2292" i="2"/>
  <c r="O2172" i="2"/>
  <c r="O944" i="2"/>
  <c r="O237" i="2"/>
  <c r="O1665" i="2"/>
  <c r="O1101" i="2"/>
  <c r="O2066" i="2"/>
  <c r="O2604" i="2"/>
  <c r="O509" i="2"/>
  <c r="O413" i="2"/>
  <c r="O828" i="2"/>
  <c r="O1380" i="2"/>
  <c r="O590" i="2"/>
  <c r="O927" i="2"/>
  <c r="O249" i="2"/>
  <c r="O2449" i="2"/>
  <c r="O2583" i="2"/>
  <c r="O494" i="2"/>
  <c r="O1648" i="2"/>
  <c r="O1732" i="2"/>
  <c r="O297" i="2"/>
  <c r="O1421" i="2"/>
  <c r="O675" i="2"/>
  <c r="O307" i="2"/>
  <c r="O240" i="2"/>
  <c r="O2020" i="2"/>
  <c r="O1231" i="2"/>
  <c r="O2089" i="2"/>
  <c r="O755" i="2"/>
  <c r="O1707" i="2"/>
  <c r="O2464" i="2"/>
  <c r="O1076" i="2"/>
  <c r="O1021" i="2"/>
  <c r="O1595" i="2"/>
  <c r="O918" i="2"/>
  <c r="O1310" i="2"/>
  <c r="O1979" i="2"/>
  <c r="O1843" i="2"/>
  <c r="O2124" i="2"/>
  <c r="O437" i="2"/>
  <c r="O2392" i="2"/>
  <c r="O495" i="2"/>
  <c r="O910" i="2"/>
  <c r="O710" i="2"/>
  <c r="O1238" i="2"/>
  <c r="O552" i="2"/>
  <c r="O2664" i="2"/>
  <c r="O1359" i="2"/>
  <c r="O2141" i="2"/>
  <c r="O2361" i="2"/>
  <c r="O2718" i="2"/>
  <c r="O1262" i="2"/>
  <c r="O2640" i="2"/>
  <c r="O784" i="2"/>
  <c r="O1291" i="2"/>
  <c r="O1309" i="2"/>
  <c r="O2374" i="2"/>
  <c r="O2598" i="2"/>
  <c r="O1236" i="2"/>
  <c r="O2051" i="2"/>
  <c r="O21" i="2"/>
  <c r="O2068" i="2"/>
  <c r="O1304" i="2"/>
  <c r="O245" i="2"/>
  <c r="O1334" i="2"/>
  <c r="O836" i="2"/>
  <c r="O2466" i="2"/>
  <c r="O1522" i="2"/>
  <c r="O1679" i="2"/>
  <c r="O2512" i="2"/>
  <c r="O1712" i="2"/>
  <c r="O2625" i="2"/>
  <c r="O23" i="2"/>
  <c r="O822" i="2"/>
  <c r="O2799" i="2"/>
  <c r="O335" i="2"/>
  <c r="O460" i="2"/>
  <c r="O1894" i="2"/>
  <c r="O2212" i="2"/>
  <c r="O1529" i="2"/>
  <c r="O2540" i="2"/>
  <c r="O2522" i="2"/>
  <c r="O408" i="2"/>
  <c r="O2762" i="2"/>
  <c r="O2310" i="2"/>
  <c r="O2427" i="2"/>
  <c r="O153" i="2"/>
  <c r="O622" i="2"/>
  <c r="O1936" i="2"/>
  <c r="O2750" i="2"/>
  <c r="O2659" i="2"/>
  <c r="O2668" i="2"/>
  <c r="O2782" i="2"/>
  <c r="O2641" i="2"/>
  <c r="O1957" i="2"/>
  <c r="O1126" i="2"/>
  <c r="O1208" i="2"/>
  <c r="O136" i="2"/>
  <c r="O142" i="2"/>
  <c r="O1294" i="2"/>
  <c r="O89" i="2"/>
  <c r="O1815" i="2"/>
  <c r="O325" i="2"/>
  <c r="O2354" i="2"/>
  <c r="O2230" i="2"/>
  <c r="O2258" i="2"/>
  <c r="O1515" i="2"/>
  <c r="O561" i="2"/>
  <c r="O738" i="2"/>
  <c r="O839" i="2"/>
  <c r="O1078" i="2"/>
  <c r="O1514" i="2"/>
  <c r="O253" i="2"/>
  <c r="O201" i="2"/>
  <c r="O372" i="2"/>
  <c r="O2234" i="2"/>
  <c r="O2418" i="2"/>
  <c r="O1641" i="2"/>
  <c r="O2489" i="2"/>
  <c r="O1413" i="2"/>
  <c r="O351" i="2"/>
  <c r="O1876" i="2"/>
  <c r="O1934" i="2"/>
  <c r="O1738" i="2"/>
  <c r="O1223" i="2"/>
  <c r="O1092" i="2"/>
  <c r="O571" i="2"/>
  <c r="O1534" i="2"/>
  <c r="O1141" i="2"/>
  <c r="O1056" i="2"/>
  <c r="O595" i="2"/>
  <c r="O1644" i="2"/>
  <c r="O648" i="2"/>
  <c r="O2591" i="2"/>
  <c r="O304" i="2"/>
  <c r="O5" i="2"/>
  <c r="O1083" i="2"/>
  <c r="O2692" i="2"/>
  <c r="O406" i="2"/>
  <c r="O1972" i="2"/>
  <c r="O420" i="2"/>
  <c r="O19" i="2"/>
  <c r="O2238" i="2"/>
  <c r="O1343" i="2"/>
  <c r="O1306" i="2"/>
  <c r="O1976" i="2"/>
  <c r="O1842" i="2"/>
  <c r="O2000" i="2"/>
  <c r="O2672" i="2"/>
  <c r="O1756" i="2"/>
  <c r="O2054" i="2"/>
  <c r="O486" i="2"/>
  <c r="O1807" i="2"/>
  <c r="O1750" i="2"/>
  <c r="O1513" i="2"/>
  <c r="O224" i="2"/>
  <c r="O1436" i="2"/>
  <c r="O2100" i="2"/>
  <c r="O2300" i="2"/>
  <c r="O1453" i="2"/>
  <c r="O1259" i="2"/>
  <c r="O1786" i="2"/>
  <c r="O1058" i="2"/>
  <c r="O1212" i="2"/>
  <c r="O1685" i="2"/>
  <c r="O2251" i="2"/>
  <c r="O1205" i="2"/>
  <c r="O1373" i="2"/>
  <c r="O2823" i="2"/>
  <c r="O1059" i="2"/>
  <c r="O2353" i="2"/>
  <c r="O2677" i="2"/>
  <c r="O132" i="2"/>
  <c r="O2183" i="2"/>
  <c r="O1640" i="2"/>
  <c r="O1081" i="2"/>
  <c r="O58" i="2"/>
  <c r="O1638" i="2"/>
  <c r="O1951" i="2"/>
  <c r="O16" i="2"/>
  <c r="O449" i="2"/>
  <c r="O1345" i="2"/>
  <c r="O1070" i="2"/>
  <c r="O1298" i="2"/>
  <c r="O524" i="2"/>
  <c r="O1939" i="2"/>
  <c r="O2348" i="2"/>
  <c r="O2721" i="2"/>
  <c r="O2148" i="2"/>
  <c r="O2" i="2"/>
  <c r="O545" i="2"/>
  <c r="O2669" i="2"/>
  <c r="O2549" i="2"/>
  <c r="O2569" i="2"/>
  <c r="O850" i="2"/>
  <c r="O169" i="2"/>
  <c r="O2253" i="2"/>
  <c r="O2478" i="2"/>
  <c r="O2472" i="2"/>
  <c r="O2092" i="2"/>
  <c r="O1013" i="2"/>
  <c r="O985" i="2"/>
  <c r="O1987" i="2"/>
  <c r="O507" i="2"/>
  <c r="O1784" i="2"/>
  <c r="O1616" i="2"/>
  <c r="O851" i="2"/>
  <c r="O370" i="2"/>
  <c r="O2111" i="2"/>
  <c r="O2342" i="2"/>
  <c r="O805" i="2"/>
  <c r="O2686" i="2"/>
  <c r="O1978" i="2"/>
  <c r="O2004" i="2"/>
  <c r="O611" i="2"/>
  <c r="O1471" i="2"/>
  <c r="O1441" i="2"/>
  <c r="O113" i="2"/>
  <c r="O146" i="2"/>
  <c r="O2550" i="2"/>
  <c r="O1234" i="2"/>
  <c r="O493" i="2"/>
  <c r="O209" i="2"/>
  <c r="O821" i="2"/>
  <c r="O1428" i="2"/>
  <c r="O1774" i="2"/>
  <c r="O679" i="2"/>
  <c r="O1182" i="2"/>
  <c r="O954" i="2"/>
  <c r="O1504" i="2"/>
  <c r="O1155" i="2"/>
  <c r="O2544" i="2"/>
  <c r="O969" i="2"/>
  <c r="O2447" i="2"/>
  <c r="O1080" i="2"/>
  <c r="O2078" i="2"/>
  <c r="O1844" i="2"/>
  <c r="O1445" i="2"/>
  <c r="O2804" i="2"/>
  <c r="O2403" i="2"/>
  <c r="O1477" i="2"/>
  <c r="O2585" i="2"/>
  <c r="O1127" i="2"/>
  <c r="O1519" i="2"/>
  <c r="O912" i="2"/>
  <c r="O2609" i="2"/>
  <c r="O1626" i="2"/>
  <c r="O2002" i="2"/>
  <c r="O2727" i="2"/>
  <c r="O2648" i="2"/>
  <c r="O1461" i="2"/>
  <c r="O1814" i="2"/>
  <c r="O1353" i="2"/>
  <c r="O519" i="2"/>
  <c r="O2386" i="2"/>
  <c r="O1106" i="2"/>
  <c r="O1931" i="2"/>
  <c r="O1061" i="2"/>
  <c r="O2339" i="2"/>
  <c r="O1853" i="2"/>
  <c r="O18" i="2"/>
  <c r="O463" i="2"/>
  <c r="O2572" i="2"/>
  <c r="O2003" i="2"/>
  <c r="O2275" i="2"/>
  <c r="O2429" i="2"/>
  <c r="O414" i="2"/>
  <c r="O1611" i="2"/>
  <c r="O388" i="2"/>
  <c r="O2739" i="2"/>
  <c r="O129" i="2"/>
  <c r="O2767" i="2"/>
  <c r="O126" i="2"/>
  <c r="O2208" i="2"/>
  <c r="O2204" i="2"/>
  <c r="O804" i="2"/>
  <c r="O1181" i="2"/>
  <c r="O205" i="2"/>
  <c r="O894" i="2"/>
  <c r="O2390" i="2"/>
  <c r="O366" i="2"/>
  <c r="O1342" i="2"/>
  <c r="O458" i="2"/>
  <c r="O2504" i="2"/>
  <c r="O749" i="2"/>
  <c r="O2021" i="2"/>
  <c r="O1115" i="2"/>
  <c r="O2236" i="2"/>
  <c r="O2134" i="2"/>
  <c r="O588" i="2"/>
  <c r="O462" i="2"/>
  <c r="O1248" i="2"/>
  <c r="O200" i="2"/>
  <c r="O861" i="2"/>
  <c r="O258" i="2"/>
  <c r="O1183" i="2"/>
  <c r="O1123" i="2"/>
  <c r="O883" i="2"/>
  <c r="O1966" i="2"/>
  <c r="O1912" i="2"/>
  <c r="O2670" i="2"/>
  <c r="O2688" i="2"/>
  <c r="O338" i="2"/>
  <c r="O2436" i="2"/>
  <c r="O2624" i="2"/>
  <c r="O2420" i="2"/>
  <c r="O278" i="2"/>
  <c r="O2663" i="2"/>
  <c r="O1190" i="2"/>
  <c r="O2115" i="2"/>
  <c r="O1547" i="2"/>
  <c r="O1023" i="2"/>
  <c r="O350" i="2"/>
  <c r="O567" i="2"/>
  <c r="O779" i="2"/>
  <c r="O83" i="2"/>
  <c r="O529" i="2"/>
  <c r="O2340" i="2"/>
  <c r="O1968" i="2"/>
  <c r="O1975" i="2"/>
  <c r="O551" i="2"/>
  <c r="O2643" i="2"/>
  <c r="O2535" i="2"/>
  <c r="O898" i="2"/>
  <c r="O26" i="2"/>
  <c r="O713" i="2"/>
  <c r="O2635" i="2"/>
  <c r="O2528" i="2"/>
  <c r="O740" i="2"/>
  <c r="O699" i="2"/>
  <c r="O2305" i="2"/>
  <c r="O2112" i="2"/>
  <c r="O405" i="2"/>
  <c r="O1728" i="2"/>
  <c r="O2180" i="2"/>
  <c r="O2803" i="2"/>
  <c r="O1417" i="2"/>
  <c r="O2221" i="2"/>
  <c r="O1026" i="2"/>
  <c r="O619" i="2"/>
  <c r="O700" i="2"/>
  <c r="O886" i="2"/>
  <c r="O1910" i="2"/>
  <c r="O1357" i="2"/>
  <c r="O1433" i="2"/>
  <c r="O1729" i="2"/>
  <c r="O800" i="2"/>
  <c r="O2731" i="2"/>
  <c r="O2651" i="2"/>
  <c r="O1941" i="2"/>
  <c r="O1104" i="2"/>
  <c r="O301" i="2"/>
  <c r="O532" i="2"/>
  <c r="O2400" i="2"/>
  <c r="O2802" i="2"/>
  <c r="O580" i="2"/>
  <c r="O1599" i="2"/>
  <c r="O2783" i="2"/>
  <c r="O2517" i="2"/>
  <c r="O451" i="2"/>
  <c r="O1331" i="2"/>
  <c r="O1068" i="2"/>
  <c r="O672" i="2"/>
  <c r="O1986" i="2"/>
  <c r="O71" i="2"/>
  <c r="O1608" i="2"/>
  <c r="O2351" i="2"/>
  <c r="O1703" i="2"/>
  <c r="O484" i="2"/>
  <c r="O2593" i="2"/>
  <c r="O115" i="2"/>
  <c r="O1288" i="2"/>
  <c r="O973" i="2"/>
  <c r="O702" i="2"/>
  <c r="O1642" i="2"/>
  <c r="O1124" i="2"/>
  <c r="O1444" i="2"/>
  <c r="O1233" i="2"/>
  <c r="O1527" i="2"/>
  <c r="O2841" i="2"/>
  <c r="O65" i="2"/>
  <c r="O870" i="2"/>
  <c r="O2262" i="2"/>
  <c r="O264" i="2"/>
  <c r="O1185" i="2"/>
  <c r="O87" i="2"/>
  <c r="O172" i="2"/>
  <c r="O663" i="2"/>
  <c r="O756" i="2"/>
  <c r="O1153" i="2"/>
  <c r="O1044" i="2"/>
  <c r="O2309" i="2"/>
  <c r="O1721" i="2"/>
  <c r="O729" i="2"/>
  <c r="O381" i="2"/>
  <c r="O1088" i="2"/>
  <c r="O2158" i="2"/>
  <c r="O2145" i="2"/>
  <c r="O2665" i="2"/>
  <c r="O376" i="2"/>
  <c r="O844" i="2"/>
  <c r="O1270" i="2"/>
  <c r="O39" i="2"/>
  <c r="O349" i="2"/>
  <c r="O533" i="2"/>
  <c r="O2381" i="2"/>
  <c r="O2315" i="2"/>
  <c r="O1511" i="2"/>
  <c r="O2760" i="2"/>
  <c r="O688" i="2"/>
  <c r="O1090" i="2"/>
  <c r="O2644" i="2"/>
  <c r="O2597" i="2"/>
  <c r="O768" i="2"/>
  <c r="O415" i="2"/>
  <c r="O2312" i="2"/>
  <c r="O786" i="2"/>
  <c r="O1625" i="2"/>
  <c r="O990" i="2"/>
  <c r="O935" i="2"/>
  <c r="O2775" i="2"/>
  <c r="O190" i="2"/>
  <c r="O1551" i="2"/>
  <c r="O505" i="2"/>
  <c r="O2653" i="2"/>
  <c r="O364" i="2"/>
  <c r="O1502" i="2"/>
  <c r="O416" i="2"/>
  <c r="O1649" i="2"/>
  <c r="O2507" i="2"/>
  <c r="O2328" i="2"/>
  <c r="O2399" i="2"/>
  <c r="O964" i="2"/>
  <c r="O2142" i="2"/>
  <c r="O2790" i="2"/>
  <c r="O2189" i="2"/>
  <c r="O1797" i="2"/>
  <c r="O137" i="2"/>
  <c r="O2829" i="2"/>
  <c r="O2611" i="2"/>
  <c r="O1959" i="2"/>
  <c r="O1907" i="2"/>
  <c r="O1775" i="2"/>
  <c r="O2199" i="2"/>
  <c r="O247" i="2"/>
  <c r="O2843" i="2"/>
  <c r="O594" i="2"/>
  <c r="O1475" i="2"/>
  <c r="O1823" i="2"/>
  <c r="O1191" i="2"/>
  <c r="O546" i="2"/>
  <c r="O2645" i="2"/>
  <c r="O869" i="2"/>
  <c r="O1482" i="2"/>
  <c r="O2741" i="2"/>
  <c r="O2366" i="2"/>
  <c r="O1232" i="2"/>
  <c r="O830" i="2"/>
  <c r="O770" i="2"/>
  <c r="O1152" i="2"/>
  <c r="O1681" i="2"/>
  <c r="O2171" i="2"/>
  <c r="O1985" i="2"/>
  <c r="O1745" i="2"/>
  <c r="O2157" i="2"/>
  <c r="O78" i="2"/>
  <c r="O1651" i="2"/>
  <c r="O1458" i="2"/>
  <c r="O1621" i="2"/>
  <c r="O487" i="2"/>
  <c r="O74" i="2"/>
  <c r="O1622" i="2"/>
  <c r="O2385" i="2"/>
  <c r="O1691" i="2"/>
  <c r="O2273" i="2"/>
  <c r="O2091" i="2"/>
  <c r="O806" i="2"/>
  <c r="O775" i="2"/>
  <c r="O56" i="2"/>
  <c r="O243" i="2"/>
  <c r="O537" i="2"/>
  <c r="O2243" i="2"/>
  <c r="O2116" i="2"/>
  <c r="O1381" i="2"/>
  <c r="O592" i="2"/>
  <c r="O246" i="2"/>
  <c r="O271" i="2"/>
  <c r="O368" i="2"/>
  <c r="O963" i="2"/>
  <c r="O2586" i="2"/>
  <c r="O73" i="2"/>
  <c r="O1172" i="2"/>
  <c r="O2324" i="2"/>
  <c r="O2557" i="2"/>
  <c r="O2450" i="2"/>
  <c r="O1623" i="2"/>
  <c r="O1856" i="2"/>
  <c r="O2053" i="2"/>
  <c r="O1589" i="2"/>
  <c r="O1289" i="2"/>
  <c r="O536" i="2"/>
  <c r="O10" i="2"/>
  <c r="O2605" i="2"/>
  <c r="O2495" i="2"/>
  <c r="O2616" i="2"/>
  <c r="O62" i="2"/>
  <c r="O937" i="2"/>
  <c r="O2319" i="2"/>
  <c r="O1905" i="2"/>
  <c r="O707" i="2"/>
  <c r="O583" i="2"/>
  <c r="O2397" i="2"/>
  <c r="O69" i="2"/>
  <c r="O721" i="2"/>
  <c r="O2695" i="2"/>
  <c r="O1340" i="2"/>
  <c r="O1195" i="2"/>
  <c r="O506" i="2"/>
  <c r="O2024" i="2"/>
  <c r="O1969" i="2"/>
  <c r="O1308" i="2"/>
  <c r="O227" i="2"/>
  <c r="O1271" i="2"/>
  <c r="O1423" i="2"/>
  <c r="O265" i="2"/>
  <c r="O875" i="2"/>
  <c r="O2704" i="2"/>
  <c r="O2844" i="2"/>
  <c r="O1470" i="2"/>
  <c r="O1429" i="2"/>
  <c r="O1494" i="2"/>
  <c r="O735" i="2"/>
  <c r="O1560" i="2"/>
  <c r="O1596" i="2"/>
  <c r="O2391" i="2"/>
  <c r="O1060" i="2"/>
  <c r="O140" i="2"/>
  <c r="O1118" i="2"/>
  <c r="O2159" i="2"/>
  <c r="O1116" i="2"/>
  <c r="O2360" i="2"/>
  <c r="O791" i="2"/>
  <c r="O500" i="2"/>
  <c r="O34" i="2"/>
  <c r="O1512" i="2"/>
  <c r="O434" i="2"/>
  <c r="O1723" i="2"/>
  <c r="O2530" i="2"/>
  <c r="O1055" i="2"/>
  <c r="O1867" i="2"/>
  <c r="O1700" i="2"/>
  <c r="O1206" i="2"/>
  <c r="O2735" i="2"/>
  <c r="O2779" i="2"/>
  <c r="O1919" i="2"/>
  <c r="O1263" i="2"/>
  <c r="O1065" i="2"/>
  <c r="O353" i="2"/>
  <c r="O2336" i="2"/>
  <c r="O144" i="2"/>
  <c r="O2801" i="2"/>
  <c r="O344" i="2"/>
  <c r="O797" i="2"/>
  <c r="O161" i="2"/>
  <c r="O921" i="2"/>
  <c r="O525" i="2"/>
  <c r="O1956" i="2"/>
  <c r="O1280" i="2"/>
  <c r="O182" i="2"/>
  <c r="O718" i="2"/>
  <c r="O2566" i="2"/>
  <c r="O876" i="2"/>
  <c r="O1820" i="2"/>
  <c r="O2352" i="2"/>
  <c r="O2225" i="2"/>
  <c r="O1886" i="2"/>
  <c r="O1961" i="2"/>
  <c r="O2649" i="2"/>
  <c r="O2016" i="2"/>
  <c r="O2831" i="2"/>
  <c r="O360" i="2"/>
  <c r="O2671" i="2"/>
  <c r="O2371" i="2"/>
  <c r="O863" i="2"/>
  <c r="O1556" i="2"/>
  <c r="O1037" i="2"/>
  <c r="O741" i="2"/>
  <c r="O1974" i="2"/>
  <c r="O2737" i="2"/>
  <c r="O856" i="2"/>
  <c r="O2373" i="2"/>
  <c r="O1940" i="2"/>
  <c r="O1904" i="2"/>
  <c r="O604" i="2"/>
  <c r="O2574" i="2"/>
  <c r="O719" i="2"/>
  <c r="O365" i="2"/>
  <c r="O1323" i="2"/>
  <c r="O1473" i="2"/>
  <c r="O1813" i="2"/>
  <c r="O1041" i="2"/>
  <c r="O300" i="2"/>
  <c r="O1098" i="2"/>
  <c r="O1136" i="2"/>
  <c r="O1583" i="2"/>
  <c r="O2738" i="2"/>
  <c r="O2699" i="2"/>
  <c r="O440" i="2"/>
  <c r="O2556" i="2"/>
  <c r="O783" i="2"/>
  <c r="O777" i="2"/>
  <c r="O1505" i="2"/>
  <c r="O1537" i="2"/>
  <c r="O1162" i="2"/>
  <c r="O2031" i="2"/>
  <c r="O2628" i="2"/>
  <c r="O81" i="2"/>
  <c r="O373" i="2"/>
  <c r="O1089" i="2"/>
  <c r="O1881" i="2"/>
  <c r="O677" i="2"/>
  <c r="O2680" i="2"/>
  <c r="O2281" i="2"/>
  <c r="O831" i="2"/>
  <c r="O380" i="2"/>
  <c r="O1970" i="2"/>
  <c r="O171" i="2"/>
  <c r="O1554" i="2"/>
  <c r="O1552" i="2"/>
  <c r="O1169" i="2"/>
  <c r="O1875" i="2"/>
  <c r="O522" i="2"/>
  <c r="O2005" i="2"/>
  <c r="O42" i="2"/>
  <c r="O1107" i="2"/>
  <c r="O1593" i="2"/>
  <c r="O2622" i="2"/>
  <c r="O796" i="2"/>
  <c r="O1048" i="2"/>
  <c r="O2398" i="2"/>
  <c r="O1425" i="2"/>
  <c r="O1465" i="2"/>
  <c r="O640" i="2"/>
  <c r="O815" i="2"/>
  <c r="O1244" i="2"/>
  <c r="O402" i="2"/>
  <c r="O942" i="2"/>
  <c r="O1120" i="2"/>
  <c r="O2638" i="2"/>
  <c r="O2733" i="2"/>
  <c r="O54" i="2"/>
  <c r="O1993" i="2"/>
  <c r="O810" i="2"/>
  <c r="O1871" i="2"/>
  <c r="O2691" i="2"/>
  <c r="O1049" i="2"/>
  <c r="O1171" i="2"/>
  <c r="O599" i="2"/>
  <c r="O1838" i="2"/>
  <c r="O2095" i="2"/>
  <c r="O2726" i="2"/>
  <c r="O2743" i="2"/>
  <c r="O295" i="2"/>
  <c r="O1746" i="2"/>
  <c r="O50" i="2"/>
  <c r="O1285" i="2"/>
  <c r="O1678" i="2"/>
  <c r="O1766" i="2"/>
  <c r="O2242" i="2"/>
  <c r="O1363" i="2"/>
  <c r="O1879" i="2"/>
  <c r="O1799" i="2"/>
  <c r="O1706" i="2"/>
  <c r="O1154" i="2"/>
  <c r="O655" i="2"/>
  <c r="O2696" i="2"/>
  <c r="O1434" i="2"/>
  <c r="O1767" i="2"/>
  <c r="O452" i="2"/>
  <c r="O1022" i="2"/>
  <c r="O1069" i="2"/>
  <c r="O2261" i="2"/>
  <c r="O1536" i="2"/>
  <c r="O1034" i="2"/>
  <c r="O1110" i="2"/>
  <c r="O725" i="2"/>
  <c r="O1498" i="2"/>
  <c r="O1142" i="2"/>
  <c r="O2406" i="2"/>
  <c r="O2459" i="2"/>
  <c r="O2657" i="2"/>
  <c r="O96" i="2"/>
  <c r="O2702" i="2"/>
  <c r="O1446" i="2"/>
  <c r="O1119" i="2"/>
  <c r="O2193" i="2"/>
  <c r="O2724" i="2"/>
  <c r="O1753" i="2"/>
  <c r="O833" i="2"/>
  <c r="O2291" i="2"/>
  <c r="O2083" i="2"/>
  <c r="O1406" i="2"/>
  <c r="O984" i="2"/>
  <c r="O1633" i="2"/>
  <c r="O1140" i="2"/>
  <c r="O1736" i="2"/>
  <c r="O746" i="2"/>
  <c r="O1749" i="2"/>
  <c r="O2101" i="2"/>
  <c r="O2443" i="2"/>
  <c r="O1848" i="2"/>
  <c r="O1330" i="2"/>
  <c r="O1902" i="2"/>
  <c r="O2255" i="2"/>
  <c r="O2424" i="2"/>
  <c r="O1796" i="2"/>
  <c r="O901" i="2"/>
  <c r="O1261" i="2"/>
  <c r="O2140" i="2"/>
  <c r="O1791" i="2"/>
  <c r="O1950" i="2"/>
  <c r="O1727" i="2"/>
  <c r="O331" i="2"/>
  <c r="O1209" i="2"/>
  <c r="O1472" i="2"/>
  <c r="O758" i="2"/>
  <c r="O1507" i="2"/>
  <c r="O2032" i="2"/>
  <c r="O317" i="2"/>
  <c r="O1587" i="2"/>
  <c r="O175" i="2"/>
  <c r="O1694" i="2"/>
  <c r="O67" i="2"/>
  <c r="O1346" i="2"/>
  <c r="O513" i="2"/>
  <c r="O226" i="2"/>
  <c r="O1121" i="2"/>
  <c r="O1476" i="2"/>
  <c r="O637" i="2"/>
  <c r="O2444" i="2"/>
  <c r="O2805" i="2"/>
  <c r="O2601" i="2"/>
  <c r="O2423" i="2"/>
  <c r="O2156" i="2"/>
  <c r="O2121" i="2"/>
  <c r="O1935" i="2"/>
  <c r="O1893" i="2"/>
  <c r="O2560" i="2"/>
  <c r="O1544" i="2"/>
  <c r="O2639" i="2"/>
  <c r="O2090" i="2"/>
  <c r="O391" i="2"/>
  <c r="O2411" i="2"/>
  <c r="O1781" i="2"/>
  <c r="O2289" i="2"/>
  <c r="O726" i="2"/>
  <c r="O1921" i="2"/>
  <c r="O2087" i="2"/>
  <c r="O195" i="2"/>
  <c r="O1572" i="2"/>
  <c r="O181" i="2"/>
  <c r="O1958" i="2"/>
  <c r="O1980" i="2"/>
  <c r="O330" i="2"/>
  <c r="O1268" i="2"/>
  <c r="O2329" i="2"/>
  <c r="O2618" i="2"/>
  <c r="O339" i="2"/>
  <c r="O329" i="2"/>
  <c r="O1479" i="2"/>
  <c r="O2356" i="2"/>
  <c r="O1872" i="2"/>
  <c r="O346" i="2"/>
  <c r="O254" i="2"/>
  <c r="O1866" i="2"/>
  <c r="O2742" i="2"/>
  <c r="O108" i="2"/>
  <c r="O1760" i="2"/>
  <c r="O1326" i="2"/>
  <c r="O1087" i="2"/>
  <c r="O1322" i="2"/>
  <c r="O2088" i="2"/>
  <c r="O2280" i="2"/>
  <c r="O2580" i="2"/>
  <c r="O2793" i="2"/>
  <c r="O706" i="2"/>
  <c r="O1692" i="2"/>
  <c r="O1508" i="2"/>
  <c r="O2460" i="2"/>
  <c r="O1038" i="2"/>
  <c r="O68" i="2"/>
  <c r="O2326" i="2"/>
  <c r="O685" i="2"/>
  <c r="O337" i="2"/>
  <c r="O457" i="2"/>
  <c r="O407" i="2"/>
  <c r="O1580" i="2"/>
  <c r="O473" i="2"/>
  <c r="O1744" i="2"/>
  <c r="O383" i="2"/>
  <c r="O385" i="2"/>
  <c r="O1045" i="2"/>
  <c r="O1803" i="2"/>
  <c r="O1042" i="2"/>
  <c r="O2049" i="2"/>
  <c r="O1029" i="2"/>
  <c r="O2842" i="2"/>
  <c r="O2475" i="2"/>
  <c r="O764" i="2"/>
  <c r="O853" i="2"/>
  <c r="O481" i="2"/>
  <c r="O682" i="2"/>
  <c r="O1570" i="2"/>
  <c r="O977" i="2"/>
  <c r="O2612" i="2"/>
  <c r="O1698" i="2"/>
  <c r="O893" i="2"/>
  <c r="O2629" i="2"/>
  <c r="O840" i="2"/>
  <c r="O802" i="2"/>
  <c r="O2248" i="2"/>
  <c r="O2565" i="2"/>
  <c r="O2740" i="2"/>
  <c r="O1579" i="2"/>
  <c r="O2607" i="2"/>
  <c r="O712" i="2"/>
  <c r="O2070" i="2"/>
  <c r="O387" i="2"/>
  <c r="O1997" i="2"/>
  <c r="O356" i="2"/>
  <c r="O913" i="2"/>
  <c r="O854" i="2"/>
  <c r="O2497" i="2"/>
  <c r="O1758" i="2"/>
  <c r="O305" i="2"/>
  <c r="O2367" i="2"/>
  <c r="O2551" i="2"/>
  <c r="O2059" i="2"/>
  <c r="O922" i="2"/>
  <c r="O1724" i="2"/>
  <c r="O812" i="2"/>
  <c r="O733" i="2"/>
  <c r="O1255" i="2"/>
  <c r="O1204" i="2"/>
  <c r="O817" i="2"/>
  <c r="O1319" i="2"/>
  <c r="O787" i="2"/>
  <c r="O2417" i="2"/>
  <c r="O1858" i="2"/>
  <c r="O945" i="2"/>
  <c r="O1590" i="2"/>
  <c r="O826" i="2"/>
  <c r="O518" i="2"/>
  <c r="O1900" i="2"/>
  <c r="O2474" i="2"/>
  <c r="O151" i="2"/>
  <c r="O1581" i="2"/>
  <c r="O774" i="2"/>
  <c r="O1990" i="2"/>
  <c r="O1542" i="2"/>
  <c r="O2013" i="2"/>
  <c r="O320" i="2"/>
  <c r="O1555" i="2"/>
  <c r="O2795" i="2"/>
  <c r="O2163" i="2"/>
  <c r="O1207" i="2"/>
  <c r="O1027" i="2"/>
  <c r="O1168" i="2"/>
  <c r="O1321" i="2"/>
  <c r="O1995" i="2"/>
  <c r="O281" i="2"/>
  <c r="O1521" i="2"/>
  <c r="O1918" i="2"/>
  <c r="O1282" i="2"/>
  <c r="O540" i="2"/>
  <c r="O2453" i="2"/>
  <c r="O1358" i="2"/>
  <c r="O60" i="2"/>
  <c r="O2259" i="2"/>
  <c r="O613" i="2"/>
  <c r="O1506" i="2"/>
  <c r="O1825" i="2"/>
  <c r="O1487" i="2"/>
  <c r="O1847" i="2"/>
  <c r="O866" i="2"/>
  <c r="O2132" i="2"/>
  <c r="O874" i="2"/>
  <c r="O674" i="2"/>
  <c r="O1163" i="2"/>
  <c r="O1568" i="2"/>
  <c r="O2006" i="2"/>
  <c r="O996" i="2"/>
  <c r="O2446" i="2"/>
  <c r="O1696" i="2"/>
  <c r="O2103" i="2"/>
  <c r="O1804" i="2"/>
  <c r="O899" i="2"/>
  <c r="O834" i="2"/>
  <c r="O1517" i="2"/>
  <c r="O586" i="2"/>
  <c r="O2063" i="2"/>
  <c r="O1187" i="2"/>
  <c r="O1194" i="2"/>
  <c r="O548" i="2"/>
  <c r="O995" i="2"/>
  <c r="O2028" i="2"/>
  <c r="O1241" i="2"/>
  <c r="O1370" i="2"/>
  <c r="O1219" i="2"/>
  <c r="O1946" i="2"/>
  <c r="O2231" i="2"/>
  <c r="O2602" i="2"/>
  <c r="O2835" i="2"/>
  <c r="O1165" i="2"/>
  <c r="O1520" i="2"/>
  <c r="O650" i="2"/>
  <c r="O1869" i="2"/>
  <c r="O919" i="2"/>
  <c r="O125" i="2"/>
  <c r="O1840" i="2"/>
  <c r="O615" i="2"/>
  <c r="O2131" i="2"/>
  <c r="O1419" i="2"/>
  <c r="O948" i="2"/>
  <c r="O244" i="2"/>
  <c r="O2749" i="2"/>
  <c r="O2766" i="2"/>
  <c r="O232" i="2"/>
  <c r="O124" i="2"/>
  <c r="O845" i="2"/>
  <c r="O628" i="2"/>
  <c r="O1344" i="2"/>
  <c r="O736" i="2"/>
  <c r="O288" i="2"/>
  <c r="O1424" i="2"/>
  <c r="O1684" i="2"/>
  <c r="O1211" i="2"/>
  <c r="O1403" i="2"/>
  <c r="O1002" i="2"/>
  <c r="O1199" i="2"/>
  <c r="O1188" i="2"/>
  <c r="O1558" i="2"/>
  <c r="O393" i="2"/>
  <c r="O508" i="2"/>
  <c r="O541" i="2"/>
  <c r="O2094" i="2"/>
  <c r="O1391" i="2"/>
  <c r="O1543" i="2"/>
  <c r="O1192" i="2"/>
  <c r="O842" i="2"/>
  <c r="O2284" i="2"/>
  <c r="O2633" i="2"/>
  <c r="O1264" i="2"/>
  <c r="O2679" i="2"/>
  <c r="O2151" i="2"/>
  <c r="O1217" i="2"/>
  <c r="O2537" i="2"/>
  <c r="O2816" i="2"/>
  <c r="O1318" i="2"/>
  <c r="O2521" i="2"/>
  <c r="O2794" i="2"/>
  <c r="O1338" i="2"/>
  <c r="O1833" i="2"/>
  <c r="O478" i="2"/>
  <c r="O950" i="2"/>
  <c r="O1585" i="2"/>
  <c r="O1501" i="2"/>
  <c r="O118" i="2"/>
  <c r="O2107" i="2"/>
  <c r="O2144" i="2"/>
  <c r="O399" i="2"/>
  <c r="O292" i="2"/>
  <c r="O636" i="2"/>
  <c r="O527" i="2"/>
  <c r="O723" i="2"/>
  <c r="O369" i="2"/>
  <c r="O1202" i="2"/>
  <c r="O623" i="2"/>
  <c r="O542" i="2"/>
  <c r="O1313" i="2"/>
  <c r="O701" i="2"/>
  <c r="O1906" i="2"/>
  <c r="O1035" i="2"/>
  <c r="O983" i="2"/>
  <c r="O1148" i="2"/>
  <c r="O1821" i="2"/>
  <c r="O2452" i="2"/>
  <c r="O2369" i="2"/>
  <c r="O2503" i="2"/>
  <c r="O1672" i="2"/>
  <c r="O143" i="2"/>
  <c r="O890" i="2"/>
  <c r="O1418" i="2"/>
  <c r="O988" i="2"/>
  <c r="O1713" i="2"/>
  <c r="O1938" i="2"/>
  <c r="O302" i="2"/>
  <c r="O1312" i="2"/>
  <c r="O425" i="2"/>
  <c r="O1789" i="2"/>
  <c r="O952" i="2"/>
  <c r="O2394" i="2"/>
  <c r="O1145" i="2"/>
  <c r="O187" i="2"/>
  <c r="O2017" i="2"/>
  <c r="O2570" i="2"/>
  <c r="O396" i="2"/>
  <c r="O1293" i="2"/>
  <c r="O2048" i="2"/>
  <c r="O2660" i="2"/>
  <c r="O1860" i="2"/>
  <c r="O629" i="2"/>
  <c r="O2075" i="2"/>
  <c r="O64" i="2"/>
  <c r="O1072" i="2"/>
  <c r="O2455" i="2"/>
  <c r="O2467" i="2"/>
  <c r="O103" i="2"/>
  <c r="O482" i="2"/>
  <c r="O1415" i="2"/>
  <c r="O114" i="2"/>
  <c r="O2077" i="2"/>
  <c r="O2188" i="2"/>
  <c r="O2531" i="2"/>
  <c r="O624" i="2"/>
  <c r="O2547" i="2"/>
  <c r="O769" i="2"/>
  <c r="O213" i="2"/>
  <c r="O465" i="2"/>
  <c r="O1576" i="2"/>
  <c r="O647" i="2"/>
  <c r="O410" i="2"/>
  <c r="O638" i="2"/>
  <c r="O2837" i="2"/>
  <c r="O763" i="2"/>
  <c r="O511" i="2"/>
  <c r="O1374" i="2"/>
  <c r="O1347" i="2"/>
  <c r="O464" i="2"/>
  <c r="O1903" i="2"/>
  <c r="O1246" i="2"/>
  <c r="O938" i="2"/>
  <c r="O1540" i="2"/>
  <c r="O993" i="2"/>
  <c r="O1218" i="2"/>
  <c r="O1455" i="2"/>
  <c r="O2499" i="2"/>
  <c r="O257" i="2"/>
  <c r="O847" i="2"/>
  <c r="O450" i="2"/>
  <c r="O2673" i="2"/>
  <c r="O2201" i="2"/>
  <c r="O236" i="2"/>
  <c r="O1226" i="2"/>
  <c r="O1653" i="2"/>
  <c r="O575" i="2"/>
  <c r="O1252" i="2"/>
  <c r="O681" i="2"/>
  <c r="O2177" i="2"/>
  <c r="O2065" i="2"/>
  <c r="O1841" i="2"/>
  <c r="O214" i="2"/>
  <c r="O188" i="2"/>
  <c r="O2796" i="2"/>
  <c r="O517" i="2"/>
  <c r="O1273" i="2"/>
  <c r="O2577" i="2"/>
  <c r="O668" i="2"/>
  <c r="O2331" i="2"/>
  <c r="O877" i="2"/>
  <c r="O2592" i="2"/>
  <c r="O1805" i="2"/>
  <c r="O980" i="2"/>
  <c r="O1435" i="2"/>
  <c r="O2546" i="2"/>
  <c r="O1315" i="2"/>
  <c r="O2198" i="2"/>
  <c r="O2026" i="2"/>
  <c r="O267" i="2"/>
  <c r="O392" i="2"/>
  <c r="O2532" i="2"/>
  <c r="O1452" i="2"/>
  <c r="O2476" i="2"/>
  <c r="O276" i="2"/>
  <c r="O1397" i="2"/>
  <c r="O1132" i="2"/>
  <c r="O270" i="2"/>
  <c r="O49" i="2"/>
  <c r="O1671" i="2"/>
  <c r="O798" i="2"/>
  <c r="O867" i="2"/>
  <c r="O2595" i="2"/>
  <c r="O982" i="2"/>
  <c r="O241" i="2"/>
  <c r="O2470" i="2"/>
  <c r="O88" i="2"/>
  <c r="O233" i="2"/>
  <c r="O2197" i="2"/>
  <c r="O316" i="2"/>
  <c r="O618" i="2"/>
  <c r="O1636" i="2"/>
  <c r="O459" i="2"/>
  <c r="O189" i="2"/>
  <c r="O1066" i="2"/>
  <c r="O1302" i="2"/>
  <c r="O782" i="2"/>
  <c r="O1594" i="2"/>
  <c r="O1151" i="2"/>
  <c r="O2046" i="2"/>
  <c r="O2389" i="2"/>
  <c r="O179" i="2"/>
  <c r="O2490" i="2"/>
  <c r="O1668" i="2"/>
  <c r="O454" i="2"/>
  <c r="O1782" i="2"/>
  <c r="O849" i="2"/>
  <c r="O1143" i="2"/>
  <c r="O1998" i="2"/>
  <c r="O2807" i="2"/>
  <c r="O820" i="2"/>
  <c r="O1093" i="2"/>
  <c r="O2355" i="2"/>
  <c r="O1103" i="2"/>
  <c r="O2527" i="2"/>
  <c r="O2722" i="2"/>
  <c r="O1816" i="2"/>
  <c r="O550" i="2"/>
  <c r="O1200" i="2"/>
  <c r="O2518" i="2"/>
  <c r="O1175" i="2"/>
  <c r="O873" i="2"/>
  <c r="O456" i="2"/>
  <c r="O807" i="2"/>
  <c r="O1697" i="2"/>
  <c r="O678" i="2"/>
  <c r="O579" i="2"/>
  <c r="O2552" i="2"/>
  <c r="O2715" i="2"/>
  <c r="O2542" i="2"/>
  <c r="O2545" i="2"/>
  <c r="O1008" i="2"/>
  <c r="O1062" i="2"/>
  <c r="O2457" i="2"/>
  <c r="O947" i="2"/>
  <c r="O1569" i="2"/>
  <c r="O1269" i="2"/>
  <c r="O569" i="2"/>
  <c r="O2810" i="2"/>
  <c r="O2559" i="2"/>
  <c r="O2178" i="2"/>
  <c r="O1615" i="2"/>
  <c r="O915" i="2"/>
  <c r="O2244" i="2"/>
  <c r="O634" i="2"/>
  <c r="O1012" i="2"/>
  <c r="O1388" i="2"/>
  <c r="O206" i="2"/>
  <c r="O568" i="2"/>
  <c r="O2579" i="2"/>
  <c r="O742" i="2"/>
  <c r="O2813" i="2"/>
  <c r="O2558" i="2"/>
  <c r="O878" i="2"/>
  <c r="O897" i="2"/>
  <c r="O1778" i="2"/>
  <c r="O1690" i="2"/>
  <c r="O2494" i="2"/>
  <c r="O1230" i="2"/>
  <c r="O1949" i="2"/>
  <c r="O1996" i="2"/>
  <c r="O992" i="2"/>
  <c r="O521" i="2"/>
  <c r="O2062" i="2"/>
  <c r="O336" i="2"/>
  <c r="O1734" i="2"/>
  <c r="O474" i="2"/>
  <c r="O1057" i="2"/>
  <c r="O1991" i="2"/>
  <c r="O412" i="2"/>
  <c r="O2218" i="2"/>
  <c r="O1000" i="2"/>
  <c r="O2667" i="2"/>
  <c r="O1146" i="2"/>
  <c r="O286" i="2"/>
  <c r="O1730" i="2"/>
  <c r="O2764" i="2"/>
  <c r="O1464" i="2"/>
  <c r="O860" i="2"/>
  <c r="O928" i="2"/>
  <c r="O488" i="2"/>
  <c r="O298" i="2"/>
  <c r="O1400" i="2"/>
  <c r="O303" i="2"/>
  <c r="O593" i="2"/>
  <c r="O2380" i="2"/>
  <c r="O2034" i="2"/>
  <c r="O687" i="2"/>
  <c r="O2747" i="2"/>
  <c r="O234" i="2"/>
  <c r="O1292" i="2"/>
  <c r="O2299" i="2"/>
  <c r="O442" i="2"/>
  <c r="O2085" i="2"/>
  <c r="O2774" i="2"/>
  <c r="O1635" i="2"/>
  <c r="O97" i="2"/>
  <c r="O1646" i="2"/>
  <c r="O2412" i="2"/>
  <c r="O2689" i="2"/>
  <c r="O549" i="2"/>
  <c r="O2206" i="2"/>
  <c r="O318" i="2"/>
  <c r="O2010" i="2"/>
  <c r="O1862" i="2"/>
  <c r="O1818" i="2"/>
  <c r="O429" i="2"/>
  <c r="O2462" i="2"/>
  <c r="O14" i="2"/>
  <c r="O2719" i="2"/>
  <c r="O2439" i="2"/>
  <c r="O347" i="2"/>
  <c r="O2168" i="2"/>
  <c r="O716" i="2"/>
  <c r="O2378" i="2"/>
  <c r="O2827" i="2"/>
  <c r="O37" i="2"/>
  <c r="O885" i="2"/>
  <c r="O101" i="2"/>
  <c r="O2821" i="2"/>
  <c r="O560" i="2"/>
  <c r="O704" i="2"/>
  <c r="O2383" i="2"/>
  <c r="O1673" i="2"/>
  <c r="O418" i="2"/>
  <c r="O689" i="2"/>
  <c r="O776" i="2"/>
  <c r="O2815" i="2"/>
  <c r="O1835" i="2"/>
  <c r="O1559" i="2"/>
  <c r="O1161" i="2"/>
  <c r="O2266" i="2"/>
  <c r="O633" i="2"/>
  <c r="O1839" i="2"/>
  <c r="O194" i="2"/>
  <c r="O961" i="2"/>
  <c r="O936" i="2"/>
  <c r="O2510" i="2"/>
  <c r="O1018" i="2"/>
  <c r="O1754" i="2"/>
  <c r="O2404" i="2"/>
  <c r="O2278" i="2"/>
  <c r="O287" i="2"/>
  <c r="O1150" i="2"/>
  <c r="O2345" i="2"/>
  <c r="O1948" i="2"/>
  <c r="O284" i="2"/>
  <c r="O1528" i="2"/>
  <c r="O1747" i="2"/>
  <c r="O1134" i="2"/>
  <c r="O148" i="2"/>
  <c r="O1402" i="2"/>
  <c r="O1382" i="2"/>
  <c r="O1378" i="2"/>
  <c r="O597" i="2"/>
  <c r="O1447" i="2"/>
  <c r="O2818" i="2"/>
  <c r="O2768" i="2"/>
  <c r="O2176" i="2"/>
  <c r="O263" i="2"/>
  <c r="O2118" i="2"/>
  <c r="O461" i="2"/>
  <c r="O2548" i="2"/>
  <c r="O98" i="2"/>
  <c r="O1030" i="2"/>
  <c r="O2344" i="2"/>
  <c r="O8" i="2"/>
  <c r="O1837" i="2"/>
  <c r="O479" i="2"/>
  <c r="O2073" i="2"/>
  <c r="O1180" i="2"/>
  <c r="O908" i="2"/>
  <c r="O283" i="2"/>
  <c r="O2416" i="2"/>
  <c r="O363" i="2"/>
  <c r="O1827" i="2"/>
  <c r="O1064" i="2"/>
  <c r="O503" i="2"/>
  <c r="O515" i="2"/>
  <c r="O2050" i="2"/>
  <c r="O2216" i="2"/>
  <c r="O695" i="2"/>
  <c r="O2084" i="2"/>
  <c r="O818" i="2"/>
  <c r="O2588" i="2"/>
  <c r="O123" i="2"/>
  <c r="O2781" i="2"/>
  <c r="O1283" i="2"/>
  <c r="O394" i="2"/>
  <c r="O1247" i="2"/>
  <c r="O896" i="2"/>
  <c r="O1399" i="2"/>
  <c r="O53" i="2"/>
  <c r="O703" i="2"/>
  <c r="O134" i="2"/>
  <c r="O1410" i="2"/>
  <c r="O1367" i="2"/>
  <c r="O617" i="2"/>
  <c r="O644" i="2"/>
  <c r="O2203" i="2"/>
  <c r="O2138" i="2"/>
  <c r="O107" i="2"/>
  <c r="O1102" i="2"/>
  <c r="O1824" i="2"/>
  <c r="O1757" i="2"/>
  <c r="O1740" i="2"/>
  <c r="O2634" i="2"/>
  <c r="O367" i="2"/>
  <c r="O1052" i="2"/>
  <c r="O1243" i="2"/>
  <c r="O46" i="2"/>
  <c r="O2778" i="2"/>
  <c r="O603" i="2"/>
  <c r="O2819" i="2"/>
  <c r="O2425" i="2"/>
  <c r="O2303" i="2"/>
  <c r="O1733" i="2"/>
  <c r="O447" i="2"/>
  <c r="O1776" i="2"/>
  <c r="O1117" i="2"/>
  <c r="O2008" i="2"/>
  <c r="O2486" i="2"/>
  <c r="O1432" i="2"/>
  <c r="O2791" i="2"/>
  <c r="O2184" i="2"/>
  <c r="O1327" i="2"/>
  <c r="O709" i="2"/>
  <c r="O778" i="2"/>
  <c r="O1398" i="2"/>
  <c r="O428" i="2"/>
  <c r="O174" i="2"/>
  <c r="O92" i="2"/>
  <c r="O1063" i="2"/>
  <c r="O2335" i="2"/>
  <c r="O621" i="2"/>
  <c r="O1456" i="2"/>
  <c r="O1752" i="2"/>
  <c r="O991" i="2"/>
  <c r="O1637" i="2"/>
  <c r="O1662" i="2"/>
  <c r="O2716" i="2"/>
  <c r="O91" i="2"/>
  <c r="O1437" i="2"/>
  <c r="O1591" i="2"/>
  <c r="O880" i="2"/>
  <c r="O2812" i="2"/>
  <c r="O1929" i="2"/>
  <c r="O1779" i="2"/>
  <c r="O1251" i="2"/>
  <c r="O361" i="2"/>
  <c r="O2433" i="2"/>
  <c r="O469" i="2"/>
  <c r="O753" i="2"/>
  <c r="O929" i="2"/>
  <c r="O933" i="2"/>
  <c r="O2501" i="2"/>
  <c r="O664" i="2"/>
  <c r="O2064" i="2"/>
  <c r="O1492" i="2"/>
  <c r="O514" i="2"/>
  <c r="O2316" i="2"/>
  <c r="O1550" i="2"/>
  <c r="O1777" i="2"/>
  <c r="O220" i="2"/>
  <c r="O2509" i="2"/>
  <c r="O2240" i="2"/>
  <c r="O2814" i="2"/>
  <c r="O2833" i="2"/>
  <c r="O448" i="2"/>
  <c r="O917" i="2"/>
  <c r="O1412" i="2"/>
  <c r="O1915" i="2"/>
  <c r="O767" i="2"/>
  <c r="O1133" i="2"/>
  <c r="O892" i="2"/>
  <c r="O1311" i="2"/>
  <c r="O133" i="2"/>
  <c r="O1888" i="2"/>
  <c r="O354" i="2"/>
  <c r="O2311" i="2"/>
  <c r="O2038" i="2"/>
  <c r="O1224" i="2"/>
  <c r="O2708" i="2"/>
  <c r="O2693" i="2"/>
  <c r="O1771" i="2"/>
  <c r="O2584" i="2"/>
  <c r="O2830" i="2"/>
  <c r="O795" i="2"/>
  <c r="O483" i="2"/>
  <c r="O2407" i="2"/>
  <c r="O887" i="2"/>
  <c r="O1526" i="2"/>
  <c r="O277" i="2"/>
  <c r="O1541" i="2"/>
  <c r="O564" i="2"/>
  <c r="O319" i="2"/>
  <c r="O2039" i="2"/>
  <c r="O2603" i="2"/>
  <c r="O2513" i="2"/>
  <c r="O86" i="2"/>
  <c r="O666" i="2"/>
  <c r="O1719" i="2"/>
  <c r="O824" i="2"/>
  <c r="O121" i="2"/>
  <c r="O1372" i="2"/>
  <c r="O1834" i="2"/>
  <c r="O1281" i="2"/>
  <c r="O692" i="2"/>
  <c r="O430" i="2"/>
  <c r="O1130" i="2"/>
  <c r="O1229" i="2"/>
  <c r="O1201" i="2"/>
  <c r="O2765" i="2"/>
  <c r="O2181" i="2"/>
  <c r="O926" i="2"/>
  <c r="O2758" i="2"/>
  <c r="O662" i="2"/>
  <c r="O1873" i="2"/>
  <c r="O661" i="2"/>
  <c r="O164" i="2"/>
  <c r="O2349" i="2"/>
  <c r="O1336" i="2"/>
  <c r="O1826" i="2"/>
  <c r="O1394" i="2"/>
  <c r="O1073" i="2"/>
  <c r="O2023" i="2"/>
  <c r="O1245" i="2"/>
  <c r="O1772" i="2"/>
  <c r="O1563" i="2"/>
  <c r="O1787" i="2"/>
  <c r="O2217" i="2"/>
  <c r="O1491" i="2"/>
  <c r="O960" i="2"/>
  <c r="O2153" i="2"/>
  <c r="O2430" i="2"/>
  <c r="O2224" i="2"/>
  <c r="O1086" i="2"/>
  <c r="O911" i="2"/>
  <c r="O976" i="2"/>
  <c r="O2687" i="2"/>
  <c r="O139" i="2"/>
  <c r="O1720" i="2"/>
  <c r="O837" i="2"/>
  <c r="O1242" i="2"/>
  <c r="O814" i="2"/>
  <c r="O1932" i="2"/>
  <c r="O2567" i="2"/>
  <c r="O1265" i="2"/>
  <c r="O2294" i="2"/>
  <c r="O2746" i="2"/>
  <c r="O627" i="2"/>
  <c r="O2152" i="2"/>
  <c r="O1239" i="2"/>
  <c r="O717" i="2"/>
  <c r="O2233" i="2"/>
  <c r="O2042" i="2"/>
  <c r="O1666" i="2"/>
  <c r="O2105" i="2"/>
  <c r="O2809" i="2"/>
  <c r="O667" i="2"/>
  <c r="O2282" i="2"/>
  <c r="O1228" i="2"/>
  <c r="O202" i="2"/>
  <c r="O1138" i="2"/>
  <c r="O467" i="2"/>
  <c r="O516" i="2"/>
  <c r="O1450" i="2"/>
  <c r="O2161" i="2"/>
  <c r="O1937" i="2"/>
  <c r="O930" i="2"/>
  <c r="O435" i="2"/>
  <c r="O1539" i="2"/>
  <c r="O1817" i="2"/>
  <c r="O2080" i="2"/>
  <c r="O1877" i="2"/>
  <c r="O658" i="2"/>
  <c r="O2174" i="2"/>
  <c r="O951" i="2"/>
  <c r="O1592" i="2"/>
  <c r="O2491" i="2"/>
  <c r="O652" i="2"/>
  <c r="O1898" i="2"/>
  <c r="O184" i="2"/>
  <c r="O374" i="2"/>
  <c r="O1652" i="2"/>
  <c r="O2710" i="2"/>
  <c r="O1548" i="2"/>
  <c r="O130" i="2"/>
  <c r="O693" i="2"/>
  <c r="O754" i="2"/>
  <c r="O480" i="2"/>
  <c r="O176" i="2"/>
  <c r="O1352" i="2"/>
  <c r="O2377" i="2"/>
  <c r="O607" i="2"/>
  <c r="O332" i="2"/>
  <c r="O841" i="2"/>
  <c r="O1624" i="2"/>
  <c r="O614" i="2"/>
  <c r="O971" i="2"/>
  <c r="O2333" i="2"/>
  <c r="O285" i="2"/>
  <c r="O193" i="2"/>
  <c r="O485" i="2"/>
  <c r="O498" i="2"/>
  <c r="O1071" i="2"/>
  <c r="O1440" i="2"/>
  <c r="O2506" i="2"/>
  <c r="O1449" i="2"/>
  <c r="O2129" i="2"/>
  <c r="O2036" i="2"/>
  <c r="O1768" i="2"/>
  <c r="O66" i="2"/>
  <c r="O2287" i="2"/>
  <c r="O656" i="2"/>
  <c r="O771" i="2"/>
  <c r="O2254" i="2"/>
  <c r="O104" i="2"/>
  <c r="O1606" i="2"/>
  <c r="O1189" i="2"/>
  <c r="O657" i="2"/>
  <c r="O1588" i="2"/>
  <c r="O1279" i="2"/>
  <c r="O4" i="2"/>
  <c r="O2165" i="2"/>
  <c r="O1210" i="2"/>
  <c r="O934" i="2"/>
  <c r="O2498" i="2"/>
  <c r="O649" i="2"/>
  <c r="O1276" i="2"/>
  <c r="O419" i="2"/>
  <c r="O1850" i="2"/>
  <c r="O2817" i="2"/>
  <c r="O1075" i="2"/>
  <c r="O160" i="2"/>
  <c r="O871" i="2"/>
  <c r="O1220" i="2"/>
  <c r="O1811" i="2"/>
  <c r="O291" i="2"/>
  <c r="O1460" i="2"/>
  <c r="O635" i="2"/>
  <c r="O1335" i="2"/>
  <c r="O424" i="2"/>
  <c r="O2001" i="2"/>
  <c r="O1598" i="2"/>
  <c r="O77" i="2"/>
  <c r="O1125" i="2"/>
  <c r="O1981" i="2"/>
  <c r="O100" i="2"/>
  <c r="O2114" i="2"/>
  <c r="O730" i="2"/>
  <c r="O1091" i="2"/>
  <c r="O1004" i="2"/>
  <c r="O659" i="2"/>
  <c r="O2838" i="2"/>
  <c r="O2271" i="2"/>
  <c r="O2405" i="2"/>
  <c r="O2787" i="2"/>
  <c r="O2480" i="2"/>
  <c r="O2011" i="2"/>
  <c r="O584" i="2"/>
  <c r="O1084" i="2"/>
  <c r="O660" i="2"/>
  <c r="O1602" i="2"/>
  <c r="O2487" i="2"/>
  <c r="O1266" i="2"/>
  <c r="O1897" i="2"/>
  <c r="O17" i="2"/>
  <c r="O544" i="2"/>
  <c r="O2104" i="2"/>
  <c r="O573" i="2"/>
  <c r="O2368" i="2"/>
  <c r="O1725" i="2"/>
  <c r="O2666" i="2"/>
  <c r="O2249" i="2"/>
  <c r="O1170" i="2"/>
  <c r="O2268" i="2"/>
  <c r="O2265" i="2"/>
  <c r="O2732" i="2"/>
  <c r="O2019" i="2"/>
  <c r="O1718" i="2"/>
  <c r="O1157" i="2"/>
  <c r="O327" i="2"/>
  <c r="O1067" i="2"/>
  <c r="O734" i="2"/>
  <c r="O2044" i="2"/>
  <c r="O555" i="2"/>
  <c r="O242" i="2"/>
  <c r="O620" i="2"/>
  <c r="O714" i="2"/>
  <c r="O2113" i="2"/>
  <c r="O1963" i="2"/>
  <c r="O669" i="2"/>
  <c r="O2408" i="2"/>
  <c r="O1755" i="2"/>
  <c r="O2102" i="2"/>
  <c r="O382" i="2"/>
  <c r="O1925" i="2"/>
  <c r="O2358" i="2"/>
  <c r="O1656" i="2"/>
  <c r="O1329" i="2"/>
  <c r="O512" i="2"/>
  <c r="O2035" i="2"/>
  <c r="O422" i="2"/>
  <c r="O72" i="2"/>
  <c r="O2313" i="2"/>
  <c r="O1290" i="2"/>
  <c r="O999" i="2"/>
  <c r="O1883" i="2"/>
  <c r="O1688" i="2"/>
  <c r="O159" i="2"/>
  <c r="O576" i="2"/>
  <c r="O2186" i="2"/>
  <c r="O1578" i="2"/>
  <c r="O1277" i="2"/>
  <c r="O2515" i="2"/>
  <c r="O2155" i="2"/>
  <c r="O959" i="2"/>
  <c r="O931" i="2"/>
  <c r="O2496" i="2"/>
  <c r="O645" i="2"/>
  <c r="O1275" i="2"/>
  <c r="O401" i="2"/>
  <c r="O1553" i="2"/>
  <c r="O543" i="2"/>
  <c r="O1800" i="2"/>
  <c r="O85" i="2"/>
  <c r="O1620" i="2"/>
  <c r="O55" i="2"/>
  <c r="O358" i="2"/>
  <c r="O2239" i="2"/>
  <c r="O2149" i="2"/>
  <c r="O2245" i="2"/>
  <c r="O2307" i="2"/>
  <c r="O1617" i="2"/>
  <c r="O1531" i="2"/>
  <c r="O1530" i="2"/>
  <c r="O2027" i="2"/>
  <c r="O2195" i="2"/>
  <c r="O2170" i="2"/>
  <c r="O760" i="2"/>
  <c r="O421" i="2"/>
  <c r="O2182" i="2"/>
  <c r="O43" i="2"/>
  <c r="O1278" i="2"/>
  <c r="O110" i="2"/>
  <c r="O1079" i="2"/>
  <c r="O2600" i="2"/>
  <c r="O1355" i="2"/>
  <c r="O1113" i="2"/>
  <c r="O1314" i="2"/>
  <c r="O13" i="2"/>
  <c r="O2205" i="2"/>
  <c r="O676" i="2"/>
  <c r="O1307" i="2"/>
  <c r="O355" i="2"/>
  <c r="O2200" i="2"/>
  <c r="O823" i="2"/>
  <c r="O1597" i="2"/>
  <c r="O2485" i="2"/>
  <c r="O1258" i="2"/>
  <c r="O1889" i="2"/>
  <c r="O9" i="2"/>
  <c r="O2143" i="2"/>
  <c r="O686" i="2"/>
  <c r="O2523" i="2"/>
  <c r="O1443" i="2"/>
  <c r="O38" i="2"/>
  <c r="O2610" i="2"/>
  <c r="O2705" i="2"/>
  <c r="O1639" i="2"/>
  <c r="O1369" i="2"/>
  <c r="O491" i="2"/>
  <c r="O1401" i="2"/>
  <c r="O1409" i="2"/>
  <c r="O152" i="2"/>
  <c r="O299" i="2"/>
  <c r="O2661" i="2"/>
  <c r="O2415" i="2"/>
  <c r="O1389" i="2"/>
  <c r="O1300" i="2"/>
  <c r="O722" i="2"/>
  <c r="O1396" i="2"/>
  <c r="O2279" i="2"/>
  <c r="O1356" i="2"/>
  <c r="O1480" i="2"/>
  <c r="O531" i="2"/>
  <c r="O1574" i="2"/>
  <c r="O106" i="2"/>
  <c r="O251" i="2"/>
  <c r="O772" i="2"/>
  <c r="O2685" i="2"/>
  <c r="O333" i="2"/>
  <c r="O2025" i="2"/>
  <c r="O2220" i="2"/>
  <c r="O2067" i="2"/>
  <c r="O1675" i="2"/>
  <c r="O296" i="2"/>
  <c r="O2543" i="2"/>
  <c r="O1927" i="2"/>
  <c r="O1007" i="2"/>
  <c r="O31" i="2"/>
  <c r="O1297" i="2"/>
  <c r="O2477" i="2"/>
  <c r="O168" i="2"/>
  <c r="O99" i="2"/>
  <c r="O724" i="2"/>
  <c r="O1503" i="2"/>
  <c r="O1971" i="2"/>
  <c r="O554" i="2"/>
  <c r="O1360" i="2"/>
  <c r="O1960" i="2"/>
  <c r="O221" i="2"/>
  <c r="O76" i="2"/>
  <c r="O879" i="2"/>
  <c r="O906" i="2"/>
  <c r="O2196" i="2"/>
  <c r="O1481" i="2"/>
  <c r="O262" i="2"/>
  <c r="O2164" i="2"/>
  <c r="O2167" i="2"/>
  <c r="O1571" i="2"/>
  <c r="O1254" i="2"/>
  <c r="O2192" i="2"/>
  <c r="O967" i="2"/>
  <c r="O957" i="2"/>
  <c r="O962" i="2"/>
  <c r="O2488" i="2"/>
  <c r="O654" i="2"/>
  <c r="O1899" i="2"/>
  <c r="O389" i="2"/>
  <c r="O266" i="2"/>
  <c r="O727" i="2"/>
  <c r="O1214" i="2"/>
  <c r="O340" i="2"/>
  <c r="O2308" i="2"/>
  <c r="O2288" i="2"/>
  <c r="O1303" i="2"/>
  <c r="O2314" i="2"/>
  <c r="O2481" i="2"/>
  <c r="O745" i="2"/>
  <c r="O2678" i="2"/>
  <c r="O1748" i="2"/>
  <c r="O2745" i="2"/>
  <c r="O2434" i="2"/>
  <c r="O48" i="2"/>
  <c r="O563" i="2"/>
  <c r="O2169" i="2"/>
  <c r="O2060" i="2"/>
  <c r="O1108" i="2"/>
  <c r="O1614" i="2"/>
  <c r="O409" i="2"/>
  <c r="O2655" i="2"/>
  <c r="O2682" i="2"/>
  <c r="O95" i="2"/>
  <c r="O1411" i="2"/>
  <c r="O888" i="2"/>
  <c r="O1933" i="2"/>
  <c r="O35" i="2"/>
  <c r="O343" i="2"/>
  <c r="O2146" i="2"/>
  <c r="O2656" i="2"/>
  <c r="O2524" i="2"/>
  <c r="O1892" i="2"/>
  <c r="O2483" i="2"/>
  <c r="O1575" i="2"/>
  <c r="O411" i="2"/>
  <c r="O177" i="2"/>
  <c r="O2751" i="2"/>
  <c r="O1882" i="2"/>
  <c r="O943" i="2"/>
  <c r="O1714" i="2"/>
  <c r="O334" i="2"/>
  <c r="O2502" i="2"/>
  <c r="O1257" i="2"/>
  <c r="O475" i="2"/>
  <c r="O1339" i="2"/>
  <c r="O1249" i="2"/>
  <c r="O1328" i="2"/>
  <c r="O379" i="2"/>
  <c r="O1114" i="2"/>
  <c r="O1801" i="2"/>
  <c r="O1213" i="2"/>
  <c r="O684" i="2"/>
  <c r="O731" i="2"/>
  <c r="O2797" i="2"/>
  <c r="O1944" i="2"/>
  <c r="O51" i="2"/>
  <c r="O1793" i="2"/>
  <c r="O2684" i="2"/>
  <c r="O1965" i="2"/>
  <c r="O1001" i="2"/>
  <c r="O1467" i="2"/>
  <c r="O792" i="2"/>
  <c r="O1466" i="2"/>
  <c r="O2154" i="2"/>
  <c r="O1376" i="2"/>
  <c r="O680" i="2"/>
  <c r="O395" i="2"/>
  <c r="O2575" i="2"/>
  <c r="O1028" i="2"/>
  <c r="O2581" i="2"/>
  <c r="O1659" i="2"/>
  <c r="O2272" i="2"/>
  <c r="O972" i="2"/>
  <c r="O1629" i="2"/>
  <c r="O1655" i="2"/>
  <c r="O1643" i="2"/>
  <c r="O2541" i="2"/>
  <c r="O1627" i="2"/>
  <c r="O1005" i="2"/>
  <c r="O29" i="2"/>
  <c r="O598" i="2"/>
  <c r="O2147" i="2"/>
  <c r="O2753" i="2"/>
  <c r="O2437" i="2"/>
  <c r="O471" i="2"/>
  <c r="O2482" i="2"/>
  <c r="O2211" i="2"/>
  <c r="O2082" i="2"/>
  <c r="O314" i="2"/>
  <c r="O1137" i="2"/>
  <c r="O309" i="2"/>
  <c r="O994" i="2"/>
  <c r="O2617" i="2"/>
  <c r="O352" i="2"/>
  <c r="O502" i="2"/>
  <c r="O1237" i="2"/>
  <c r="O2563" i="2"/>
  <c r="O2713" i="2"/>
  <c r="O958" i="2"/>
  <c r="O2500" i="2"/>
  <c r="O1868" i="2"/>
  <c r="O2185" i="2"/>
  <c r="O949" i="2"/>
  <c r="O955" i="2"/>
  <c r="O953" i="2"/>
  <c r="O2484" i="2"/>
  <c r="O1006" i="2"/>
  <c r="O1891" i="2"/>
  <c r="O403" i="2"/>
  <c r="O11" i="2"/>
  <c r="O2606" i="2"/>
  <c r="O2362" i="2"/>
  <c r="O864" i="2"/>
  <c r="O827" i="2"/>
  <c r="O1287" i="2"/>
  <c r="O2332" i="2"/>
  <c r="O1564" i="2"/>
  <c r="O84" i="2"/>
  <c r="O1496" i="2"/>
  <c r="O229" i="2"/>
  <c r="O1051" i="2"/>
  <c r="O1365" i="2"/>
  <c r="O2298" i="2"/>
  <c r="O2564" i="2"/>
  <c r="O313" i="2"/>
  <c r="O397" i="2"/>
  <c r="O1967" i="2"/>
  <c r="O1632" i="2"/>
  <c r="O1917" i="2"/>
  <c r="O2096" i="2"/>
  <c r="O1765" i="2"/>
  <c r="O1857" i="2"/>
  <c r="O1546" i="2"/>
  <c r="O2711" i="2"/>
  <c r="O2757" i="2"/>
  <c r="O128" i="2"/>
  <c r="O1885" i="2"/>
  <c r="O167" i="2"/>
  <c r="O1849" i="2"/>
  <c r="O2290" i="2"/>
  <c r="O2229" i="2"/>
  <c r="O589" i="2"/>
  <c r="O562" i="2"/>
  <c r="O1177" i="2"/>
  <c r="O40" i="2"/>
  <c r="O1549" i="2"/>
  <c r="O1184" i="2"/>
  <c r="O2150" i="2"/>
  <c r="O1792" i="2"/>
  <c r="O1198" i="2"/>
  <c r="O2825" i="2"/>
  <c r="O497" i="2"/>
  <c r="O2578" i="2"/>
  <c r="O93" i="2"/>
  <c r="O1316" i="2"/>
  <c r="O998" i="2"/>
  <c r="O1468" i="2"/>
  <c r="O989" i="2"/>
  <c r="O809" i="2"/>
  <c r="O1225" i="2"/>
  <c r="O2106" i="2"/>
  <c r="O238" i="2"/>
  <c r="O1851" i="2"/>
  <c r="O1735" i="2"/>
  <c r="O1525" i="2"/>
  <c r="O975" i="2"/>
  <c r="O431" i="2"/>
  <c r="O80" i="2"/>
  <c r="O2652" i="2"/>
  <c r="O2213" i="2"/>
  <c r="O3" i="2"/>
  <c r="O1630" i="2"/>
  <c r="O1715" i="2"/>
  <c r="O82" i="2"/>
  <c r="O1657" i="2"/>
  <c r="O2337" i="2"/>
  <c r="O2045" i="2"/>
  <c r="O231" i="2"/>
  <c r="O455" i="2"/>
  <c r="O1420" i="2"/>
  <c r="O1518" i="2"/>
  <c r="O697" i="2"/>
  <c r="O1033" i="2"/>
  <c r="O520" i="2"/>
  <c r="O2529" i="2"/>
  <c r="O743" i="2"/>
  <c r="O1024" i="2"/>
  <c r="O762" i="2"/>
  <c r="O52" i="2"/>
  <c r="O539" i="2"/>
  <c r="O1489" i="2"/>
  <c r="O881" i="2"/>
  <c r="O1573" i="2"/>
  <c r="O2675" i="2"/>
  <c r="O793" i="2"/>
  <c r="O111" i="2"/>
  <c r="O1669" i="2"/>
  <c r="O534" i="2"/>
  <c r="O2270" i="2"/>
  <c r="O1488" i="2"/>
  <c r="O2454" i="2"/>
  <c r="O1884" i="2"/>
  <c r="O441" i="2"/>
  <c r="O1992" i="2"/>
  <c r="O547" i="2"/>
  <c r="O326" i="2"/>
  <c r="O1490" i="2"/>
  <c r="O1618" i="2"/>
  <c r="O1977" i="2"/>
  <c r="O2777" i="2"/>
  <c r="O311" i="2"/>
  <c r="O1613" i="2"/>
  <c r="O794" i="2"/>
  <c r="O1705" i="2"/>
  <c r="O591" i="2"/>
  <c r="O1333" i="2"/>
  <c r="O2536" i="2"/>
  <c r="O2252" i="2"/>
  <c r="O250" i="2"/>
  <c r="O2736" i="2"/>
  <c r="O1864" i="2"/>
  <c r="O1680" i="2"/>
  <c r="O2576" i="2"/>
  <c r="O1557" i="2"/>
  <c r="O375" i="2"/>
  <c r="O1687" i="2"/>
  <c r="O1567" i="2"/>
  <c r="O173" i="2"/>
  <c r="O2621" i="2"/>
  <c r="O1510" i="2"/>
  <c r="O2364" i="2"/>
  <c r="O28" i="2"/>
  <c r="O2493" i="2"/>
  <c r="O272" i="2"/>
  <c r="O2123" i="2"/>
  <c r="O248" i="2"/>
  <c r="O1186" i="2"/>
  <c r="O2267" i="2"/>
  <c r="O2840" i="2"/>
  <c r="O2706" i="2"/>
  <c r="O694" i="2"/>
  <c r="O1128" i="2"/>
  <c r="O1156" i="2"/>
  <c r="O773" i="2"/>
  <c r="O732" i="2"/>
  <c r="O268" i="2"/>
  <c r="O269" i="2"/>
  <c r="O145" i="2"/>
  <c r="O163" i="2"/>
  <c r="O2033" i="2"/>
  <c r="O1407" i="2"/>
  <c r="O1324" i="2"/>
  <c r="O748" i="2"/>
  <c r="O2533" i="2"/>
  <c r="O1808" i="2"/>
  <c r="O230" i="2"/>
  <c r="O472" i="2"/>
  <c r="O1166" i="2"/>
  <c r="O1250" i="2"/>
  <c r="O1039" i="2"/>
  <c r="O510" i="2"/>
  <c r="O2554" i="2"/>
  <c r="O1780" i="2"/>
  <c r="O1325" i="2"/>
  <c r="O582" i="2"/>
  <c r="O7" i="2"/>
  <c r="O1739" i="2"/>
  <c r="O2676" i="2"/>
  <c r="O1047" i="2"/>
  <c r="O1711" i="2"/>
  <c r="O2069" i="2"/>
  <c r="O2370" i="2"/>
  <c r="O470" i="2"/>
  <c r="O2492" i="2"/>
  <c r="O2709" i="2"/>
  <c r="O2505" i="2"/>
  <c r="O279" i="2"/>
  <c r="O2441" i="2"/>
  <c r="O2516" i="2"/>
  <c r="O2306" i="2"/>
  <c r="O596" i="2"/>
  <c r="O2214" i="2"/>
  <c r="O2613" i="2"/>
  <c r="O902" i="2"/>
  <c r="O1689" i="2"/>
  <c r="O282" i="2"/>
  <c r="O1203" i="2"/>
  <c r="O2594" i="2"/>
  <c r="O2190" i="2"/>
  <c r="O315" i="2"/>
  <c r="O1664" i="2"/>
  <c r="O1348" i="2"/>
  <c r="O643" i="2"/>
  <c r="O1566" i="2"/>
  <c r="O1794" i="2"/>
  <c r="O941" i="2"/>
  <c r="O1683" i="2"/>
  <c r="O2009" i="2"/>
  <c r="O22" i="2"/>
  <c r="O1362" i="2"/>
  <c r="O1215" i="2"/>
  <c r="O1783" i="2"/>
  <c r="O149" i="2"/>
  <c r="O2571" i="2"/>
  <c r="O2012" i="2"/>
  <c r="O1139" i="2"/>
  <c r="O2636" i="2"/>
  <c r="O2382" i="2"/>
  <c r="O1256" i="2"/>
  <c r="O2037" i="2"/>
  <c r="O2637" i="2"/>
  <c r="O639" i="2"/>
  <c r="O162" i="2"/>
  <c r="O191" i="2"/>
  <c r="O2350" i="2"/>
  <c r="O1025" i="2"/>
  <c r="O2788" i="2"/>
  <c r="O1676" i="2"/>
  <c r="O728" i="2"/>
  <c r="O528" i="2"/>
  <c r="O1384" i="2"/>
  <c r="O846" i="2"/>
  <c r="O215" i="2"/>
  <c r="O489" i="2"/>
  <c r="O1716" i="2"/>
  <c r="O2047" i="2"/>
  <c r="O1032" i="2"/>
  <c r="O1497" i="2"/>
  <c r="O1928" i="2"/>
  <c r="O626" i="2"/>
  <c r="O671" i="2"/>
  <c r="O141" i="2"/>
  <c r="O2247" i="2"/>
  <c r="O1770" i="2"/>
  <c r="O987" i="2"/>
  <c r="O2318" i="2"/>
  <c r="O377" i="2"/>
  <c r="O1017" i="2"/>
  <c r="O120" i="2"/>
  <c r="O606" i="2"/>
  <c r="O1509" i="2"/>
  <c r="O751" i="2"/>
  <c r="O2191" i="2"/>
  <c r="O570" i="2"/>
  <c r="O1930" i="2"/>
  <c r="O1763" i="2"/>
  <c r="O1129" i="2"/>
  <c r="O1096" i="2"/>
  <c r="O255" i="2"/>
  <c r="O63" i="2"/>
  <c r="O1149" i="2"/>
  <c r="O2074" i="2"/>
  <c r="O102" i="2"/>
  <c r="O884" i="2"/>
  <c r="O612" i="2"/>
  <c r="O1354" i="2"/>
  <c r="O1619" i="2"/>
  <c r="O609" i="2"/>
  <c r="O1831" i="2"/>
  <c r="O2286" i="2"/>
  <c r="O825" i="2"/>
  <c r="O819" i="2"/>
  <c r="O2440" i="2"/>
  <c r="O2246" i="2"/>
  <c r="O1798" i="2"/>
  <c r="O468" i="2"/>
  <c r="O185" i="2"/>
  <c r="O2759" i="2"/>
  <c r="O2109" i="2"/>
  <c r="O572" i="2"/>
  <c r="O2384" i="2"/>
  <c r="O1451" i="2"/>
  <c r="O2139" i="2"/>
  <c r="O829" i="2"/>
  <c r="O2263" i="2"/>
  <c r="O2293" i="2"/>
  <c r="O1717" i="2"/>
  <c r="O20" i="2"/>
  <c r="O2379" i="2"/>
  <c r="O1019" i="2"/>
  <c r="O900" i="2"/>
  <c r="O997" i="2"/>
  <c r="O691" i="2"/>
  <c r="O2589" i="2"/>
  <c r="O1094" i="2"/>
  <c r="O1582" i="2"/>
  <c r="O1393" i="2"/>
  <c r="O1819" i="2"/>
  <c r="O196" i="2"/>
  <c r="O711" i="2"/>
  <c r="O1499" i="2"/>
  <c r="O2256" i="2"/>
  <c r="O1216" i="2"/>
  <c r="O2127" i="2"/>
  <c r="O1167" i="2"/>
  <c r="O1463" i="2"/>
  <c r="O2334" i="2"/>
  <c r="O1895" i="2"/>
  <c r="O616" i="2"/>
  <c r="O2215" i="2"/>
  <c r="O925" i="2"/>
  <c r="O386" i="2"/>
  <c r="O1631" i="2"/>
  <c r="O920" i="2"/>
  <c r="O1855" i="2"/>
  <c r="O2773" i="2"/>
  <c r="O523" i="2"/>
  <c r="O1955" i="2"/>
  <c r="O2789" i="2"/>
  <c r="O1909" i="2"/>
  <c r="O1863" i="2"/>
  <c r="O1386" i="2"/>
  <c r="O1408" i="2"/>
  <c r="O2338" i="2"/>
  <c r="O1764" i="2"/>
  <c r="O2720" i="2"/>
  <c r="O852" i="2"/>
  <c r="O321" i="2"/>
  <c r="O208" i="2"/>
  <c r="O1660" i="2"/>
  <c r="O1913" i="2"/>
  <c r="O436" i="2"/>
  <c r="O222" i="2"/>
  <c r="O70" i="2"/>
  <c r="O882" i="2"/>
  <c r="O2086" i="2"/>
  <c r="O312" i="2"/>
  <c r="O357" i="2"/>
  <c r="O1545" i="2"/>
  <c r="O2511" i="2"/>
  <c r="O183" i="2"/>
  <c r="O2274" i="2"/>
  <c r="O2043" i="2"/>
  <c r="O2117" i="2"/>
  <c r="O492" i="2"/>
  <c r="O499" i="2"/>
  <c r="O2135" i="2"/>
  <c r="O105" i="2"/>
  <c r="O2061" i="2"/>
  <c r="O553" i="2"/>
  <c r="O310" i="2"/>
  <c r="O32" i="2"/>
  <c r="O384" i="2"/>
  <c r="O1320" i="2"/>
  <c r="O1984" i="2"/>
  <c r="O404" i="2"/>
  <c r="O757" i="2"/>
  <c r="O204" i="2"/>
  <c r="O228" i="2"/>
  <c r="O438" i="2"/>
  <c r="O2555" i="2"/>
  <c r="O1532" i="2"/>
  <c r="O965" i="2"/>
  <c r="O1003" i="2"/>
  <c r="O1274" i="2"/>
  <c r="O1954" i="2"/>
  <c r="O328" i="2"/>
  <c r="O2614" i="2"/>
  <c r="O559" i="2"/>
  <c r="O1854" i="2"/>
  <c r="O2822" i="2"/>
  <c r="O1829" i="2"/>
  <c r="O2295" i="2"/>
  <c r="O2786" i="2"/>
  <c r="O750" i="2"/>
  <c r="O608" i="2"/>
  <c r="O538" i="2"/>
  <c r="O1454" i="2"/>
  <c r="O698" i="2"/>
  <c r="O761" i="2"/>
  <c r="O197" i="2"/>
  <c r="O747" i="2"/>
  <c r="O683" i="2"/>
  <c r="O170" i="2"/>
  <c r="O1674" i="2"/>
  <c r="O2376" i="2"/>
  <c r="O2130" i="2"/>
  <c r="O2473" i="2"/>
  <c r="O909" i="2"/>
  <c r="O261" i="2"/>
  <c r="O2228" i="2"/>
  <c r="O2133" i="2"/>
  <c r="C74" i="3"/>
  <c r="C60" i="3"/>
  <c r="K2" i="6"/>
  <c r="K7" i="6"/>
  <c r="K3" i="6"/>
  <c r="K10" i="6"/>
  <c r="K9" i="6"/>
  <c r="K4" i="6"/>
  <c r="K13" i="6"/>
  <c r="K14" i="6"/>
  <c r="K12" i="6"/>
  <c r="K5" i="6"/>
  <c r="K11" i="6"/>
  <c r="K8" i="6"/>
  <c r="K19" i="6"/>
  <c r="K15" i="6"/>
  <c r="K22" i="6"/>
  <c r="K20" i="6"/>
  <c r="K16" i="6"/>
  <c r="K17" i="6"/>
  <c r="K18" i="6"/>
  <c r="K23" i="6"/>
  <c r="K24" i="6"/>
  <c r="K21" i="6"/>
  <c r="K25" i="6"/>
  <c r="K6" i="6"/>
  <c r="E260" i="6"/>
  <c r="E12" i="6"/>
  <c r="E261" i="6"/>
  <c r="E262" i="6"/>
  <c r="E263" i="6"/>
  <c r="E264" i="6"/>
  <c r="E265" i="6"/>
  <c r="E266" i="6"/>
  <c r="E35" i="6"/>
  <c r="E267" i="6"/>
  <c r="E268" i="6"/>
  <c r="E269" i="6"/>
  <c r="E103" i="6"/>
  <c r="E270" i="6"/>
  <c r="E13" i="6"/>
  <c r="E65" i="6"/>
  <c r="E104" i="6"/>
  <c r="E271" i="6"/>
  <c r="E272" i="6"/>
  <c r="E273" i="6"/>
  <c r="E274" i="6"/>
  <c r="E275" i="6"/>
  <c r="E66" i="6"/>
  <c r="E276" i="6"/>
  <c r="E105" i="6"/>
  <c r="E106" i="6"/>
  <c r="E2" i="6"/>
  <c r="E4" i="6"/>
  <c r="E11" i="6"/>
  <c r="E277" i="6"/>
  <c r="E107" i="6"/>
  <c r="E278" i="6"/>
  <c r="E279" i="6"/>
  <c r="E280" i="6"/>
  <c r="E281" i="6"/>
  <c r="E282" i="6"/>
  <c r="E283" i="6"/>
  <c r="E284" i="6"/>
  <c r="E285" i="6"/>
  <c r="E50" i="6"/>
  <c r="E51" i="6"/>
  <c r="E14" i="6"/>
  <c r="E286" i="6"/>
  <c r="E287" i="6"/>
  <c r="E288" i="6"/>
  <c r="E289" i="6"/>
  <c r="E290" i="6"/>
  <c r="E7" i="6"/>
  <c r="E67" i="6"/>
  <c r="E291" i="6"/>
  <c r="E292" i="6"/>
  <c r="E293" i="6"/>
  <c r="E294" i="6"/>
  <c r="E295" i="6"/>
  <c r="E296" i="6"/>
  <c r="E297" i="6"/>
  <c r="E298" i="6"/>
  <c r="E9" i="6"/>
  <c r="E299" i="6"/>
  <c r="E300" i="6"/>
  <c r="E301" i="6"/>
  <c r="E108" i="6"/>
  <c r="E302" i="6"/>
  <c r="E109" i="6"/>
  <c r="E303" i="6"/>
  <c r="E304" i="6"/>
  <c r="E305" i="6"/>
  <c r="E306" i="6"/>
  <c r="E307" i="6"/>
  <c r="E308" i="6"/>
  <c r="E110" i="6"/>
  <c r="E309" i="6"/>
  <c r="E310" i="6"/>
  <c r="E311" i="6"/>
  <c r="E312" i="6"/>
  <c r="E6" i="6"/>
  <c r="E8" i="6"/>
  <c r="E313" i="6"/>
  <c r="E16" i="6"/>
  <c r="E111" i="6"/>
  <c r="E314" i="6"/>
  <c r="E315" i="6"/>
  <c r="E112" i="6"/>
  <c r="E316" i="6"/>
  <c r="E113" i="6"/>
  <c r="E317" i="6"/>
  <c r="E318" i="6"/>
  <c r="E319" i="6"/>
  <c r="E320" i="6"/>
  <c r="E114" i="6"/>
  <c r="E321" i="6"/>
  <c r="E322" i="6"/>
  <c r="E43" i="6"/>
  <c r="E115" i="6"/>
  <c r="E323" i="6"/>
  <c r="E68" i="6"/>
  <c r="E324" i="6"/>
  <c r="E325" i="6"/>
  <c r="E44" i="6"/>
  <c r="E326" i="6"/>
  <c r="E327" i="6"/>
  <c r="E328" i="6"/>
  <c r="E329" i="6"/>
  <c r="E330" i="6"/>
  <c r="E52" i="6"/>
  <c r="E331" i="6"/>
  <c r="E332" i="6"/>
  <c r="E17" i="6"/>
  <c r="E333" i="6"/>
  <c r="E334" i="6"/>
  <c r="E27" i="6"/>
  <c r="E335" i="6"/>
  <c r="E116" i="6"/>
  <c r="E336" i="6"/>
  <c r="E10" i="6"/>
  <c r="E337" i="6"/>
  <c r="E338" i="6"/>
  <c r="E117" i="6"/>
  <c r="E339" i="6"/>
  <c r="E340" i="6"/>
  <c r="E341" i="6"/>
  <c r="E342" i="6"/>
  <c r="E343" i="6"/>
  <c r="E344" i="6"/>
  <c r="E53" i="6"/>
  <c r="E18" i="6"/>
  <c r="E69" i="6"/>
  <c r="E345" i="6"/>
  <c r="E346" i="6"/>
  <c r="E3" i="6"/>
  <c r="E347" i="6"/>
  <c r="E348" i="6"/>
  <c r="E349" i="6"/>
  <c r="E350" i="6"/>
  <c r="E351" i="6"/>
  <c r="E352" i="6"/>
  <c r="E353" i="6"/>
  <c r="E354" i="6"/>
  <c r="E355" i="6"/>
  <c r="E356" i="6"/>
  <c r="E357" i="6"/>
  <c r="E358" i="6"/>
  <c r="E359" i="6"/>
  <c r="E360" i="6"/>
  <c r="E118" i="6"/>
  <c r="E361" i="6"/>
  <c r="E362" i="6"/>
  <c r="E28" i="6"/>
  <c r="E29" i="6"/>
  <c r="E19" i="6"/>
  <c r="E363" i="6"/>
  <c r="E20" i="6"/>
  <c r="E21" i="6"/>
  <c r="E31" i="6"/>
  <c r="E364" i="6"/>
  <c r="E365" i="6"/>
  <c r="E32" i="6"/>
  <c r="E366" i="6"/>
  <c r="E367" i="6"/>
  <c r="E368" i="6"/>
  <c r="E22" i="6"/>
  <c r="E23" i="6"/>
  <c r="E369" i="6"/>
  <c r="E370" i="6"/>
  <c r="E119" i="6"/>
  <c r="E15" i="6"/>
  <c r="E24" i="6"/>
  <c r="E371" i="6"/>
  <c r="E372" i="6"/>
  <c r="E373" i="6"/>
  <c r="E374" i="6"/>
  <c r="E70" i="6"/>
  <c r="E375" i="6"/>
  <c r="E120" i="6"/>
  <c r="E36" i="6"/>
  <c r="E376" i="6"/>
  <c r="E45" i="6"/>
  <c r="E377" i="6"/>
  <c r="E71" i="6"/>
  <c r="E378" i="6"/>
  <c r="E379" i="6"/>
  <c r="E25" i="6"/>
  <c r="E380" i="6"/>
  <c r="E381" i="6"/>
  <c r="E382" i="6"/>
  <c r="E383" i="6"/>
  <c r="E384" i="6"/>
  <c r="E385" i="6"/>
  <c r="E386" i="6"/>
  <c r="E121" i="6"/>
  <c r="E387" i="6"/>
  <c r="E388" i="6"/>
  <c r="E389" i="6"/>
  <c r="E390" i="6"/>
  <c r="E391" i="6"/>
  <c r="E392" i="6"/>
  <c r="E46" i="6"/>
  <c r="E393" i="6"/>
  <c r="E394" i="6"/>
  <c r="E395" i="6"/>
  <c r="E33" i="6"/>
  <c r="E396" i="6"/>
  <c r="E397" i="6"/>
  <c r="E398" i="6"/>
  <c r="E399" i="6"/>
  <c r="E400" i="6"/>
  <c r="E401" i="6"/>
  <c r="E402" i="6"/>
  <c r="E403" i="6"/>
  <c r="E404" i="6"/>
  <c r="E405" i="6"/>
  <c r="E72" i="6"/>
  <c r="E406" i="6"/>
  <c r="E407" i="6"/>
  <c r="E408" i="6"/>
  <c r="E409" i="6"/>
  <c r="E37" i="6"/>
  <c r="E410" i="6"/>
  <c r="E411" i="6"/>
  <c r="E122" i="6"/>
  <c r="E412" i="6"/>
  <c r="E413" i="6"/>
  <c r="E414" i="6"/>
  <c r="E415" i="6"/>
  <c r="E416" i="6"/>
  <c r="E417" i="6"/>
  <c r="E418" i="6"/>
  <c r="E419" i="6"/>
  <c r="E420" i="6"/>
  <c r="E421" i="6"/>
  <c r="E422" i="6"/>
  <c r="E423" i="6"/>
  <c r="E424" i="6"/>
  <c r="E425" i="6"/>
  <c r="E426" i="6"/>
  <c r="E427" i="6"/>
  <c r="E428" i="6"/>
  <c r="E429" i="6"/>
  <c r="E430" i="6"/>
  <c r="E431" i="6"/>
  <c r="E73" i="6"/>
  <c r="E432" i="6"/>
  <c r="E433" i="6"/>
  <c r="E434" i="6"/>
  <c r="E435" i="6"/>
  <c r="E436" i="6"/>
  <c r="E437" i="6"/>
  <c r="E438" i="6"/>
  <c r="E439" i="6"/>
  <c r="E440" i="6"/>
  <c r="E441" i="6"/>
  <c r="E442" i="6"/>
  <c r="E443" i="6"/>
  <c r="E444" i="6"/>
  <c r="E445" i="6"/>
  <c r="E446" i="6"/>
  <c r="E123" i="6"/>
  <c r="E447" i="6"/>
  <c r="E448" i="6"/>
  <c r="E449" i="6"/>
  <c r="E450" i="6"/>
  <c r="E124" i="6"/>
  <c r="E451" i="6"/>
  <c r="E452" i="6"/>
  <c r="E453" i="6"/>
  <c r="E54" i="6"/>
  <c r="E454" i="6"/>
  <c r="E455" i="6"/>
  <c r="E456" i="6"/>
  <c r="E457" i="6"/>
  <c r="E458" i="6"/>
  <c r="E459" i="6"/>
  <c r="E460" i="6"/>
  <c r="E461" i="6"/>
  <c r="E462" i="6"/>
  <c r="E463" i="6"/>
  <c r="E464" i="6"/>
  <c r="E465" i="6"/>
  <c r="E466" i="6"/>
  <c r="E125" i="6"/>
  <c r="E467" i="6"/>
  <c r="E468" i="6"/>
  <c r="E47" i="6"/>
  <c r="E469" i="6"/>
  <c r="E470" i="6"/>
  <c r="E471" i="6"/>
  <c r="E472" i="6"/>
  <c r="E473" i="6"/>
  <c r="E474" i="6"/>
  <c r="E475" i="6"/>
  <c r="E476" i="6"/>
  <c r="E126" i="6"/>
  <c r="E34" i="6"/>
  <c r="E477" i="6"/>
  <c r="E478" i="6"/>
  <c r="E479" i="6"/>
  <c r="E480" i="6"/>
  <c r="E481" i="6"/>
  <c r="E482" i="6"/>
  <c r="E483" i="6"/>
  <c r="E484" i="6"/>
  <c r="E485" i="6"/>
  <c r="E486" i="6"/>
  <c r="E487" i="6"/>
  <c r="E127" i="6"/>
  <c r="E488" i="6"/>
  <c r="E489" i="6"/>
  <c r="E490" i="6"/>
  <c r="E491" i="6"/>
  <c r="E492" i="6"/>
  <c r="E128" i="6"/>
  <c r="E493" i="6"/>
  <c r="E494" i="6"/>
  <c r="E495" i="6"/>
  <c r="E496" i="6"/>
  <c r="E497" i="6"/>
  <c r="E129" i="6"/>
  <c r="E498" i="6"/>
  <c r="E499" i="6"/>
  <c r="E500" i="6"/>
  <c r="E501" i="6"/>
  <c r="E502" i="6"/>
  <c r="E503" i="6"/>
  <c r="E48" i="6"/>
  <c r="E130" i="6"/>
  <c r="E131" i="6"/>
  <c r="E504" i="6"/>
  <c r="E505" i="6"/>
  <c r="E506" i="6"/>
  <c r="E49" i="6"/>
  <c r="E507" i="6"/>
  <c r="E26" i="6"/>
  <c r="E508" i="6"/>
  <c r="E509" i="6"/>
  <c r="E510" i="6"/>
  <c r="E511" i="6"/>
  <c r="E55" i="6"/>
  <c r="E74" i="6"/>
  <c r="E512" i="6"/>
  <c r="E39" i="6"/>
  <c r="E513" i="6"/>
  <c r="E514" i="6"/>
  <c r="E515" i="6"/>
  <c r="E516" i="6"/>
  <c r="E517" i="6"/>
  <c r="E518" i="6"/>
  <c r="E519" i="6"/>
  <c r="E520" i="6"/>
  <c r="E132" i="6"/>
  <c r="E521" i="6"/>
  <c r="E522" i="6"/>
  <c r="E523" i="6"/>
  <c r="E524" i="6"/>
  <c r="E525" i="6"/>
  <c r="E526" i="6"/>
  <c r="E527" i="6"/>
  <c r="E528" i="6"/>
  <c r="E529" i="6"/>
  <c r="E530" i="6"/>
  <c r="E531" i="6"/>
  <c r="E532" i="6"/>
  <c r="E533" i="6"/>
  <c r="E534" i="6"/>
  <c r="E535" i="6"/>
  <c r="E536" i="6"/>
  <c r="E537" i="6"/>
  <c r="E133" i="6"/>
  <c r="E538" i="6"/>
  <c r="E539" i="6"/>
  <c r="E540" i="6"/>
  <c r="E541" i="6"/>
  <c r="E542" i="6"/>
  <c r="E543" i="6"/>
  <c r="E544" i="6"/>
  <c r="E545" i="6"/>
  <c r="E134" i="6"/>
  <c r="E546" i="6"/>
  <c r="E547" i="6"/>
  <c r="E548" i="6"/>
  <c r="E549" i="6"/>
  <c r="E550" i="6"/>
  <c r="E551" i="6"/>
  <c r="E552" i="6"/>
  <c r="E135" i="6"/>
  <c r="E553" i="6"/>
  <c r="E554" i="6"/>
  <c r="E555" i="6"/>
  <c r="E556" i="6"/>
  <c r="E557" i="6"/>
  <c r="E558" i="6"/>
  <c r="E75" i="6"/>
  <c r="E559" i="6"/>
  <c r="E136" i="6"/>
  <c r="E560" i="6"/>
  <c r="E561" i="6"/>
  <c r="E562" i="6"/>
  <c r="E563" i="6"/>
  <c r="E564" i="6"/>
  <c r="E565" i="6"/>
  <c r="E566" i="6"/>
  <c r="E567" i="6"/>
  <c r="E568" i="6"/>
  <c r="E569" i="6"/>
  <c r="E570" i="6"/>
  <c r="E137" i="6"/>
  <c r="E571" i="6"/>
  <c r="E572" i="6"/>
  <c r="E573" i="6"/>
  <c r="E574" i="6"/>
  <c r="E575" i="6"/>
  <c r="E138" i="6"/>
  <c r="E76" i="6"/>
  <c r="E576" i="6"/>
  <c r="E139" i="6"/>
  <c r="E140" i="6"/>
  <c r="E577" i="6"/>
  <c r="E578" i="6"/>
  <c r="E579" i="6"/>
  <c r="E580" i="6"/>
  <c r="E581" i="6"/>
  <c r="E582" i="6"/>
  <c r="E583" i="6"/>
  <c r="E584" i="6"/>
  <c r="E585" i="6"/>
  <c r="E586" i="6"/>
  <c r="E587" i="6"/>
  <c r="E588" i="6"/>
  <c r="E589" i="6"/>
  <c r="E590" i="6"/>
  <c r="E30" i="6"/>
  <c r="E591" i="6"/>
  <c r="E592" i="6"/>
  <c r="E593" i="6"/>
  <c r="E594" i="6"/>
  <c r="E595" i="6"/>
  <c r="E596" i="6"/>
  <c r="E597" i="6"/>
  <c r="E598" i="6"/>
  <c r="E141" i="6"/>
  <c r="E599" i="6"/>
  <c r="E600" i="6"/>
  <c r="E142" i="6"/>
  <c r="E601" i="6"/>
  <c r="E602" i="6"/>
  <c r="E603" i="6"/>
  <c r="E604" i="6"/>
  <c r="E605" i="6"/>
  <c r="E606" i="6"/>
  <c r="E143" i="6"/>
  <c r="E607" i="6"/>
  <c r="E608" i="6"/>
  <c r="E609" i="6"/>
  <c r="E610" i="6"/>
  <c r="E611" i="6"/>
  <c r="E612" i="6"/>
  <c r="E613" i="6"/>
  <c r="E614" i="6"/>
  <c r="E615" i="6"/>
  <c r="E616" i="6"/>
  <c r="E144" i="6"/>
  <c r="E617" i="6"/>
  <c r="E618" i="6"/>
  <c r="E619" i="6"/>
  <c r="E620" i="6"/>
  <c r="E621" i="6"/>
  <c r="E622" i="6"/>
  <c r="E623" i="6"/>
  <c r="E624" i="6"/>
  <c r="E625" i="6"/>
  <c r="E626" i="6"/>
  <c r="E627" i="6"/>
  <c r="E145" i="6"/>
  <c r="E628" i="6"/>
  <c r="E629" i="6"/>
  <c r="E630" i="6"/>
  <c r="E146" i="6"/>
  <c r="E631" i="6"/>
  <c r="E632" i="6"/>
  <c r="E633" i="6"/>
  <c r="E147" i="6"/>
  <c r="E634" i="6"/>
  <c r="E77" i="6"/>
  <c r="E635" i="6"/>
  <c r="E636" i="6"/>
  <c r="E637" i="6"/>
  <c r="E638" i="6"/>
  <c r="E639" i="6"/>
  <c r="E640" i="6"/>
  <c r="E641" i="6"/>
  <c r="E642" i="6"/>
  <c r="E643" i="6"/>
  <c r="E644" i="6"/>
  <c r="E148" i="6"/>
  <c r="E78" i="6"/>
  <c r="E645" i="6"/>
  <c r="E646" i="6"/>
  <c r="E647" i="6"/>
  <c r="E648" i="6"/>
  <c r="E649" i="6"/>
  <c r="E650" i="6"/>
  <c r="E651" i="6"/>
  <c r="E652" i="6"/>
  <c r="E653" i="6"/>
  <c r="E654" i="6"/>
  <c r="E655" i="6"/>
  <c r="E656" i="6"/>
  <c r="E657" i="6"/>
  <c r="E658" i="6"/>
  <c r="E659" i="6"/>
  <c r="E149" i="6"/>
  <c r="E660" i="6"/>
  <c r="E661" i="6"/>
  <c r="E662" i="6"/>
  <c r="E150" i="6"/>
  <c r="E663" i="6"/>
  <c r="E664" i="6"/>
  <c r="E665" i="6"/>
  <c r="E666" i="6"/>
  <c r="E667" i="6"/>
  <c r="E668" i="6"/>
  <c r="E669" i="6"/>
  <c r="E670" i="6"/>
  <c r="E671" i="6"/>
  <c r="E672" i="6"/>
  <c r="E673" i="6"/>
  <c r="E674" i="6"/>
  <c r="E675" i="6"/>
  <c r="E676" i="6"/>
  <c r="E677" i="6"/>
  <c r="E678" i="6"/>
  <c r="E679" i="6"/>
  <c r="E680" i="6"/>
  <c r="E681" i="6"/>
  <c r="E682" i="6"/>
  <c r="E683" i="6"/>
  <c r="E151" i="6"/>
  <c r="E684" i="6"/>
  <c r="E685" i="6"/>
  <c r="E686" i="6"/>
  <c r="E687" i="6"/>
  <c r="E688" i="6"/>
  <c r="E689" i="6"/>
  <c r="E79" i="6"/>
  <c r="E690" i="6"/>
  <c r="E691" i="6"/>
  <c r="E692" i="6"/>
  <c r="E693" i="6"/>
  <c r="E694" i="6"/>
  <c r="E695" i="6"/>
  <c r="E696" i="6"/>
  <c r="E697" i="6"/>
  <c r="E698" i="6"/>
  <c r="E699" i="6"/>
  <c r="E700" i="6"/>
  <c r="E701" i="6"/>
  <c r="E702" i="6"/>
  <c r="E80" i="6"/>
  <c r="E703" i="6"/>
  <c r="E704" i="6"/>
  <c r="E705" i="6"/>
  <c r="E706" i="6"/>
  <c r="E707" i="6"/>
  <c r="E708" i="6"/>
  <c r="E709" i="6"/>
  <c r="E710" i="6"/>
  <c r="E711" i="6"/>
  <c r="E712" i="6"/>
  <c r="E152" i="6"/>
  <c r="E713" i="6"/>
  <c r="E714" i="6"/>
  <c r="E715" i="6"/>
  <c r="E716" i="6"/>
  <c r="E717" i="6"/>
  <c r="E718" i="6"/>
  <c r="E719" i="6"/>
  <c r="E720" i="6"/>
  <c r="E721" i="6"/>
  <c r="E722" i="6"/>
  <c r="E723" i="6"/>
  <c r="E724" i="6"/>
  <c r="E725" i="6"/>
  <c r="E726" i="6"/>
  <c r="E727" i="6"/>
  <c r="E728" i="6"/>
  <c r="E153" i="6"/>
  <c r="E56" i="6"/>
  <c r="E729" i="6"/>
  <c r="E730" i="6"/>
  <c r="E731" i="6"/>
  <c r="E732" i="6"/>
  <c r="E733" i="6"/>
  <c r="E734" i="6"/>
  <c r="E735" i="6"/>
  <c r="E736" i="6"/>
  <c r="E737" i="6"/>
  <c r="E738" i="6"/>
  <c r="E739" i="6"/>
  <c r="E740" i="6"/>
  <c r="E154" i="6"/>
  <c r="E741" i="6"/>
  <c r="E742" i="6"/>
  <c r="E743" i="6"/>
  <c r="E744" i="6"/>
  <c r="E745" i="6"/>
  <c r="E746" i="6"/>
  <c r="E747" i="6"/>
  <c r="E748" i="6"/>
  <c r="E749" i="6"/>
  <c r="E750" i="6"/>
  <c r="E751" i="6"/>
  <c r="E752" i="6"/>
  <c r="E753" i="6"/>
  <c r="E754" i="6"/>
  <c r="E755" i="6"/>
  <c r="E81" i="6"/>
  <c r="E756" i="6"/>
  <c r="E40" i="6"/>
  <c r="E757" i="6"/>
  <c r="E758" i="6"/>
  <c r="E759" i="6"/>
  <c r="E760" i="6"/>
  <c r="E761" i="6"/>
  <c r="E762" i="6"/>
  <c r="E763" i="6"/>
  <c r="E764" i="6"/>
  <c r="E765" i="6"/>
  <c r="E766" i="6"/>
  <c r="E767" i="6"/>
  <c r="E768" i="6"/>
  <c r="E769" i="6"/>
  <c r="E770" i="6"/>
  <c r="E771" i="6"/>
  <c r="E155" i="6"/>
  <c r="E772" i="6"/>
  <c r="E773" i="6"/>
  <c r="E774" i="6"/>
  <c r="E775" i="6"/>
  <c r="E776" i="6"/>
  <c r="E156" i="6"/>
  <c r="E157" i="6"/>
  <c r="E777" i="6"/>
  <c r="E778" i="6"/>
  <c r="E779" i="6"/>
  <c r="E780" i="6"/>
  <c r="E781" i="6"/>
  <c r="E782" i="6"/>
  <c r="E783" i="6"/>
  <c r="E784" i="6"/>
  <c r="E785" i="6"/>
  <c r="E786" i="6"/>
  <c r="E787" i="6"/>
  <c r="E788" i="6"/>
  <c r="E789" i="6"/>
  <c r="E790" i="6"/>
  <c r="E791" i="6"/>
  <c r="E792" i="6"/>
  <c r="E793" i="6"/>
  <c r="E794" i="6"/>
  <c r="E795" i="6"/>
  <c r="E796" i="6"/>
  <c r="E797" i="6"/>
  <c r="E798" i="6"/>
  <c r="E799" i="6"/>
  <c r="E800" i="6"/>
  <c r="E801" i="6"/>
  <c r="E802" i="6"/>
  <c r="E158" i="6"/>
  <c r="E803" i="6"/>
  <c r="E804" i="6"/>
  <c r="E805" i="6"/>
  <c r="E806" i="6"/>
  <c r="E807" i="6"/>
  <c r="E808" i="6"/>
  <c r="E809" i="6"/>
  <c r="E810" i="6"/>
  <c r="E159" i="6"/>
  <c r="E811" i="6"/>
  <c r="E812" i="6"/>
  <c r="E813" i="6"/>
  <c r="E814" i="6"/>
  <c r="E815" i="6"/>
  <c r="E816" i="6"/>
  <c r="E817" i="6"/>
  <c r="E818" i="6"/>
  <c r="E819" i="6"/>
  <c r="E820" i="6"/>
  <c r="E821" i="6"/>
  <c r="E822" i="6"/>
  <c r="E823" i="6"/>
  <c r="E824" i="6"/>
  <c r="E825" i="6"/>
  <c r="E826" i="6"/>
  <c r="E827" i="6"/>
  <c r="E828" i="6"/>
  <c r="E829" i="6"/>
  <c r="E160" i="6"/>
  <c r="E830" i="6"/>
  <c r="E831" i="6"/>
  <c r="E832" i="6"/>
  <c r="E833" i="6"/>
  <c r="E834" i="6"/>
  <c r="E835" i="6"/>
  <c r="E836" i="6"/>
  <c r="E837" i="6"/>
  <c r="E838" i="6"/>
  <c r="E839" i="6"/>
  <c r="E840" i="6"/>
  <c r="E841" i="6"/>
  <c r="E842" i="6"/>
  <c r="E843" i="6"/>
  <c r="E82" i="6"/>
  <c r="E844" i="6"/>
  <c r="E845" i="6"/>
  <c r="E57" i="6"/>
  <c r="E846" i="6"/>
  <c r="E41" i="6"/>
  <c r="E847" i="6"/>
  <c r="E848" i="6"/>
  <c r="E849" i="6"/>
  <c r="E83" i="6"/>
  <c r="E161" i="6"/>
  <c r="E850" i="6"/>
  <c r="E851" i="6"/>
  <c r="E852" i="6"/>
  <c r="E162" i="6"/>
  <c r="E853" i="6"/>
  <c r="E854" i="6"/>
  <c r="E855" i="6"/>
  <c r="E856" i="6"/>
  <c r="E857" i="6"/>
  <c r="E163" i="6"/>
  <c r="E164" i="6"/>
  <c r="E858" i="6"/>
  <c r="E859" i="6"/>
  <c r="E860" i="6"/>
  <c r="E165" i="6"/>
  <c r="E861" i="6"/>
  <c r="E862" i="6"/>
  <c r="E863" i="6"/>
  <c r="E864" i="6"/>
  <c r="E865" i="6"/>
  <c r="E866" i="6"/>
  <c r="E867" i="6"/>
  <c r="E868" i="6"/>
  <c r="E869" i="6"/>
  <c r="E84" i="6"/>
  <c r="E870" i="6"/>
  <c r="E871" i="6"/>
  <c r="E872" i="6"/>
  <c r="E873" i="6"/>
  <c r="E874" i="6"/>
  <c r="E875" i="6"/>
  <c r="E876" i="6"/>
  <c r="E877" i="6"/>
  <c r="E878" i="6"/>
  <c r="E166" i="6"/>
  <c r="E879" i="6"/>
  <c r="E880" i="6"/>
  <c r="E881" i="6"/>
  <c r="E882" i="6"/>
  <c r="E883" i="6"/>
  <c r="E884" i="6"/>
  <c r="E885" i="6"/>
  <c r="E886" i="6"/>
  <c r="E887" i="6"/>
  <c r="E888" i="6"/>
  <c r="E889" i="6"/>
  <c r="E890" i="6"/>
  <c r="E891" i="6"/>
  <c r="E892" i="6"/>
  <c r="E85" i="6"/>
  <c r="E893" i="6"/>
  <c r="E894" i="6"/>
  <c r="E86" i="6"/>
  <c r="E895" i="6"/>
  <c r="E896" i="6"/>
  <c r="E897" i="6"/>
  <c r="E898" i="6"/>
  <c r="E899" i="6"/>
  <c r="E167" i="6"/>
  <c r="E168" i="6"/>
  <c r="E900" i="6"/>
  <c r="E901" i="6"/>
  <c r="E902" i="6"/>
  <c r="E903" i="6"/>
  <c r="E904" i="6"/>
  <c r="E905" i="6"/>
  <c r="E906" i="6"/>
  <c r="E907" i="6"/>
  <c r="E908" i="6"/>
  <c r="E909" i="6"/>
  <c r="E910" i="6"/>
  <c r="E911" i="6"/>
  <c r="E912" i="6"/>
  <c r="E913" i="6"/>
  <c r="E914" i="6"/>
  <c r="E915" i="6"/>
  <c r="E916" i="6"/>
  <c r="E917" i="6"/>
  <c r="E918" i="6"/>
  <c r="E919" i="6"/>
  <c r="E169" i="6"/>
  <c r="E920" i="6"/>
  <c r="E921" i="6"/>
  <c r="E170" i="6"/>
  <c r="E922" i="6"/>
  <c r="E923" i="6"/>
  <c r="E924" i="6"/>
  <c r="E925" i="6"/>
  <c r="E926" i="6"/>
  <c r="E927" i="6"/>
  <c r="E928" i="6"/>
  <c r="E929" i="6"/>
  <c r="E930" i="6"/>
  <c r="E931" i="6"/>
  <c r="E932" i="6"/>
  <c r="E933" i="6"/>
  <c r="E934" i="6"/>
  <c r="E935" i="6"/>
  <c r="E936" i="6"/>
  <c r="E171" i="6"/>
  <c r="E937" i="6"/>
  <c r="E938" i="6"/>
  <c r="E939" i="6"/>
  <c r="E940" i="6"/>
  <c r="E941" i="6"/>
  <c r="E942" i="6"/>
  <c r="E943" i="6"/>
  <c r="E944" i="6"/>
  <c r="E945" i="6"/>
  <c r="E946" i="6"/>
  <c r="E947" i="6"/>
  <c r="E948" i="6"/>
  <c r="E949" i="6"/>
  <c r="E950" i="6"/>
  <c r="E951" i="6"/>
  <c r="E952" i="6"/>
  <c r="E953" i="6"/>
  <c r="E954" i="6"/>
  <c r="E955" i="6"/>
  <c r="E956" i="6"/>
  <c r="E957" i="6"/>
  <c r="E958" i="6"/>
  <c r="E959" i="6"/>
  <c r="E960" i="6"/>
  <c r="E961" i="6"/>
  <c r="E962" i="6"/>
  <c r="E963" i="6"/>
  <c r="E964" i="6"/>
  <c r="E965" i="6"/>
  <c r="E966" i="6"/>
  <c r="E967" i="6"/>
  <c r="E968" i="6"/>
  <c r="E969" i="6"/>
  <c r="E970" i="6"/>
  <c r="E971" i="6"/>
  <c r="E972" i="6"/>
  <c r="E973" i="6"/>
  <c r="E974" i="6"/>
  <c r="E87" i="6"/>
  <c r="E975" i="6"/>
  <c r="E976" i="6"/>
  <c r="E977" i="6"/>
  <c r="E978" i="6"/>
  <c r="E172" i="6"/>
  <c r="E979" i="6"/>
  <c r="E980" i="6"/>
  <c r="E981" i="6"/>
  <c r="E173" i="6"/>
  <c r="E982" i="6"/>
  <c r="E983" i="6"/>
  <c r="E984" i="6"/>
  <c r="E985" i="6"/>
  <c r="E986" i="6"/>
  <c r="E987" i="6"/>
  <c r="E988" i="6"/>
  <c r="E989" i="6"/>
  <c r="E990" i="6"/>
  <c r="E991" i="6"/>
  <c r="E992" i="6"/>
  <c r="E993" i="6"/>
  <c r="E994" i="6"/>
  <c r="E995" i="6"/>
  <c r="E996" i="6"/>
  <c r="E997" i="6"/>
  <c r="E998" i="6"/>
  <c r="E174" i="6"/>
  <c r="E999" i="6"/>
  <c r="E1000" i="6"/>
  <c r="E1001" i="6"/>
  <c r="E1002" i="6"/>
  <c r="E1003" i="6"/>
  <c r="E1004" i="6"/>
  <c r="E1005" i="6"/>
  <c r="E1006" i="6"/>
  <c r="E1007" i="6"/>
  <c r="E1008" i="6"/>
  <c r="E1009" i="6"/>
  <c r="E1010" i="6"/>
  <c r="E1011" i="6"/>
  <c r="E1012" i="6"/>
  <c r="E1013" i="6"/>
  <c r="E1014" i="6"/>
  <c r="E1015" i="6"/>
  <c r="E1016" i="6"/>
  <c r="E1017" i="6"/>
  <c r="E1018" i="6"/>
  <c r="E1019" i="6"/>
  <c r="E1020" i="6"/>
  <c r="E1021" i="6"/>
  <c r="E1022" i="6"/>
  <c r="E1023" i="6"/>
  <c r="E1024" i="6"/>
  <c r="E1025" i="6"/>
  <c r="E1026" i="6"/>
  <c r="E1027" i="6"/>
  <c r="E1028" i="6"/>
  <c r="E175" i="6"/>
  <c r="E1029" i="6"/>
  <c r="E176" i="6"/>
  <c r="E1030" i="6"/>
  <c r="E1031" i="6"/>
  <c r="E1032" i="6"/>
  <c r="E1033" i="6"/>
  <c r="E1034" i="6"/>
  <c r="E1035" i="6"/>
  <c r="E1036" i="6"/>
  <c r="E1037" i="6"/>
  <c r="E1038" i="6"/>
  <c r="E1039" i="6"/>
  <c r="E1040" i="6"/>
  <c r="E1041" i="6"/>
  <c r="E1042" i="6"/>
  <c r="E1043" i="6"/>
  <c r="E1044" i="6"/>
  <c r="E1045" i="6"/>
  <c r="E88" i="6"/>
  <c r="E1046" i="6"/>
  <c r="E1047" i="6"/>
  <c r="E1048" i="6"/>
  <c r="E1049" i="6"/>
  <c r="E1050" i="6"/>
  <c r="E1051" i="6"/>
  <c r="E1052" i="6"/>
  <c r="E1053" i="6"/>
  <c r="E58" i="6"/>
  <c r="E1054" i="6"/>
  <c r="E1055" i="6"/>
  <c r="E1056" i="6"/>
  <c r="E89" i="6"/>
  <c r="E1057" i="6"/>
  <c r="E1058" i="6"/>
  <c r="E1059" i="6"/>
  <c r="E177" i="6"/>
  <c r="E1060" i="6"/>
  <c r="E1061" i="6"/>
  <c r="E1062" i="6"/>
  <c r="E1063" i="6"/>
  <c r="E1064" i="6"/>
  <c r="E1065" i="6"/>
  <c r="E1066" i="6"/>
  <c r="E1067" i="6"/>
  <c r="E1068" i="6"/>
  <c r="E1069" i="6"/>
  <c r="E1070" i="6"/>
  <c r="E1071" i="6"/>
  <c r="E1072" i="6"/>
  <c r="E1073" i="6"/>
  <c r="E1074" i="6"/>
  <c r="E1075" i="6"/>
  <c r="E1076" i="6"/>
  <c r="E178" i="6"/>
  <c r="E1077" i="6"/>
  <c r="E179" i="6"/>
  <c r="E1078" i="6"/>
  <c r="E1079" i="6"/>
  <c r="E1080" i="6"/>
  <c r="E1081" i="6"/>
  <c r="E1082" i="6"/>
  <c r="E1083" i="6"/>
  <c r="E180" i="6"/>
  <c r="E1084" i="6"/>
  <c r="E1085" i="6"/>
  <c r="E1086" i="6"/>
  <c r="E1087" i="6"/>
  <c r="E1088" i="6"/>
  <c r="E1089" i="6"/>
  <c r="E1090" i="6"/>
  <c r="E1091" i="6"/>
  <c r="E1092" i="6"/>
  <c r="E1093" i="6"/>
  <c r="E42" i="6"/>
  <c r="E1094" i="6"/>
  <c r="E1095" i="6"/>
  <c r="E1096" i="6"/>
  <c r="E1097" i="6"/>
  <c r="E1098" i="6"/>
  <c r="E1099" i="6"/>
  <c r="E1100" i="6"/>
  <c r="E1101" i="6"/>
  <c r="E1102" i="6"/>
  <c r="E1103" i="6"/>
  <c r="E1104" i="6"/>
  <c r="E1105" i="6"/>
  <c r="E1106" i="6"/>
  <c r="E1107" i="6"/>
  <c r="E181" i="6"/>
  <c r="E1108" i="6"/>
  <c r="E1109" i="6"/>
  <c r="E1110" i="6"/>
  <c r="E1111" i="6"/>
  <c r="E1112" i="6"/>
  <c r="E182" i="6"/>
  <c r="E183" i="6"/>
  <c r="E1113" i="6"/>
  <c r="E184" i="6"/>
  <c r="E185" i="6"/>
  <c r="E1114" i="6"/>
  <c r="E1115" i="6"/>
  <c r="E1116" i="6"/>
  <c r="E1117" i="6"/>
  <c r="E186" i="6"/>
  <c r="E1118" i="6"/>
  <c r="E187" i="6"/>
  <c r="E1119" i="6"/>
  <c r="E1120" i="6"/>
  <c r="E1121" i="6"/>
  <c r="E1122" i="6"/>
  <c r="E188" i="6"/>
  <c r="E1123" i="6"/>
  <c r="E189" i="6"/>
  <c r="E1124" i="6"/>
  <c r="E190" i="6"/>
  <c r="E1125" i="6"/>
  <c r="E1126" i="6"/>
  <c r="E1127" i="6"/>
  <c r="E1128" i="6"/>
  <c r="E1129" i="6"/>
  <c r="E1130" i="6"/>
  <c r="E1131" i="6"/>
  <c r="E90" i="6"/>
  <c r="E1132" i="6"/>
  <c r="E91" i="6"/>
  <c r="E1133" i="6"/>
  <c r="E1134" i="6"/>
  <c r="E1135" i="6"/>
  <c r="E1136" i="6"/>
  <c r="E1137" i="6"/>
  <c r="E1138" i="6"/>
  <c r="E1139" i="6"/>
  <c r="E1140" i="6"/>
  <c r="E1141" i="6"/>
  <c r="E1142" i="6"/>
  <c r="E1143" i="6"/>
  <c r="E1144" i="6"/>
  <c r="E191" i="6"/>
  <c r="E1145" i="6"/>
  <c r="E1146" i="6"/>
  <c r="E1147" i="6"/>
  <c r="E1148" i="6"/>
  <c r="E1149" i="6"/>
  <c r="E1150" i="6"/>
  <c r="E1151" i="6"/>
  <c r="E1152" i="6"/>
  <c r="E1153" i="6"/>
  <c r="E1154" i="6"/>
  <c r="E1155" i="6"/>
  <c r="E1156" i="6"/>
  <c r="E1157" i="6"/>
  <c r="E1158" i="6"/>
  <c r="E1159" i="6"/>
  <c r="E1160" i="6"/>
  <c r="E1161" i="6"/>
  <c r="E1162" i="6"/>
  <c r="E1163" i="6"/>
  <c r="E1164" i="6"/>
  <c r="E1165" i="6"/>
  <c r="E1166" i="6"/>
  <c r="E1167" i="6"/>
  <c r="E1168" i="6"/>
  <c r="E1169" i="6"/>
  <c r="E1170" i="6"/>
  <c r="E1171" i="6"/>
  <c r="E1172" i="6"/>
  <c r="E1173" i="6"/>
  <c r="E1174" i="6"/>
  <c r="E1175" i="6"/>
  <c r="E1176" i="6"/>
  <c r="E192" i="6"/>
  <c r="E193" i="6"/>
  <c r="E1177" i="6"/>
  <c r="E1178" i="6"/>
  <c r="E1179" i="6"/>
  <c r="E1180" i="6"/>
  <c r="E1181" i="6"/>
  <c r="E1182" i="6"/>
  <c r="E1183" i="6"/>
  <c r="E1184" i="6"/>
  <c r="E1185" i="6"/>
  <c r="E1186" i="6"/>
  <c r="E1187" i="6"/>
  <c r="E1188" i="6"/>
  <c r="E1189" i="6"/>
  <c r="E1190" i="6"/>
  <c r="E1191" i="6"/>
  <c r="E1192" i="6"/>
  <c r="E1193" i="6"/>
  <c r="E1194" i="6"/>
  <c r="E1195" i="6"/>
  <c r="E1196" i="6"/>
  <c r="E1197" i="6"/>
  <c r="E1198" i="6"/>
  <c r="E1199" i="6"/>
  <c r="E1200" i="6"/>
  <c r="E1201" i="6"/>
  <c r="E1202" i="6"/>
  <c r="E1203" i="6"/>
  <c r="E1204" i="6"/>
  <c r="E1205" i="6"/>
  <c r="E1206" i="6"/>
  <c r="E1207" i="6"/>
  <c r="E1208" i="6"/>
  <c r="E92" i="6"/>
  <c r="E1209" i="6"/>
  <c r="E1210" i="6"/>
  <c r="E1211" i="6"/>
  <c r="E1212" i="6"/>
  <c r="E93" i="6"/>
  <c r="E1213" i="6"/>
  <c r="E1214" i="6"/>
  <c r="E1215" i="6"/>
  <c r="E1216" i="6"/>
  <c r="E1217" i="6"/>
  <c r="E1218" i="6"/>
  <c r="E1219" i="6"/>
  <c r="E1220" i="6"/>
  <c r="E1221" i="6"/>
  <c r="E1222" i="6"/>
  <c r="E1223" i="6"/>
  <c r="E194" i="6"/>
  <c r="E1224" i="6"/>
  <c r="E1225" i="6"/>
  <c r="E1226" i="6"/>
  <c r="E1227" i="6"/>
  <c r="E1228" i="6"/>
  <c r="E1229" i="6"/>
  <c r="E1230" i="6"/>
  <c r="E1231" i="6"/>
  <c r="E1232" i="6"/>
  <c r="E1233" i="6"/>
  <c r="E1234" i="6"/>
  <c r="E1235" i="6"/>
  <c r="E1236" i="6"/>
  <c r="E1237" i="6"/>
  <c r="E1238" i="6"/>
  <c r="E1239" i="6"/>
  <c r="E1240" i="6"/>
  <c r="E1241" i="6"/>
  <c r="E1242" i="6"/>
  <c r="E1243" i="6"/>
  <c r="E1244" i="6"/>
  <c r="E1245" i="6"/>
  <c r="E1246" i="6"/>
  <c r="E1247" i="6"/>
  <c r="E1248" i="6"/>
  <c r="E1249" i="6"/>
  <c r="E1250" i="6"/>
  <c r="E1251" i="6"/>
  <c r="E195" i="6"/>
  <c r="E1252" i="6"/>
  <c r="E1253" i="6"/>
  <c r="E1254" i="6"/>
  <c r="E196" i="6"/>
  <c r="E1255" i="6"/>
  <c r="E1256" i="6"/>
  <c r="E1257" i="6"/>
  <c r="E1258" i="6"/>
  <c r="E1259" i="6"/>
  <c r="E1260" i="6"/>
  <c r="E1261" i="6"/>
  <c r="E1262" i="6"/>
  <c r="E1263" i="6"/>
  <c r="E1264" i="6"/>
  <c r="E1265" i="6"/>
  <c r="E1266" i="6"/>
  <c r="E197" i="6"/>
  <c r="E1267" i="6"/>
  <c r="E1268" i="6"/>
  <c r="E1269" i="6"/>
  <c r="E1270" i="6"/>
  <c r="E1271" i="6"/>
  <c r="E1272" i="6"/>
  <c r="E1273" i="6"/>
  <c r="E1274" i="6"/>
  <c r="E1275" i="6"/>
  <c r="E1276" i="6"/>
  <c r="E1277" i="6"/>
  <c r="E1278" i="6"/>
  <c r="E1279" i="6"/>
  <c r="E1280" i="6"/>
  <c r="E1281" i="6"/>
  <c r="E1282" i="6"/>
  <c r="E198" i="6"/>
  <c r="E1283" i="6"/>
  <c r="E1284" i="6"/>
  <c r="E1285" i="6"/>
  <c r="E1286" i="6"/>
  <c r="E1287" i="6"/>
  <c r="E1288" i="6"/>
  <c r="E1289" i="6"/>
  <c r="E1290" i="6"/>
  <c r="E1291" i="6"/>
  <c r="E1292" i="6"/>
  <c r="E1293" i="6"/>
  <c r="E1294" i="6"/>
  <c r="E1295" i="6"/>
  <c r="E1296" i="6"/>
  <c r="E1297" i="6"/>
  <c r="E1298" i="6"/>
  <c r="E1299" i="6"/>
  <c r="E1300" i="6"/>
  <c r="E1301" i="6"/>
  <c r="E1302" i="6"/>
  <c r="E1303" i="6"/>
  <c r="E1304" i="6"/>
  <c r="E1305" i="6"/>
  <c r="E1306" i="6"/>
  <c r="E1307" i="6"/>
  <c r="E1308" i="6"/>
  <c r="E1309" i="6"/>
  <c r="E1310" i="6"/>
  <c r="E59" i="6"/>
  <c r="E1311" i="6"/>
  <c r="E1312" i="6"/>
  <c r="E1313" i="6"/>
  <c r="E1314" i="6"/>
  <c r="E1315" i="6"/>
  <c r="E199" i="6"/>
  <c r="E200" i="6"/>
  <c r="E1316" i="6"/>
  <c r="E1317" i="6"/>
  <c r="E1318" i="6"/>
  <c r="E1319" i="6"/>
  <c r="E1320" i="6"/>
  <c r="E201" i="6"/>
  <c r="E1321" i="6"/>
  <c r="E1322" i="6"/>
  <c r="E1323" i="6"/>
  <c r="E202" i="6"/>
  <c r="E203" i="6"/>
  <c r="E1324" i="6"/>
  <c r="E1325" i="6"/>
  <c r="E1326" i="6"/>
  <c r="E1327" i="6"/>
  <c r="E1328" i="6"/>
  <c r="E1329" i="6"/>
  <c r="E1330" i="6"/>
  <c r="E204" i="6"/>
  <c r="E1331" i="6"/>
  <c r="E1332" i="6"/>
  <c r="E1333" i="6"/>
  <c r="E1334" i="6"/>
  <c r="E1335" i="6"/>
  <c r="E1336" i="6"/>
  <c r="E1337" i="6"/>
  <c r="E1338" i="6"/>
  <c r="E1339" i="6"/>
  <c r="E1340" i="6"/>
  <c r="E1341" i="6"/>
  <c r="E1342" i="6"/>
  <c r="E1343" i="6"/>
  <c r="E1344" i="6"/>
  <c r="E1345" i="6"/>
  <c r="E1346" i="6"/>
  <c r="E1347" i="6"/>
  <c r="E1348" i="6"/>
  <c r="E1349" i="6"/>
  <c r="E1350" i="6"/>
  <c r="E1351" i="6"/>
  <c r="E1352" i="6"/>
  <c r="E205" i="6"/>
  <c r="E1353" i="6"/>
  <c r="E1354" i="6"/>
  <c r="E206" i="6"/>
  <c r="E1355" i="6"/>
  <c r="E1356" i="6"/>
  <c r="E1357" i="6"/>
  <c r="E1358" i="6"/>
  <c r="E1359" i="6"/>
  <c r="E1360" i="6"/>
  <c r="E207" i="6"/>
  <c r="E1361" i="6"/>
  <c r="E1362" i="6"/>
  <c r="E1363" i="6"/>
  <c r="E1364" i="6"/>
  <c r="E1365" i="6"/>
  <c r="E1366" i="6"/>
  <c r="E1367" i="6"/>
  <c r="E1368" i="6"/>
  <c r="E1369" i="6"/>
  <c r="E1370" i="6"/>
  <c r="E1371" i="6"/>
  <c r="E60" i="6"/>
  <c r="E1372" i="6"/>
  <c r="E1373" i="6"/>
  <c r="E1374" i="6"/>
  <c r="E1375" i="6"/>
  <c r="E1376" i="6"/>
  <c r="E61" i="6"/>
  <c r="E1377" i="6"/>
  <c r="E1378" i="6"/>
  <c r="E1379" i="6"/>
  <c r="E1380" i="6"/>
  <c r="E1381" i="6"/>
  <c r="E1382" i="6"/>
  <c r="E208" i="6"/>
  <c r="E1383" i="6"/>
  <c r="E1384" i="6"/>
  <c r="E1385" i="6"/>
  <c r="E1386" i="6"/>
  <c r="E1387" i="6"/>
  <c r="E1388" i="6"/>
  <c r="E1389" i="6"/>
  <c r="E1390" i="6"/>
  <c r="E1391" i="6"/>
  <c r="E94" i="6"/>
  <c r="E1392" i="6"/>
  <c r="E1393" i="6"/>
  <c r="E1394" i="6"/>
  <c r="E1395" i="6"/>
  <c r="E1396" i="6"/>
  <c r="E1397" i="6"/>
  <c r="E209" i="6"/>
  <c r="E1398" i="6"/>
  <c r="E1399" i="6"/>
  <c r="E95" i="6"/>
  <c r="E210" i="6"/>
  <c r="E1400" i="6"/>
  <c r="E1401" i="6"/>
  <c r="E1402" i="6"/>
  <c r="E1403" i="6"/>
  <c r="E1404" i="6"/>
  <c r="E1405" i="6"/>
  <c r="E1406" i="6"/>
  <c r="E1407" i="6"/>
  <c r="E1408" i="6"/>
  <c r="E211" i="6"/>
  <c r="E1409" i="6"/>
  <c r="E212" i="6"/>
  <c r="E1410" i="6"/>
  <c r="E1411" i="6"/>
  <c r="E1412" i="6"/>
  <c r="E1413" i="6"/>
  <c r="E1414" i="6"/>
  <c r="E1415" i="6"/>
  <c r="E1416" i="6"/>
  <c r="E1417" i="6"/>
  <c r="E1418" i="6"/>
  <c r="E1419" i="6"/>
  <c r="E1420" i="6"/>
  <c r="E213" i="6"/>
  <c r="E62" i="6"/>
  <c r="E1421" i="6"/>
  <c r="E1422" i="6"/>
  <c r="E1423" i="6"/>
  <c r="E1424" i="6"/>
  <c r="E1425" i="6"/>
  <c r="E1426" i="6"/>
  <c r="E96" i="6"/>
  <c r="E1427" i="6"/>
  <c r="E1428" i="6"/>
  <c r="E1429" i="6"/>
  <c r="E1430" i="6"/>
  <c r="E1431" i="6"/>
  <c r="E1432" i="6"/>
  <c r="E214" i="6"/>
  <c r="E1433" i="6"/>
  <c r="E97" i="6"/>
  <c r="E1434" i="6"/>
  <c r="E1435" i="6"/>
  <c r="E1436" i="6"/>
  <c r="E1437" i="6"/>
  <c r="E1438" i="6"/>
  <c r="E1439" i="6"/>
  <c r="E215" i="6"/>
  <c r="E1440" i="6"/>
  <c r="E1441" i="6"/>
  <c r="E1442" i="6"/>
  <c r="E1443" i="6"/>
  <c r="E1444" i="6"/>
  <c r="E1445" i="6"/>
  <c r="E1446" i="6"/>
  <c r="E1447" i="6"/>
  <c r="E1448" i="6"/>
  <c r="E1449" i="6"/>
  <c r="E1450" i="6"/>
  <c r="E216" i="6"/>
  <c r="E1451" i="6"/>
  <c r="E1452" i="6"/>
  <c r="E1453" i="6"/>
  <c r="E217" i="6"/>
  <c r="E1454" i="6"/>
  <c r="E1455" i="6"/>
  <c r="E1456" i="6"/>
  <c r="E1457" i="6"/>
  <c r="E1458" i="6"/>
  <c r="E1459" i="6"/>
  <c r="E218" i="6"/>
  <c r="E1460" i="6"/>
  <c r="E1461" i="6"/>
  <c r="E1462" i="6"/>
  <c r="E1463" i="6"/>
  <c r="E1464" i="6"/>
  <c r="E1465" i="6"/>
  <c r="E1466" i="6"/>
  <c r="E219" i="6"/>
  <c r="E1467" i="6"/>
  <c r="E1468" i="6"/>
  <c r="E220" i="6"/>
  <c r="E1469" i="6"/>
  <c r="E1470" i="6"/>
  <c r="E1471" i="6"/>
  <c r="E5" i="6"/>
  <c r="E1472" i="6"/>
  <c r="E63" i="6"/>
  <c r="E1473" i="6"/>
  <c r="E1474" i="6"/>
  <c r="E1475" i="6"/>
  <c r="E221" i="6"/>
  <c r="E1476" i="6"/>
  <c r="E1477" i="6"/>
  <c r="E1478" i="6"/>
  <c r="E1479" i="6"/>
  <c r="E98" i="6"/>
  <c r="E1480" i="6"/>
  <c r="E1481" i="6"/>
  <c r="E1482" i="6"/>
  <c r="E1483" i="6"/>
  <c r="E1484" i="6"/>
  <c r="E1485" i="6"/>
  <c r="E1486" i="6"/>
  <c r="E1487" i="6"/>
  <c r="E1488" i="6"/>
  <c r="E1489" i="6"/>
  <c r="E1490" i="6"/>
  <c r="E222" i="6"/>
  <c r="E1491" i="6"/>
  <c r="E1492" i="6"/>
  <c r="E1493" i="6"/>
  <c r="E1494" i="6"/>
  <c r="E223" i="6"/>
  <c r="E1495" i="6"/>
  <c r="E1496" i="6"/>
  <c r="E1497" i="6"/>
  <c r="E1498" i="6"/>
  <c r="E224" i="6"/>
  <c r="E1499" i="6"/>
  <c r="E1500" i="6"/>
  <c r="E1501" i="6"/>
  <c r="E1502" i="6"/>
  <c r="E1503" i="6"/>
  <c r="E1504" i="6"/>
  <c r="E1505" i="6"/>
  <c r="E1506" i="6"/>
  <c r="E1507" i="6"/>
  <c r="E1508" i="6"/>
  <c r="E1509" i="6"/>
  <c r="E64" i="6"/>
  <c r="E1510" i="6"/>
  <c r="E1511" i="6"/>
  <c r="E1512" i="6"/>
  <c r="E1513" i="6"/>
  <c r="E1514" i="6"/>
  <c r="E1515" i="6"/>
  <c r="E1516" i="6"/>
  <c r="E1517" i="6"/>
  <c r="E1518" i="6"/>
  <c r="E1519" i="6"/>
  <c r="E1520" i="6"/>
  <c r="E1521" i="6"/>
  <c r="E1522" i="6"/>
  <c r="E1523" i="6"/>
  <c r="E1524" i="6"/>
  <c r="E1525" i="6"/>
  <c r="E1526" i="6"/>
  <c r="E1527" i="6"/>
  <c r="E1528" i="6"/>
  <c r="E1529" i="6"/>
  <c r="E1530" i="6"/>
  <c r="E1531" i="6"/>
  <c r="E1532" i="6"/>
  <c r="E1533" i="6"/>
  <c r="E1534" i="6"/>
  <c r="E1535" i="6"/>
  <c r="E1536" i="6"/>
  <c r="E1537" i="6"/>
  <c r="E225" i="6"/>
  <c r="E1538" i="6"/>
  <c r="E1539" i="6"/>
  <c r="E1540" i="6"/>
  <c r="E1541" i="6"/>
  <c r="E1542" i="6"/>
  <c r="E226" i="6"/>
  <c r="E1543" i="6"/>
  <c r="E1544" i="6"/>
  <c r="E1545" i="6"/>
  <c r="E1546" i="6"/>
  <c r="E1547" i="6"/>
  <c r="E1548" i="6"/>
  <c r="E1549" i="6"/>
  <c r="E1550" i="6"/>
  <c r="E1551" i="6"/>
  <c r="E1552" i="6"/>
  <c r="E1553" i="6"/>
  <c r="E1554" i="6"/>
  <c r="E1555" i="6"/>
  <c r="E1556" i="6"/>
  <c r="E1557" i="6"/>
  <c r="E227" i="6"/>
  <c r="E1558" i="6"/>
  <c r="E1559" i="6"/>
  <c r="E1560" i="6"/>
  <c r="E1561" i="6"/>
  <c r="E1562" i="6"/>
  <c r="E1563" i="6"/>
  <c r="E1564" i="6"/>
  <c r="E1565" i="6"/>
  <c r="E1566" i="6"/>
  <c r="E1567" i="6"/>
  <c r="E1568" i="6"/>
  <c r="E228" i="6"/>
  <c r="E1569" i="6"/>
  <c r="E1570" i="6"/>
  <c r="E1571" i="6"/>
  <c r="E1572" i="6"/>
  <c r="E99" i="6"/>
  <c r="E1573" i="6"/>
  <c r="E1574" i="6"/>
  <c r="E1575" i="6"/>
  <c r="E38" i="6"/>
  <c r="E1576" i="6"/>
  <c r="E1577" i="6"/>
  <c r="E1578" i="6"/>
  <c r="E1579" i="6"/>
  <c r="E1580" i="6"/>
  <c r="E1581" i="6"/>
  <c r="E1582" i="6"/>
  <c r="E1583" i="6"/>
  <c r="E1584" i="6"/>
  <c r="E1585" i="6"/>
  <c r="E1586" i="6"/>
  <c r="E1587" i="6"/>
  <c r="E1588" i="6"/>
  <c r="E1589" i="6"/>
  <c r="E1590" i="6"/>
  <c r="E1591" i="6"/>
  <c r="E1592" i="6"/>
  <c r="E1593" i="6"/>
  <c r="E1594" i="6"/>
  <c r="E1595" i="6"/>
  <c r="E1596" i="6"/>
  <c r="E229" i="6"/>
  <c r="E230" i="6"/>
  <c r="E1597" i="6"/>
  <c r="E1598" i="6"/>
  <c r="E1599" i="6"/>
  <c r="E1600" i="6"/>
  <c r="E1601" i="6"/>
  <c r="E1602" i="6"/>
  <c r="E1603" i="6"/>
  <c r="E1604" i="6"/>
  <c r="E1605" i="6"/>
  <c r="E1606" i="6"/>
  <c r="E1607" i="6"/>
  <c r="E1608" i="6"/>
  <c r="E1609" i="6"/>
  <c r="E1610" i="6"/>
  <c r="E1611" i="6"/>
  <c r="E1612" i="6"/>
  <c r="E1613" i="6"/>
  <c r="E231" i="6"/>
  <c r="E1614" i="6"/>
  <c r="E1615" i="6"/>
  <c r="E1616" i="6"/>
  <c r="E1617" i="6"/>
  <c r="E1618" i="6"/>
  <c r="E1619" i="6"/>
  <c r="E1620" i="6"/>
  <c r="E1621" i="6"/>
  <c r="E1622" i="6"/>
  <c r="E1623" i="6"/>
  <c r="E1624" i="6"/>
  <c r="E1625" i="6"/>
  <c r="E1626" i="6"/>
  <c r="E1627" i="6"/>
  <c r="E1628" i="6"/>
  <c r="E1629" i="6"/>
  <c r="E1630" i="6"/>
  <c r="E1631" i="6"/>
  <c r="E1632" i="6"/>
  <c r="E1633" i="6"/>
  <c r="E1634" i="6"/>
  <c r="E1635" i="6"/>
  <c r="E232" i="6"/>
  <c r="E1636" i="6"/>
  <c r="E233" i="6"/>
  <c r="E1637" i="6"/>
  <c r="E1638" i="6"/>
  <c r="E1639" i="6"/>
  <c r="E1640" i="6"/>
  <c r="E1641" i="6"/>
  <c r="E1642" i="6"/>
  <c r="E1643" i="6"/>
  <c r="E1644" i="6"/>
  <c r="E1645" i="6"/>
  <c r="E1646" i="6"/>
  <c r="E1647" i="6"/>
  <c r="E1648" i="6"/>
  <c r="E1649" i="6"/>
  <c r="E1650" i="6"/>
  <c r="E1651" i="6"/>
  <c r="E1652" i="6"/>
  <c r="E1653" i="6"/>
  <c r="E1654" i="6"/>
  <c r="E1655" i="6"/>
  <c r="E1656" i="6"/>
  <c r="E1657" i="6"/>
  <c r="E1658" i="6"/>
  <c r="E1659" i="6"/>
  <c r="E1660" i="6"/>
  <c r="E1661" i="6"/>
  <c r="E1662" i="6"/>
  <c r="E1663" i="6"/>
  <c r="E1664" i="6"/>
  <c r="E1665" i="6"/>
  <c r="E1666" i="6"/>
  <c r="E1667" i="6"/>
  <c r="E1668" i="6"/>
  <c r="E1669" i="6"/>
  <c r="E1670" i="6"/>
  <c r="E234" i="6"/>
  <c r="E1671" i="6"/>
  <c r="E1672" i="6"/>
  <c r="E1673" i="6"/>
  <c r="E1674" i="6"/>
  <c r="E1675" i="6"/>
  <c r="E1676" i="6"/>
  <c r="E1677" i="6"/>
  <c r="E1678" i="6"/>
  <c r="E1679" i="6"/>
  <c r="E1680" i="6"/>
  <c r="E1681" i="6"/>
  <c r="E1682" i="6"/>
  <c r="E1683" i="6"/>
  <c r="E1684" i="6"/>
  <c r="E1685" i="6"/>
  <c r="E1686" i="6"/>
  <c r="E1687" i="6"/>
  <c r="E1688" i="6"/>
  <c r="E1689" i="6"/>
  <c r="E1690" i="6"/>
  <c r="E1691" i="6"/>
  <c r="E1692" i="6"/>
  <c r="E1693" i="6"/>
  <c r="E1694" i="6"/>
  <c r="E1695" i="6"/>
  <c r="E1696" i="6"/>
  <c r="E1697" i="6"/>
  <c r="E235" i="6"/>
  <c r="E1698" i="6"/>
  <c r="E1699" i="6"/>
  <c r="E1700" i="6"/>
  <c r="E1701" i="6"/>
  <c r="E236" i="6"/>
  <c r="E1702" i="6"/>
  <c r="E1703" i="6"/>
  <c r="E1704" i="6"/>
  <c r="E1705" i="6"/>
  <c r="E1706" i="6"/>
  <c r="E1707" i="6"/>
  <c r="E1708" i="6"/>
  <c r="E1709" i="6"/>
  <c r="E1710" i="6"/>
  <c r="E1711" i="6"/>
  <c r="E1712" i="6"/>
  <c r="E1713" i="6"/>
  <c r="E1714" i="6"/>
  <c r="E1715" i="6"/>
  <c r="E1716" i="6"/>
  <c r="E1717" i="6"/>
  <c r="E1718" i="6"/>
  <c r="E1719" i="6"/>
  <c r="E1720" i="6"/>
  <c r="E1721" i="6"/>
  <c r="E1722" i="6"/>
  <c r="E1723" i="6"/>
  <c r="E1724" i="6"/>
  <c r="E1725" i="6"/>
  <c r="E1726" i="6"/>
  <c r="E1727" i="6"/>
  <c r="E1728" i="6"/>
  <c r="E1729" i="6"/>
  <c r="E1730" i="6"/>
  <c r="E1731" i="6"/>
  <c r="E1732" i="6"/>
  <c r="E237" i="6"/>
  <c r="E1733" i="6"/>
  <c r="E1734" i="6"/>
  <c r="E1735" i="6"/>
  <c r="E1736" i="6"/>
  <c r="E1737" i="6"/>
  <c r="E1738" i="6"/>
  <c r="E1739" i="6"/>
  <c r="E1740" i="6"/>
  <c r="E1741" i="6"/>
  <c r="E1742" i="6"/>
  <c r="E1743" i="6"/>
  <c r="E1744" i="6"/>
  <c r="E1745" i="6"/>
  <c r="E1746" i="6"/>
  <c r="E1747" i="6"/>
  <c r="E1748" i="6"/>
  <c r="E1749" i="6"/>
  <c r="E1750" i="6"/>
  <c r="E238" i="6"/>
  <c r="E1751" i="6"/>
  <c r="E1752" i="6"/>
  <c r="E1753" i="6"/>
  <c r="E1754" i="6"/>
  <c r="E1755" i="6"/>
  <c r="E1756" i="6"/>
  <c r="E239" i="6"/>
  <c r="E1757" i="6"/>
  <c r="E1758" i="6"/>
  <c r="E1759" i="6"/>
  <c r="E1760" i="6"/>
  <c r="E1761" i="6"/>
  <c r="E1762" i="6"/>
  <c r="E1763" i="6"/>
  <c r="E1764" i="6"/>
  <c r="E1765" i="6"/>
  <c r="E1766" i="6"/>
  <c r="E1767" i="6"/>
  <c r="E1768" i="6"/>
  <c r="E1769" i="6"/>
  <c r="E1770" i="6"/>
  <c r="E1771" i="6"/>
  <c r="E1772" i="6"/>
  <c r="E240" i="6"/>
  <c r="E1773" i="6"/>
  <c r="E1774" i="6"/>
  <c r="E1775" i="6"/>
  <c r="E1776" i="6"/>
  <c r="E1777" i="6"/>
  <c r="E1778" i="6"/>
  <c r="E1779" i="6"/>
  <c r="E1780" i="6"/>
  <c r="E241" i="6"/>
  <c r="E1781" i="6"/>
  <c r="E1782" i="6"/>
  <c r="E1783" i="6"/>
  <c r="E1784" i="6"/>
  <c r="E1785" i="6"/>
  <c r="E1786" i="6"/>
  <c r="E1787" i="6"/>
  <c r="E1788" i="6"/>
  <c r="E1789" i="6"/>
  <c r="E1790" i="6"/>
  <c r="E1791" i="6"/>
  <c r="E1792" i="6"/>
  <c r="E1793" i="6"/>
  <c r="E1794" i="6"/>
  <c r="E1795" i="6"/>
  <c r="E1796" i="6"/>
  <c r="E1797" i="6"/>
  <c r="E1798" i="6"/>
  <c r="E1799" i="6"/>
  <c r="E1800" i="6"/>
  <c r="E1801" i="6"/>
  <c r="E1802" i="6"/>
  <c r="E1803" i="6"/>
  <c r="E1804" i="6"/>
  <c r="E242" i="6"/>
  <c r="E1805" i="6"/>
  <c r="E1806" i="6"/>
  <c r="E1807" i="6"/>
  <c r="E1808" i="6"/>
  <c r="E1809" i="6"/>
  <c r="E1810" i="6"/>
  <c r="E1811" i="6"/>
  <c r="E1812" i="6"/>
  <c r="E1813" i="6"/>
  <c r="E1814" i="6"/>
  <c r="E1815" i="6"/>
  <c r="E1816" i="6"/>
  <c r="E1817" i="6"/>
  <c r="E1818" i="6"/>
  <c r="E1819" i="6"/>
  <c r="E1820" i="6"/>
  <c r="E1821" i="6"/>
  <c r="E1822" i="6"/>
  <c r="E1823" i="6"/>
  <c r="E243" i="6"/>
  <c r="E244" i="6"/>
  <c r="E1824" i="6"/>
  <c r="E1825" i="6"/>
  <c r="E245" i="6"/>
  <c r="E1826" i="6"/>
  <c r="E1827" i="6"/>
  <c r="E1828" i="6"/>
  <c r="E1829" i="6"/>
  <c r="E1830" i="6"/>
  <c r="E1831" i="6"/>
  <c r="E1832" i="6"/>
  <c r="E1833" i="6"/>
  <c r="E1834" i="6"/>
  <c r="E1835" i="6"/>
  <c r="E1836" i="6"/>
  <c r="E1837" i="6"/>
  <c r="E1838" i="6"/>
  <c r="E1839" i="6"/>
  <c r="E1840" i="6"/>
  <c r="E1841" i="6"/>
  <c r="E1842" i="6"/>
  <c r="E1843" i="6"/>
  <c r="E1844" i="6"/>
  <c r="E1845" i="6"/>
  <c r="E1846" i="6"/>
  <c r="E246" i="6"/>
  <c r="E1847" i="6"/>
  <c r="E1848" i="6"/>
  <c r="E1849" i="6"/>
  <c r="E1850" i="6"/>
  <c r="E1851" i="6"/>
  <c r="E1852" i="6"/>
  <c r="E1853" i="6"/>
  <c r="E1854" i="6"/>
  <c r="E1855" i="6"/>
  <c r="E1856" i="6"/>
  <c r="E1857" i="6"/>
  <c r="E1858" i="6"/>
  <c r="E1859" i="6"/>
  <c r="E1860" i="6"/>
  <c r="E1861" i="6"/>
  <c r="E1862" i="6"/>
  <c r="E1863" i="6"/>
  <c r="E1864" i="6"/>
  <c r="E1865" i="6"/>
  <c r="E1866" i="6"/>
  <c r="E247" i="6"/>
  <c r="E1867" i="6"/>
  <c r="E1868" i="6"/>
  <c r="E1869" i="6"/>
  <c r="E1870" i="6"/>
  <c r="E1871" i="6"/>
  <c r="E1872" i="6"/>
  <c r="E1873" i="6"/>
  <c r="E1874" i="6"/>
  <c r="E1875" i="6"/>
  <c r="E1876" i="6"/>
  <c r="E1877" i="6"/>
  <c r="E1878" i="6"/>
  <c r="E1879" i="6"/>
  <c r="E1880" i="6"/>
  <c r="E1881" i="6"/>
  <c r="E1882" i="6"/>
  <c r="E1883" i="6"/>
  <c r="E1884" i="6"/>
  <c r="E1885" i="6"/>
  <c r="E1886" i="6"/>
  <c r="E1887" i="6"/>
  <c r="E1888" i="6"/>
  <c r="E1889" i="6"/>
  <c r="E1890" i="6"/>
  <c r="E1891" i="6"/>
  <c r="E1892" i="6"/>
  <c r="E1893" i="6"/>
  <c r="E1894" i="6"/>
  <c r="E1895" i="6"/>
  <c r="E1896" i="6"/>
  <c r="E1897" i="6"/>
  <c r="E1898" i="6"/>
  <c r="E1899" i="6"/>
  <c r="E1900" i="6"/>
  <c r="E1901" i="6"/>
  <c r="E1902" i="6"/>
  <c r="E100" i="6"/>
  <c r="E248" i="6"/>
  <c r="E1903" i="6"/>
  <c r="E101" i="6"/>
  <c r="E1904" i="6"/>
  <c r="E1905" i="6"/>
  <c r="E1906" i="6"/>
  <c r="E1907" i="6"/>
  <c r="E1908" i="6"/>
  <c r="E1909" i="6"/>
  <c r="E1910" i="6"/>
  <c r="E1911" i="6"/>
  <c r="E1912" i="6"/>
  <c r="E1913" i="6"/>
  <c r="E1914" i="6"/>
  <c r="E1915" i="6"/>
  <c r="E1916" i="6"/>
  <c r="E1917" i="6"/>
  <c r="E1918" i="6"/>
  <c r="E249" i="6"/>
  <c r="E1919" i="6"/>
  <c r="E1920" i="6"/>
  <c r="E1921" i="6"/>
  <c r="E1922" i="6"/>
  <c r="E250" i="6"/>
  <c r="E1923" i="6"/>
  <c r="E1924" i="6"/>
  <c r="E1925" i="6"/>
  <c r="E1926" i="6"/>
  <c r="E1927" i="6"/>
  <c r="E1928" i="6"/>
  <c r="E1929" i="6"/>
  <c r="E1930" i="6"/>
  <c r="E1931" i="6"/>
  <c r="E1932" i="6"/>
  <c r="E1933" i="6"/>
  <c r="E1934" i="6"/>
  <c r="E1935" i="6"/>
  <c r="E1936" i="6"/>
  <c r="E1937" i="6"/>
  <c r="E1938" i="6"/>
  <c r="E1939" i="6"/>
  <c r="E1940" i="6"/>
  <c r="E1941" i="6"/>
  <c r="E1942" i="6"/>
  <c r="E1943" i="6"/>
  <c r="E1944" i="6"/>
  <c r="E1945" i="6"/>
  <c r="E1946" i="6"/>
  <c r="E1947" i="6"/>
  <c r="E1948" i="6"/>
  <c r="E251" i="6"/>
  <c r="E1949" i="6"/>
  <c r="E1950" i="6"/>
  <c r="E1951" i="6"/>
  <c r="E1952" i="6"/>
  <c r="E1953" i="6"/>
  <c r="E1954" i="6"/>
  <c r="E1955" i="6"/>
  <c r="E1956" i="6"/>
  <c r="E252" i="6"/>
  <c r="E1957" i="6"/>
  <c r="E1958" i="6"/>
  <c r="E1959" i="6"/>
  <c r="E1960" i="6"/>
  <c r="E102" i="6"/>
  <c r="E1961" i="6"/>
  <c r="E1962" i="6"/>
  <c r="E1963" i="6"/>
  <c r="E1964" i="6"/>
  <c r="E1965" i="6"/>
  <c r="E1966" i="6"/>
  <c r="E1967" i="6"/>
  <c r="E1968" i="6"/>
  <c r="E1969" i="6"/>
  <c r="E1970" i="6"/>
  <c r="E1971" i="6"/>
  <c r="E1972" i="6"/>
  <c r="E1973" i="6"/>
  <c r="E1974" i="6"/>
  <c r="E1975" i="6"/>
  <c r="E1976" i="6"/>
  <c r="E253" i="6"/>
  <c r="E1977" i="6"/>
  <c r="E1978" i="6"/>
  <c r="E1979" i="6"/>
  <c r="E1980" i="6"/>
  <c r="E1981" i="6"/>
  <c r="E1982" i="6"/>
  <c r="E1983" i="6"/>
  <c r="E1984" i="6"/>
  <c r="E1985" i="6"/>
  <c r="E1986" i="6"/>
  <c r="E1987" i="6"/>
  <c r="E1988" i="6"/>
  <c r="E1989" i="6"/>
  <c r="E1990" i="6"/>
  <c r="E1991" i="6"/>
  <c r="E1992" i="6"/>
  <c r="E1993" i="6"/>
  <c r="E1994" i="6"/>
  <c r="E1995" i="6"/>
  <c r="E1996" i="6"/>
  <c r="E1997" i="6"/>
  <c r="E1998" i="6"/>
  <c r="E1999" i="6"/>
  <c r="E254" i="6"/>
  <c r="E2000" i="6"/>
  <c r="E2001" i="6"/>
  <c r="E2002" i="6"/>
  <c r="E2003" i="6"/>
  <c r="E2004" i="6"/>
  <c r="E2005" i="6"/>
  <c r="E2006" i="6"/>
  <c r="E2007" i="6"/>
  <c r="E2008" i="6"/>
  <c r="E2009" i="6"/>
  <c r="E2010" i="6"/>
  <c r="E2011" i="6"/>
  <c r="E2012" i="6"/>
  <c r="E2013" i="6"/>
  <c r="E2014" i="6"/>
  <c r="E2015" i="6"/>
  <c r="E2016" i="6"/>
  <c r="E2017" i="6"/>
  <c r="E2018" i="6"/>
  <c r="E2019" i="6"/>
  <c r="E2020" i="6"/>
  <c r="E2021" i="6"/>
  <c r="E2022" i="6"/>
  <c r="E2023" i="6"/>
  <c r="E2024" i="6"/>
  <c r="E2025" i="6"/>
  <c r="E2026" i="6"/>
  <c r="E2027" i="6"/>
  <c r="E2028" i="6"/>
  <c r="E2029" i="6"/>
  <c r="E255" i="6"/>
  <c r="E2030" i="6"/>
  <c r="E2031" i="6"/>
  <c r="E2032" i="6"/>
  <c r="E2033" i="6"/>
  <c r="E2034" i="6"/>
  <c r="E2035" i="6"/>
  <c r="E2036" i="6"/>
  <c r="E2037" i="6"/>
  <c r="E2038" i="6"/>
  <c r="E2039" i="6"/>
  <c r="E2040" i="6"/>
  <c r="E2041" i="6"/>
  <c r="E2042" i="6"/>
  <c r="E2043" i="6"/>
  <c r="E2044" i="6"/>
  <c r="E2045" i="6"/>
  <c r="E2046" i="6"/>
  <c r="E2047" i="6"/>
  <c r="E2048" i="6"/>
  <c r="E2049" i="6"/>
  <c r="E2050" i="6"/>
  <c r="E2051" i="6"/>
  <c r="E2052" i="6"/>
  <c r="E2053" i="6"/>
  <c r="E2054" i="6"/>
  <c r="E2055" i="6"/>
  <c r="E2056" i="6"/>
  <c r="E2057" i="6"/>
  <c r="E2058" i="6"/>
  <c r="E2059" i="6"/>
  <c r="E2060" i="6"/>
  <c r="E2061" i="6"/>
  <c r="E256" i="6"/>
  <c r="E2062" i="6"/>
  <c r="E2063" i="6"/>
  <c r="E2064" i="6"/>
  <c r="E2065" i="6"/>
  <c r="E2066" i="6"/>
  <c r="E2067" i="6"/>
  <c r="E2068" i="6"/>
  <c r="E2069" i="6"/>
  <c r="E2070" i="6"/>
  <c r="E2071" i="6"/>
  <c r="E2072" i="6"/>
  <c r="E2073" i="6"/>
  <c r="E2074" i="6"/>
  <c r="E2075" i="6"/>
  <c r="E2076" i="6"/>
  <c r="E2077" i="6"/>
  <c r="E2078" i="6"/>
  <c r="E2079" i="6"/>
  <c r="E2080" i="6"/>
  <c r="E2081" i="6"/>
  <c r="E2082" i="6"/>
  <c r="E2083" i="6"/>
  <c r="E2084" i="6"/>
  <c r="E2085" i="6"/>
  <c r="E2086" i="6"/>
  <c r="E2087" i="6"/>
  <c r="E257" i="6"/>
  <c r="E2088" i="6"/>
  <c r="E2089" i="6"/>
  <c r="E2090" i="6"/>
  <c r="E2091" i="6"/>
  <c r="E2092" i="6"/>
  <c r="E2093" i="6"/>
  <c r="E2094" i="6"/>
  <c r="E2095" i="6"/>
  <c r="E2096" i="6"/>
  <c r="E258" i="6"/>
  <c r="E2097" i="6"/>
  <c r="E2098" i="6"/>
  <c r="E2099" i="6"/>
  <c r="E2100" i="6"/>
  <c r="E2101" i="6"/>
  <c r="E2102" i="6"/>
  <c r="E2103" i="6"/>
  <c r="E2104" i="6"/>
  <c r="E2105" i="6"/>
  <c r="E2106" i="6"/>
  <c r="E2107" i="6"/>
  <c r="E2108" i="6"/>
  <c r="E2109" i="6"/>
  <c r="E2110" i="6"/>
  <c r="E2111" i="6"/>
  <c r="E2112" i="6"/>
  <c r="E259"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B763" i="6"/>
  <c r="B764" i="6"/>
  <c r="B765" i="6"/>
  <c r="B766" i="6"/>
  <c r="B767" i="6"/>
  <c r="B768" i="6"/>
  <c r="B769" i="6"/>
  <c r="B770" i="6"/>
  <c r="B771" i="6"/>
  <c r="B772" i="6"/>
  <c r="B773" i="6"/>
  <c r="B774" i="6"/>
  <c r="B775" i="6"/>
  <c r="B776" i="6"/>
  <c r="B777" i="6"/>
  <c r="B778" i="6"/>
  <c r="B779" i="6"/>
  <c r="B780" i="6"/>
  <c r="B781" i="6"/>
  <c r="B782" i="6"/>
  <c r="B783" i="6"/>
  <c r="B784" i="6"/>
  <c r="B785" i="6"/>
  <c r="B786" i="6"/>
  <c r="B787" i="6"/>
  <c r="B788" i="6"/>
  <c r="B789" i="6"/>
  <c r="B790" i="6"/>
  <c r="B791" i="6"/>
  <c r="B792" i="6"/>
  <c r="B793" i="6"/>
  <c r="B794" i="6"/>
  <c r="B795" i="6"/>
  <c r="B796" i="6"/>
  <c r="B797" i="6"/>
  <c r="B798" i="6"/>
  <c r="B799" i="6"/>
  <c r="B800" i="6"/>
  <c r="B801" i="6"/>
  <c r="B802" i="6"/>
  <c r="B803" i="6"/>
  <c r="B804" i="6"/>
  <c r="B805" i="6"/>
  <c r="B806" i="6"/>
  <c r="B807" i="6"/>
  <c r="B808" i="6"/>
  <c r="B809" i="6"/>
  <c r="B810" i="6"/>
  <c r="B811" i="6"/>
  <c r="B812" i="6"/>
  <c r="B813" i="6"/>
  <c r="B814" i="6"/>
  <c r="B815" i="6"/>
  <c r="B816" i="6"/>
  <c r="B817" i="6"/>
  <c r="B818" i="6"/>
  <c r="B819" i="6"/>
  <c r="B820" i="6"/>
  <c r="B821" i="6"/>
  <c r="B822" i="6"/>
  <c r="B823" i="6"/>
  <c r="B824" i="6"/>
  <c r="B825" i="6"/>
  <c r="B826" i="6"/>
  <c r="B827" i="6"/>
  <c r="B828" i="6"/>
  <c r="B829" i="6"/>
  <c r="B830" i="6"/>
  <c r="B831" i="6"/>
  <c r="B832" i="6"/>
  <c r="B833" i="6"/>
  <c r="B834" i="6"/>
  <c r="B835" i="6"/>
  <c r="B836" i="6"/>
  <c r="B837" i="6"/>
  <c r="B838" i="6"/>
  <c r="B839" i="6"/>
  <c r="B840" i="6"/>
  <c r="B841" i="6"/>
  <c r="B842" i="6"/>
  <c r="B843" i="6"/>
  <c r="B844" i="6"/>
  <c r="B845" i="6"/>
  <c r="B846" i="6"/>
  <c r="B847" i="6"/>
  <c r="B848" i="6"/>
  <c r="B849" i="6"/>
  <c r="B850" i="6"/>
  <c r="B851" i="6"/>
  <c r="B852" i="6"/>
  <c r="B853" i="6"/>
  <c r="B854" i="6"/>
  <c r="B855" i="6"/>
  <c r="B856" i="6"/>
  <c r="B857" i="6"/>
  <c r="B858" i="6"/>
  <c r="B859" i="6"/>
  <c r="B860" i="6"/>
  <c r="B861" i="6"/>
  <c r="B862" i="6"/>
  <c r="B863" i="6"/>
  <c r="B864" i="6"/>
  <c r="B865" i="6"/>
  <c r="B866" i="6"/>
  <c r="B867" i="6"/>
  <c r="B868" i="6"/>
  <c r="B869" i="6"/>
  <c r="B870" i="6"/>
  <c r="B871" i="6"/>
  <c r="B872" i="6"/>
  <c r="B873" i="6"/>
  <c r="B874" i="6"/>
  <c r="B875" i="6"/>
  <c r="B876" i="6"/>
  <c r="B877" i="6"/>
  <c r="B878" i="6"/>
  <c r="B879" i="6"/>
  <c r="B880" i="6"/>
  <c r="B881" i="6"/>
  <c r="B882" i="6"/>
  <c r="B883" i="6"/>
  <c r="B884" i="6"/>
  <c r="B885" i="6"/>
  <c r="B886" i="6"/>
  <c r="B887" i="6"/>
  <c r="B888" i="6"/>
  <c r="B889" i="6"/>
  <c r="B890" i="6"/>
  <c r="B891" i="6"/>
  <c r="B892" i="6"/>
  <c r="B893" i="6"/>
  <c r="B894" i="6"/>
  <c r="B895" i="6"/>
  <c r="B896" i="6"/>
  <c r="B897" i="6"/>
  <c r="B898" i="6"/>
  <c r="B899" i="6"/>
  <c r="B900" i="6"/>
  <c r="B901" i="6"/>
  <c r="B902" i="6"/>
  <c r="B903" i="6"/>
  <c r="B904" i="6"/>
  <c r="B905" i="6"/>
  <c r="B906" i="6"/>
  <c r="B907" i="6"/>
  <c r="B908" i="6"/>
  <c r="B909" i="6"/>
  <c r="B910" i="6"/>
  <c r="B911" i="6"/>
  <c r="B912" i="6"/>
  <c r="B913" i="6"/>
  <c r="B914" i="6"/>
  <c r="B915" i="6"/>
  <c r="B916" i="6"/>
  <c r="B917" i="6"/>
  <c r="B918" i="6"/>
  <c r="B919" i="6"/>
  <c r="B920" i="6"/>
  <c r="B921" i="6"/>
  <c r="B922" i="6"/>
  <c r="B923" i="6"/>
  <c r="B924" i="6"/>
  <c r="B925" i="6"/>
  <c r="B926" i="6"/>
  <c r="B927" i="6"/>
  <c r="B928" i="6"/>
  <c r="B929" i="6"/>
  <c r="B930" i="6"/>
  <c r="B931" i="6"/>
  <c r="B932" i="6"/>
  <c r="B933" i="6"/>
  <c r="B934" i="6"/>
  <c r="B935" i="6"/>
  <c r="B936" i="6"/>
  <c r="B937" i="6"/>
  <c r="B938" i="6"/>
  <c r="B939" i="6"/>
  <c r="B940" i="6"/>
  <c r="B941" i="6"/>
  <c r="B942" i="6"/>
  <c r="B943" i="6"/>
  <c r="B944" i="6"/>
  <c r="B945" i="6"/>
  <c r="B946" i="6"/>
  <c r="B947" i="6"/>
  <c r="B948" i="6"/>
  <c r="B949" i="6"/>
  <c r="B950" i="6"/>
  <c r="B951" i="6"/>
  <c r="B952" i="6"/>
  <c r="B953" i="6"/>
  <c r="B2" i="6"/>
  <c r="D6" i="3"/>
  <c r="E1" i="3"/>
  <c r="W1" i="4"/>
  <c r="L91" i="2" a="1"/>
  <c r="L69" i="2" a="1"/>
  <c r="L397" i="2" a="1"/>
  <c r="L722" i="2" a="1"/>
  <c r="L850" i="2" a="1"/>
  <c r="L121" i="2" a="1"/>
  <c r="L297" i="2" a="1"/>
  <c r="L471" i="2" a="1"/>
  <c r="L674" i="2" a="1"/>
  <c r="L517" i="2" a="1"/>
  <c r="L747" i="2" a="1"/>
  <c r="L875" i="2" a="1"/>
  <c r="L564" i="2" a="1"/>
  <c r="L741" i="2" a="1"/>
  <c r="L868" i="2" a="1"/>
  <c r="L134" i="2" a="1"/>
  <c r="L318" i="2" a="1"/>
  <c r="L482" i="2" a="1"/>
  <c r="L264" i="2" a="1"/>
  <c r="L591" i="2" a="1"/>
  <c r="L157" i="2" a="1"/>
  <c r="L515" i="2" a="1"/>
  <c r="L815" i="2" a="1"/>
  <c r="L9" i="2" a="1"/>
  <c r="L371" i="2" a="1"/>
  <c r="L185" i="2" a="1"/>
  <c r="L266" i="2" a="1"/>
  <c r="L558" i="2" a="1"/>
  <c r="L161" i="2" a="1"/>
  <c r="L479" i="2" a="1"/>
  <c r="L817" i="2" a="1"/>
  <c r="L367" i="2" a="1"/>
  <c r="L793" i="2" a="1"/>
  <c r="L1148" i="2" a="1"/>
  <c r="L110" i="2" a="1"/>
  <c r="L561" i="2" a="1"/>
  <c r="L960" i="2" a="1"/>
  <c r="L1184" i="2" a="1"/>
  <c r="L579" i="2" a="1"/>
  <c r="L1054" i="2" a="1"/>
  <c r="L1257" i="2" a="1"/>
  <c r="L596" i="2" a="1"/>
  <c r="L1009" i="2" a="1"/>
  <c r="L44" i="2" a="1"/>
  <c r="L611" i="2" a="1"/>
  <c r="L1126" i="2" a="1"/>
  <c r="L1290" i="2" a="1"/>
  <c r="L566" i="2" a="1"/>
  <c r="L901" i="2" a="1"/>
  <c r="L1109" i="2" a="1"/>
  <c r="L457" i="2" a="1"/>
  <c r="L1039" i="2" a="1"/>
  <c r="L20" i="2" a="1"/>
  <c r="L1191" i="2" a="1"/>
  <c r="L1438" i="2" a="1"/>
  <c r="L442" i="2" a="1"/>
  <c r="L1052" i="2" a="1"/>
  <c r="L66" i="2" a="1"/>
  <c r="L1040" i="2" a="1"/>
  <c r="L1399" i="2" a="1"/>
  <c r="L689" i="2" a="1"/>
  <c r="L1306" i="2" a="1"/>
  <c r="L664" i="2" a="1"/>
  <c r="L1223" i="2" a="1"/>
  <c r="L154" i="2" a="1"/>
  <c r="L995" i="2" a="1"/>
  <c r="L1368" i="2" a="1"/>
  <c r="L773" i="2" a="1"/>
  <c r="L1269" i="2" a="1"/>
  <c r="L1199" i="2" a="1"/>
  <c r="L1033" i="2" a="1"/>
  <c r="L1505" i="2" a="1"/>
  <c r="L441" i="2" a="1"/>
  <c r="L1309" i="2" a="1"/>
  <c r="L1711" i="2" a="1"/>
  <c r="L1839" i="2" a="1"/>
  <c r="L125" i="2" a="1"/>
  <c r="L1174" i="2" a="1"/>
  <c r="L1535" i="2" a="1"/>
  <c r="L753" i="2" a="1"/>
  <c r="L1516" i="2" a="1"/>
  <c r="L1736" i="2" a="1"/>
  <c r="L1864" i="2" a="1"/>
  <c r="L522" i="2" a="1"/>
  <c r="L1394" i="2" a="1"/>
  <c r="L1605" i="2" a="1"/>
  <c r="L985" i="2" a="1"/>
  <c r="L1681" i="2" a="1"/>
  <c r="L1187" i="2" a="1"/>
  <c r="L1597" i="2" a="1"/>
  <c r="L1778" i="2" a="1"/>
  <c r="L1444" i="2" a="1"/>
  <c r="L1740" i="2" a="1"/>
  <c r="L2026" i="2" a="1"/>
  <c r="L2282" i="2" a="1"/>
  <c r="L1445" i="2" a="1"/>
  <c r="L1987" i="2" a="1"/>
  <c r="L2243" i="2" a="1"/>
  <c r="L2499" i="2" a="1"/>
  <c r="L776" i="2" a="1"/>
  <c r="L1658" i="2" a="1"/>
  <c r="L1957" i="2" a="1"/>
  <c r="L2204" i="2" a="1"/>
  <c r="L694" i="2" a="1"/>
  <c r="L1843" i="2" a="1"/>
  <c r="L2146" i="2" a="1"/>
  <c r="L2402" i="2" a="1"/>
  <c r="L1487" i="2" a="1"/>
  <c r="L1795" i="2" a="1"/>
  <c r="L2077" i="2" a="1"/>
  <c r="L2333" i="2" a="1"/>
  <c r="L1504" i="2" a="1"/>
  <c r="L1999" i="2" a="1"/>
  <c r="L2255" i="2" a="1"/>
  <c r="L2511" i="2" a="1"/>
  <c r="L1528" i="2" a="1"/>
  <c r="L1929" i="2" a="1"/>
  <c r="L2188" i="2" a="1"/>
  <c r="L726" i="2" a="1"/>
  <c r="L1710" i="2" a="1"/>
  <c r="L97" i="2" a="1"/>
  <c r="L1737" i="2" a="1"/>
  <c r="L2318" i="2" a="1"/>
  <c r="L2644" i="2" a="1"/>
  <c r="L1245" i="2" a="1"/>
  <c r="L2059" i="2" a="1"/>
  <c r="L2369" i="2" a="1"/>
  <c r="L99" i="2" a="1"/>
  <c r="L77" i="2" a="1"/>
  <c r="L452" i="2" a="1"/>
  <c r="L730" i="2" a="1"/>
  <c r="L858" i="2" a="1"/>
  <c r="L141" i="2" a="1"/>
  <c r="L306" i="2" a="1"/>
  <c r="L480" i="2" a="1"/>
  <c r="L6" i="2" a="1"/>
  <c r="L572" i="2" a="1"/>
  <c r="L755" i="2" a="1"/>
  <c r="L113" i="2" a="1"/>
  <c r="L573" i="2" a="1"/>
  <c r="L748" i="2" a="1"/>
  <c r="L876" i="2" a="1"/>
  <c r="L153" i="2" a="1"/>
  <c r="L327" i="2" a="1"/>
  <c r="L491" i="2" a="1"/>
  <c r="L276" i="2" a="1"/>
  <c r="L625" i="2" a="1"/>
  <c r="L172" i="2" a="1"/>
  <c r="L530" i="2" a="1"/>
  <c r="L845" i="2" a="1"/>
  <c r="L55" i="2" a="1"/>
  <c r="L410" i="2" a="1"/>
  <c r="L200" i="2" a="1"/>
  <c r="L280" i="2" a="1"/>
  <c r="L569" i="2" a="1"/>
  <c r="L186" i="2" a="1"/>
  <c r="L494" i="2" a="1"/>
  <c r="L847" i="2" a="1"/>
  <c r="L390" i="2" a="1"/>
  <c r="L808" i="2" a="1"/>
  <c r="L1158" i="2" a="1"/>
  <c r="L136" i="2" a="1"/>
  <c r="L624" i="2" a="1"/>
  <c r="L979" i="2" a="1"/>
  <c r="L64" i="2" a="1"/>
  <c r="L595" i="2" a="1"/>
  <c r="L1063" i="2" a="1"/>
  <c r="L14" i="2" a="1"/>
  <c r="L687" i="2" a="1"/>
  <c r="L1018" i="2" a="1"/>
  <c r="L65" i="2" a="1"/>
  <c r="L643" i="2" a="1"/>
  <c r="L1143" i="2" a="1"/>
  <c r="L1298" i="2" a="1"/>
  <c r="L584" i="2" a="1"/>
  <c r="L913" i="2" a="1"/>
  <c r="L1118" i="2" a="1"/>
  <c r="L513" i="2" a="1"/>
  <c r="L1094" i="2" a="1"/>
  <c r="L60" i="2" a="1"/>
  <c r="L1206" i="2" a="1"/>
  <c r="L1446" i="2" a="1"/>
  <c r="L481" i="2" a="1"/>
  <c r="L1069" i="2" a="1"/>
  <c r="L108" i="2" a="1"/>
  <c r="L1070" i="2" a="1"/>
  <c r="L1407" i="2" a="1"/>
  <c r="L711" i="2" a="1"/>
  <c r="L1315" i="2" a="1"/>
  <c r="L790" i="2" a="1"/>
  <c r="L1238" i="2" a="1"/>
  <c r="L193" i="2" a="1"/>
  <c r="L1075" i="2" a="1"/>
  <c r="L33" i="2" a="1"/>
  <c r="L792" i="2" a="1"/>
  <c r="L1279" i="2" a="1"/>
  <c r="L1227" i="2" a="1"/>
  <c r="L1095" i="2" a="1"/>
  <c r="L1524" i="2" a="1"/>
  <c r="L502" i="2" a="1"/>
  <c r="L1322" i="2" a="1"/>
  <c r="L1719" i="2" a="1"/>
  <c r="L1847" i="2" a="1"/>
  <c r="L183" i="2" a="1"/>
  <c r="L1338" i="2" a="1"/>
  <c r="L1557" i="2" a="1"/>
  <c r="L801" i="2" a="1"/>
  <c r="L1536" i="2" a="1"/>
  <c r="L1744" i="2" a="1"/>
  <c r="L1872" i="2" a="1"/>
  <c r="L621" i="2" a="1"/>
  <c r="L1405" i="2" a="1"/>
  <c r="L1615" i="2" a="1"/>
  <c r="L1047" i="2" a="1"/>
  <c r="L1689" i="2" a="1"/>
  <c r="L1213" i="2" a="1"/>
  <c r="L1607" i="2" a="1"/>
  <c r="L1786" i="2" a="1"/>
  <c r="L1460" i="2" a="1"/>
  <c r="L1765" i="2" a="1"/>
  <c r="L2045" i="2" a="1"/>
  <c r="L2301" i="2" a="1"/>
  <c r="L1520" i="2" a="1"/>
  <c r="L2006" i="2" a="1"/>
  <c r="L2262" i="2" a="1"/>
  <c r="L2519" i="2" a="1"/>
  <c r="L929" i="2" a="1"/>
  <c r="L1675" i="2" a="1"/>
  <c r="L1968" i="2" a="1"/>
  <c r="L2224" i="2" a="1"/>
  <c r="L996" i="2" a="1"/>
  <c r="L1877" i="2" a="1"/>
  <c r="L2165" i="2" a="1"/>
  <c r="L2421" i="2" a="1"/>
  <c r="L1503" i="2" a="1"/>
  <c r="L1806" i="2" a="1"/>
  <c r="L2087" i="2" a="1"/>
  <c r="L2343" i="2" a="1"/>
  <c r="L1559" i="2" a="1"/>
  <c r="L2019" i="2" a="1"/>
  <c r="L2275" i="2" a="1"/>
  <c r="L2531" i="2" a="1"/>
  <c r="L1542" i="2" a="1"/>
  <c r="L1950" i="2" a="1"/>
  <c r="L2208" i="2" a="1"/>
  <c r="L816" i="2" a="1"/>
  <c r="L1734" i="2" a="1"/>
  <c r="L366" i="2" a="1"/>
  <c r="L1761" i="2" a="1"/>
  <c r="L2368" i="2" a="1"/>
  <c r="L2668" i="2" a="1"/>
  <c r="L1363" i="2" a="1"/>
  <c r="L2074" i="2" a="1"/>
  <c r="L2384" i="2" a="1"/>
  <c r="L107" i="2" a="1"/>
  <c r="L85" i="2" a="1"/>
  <c r="L461" i="2" a="1"/>
  <c r="L738" i="2" a="1"/>
  <c r="L866" i="2" a="1"/>
  <c r="L151" i="2" a="1"/>
  <c r="L315" i="2" a="1"/>
  <c r="L489" i="2" a="1"/>
  <c r="L112" i="2" a="1"/>
  <c r="L581" i="2" a="1"/>
  <c r="L763" i="2" a="1"/>
  <c r="L133" i="2" a="1"/>
  <c r="L582" i="2" a="1"/>
  <c r="L756" i="2" a="1"/>
  <c r="L884" i="2" a="1"/>
  <c r="L162" i="2" a="1"/>
  <c r="L336" i="2" a="1"/>
  <c r="L510" i="2" a="1"/>
  <c r="L303" i="2" a="1"/>
  <c r="L638" i="2" a="1"/>
  <c r="L184" i="2" a="1"/>
  <c r="L556" i="2" a="1"/>
  <c r="L864" i="2" a="1"/>
  <c r="L71" i="2" a="1"/>
  <c r="L450" i="2" a="1"/>
  <c r="L212" i="2" a="1"/>
  <c r="L293" i="2" a="1"/>
  <c r="L593" i="2" a="1"/>
  <c r="L201" i="2" a="1"/>
  <c r="L583" i="2" a="1"/>
  <c r="L877" i="2" a="1"/>
  <c r="L406" i="2" a="1"/>
  <c r="L821" i="2" a="1"/>
  <c r="L1175" i="2" a="1"/>
  <c r="L155" i="2" a="1"/>
  <c r="L641" i="2" a="1"/>
  <c r="L1008" i="2" a="1"/>
  <c r="L89" i="2" a="1"/>
  <c r="L610" i="2" a="1"/>
  <c r="L1099" i="2" a="1"/>
  <c r="L92" i="2" a="1"/>
  <c r="L701" i="2" a="1"/>
  <c r="L1027" i="2" a="1"/>
  <c r="L114" i="2" a="1"/>
  <c r="L656" i="2" a="1"/>
  <c r="L1160" i="2" a="1"/>
  <c r="L95" i="2" a="1"/>
  <c r="L612" i="2" a="1"/>
  <c r="L932" i="2" a="1"/>
  <c r="L1135" i="2" a="1"/>
  <c r="L534" i="2" a="1"/>
  <c r="L1111" i="2" a="1"/>
  <c r="L106" i="2" a="1"/>
  <c r="L1221" i="2" a="1"/>
  <c r="L1454" i="2" a="1"/>
  <c r="L550" i="2" a="1"/>
  <c r="L1104" i="2" a="1"/>
  <c r="L150" i="2" a="1"/>
  <c r="L1087" i="2" a="1"/>
  <c r="L1415" i="2" a="1"/>
  <c r="L857" i="2" a="1"/>
  <c r="L1324" i="2" a="1"/>
  <c r="L813" i="2" a="1"/>
  <c r="L1253" i="2" a="1"/>
  <c r="L232" i="2" a="1"/>
  <c r="L1089" i="2" a="1"/>
  <c r="L79" i="2" a="1"/>
  <c r="L841" i="2" a="1"/>
  <c r="L1289" i="2" a="1"/>
  <c r="L1271" i="2" a="1"/>
  <c r="L1246" i="2" a="1"/>
  <c r="L1544" i="2" a="1"/>
  <c r="L619" i="2" a="1"/>
  <c r="L1352" i="2" a="1"/>
  <c r="L1727" i="2" a="1"/>
  <c r="L1854" i="2" a="1"/>
  <c r="L256" i="2" a="1"/>
  <c r="L1353" i="2" a="1"/>
  <c r="L1574" i="2" a="1"/>
  <c r="L915" i="2" a="1"/>
  <c r="L1546" i="2" a="1"/>
  <c r="L1752" i="2" a="1"/>
  <c r="L1880" i="2" a="1"/>
  <c r="L677" i="2" a="1"/>
  <c r="L1419" i="2" a="1"/>
  <c r="L1635" i="2" a="1"/>
  <c r="L1077" i="2" a="1"/>
  <c r="L1697" i="2" a="1"/>
  <c r="L1235" i="2" a="1"/>
  <c r="L1627" i="2" a="1"/>
  <c r="L1794" i="2" a="1"/>
  <c r="L1481" i="2" a="1"/>
  <c r="L1779" i="2" a="1"/>
  <c r="L2055" i="2" a="1"/>
  <c r="L2311" i="2" a="1"/>
  <c r="L1538" i="2" a="1"/>
  <c r="L2017" i="2" a="1"/>
  <c r="L2273" i="2" a="1"/>
  <c r="L2529" i="2" a="1"/>
  <c r="L994" i="2" a="1"/>
  <c r="L1702" i="2" a="1"/>
  <c r="L1978" i="2" a="1"/>
  <c r="L2234" i="2" a="1"/>
  <c r="L1215" i="2" a="1"/>
  <c r="L1890" i="2" a="1"/>
  <c r="L2175" i="2" a="1"/>
  <c r="L2431" i="2" a="1"/>
  <c r="L1522" i="2" a="1"/>
  <c r="L1820" i="2" a="1"/>
  <c r="L2107" i="2" a="1"/>
  <c r="L234" i="2" a="1"/>
  <c r="L1592" i="2" a="1"/>
  <c r="L2038" i="2" a="1"/>
  <c r="L2294" i="2" a="1"/>
  <c r="L2550" i="2" a="1"/>
  <c r="L1612" i="2" a="1"/>
  <c r="L1961" i="2" a="1"/>
  <c r="L2218" i="2" a="1"/>
  <c r="L894" i="2" a="1"/>
  <c r="L1826" i="2" a="1"/>
  <c r="L791" i="2" a="1"/>
  <c r="L1782" i="2" a="1"/>
  <c r="L2382" i="2" a="1"/>
  <c r="L2684" i="2" a="1"/>
  <c r="L1410" i="2" a="1"/>
  <c r="L2092" i="2" a="1"/>
  <c r="L2397" i="2" a="1"/>
  <c r="L115" i="2" a="1"/>
  <c r="L93" i="2" a="1"/>
  <c r="L516" i="2" a="1"/>
  <c r="L746" i="2" a="1"/>
  <c r="L874" i="2" a="1"/>
  <c r="L160" i="2" a="1"/>
  <c r="L334" i="2" a="1"/>
  <c r="L498" i="2" a="1"/>
  <c r="L132" i="2" a="1"/>
  <c r="L598" i="2" a="1"/>
  <c r="L771" i="2" a="1"/>
  <c r="L143" i="2" a="1"/>
  <c r="L599" i="2" a="1"/>
  <c r="L764" i="2" a="1"/>
  <c r="L892" i="2" a="1"/>
  <c r="L171" i="2" a="1"/>
  <c r="L345" i="2" a="1"/>
  <c r="L519" i="2" a="1"/>
  <c r="L342" i="2" a="1"/>
  <c r="L659" i="2" a="1"/>
  <c r="L198" i="2" a="1"/>
  <c r="L602" i="2" a="1"/>
  <c r="L893" i="2" a="1"/>
  <c r="L100" i="2" a="1"/>
  <c r="L465" i="2" a="1"/>
  <c r="L239" i="2" a="1"/>
  <c r="L305" i="2" a="1"/>
  <c r="L604" i="2" a="1"/>
  <c r="L213" i="2" a="1"/>
  <c r="L617" i="2" a="1"/>
  <c r="L886" i="2" a="1"/>
  <c r="L429" i="2" a="1"/>
  <c r="L872" i="2" a="1"/>
  <c r="L1192" i="2" a="1"/>
  <c r="L177" i="2" a="1"/>
  <c r="L686" i="2" a="1"/>
  <c r="L1017" i="2" a="1"/>
  <c r="L156" i="2" a="1"/>
  <c r="L626" i="2" a="1"/>
  <c r="L1116" i="2" a="1"/>
  <c r="L137" i="2" a="1"/>
  <c r="L729" i="2" a="1"/>
  <c r="L1036" i="2" a="1"/>
  <c r="L164" i="2" a="1"/>
  <c r="L673" i="2" a="1"/>
  <c r="L1177" i="2" a="1"/>
  <c r="L119" i="2" a="1"/>
  <c r="L629" i="2" a="1"/>
  <c r="L962" i="2" a="1"/>
  <c r="L1152" i="2" a="1"/>
  <c r="L551" i="2" a="1"/>
  <c r="L1128" i="2" a="1"/>
  <c r="L298" i="2" a="1"/>
  <c r="L1275" i="2" a="1"/>
  <c r="L1462" i="2" a="1"/>
  <c r="L576" i="2" a="1"/>
  <c r="L1131" i="2" a="1"/>
  <c r="L230" i="2" a="1"/>
  <c r="L1119" i="2" a="1"/>
  <c r="L1423" i="2" a="1"/>
  <c r="L903" i="2" a="1"/>
  <c r="L1333" i="2" a="1"/>
  <c r="L832" i="2" a="1"/>
  <c r="L1267" i="2" a="1"/>
  <c r="L312" i="2" a="1"/>
  <c r="L1105" i="2" a="1"/>
  <c r="L126" i="2" a="1"/>
  <c r="L865" i="2" a="1"/>
  <c r="L32" i="2" a="1"/>
  <c r="L1291" i="2" a="1"/>
  <c r="L1321" i="2" a="1"/>
  <c r="L1554" i="2" a="1"/>
  <c r="L752" i="2" a="1"/>
  <c r="L1364" i="2" a="1"/>
  <c r="L1735" i="2" a="1"/>
  <c r="L1863" i="2" a="1"/>
  <c r="L322" i="2" a="1"/>
  <c r="L1379" i="2" a="1"/>
  <c r="L1585" i="2" a="1"/>
  <c r="L983" i="2" a="1"/>
  <c r="L1565" i="2" a="1"/>
  <c r="L1760" i="2" a="1"/>
  <c r="L1888" i="2" a="1"/>
  <c r="L760" i="2" a="1"/>
  <c r="L1432" i="2" a="1"/>
  <c r="L1644" i="2" a="1"/>
  <c r="L1231" i="2" a="1"/>
  <c r="L57" i="2" a="1"/>
  <c r="L1261" i="2" a="1"/>
  <c r="L1655" i="2" a="1"/>
  <c r="L1802" i="2" a="1"/>
  <c r="L1500" i="2" a="1"/>
  <c r="L1790" i="2" a="1"/>
  <c r="L2075" i="2" a="1"/>
  <c r="L2331" i="2" a="1"/>
  <c r="L1552" i="2" a="1"/>
  <c r="L2036" i="2" a="1"/>
  <c r="L2292" i="2" a="1"/>
  <c r="L2548" i="2" a="1"/>
  <c r="L1050" i="2" a="1"/>
  <c r="L1715" i="2" a="1"/>
  <c r="L1997" i="2" a="1"/>
  <c r="L2253" i="2" a="1"/>
  <c r="L1268" i="2" a="1"/>
  <c r="L1924" i="2" a="1"/>
  <c r="L2195" i="2" a="1"/>
  <c r="L2451" i="2" a="1"/>
  <c r="L1540" i="2" a="1"/>
  <c r="L1833" i="2" a="1"/>
  <c r="L2126" i="2" a="1"/>
  <c r="L495" i="2" a="1"/>
  <c r="L1646" i="2" a="1"/>
  <c r="L2049" i="2" a="1"/>
  <c r="L2305" i="2" a="1"/>
  <c r="L2561" i="2" a="1"/>
  <c r="L1630" i="2" a="1"/>
  <c r="L1981" i="2" a="1"/>
  <c r="L2237" i="2" a="1"/>
  <c r="L963" i="2" a="1"/>
  <c r="L1845" i="2" a="1"/>
  <c r="L944" i="2" a="1"/>
  <c r="L1803" i="2" a="1"/>
  <c r="L2410" i="2" a="1"/>
  <c r="L2700" i="2" a="1"/>
  <c r="L1477" i="2" a="1"/>
  <c r="L2110" i="2" a="1"/>
  <c r="L2411" i="2" a="1"/>
  <c r="L123" i="2" a="1"/>
  <c r="L101" i="2" a="1"/>
  <c r="L525" i="2" a="1"/>
  <c r="L754" i="2" a="1"/>
  <c r="L882" i="2" a="1"/>
  <c r="L170" i="2" a="1"/>
  <c r="L343" i="2" a="1"/>
  <c r="L507" i="2" a="1"/>
  <c r="L142" i="2" a="1"/>
  <c r="L615" i="2" a="1"/>
  <c r="L779" i="2" a="1"/>
  <c r="L180" i="2" a="1"/>
  <c r="L616" i="2" a="1"/>
  <c r="L772" i="2" a="1"/>
  <c r="L900" i="2" a="1"/>
  <c r="L190" i="2" a="1"/>
  <c r="L354" i="2" a="1"/>
  <c r="L528" i="2" a="1"/>
  <c r="L395" i="2" a="1"/>
  <c r="L670" i="2" a="1"/>
  <c r="L223" i="2" a="1"/>
  <c r="L613" i="2" a="1"/>
  <c r="L902" i="2" a="1"/>
  <c r="L129" i="2" a="1"/>
  <c r="L477" i="2" a="1"/>
  <c r="L278" i="2" a="1"/>
  <c r="L320" i="2" a="1"/>
  <c r="L627" i="2" a="1"/>
  <c r="L228" i="2" a="1"/>
  <c r="L628" i="2" a="1"/>
  <c r="L895" i="2" a="1"/>
  <c r="L446" i="2" a="1"/>
  <c r="L918" i="2" a="1"/>
  <c r="L1200" i="2" a="1"/>
  <c r="L220" i="2" a="1"/>
  <c r="L712" i="2" a="1"/>
  <c r="L1026" i="2" a="1"/>
  <c r="L179" i="2" a="1"/>
  <c r="L642" i="2" a="1"/>
  <c r="L1133" i="2" a="1"/>
  <c r="L181" i="2" a="1"/>
  <c r="L743" i="2" a="1"/>
  <c r="L1045" i="2" a="1"/>
  <c r="L182" i="2" a="1"/>
  <c r="L759" i="2" a="1"/>
  <c r="L1194" i="2" a="1"/>
  <c r="L138" i="2" a="1"/>
  <c r="L644" i="2" a="1"/>
  <c r="L981" i="2" a="1"/>
  <c r="L1169" i="2" a="1"/>
  <c r="L570" i="2" a="1"/>
  <c r="L1145" i="2" a="1"/>
  <c r="L338" i="2" a="1"/>
  <c r="L1294" i="2" a="1"/>
  <c r="L1470" i="2" a="1"/>
  <c r="L605" i="2" a="1"/>
  <c r="L1147" i="2" a="1"/>
  <c r="L339" i="2" a="1"/>
  <c r="L1195" i="2" a="1"/>
  <c r="L1431" i="2" a="1"/>
  <c r="L917" i="2" a="1"/>
  <c r="L1350" i="2" a="1"/>
  <c r="L881" i="2" a="1"/>
  <c r="L1277" i="2" a="1"/>
  <c r="L341" i="2" a="1"/>
  <c r="L1121" i="2" a="1"/>
  <c r="L275" i="2" a="1"/>
  <c r="L885" i="2" a="1"/>
  <c r="L175" i="2" a="1"/>
  <c r="L1308" i="2" a="1"/>
  <c r="L1337" i="2" a="1"/>
  <c r="L1573" i="2" a="1"/>
  <c r="L916" i="2" a="1"/>
  <c r="L1515" i="2" a="1"/>
  <c r="L1743" i="2" a="1"/>
  <c r="L1871" i="2" a="1"/>
  <c r="L394" i="2" a="1"/>
  <c r="L1393" i="2" a="1"/>
  <c r="L1604" i="2" a="1"/>
  <c r="L1013" i="2" a="1"/>
  <c r="L1575" i="2" a="1"/>
  <c r="L1768" i="2" a="1"/>
  <c r="L1896" i="2" a="1"/>
  <c r="L948" i="2" a="1"/>
  <c r="L1443" i="2" a="1"/>
  <c r="L1653" i="2" a="1"/>
  <c r="L1311" i="2" a="1"/>
  <c r="L282" i="2" a="1"/>
  <c r="L1281" i="2" a="1"/>
  <c r="L1682" i="2" a="1"/>
  <c r="L1810" i="2" a="1"/>
  <c r="L1519" i="2" a="1"/>
  <c r="L1804" i="2" a="1"/>
  <c r="L2094" i="2" a="1"/>
  <c r="L2350" i="2" a="1"/>
  <c r="L1571" i="2" a="1"/>
  <c r="L2056" i="2" a="1"/>
  <c r="L2312" i="2" a="1"/>
  <c r="L2568" i="2" a="1"/>
  <c r="L1161" i="2" a="1"/>
  <c r="L1741" i="2" a="1"/>
  <c r="L2007" i="2" a="1"/>
  <c r="L2263" i="2" a="1"/>
  <c r="L1381" i="2" a="1"/>
  <c r="L1937" i="2" a="1"/>
  <c r="L2214" i="2" a="1"/>
  <c r="L2470" i="2" a="1"/>
  <c r="L1558" i="2" a="1"/>
  <c r="L1853" i="2" a="1"/>
  <c r="L2137" i="2" a="1"/>
  <c r="L600" i="2" a="1"/>
  <c r="L1692" i="2" a="1"/>
  <c r="L2069" i="2" a="1"/>
  <c r="L2324" i="2" a="1"/>
  <c r="L2580" i="2" a="1"/>
  <c r="L3" i="2" a="1"/>
  <c r="L131" i="2" a="1"/>
  <c r="L7" i="2" a="1"/>
  <c r="L580" i="2" a="1"/>
  <c r="L762" i="2" a="1"/>
  <c r="L890" i="2" a="1"/>
  <c r="L178" i="2" a="1"/>
  <c r="L352" i="2" a="1"/>
  <c r="L526" i="2" a="1"/>
  <c r="L188" i="2" a="1"/>
  <c r="L632" i="2" a="1"/>
  <c r="L787" i="2" a="1"/>
  <c r="L189" i="2" a="1"/>
  <c r="L633" i="2" a="1"/>
  <c r="L780" i="2" a="1"/>
  <c r="L8" i="2" a="1"/>
  <c r="L199" i="2" a="1"/>
  <c r="L363" i="2" a="1"/>
  <c r="L537" i="2" a="1"/>
  <c r="L411" i="2" a="1"/>
  <c r="L775" i="2" a="1"/>
  <c r="L238" i="2" a="1"/>
  <c r="L647" i="2" a="1"/>
  <c r="L910" i="2" a="1"/>
  <c r="L145" i="2" a="1"/>
  <c r="L492" i="2" a="1"/>
  <c r="L331" i="2" a="1"/>
  <c r="L332" i="2" a="1"/>
  <c r="L636" i="2" a="1"/>
  <c r="L240" i="2" a="1"/>
  <c r="L651" i="2" a="1"/>
  <c r="L904" i="2" a="1"/>
  <c r="L467" i="2" a="1"/>
  <c r="L939" i="2" a="1"/>
  <c r="L1208" i="2" a="1"/>
  <c r="L243" i="2" a="1"/>
  <c r="L728" i="2" a="1"/>
  <c r="L1035" i="2" a="1"/>
  <c r="L202" i="2" a="1"/>
  <c r="L655" i="2" a="1"/>
  <c r="L1142" i="2" a="1"/>
  <c r="L221" i="2" a="1"/>
  <c r="L783" i="2" a="1"/>
  <c r="L1064" i="2" a="1"/>
  <c r="L203" i="2" a="1"/>
  <c r="L823" i="2" a="1"/>
  <c r="L1202" i="2" a="1"/>
  <c r="L163" i="2" a="1"/>
  <c r="L658" i="2" a="1"/>
  <c r="L992" i="2" a="1"/>
  <c r="L1186" i="2" a="1"/>
  <c r="L761" i="2" a="1"/>
  <c r="L1162" i="2" a="1"/>
  <c r="L478" i="2" a="1"/>
  <c r="L1313" i="2" a="1"/>
  <c r="L1478" i="2" a="1"/>
  <c r="L661" i="2" a="1"/>
  <c r="L1163" i="2" a="1"/>
  <c r="L377" i="2" a="1"/>
  <c r="L1207" i="2" a="1"/>
  <c r="L1439" i="2" a="1"/>
  <c r="L1006" i="2" a="1"/>
  <c r="L1367" i="2" a="1"/>
  <c r="L905" i="2" a="1"/>
  <c r="L1296" i="2" a="1"/>
  <c r="L383" i="2" a="1"/>
  <c r="L1137" i="2" a="1"/>
  <c r="L314" i="2" a="1"/>
  <c r="L907" i="2" a="1"/>
  <c r="L439" i="2" a="1"/>
  <c r="L1320" i="2" a="1"/>
  <c r="L1378" i="2" a="1"/>
  <c r="L1583" i="2" a="1"/>
  <c r="L978" i="2" a="1"/>
  <c r="L1534" i="2" a="1"/>
  <c r="L1751" i="2" a="1"/>
  <c r="L1879" i="2" a="1"/>
  <c r="L620" i="2" a="1"/>
  <c r="L1404" i="2" a="1"/>
  <c r="L1624" i="2" a="1"/>
  <c r="L1042" i="2" a="1"/>
  <c r="L1595" i="2" a="1"/>
  <c r="L1776" i="2" a="1"/>
  <c r="L1904" i="2" a="1"/>
  <c r="L1014" i="2" a="1"/>
  <c r="L1453" i="2" a="1"/>
  <c r="L1662" i="2" a="1"/>
  <c r="L1327" i="2" a="1"/>
  <c r="L348" i="2" a="1"/>
  <c r="L1300" i="2" a="1"/>
  <c r="L1690" i="2" a="1"/>
  <c r="L1819" i="2" a="1"/>
  <c r="L1533" i="2" a="1"/>
  <c r="L1851" i="2" a="1"/>
  <c r="L2105" i="2" a="1"/>
  <c r="L78" i="2" a="1"/>
  <c r="L1588" i="2" a="1"/>
  <c r="L2066" i="2" a="1"/>
  <c r="L2322" i="2" a="1"/>
  <c r="L2578" i="2" a="1"/>
  <c r="L1262" i="2" a="1"/>
  <c r="L1755" i="2" a="1"/>
  <c r="L2027" i="2" a="1"/>
  <c r="L2283" i="2" a="1"/>
  <c r="L1402" i="2" a="1"/>
  <c r="L1969" i="2" a="1"/>
  <c r="L2225" i="2" a="1"/>
  <c r="L218" i="2" a="1"/>
  <c r="L1591" i="2" a="1"/>
  <c r="L1867" i="2" a="1"/>
  <c r="L2156" i="2" a="1"/>
  <c r="L869" i="2" a="1"/>
  <c r="L1745" i="2" a="1"/>
  <c r="L2088" i="2" a="1"/>
  <c r="L2344" i="2" a="1"/>
  <c r="L2600" i="2" a="1"/>
  <c r="L1733" i="2" a="1"/>
  <c r="L2011" i="2" a="1"/>
  <c r="L2267" i="2" a="1"/>
  <c r="L365" i="2" a="1"/>
  <c r="L1885" i="2" a="1"/>
  <c r="L1316" i="2" a="1"/>
  <c r="L1909" i="2" a="1"/>
  <c r="L2435" i="2" a="1"/>
  <c r="L2724" i="2" a="1"/>
  <c r="L1570" i="2" a="1"/>
  <c r="L2142" i="2" a="1"/>
  <c r="L11" i="2" a="1"/>
  <c r="L139" i="2" a="1"/>
  <c r="L4" i="2" a="1"/>
  <c r="L597" i="2" a="1"/>
  <c r="L770" i="2" a="1"/>
  <c r="L898" i="2" a="1"/>
  <c r="L187" i="2" a="1"/>
  <c r="L361" i="2" a="1"/>
  <c r="L535" i="2" a="1"/>
  <c r="L197" i="2" a="1"/>
  <c r="L649" i="2" a="1"/>
  <c r="L795" i="2" a="1"/>
  <c r="L244" i="2" a="1"/>
  <c r="L650" i="2" a="1"/>
  <c r="L788" i="2" a="1"/>
  <c r="L18" i="2" a="1"/>
  <c r="L208" i="2" a="1"/>
  <c r="L382" i="2" a="1"/>
  <c r="L36" i="2" a="1"/>
  <c r="L438" i="2" a="1"/>
  <c r="L805" i="2" a="1"/>
  <c r="L291" i="2" a="1"/>
  <c r="L660" i="2" a="1"/>
  <c r="L920" i="2" a="1"/>
  <c r="L158" i="2" a="1"/>
  <c r="L504" i="2" a="1"/>
  <c r="L346" i="2" a="1"/>
  <c r="L359" i="2" a="1"/>
  <c r="L672" i="2" a="1"/>
  <c r="L255" i="2" a="1"/>
  <c r="L662" i="2" a="1"/>
  <c r="L912" i="2" a="1"/>
  <c r="L485" i="2" a="1"/>
  <c r="L959" i="2" a="1"/>
  <c r="L1216" i="2" a="1"/>
  <c r="L261" i="2" a="1"/>
  <c r="L742" i="2" a="1"/>
  <c r="L1044" i="2" a="1"/>
  <c r="L245" i="2" a="1"/>
  <c r="L671" i="2" a="1"/>
  <c r="L1159" i="2" a="1"/>
  <c r="L246" i="2" a="1"/>
  <c r="L797" i="2" a="1"/>
  <c r="L1073" i="2" a="1"/>
  <c r="L222" i="2" a="1"/>
  <c r="L838" i="2" a="1"/>
  <c r="L1210" i="2" a="1"/>
  <c r="L204" i="2" a="1"/>
  <c r="L675" i="2" a="1"/>
  <c r="L1001" i="2" a="1"/>
  <c r="L22" i="2" a="1"/>
  <c r="L774" i="2" a="1"/>
  <c r="L1179" i="2" a="1"/>
  <c r="L603" i="2" a="1"/>
  <c r="L1340" i="2" a="1"/>
  <c r="L1486" i="2" a="1"/>
  <c r="L710" i="2" a="1"/>
  <c r="L1252" i="2" a="1"/>
  <c r="L415" i="2" a="1"/>
  <c r="L1222" i="2" a="1"/>
  <c r="L74" i="2" a="1"/>
  <c r="L1023" i="2" a="1"/>
  <c r="L31" i="2" a="1"/>
  <c r="L923" i="2" a="1"/>
  <c r="L1342" i="2" a="1"/>
  <c r="L420" i="2" a="1"/>
  <c r="L1165" i="2" a="1"/>
  <c r="L355" i="2" a="1"/>
  <c r="L945" i="2" a="1"/>
  <c r="L499" i="2" a="1"/>
  <c r="L1336" i="2" a="1"/>
  <c r="L1389" i="2" a="1"/>
  <c r="L1603" i="2" a="1"/>
  <c r="L1011" i="2" a="1"/>
  <c r="L1545" i="2" a="1"/>
  <c r="L1759" i="2" a="1"/>
  <c r="L1887" i="2" a="1"/>
  <c r="L668" i="2" a="1"/>
  <c r="L1418" i="2" a="1"/>
  <c r="L1634" i="2" a="1"/>
  <c r="L1127" i="2" a="1"/>
  <c r="L1614" i="2" a="1"/>
  <c r="L1784" i="2" a="1"/>
  <c r="L1912" i="2" a="1"/>
  <c r="L1068" i="2" a="1"/>
  <c r="L1464" i="2" a="1"/>
  <c r="L1672" i="2" a="1"/>
  <c r="L1433" i="2" a="1"/>
  <c r="L403" i="2" a="1"/>
  <c r="L1312" i="2" a="1"/>
  <c r="L1698" i="2" a="1"/>
  <c r="L209" i="2" a="1"/>
  <c r="L1553" i="2" a="1"/>
  <c r="L1865" i="2" a="1"/>
  <c r="L2124" i="2" a="1"/>
  <c r="L214" i="2" a="1"/>
  <c r="L1608" i="2" a="1"/>
  <c r="L2085" i="2" a="1"/>
  <c r="L2341" i="2" a="1"/>
  <c r="L2597" i="2" a="1"/>
  <c r="L1301" i="2" a="1"/>
  <c r="L1766" i="2" a="1"/>
  <c r="L2046" i="2" a="1"/>
  <c r="L2302" i="2" a="1"/>
  <c r="L1426" i="2" a="1"/>
  <c r="L1988" i="2" a="1"/>
  <c r="L2244" i="2" a="1"/>
  <c r="L364" i="2" a="1"/>
  <c r="L1610" i="2" a="1"/>
  <c r="L1901" i="2" a="1"/>
  <c r="L2176" i="2" a="1"/>
  <c r="L935" i="2" a="1"/>
  <c r="L1809" i="2" a="1"/>
  <c r="L2098" i="2" a="1"/>
  <c r="L2354" i="2" a="1"/>
  <c r="L2627" i="2" a="1"/>
  <c r="L1747" i="2" a="1"/>
  <c r="L2030" i="2" a="1"/>
  <c r="L2286" i="2" a="1"/>
  <c r="L601" i="2" a="1"/>
  <c r="L1930" i="2" a="1"/>
  <c r="L1362" i="2" a="1"/>
  <c r="L1952" i="2" a="1"/>
  <c r="L2446" i="2" a="1"/>
  <c r="L2740" i="2" a="1"/>
  <c r="L1636" i="2" a="1"/>
  <c r="L2162" i="2" a="1"/>
  <c r="L19" i="2" a="1"/>
  <c r="L147" i="2" a="1"/>
  <c r="L111" i="2" a="1"/>
  <c r="L614" i="2" a="1"/>
  <c r="L778" i="2" a="1"/>
  <c r="L16" i="2" a="1"/>
  <c r="L206" i="2" a="1"/>
  <c r="L370" i="2" a="1"/>
  <c r="L544" i="2" a="1"/>
  <c r="L252" i="2" a="1"/>
  <c r="L666" i="2" a="1"/>
  <c r="L803" i="2" a="1"/>
  <c r="L253" i="2" a="1"/>
  <c r="L667" i="2" a="1"/>
  <c r="L796" i="2" a="1"/>
  <c r="L30" i="2" a="1"/>
  <c r="L217" i="2" a="1"/>
  <c r="L391" i="2" a="1"/>
  <c r="L54" i="2" a="1"/>
  <c r="L449" i="2" a="1"/>
  <c r="L824" i="2" a="1"/>
  <c r="L330" i="2" a="1"/>
  <c r="L681" i="2" a="1"/>
  <c r="L926" i="2" a="1"/>
  <c r="L211" i="2" a="1"/>
  <c r="L518" i="2" a="1"/>
  <c r="L373" i="2" a="1"/>
  <c r="L374" i="2" a="1"/>
  <c r="L758" i="2" a="1"/>
  <c r="L294" i="2" a="1"/>
  <c r="L685" i="2" a="1"/>
  <c r="L12" i="2" a="1"/>
  <c r="L523" i="2" a="1"/>
  <c r="L970" i="2" a="1"/>
  <c r="L1224" i="2" a="1"/>
  <c r="L309" i="2" a="1"/>
  <c r="L769" i="2" a="1"/>
  <c r="L1053" i="2" a="1"/>
  <c r="L285" i="2" a="1"/>
  <c r="L757" i="2" a="1"/>
  <c r="L1176" i="2" a="1"/>
  <c r="L267" i="2" a="1"/>
  <c r="L849" i="2" a="1"/>
  <c r="L1082" i="2" a="1"/>
  <c r="L268" i="2" a="1"/>
  <c r="L922" i="2" a="1"/>
  <c r="L1218" i="2" a="1"/>
  <c r="L247" i="2" a="1"/>
  <c r="L688" i="2" a="1"/>
  <c r="L1010" i="2" a="1"/>
  <c r="L47" i="2" a="1"/>
  <c r="L789" i="2" a="1"/>
  <c r="L1196" i="2" a="1"/>
  <c r="L781" i="2" a="1"/>
  <c r="L1357" i="2" a="1"/>
  <c r="L1494" i="2" a="1"/>
  <c r="L736" i="2" a="1"/>
  <c r="L1263" i="2" a="1"/>
  <c r="L514" i="2" a="1"/>
  <c r="L1237" i="2" a="1"/>
  <c r="L152" i="2" a="1"/>
  <c r="L1057" i="2" a="1"/>
  <c r="L76" i="2" a="1"/>
  <c r="L938" i="2" a="1"/>
  <c r="L1359" i="2" a="1"/>
  <c r="L554" i="2" a="1"/>
  <c r="L1181" i="2" a="1"/>
  <c r="L387" i="2" a="1"/>
  <c r="L1029" i="2" a="1"/>
  <c r="L560" i="2" a="1"/>
  <c r="L248" i="2" a="1"/>
  <c r="L1403" i="2" a="1"/>
  <c r="L1622" i="2" a="1"/>
  <c r="L1066" i="2" a="1"/>
  <c r="L1564" i="2" a="1"/>
  <c r="L1767" i="2" a="1"/>
  <c r="L1895" i="2" a="1"/>
  <c r="L709" i="2" a="1"/>
  <c r="L1429" i="2" a="1"/>
  <c r="L1643" i="2" a="1"/>
  <c r="L1154" i="2" a="1"/>
  <c r="L1625" i="2" a="1"/>
  <c r="L1792" i="2" a="1"/>
  <c r="L1920" i="2" a="1"/>
  <c r="L1097" i="2" a="1"/>
  <c r="L1475" i="2" a="1"/>
  <c r="L52" i="2" a="1"/>
  <c r="L1517" i="2" a="1"/>
  <c r="L536" i="2" a="1"/>
  <c r="L1328" i="2" a="1"/>
  <c r="L1706" i="2" a="1"/>
  <c r="L337" i="2" a="1"/>
  <c r="L1606" i="2" a="1"/>
  <c r="L1886" i="2" a="1"/>
  <c r="L2141" i="2" a="1"/>
  <c r="L590" i="2" a="1"/>
  <c r="L1729" i="2" a="1"/>
  <c r="L2095" i="2" a="1"/>
  <c r="L2351" i="2" a="1"/>
  <c r="L2607" i="2" a="1"/>
  <c r="L1330" i="2" a="1"/>
  <c r="L1780" i="2" a="1"/>
  <c r="L2057" i="2" a="1"/>
  <c r="L2313" i="2" a="1"/>
  <c r="L1447" i="2" a="1"/>
  <c r="L2008" i="2" a="1"/>
  <c r="L2264" i="2" a="1"/>
  <c r="L933" i="2" a="1"/>
  <c r="L1628" i="2" a="1"/>
  <c r="L1914" i="2" a="1"/>
  <c r="L2186" i="2" a="1"/>
  <c r="L997" i="2" a="1"/>
  <c r="L1844" i="2" a="1"/>
  <c r="L2117" i="2" a="1"/>
  <c r="L2373" i="2" a="1"/>
  <c r="L135" i="2" a="1"/>
  <c r="L1758" i="2" a="1"/>
  <c r="L2041" i="2" a="1"/>
  <c r="L2297" i="2" a="1"/>
  <c r="L943" i="2" a="1"/>
  <c r="L1985" i="2" a="1"/>
  <c r="L1397" i="2" a="1"/>
  <c r="L2040" i="2" a="1"/>
  <c r="L2471" i="2" a="1"/>
  <c r="L2747" i="2" a="1"/>
  <c r="L1666" i="2" a="1"/>
  <c r="L51" i="2" a="1"/>
  <c r="L260" i="2" a="1"/>
  <c r="L810" i="2" a="1"/>
  <c r="L242" i="2" a="1"/>
  <c r="L589" i="2" a="1"/>
  <c r="L707" i="2" a="1"/>
  <c r="L380" i="2" a="1"/>
  <c r="L828" i="2" a="1"/>
  <c r="L263" i="2" a="1"/>
  <c r="L169" i="2" a="1"/>
  <c r="L23" i="2" a="1"/>
  <c r="L725" i="2" a="1"/>
  <c r="L277" i="2" a="1"/>
  <c r="L118" i="2" a="1"/>
  <c r="L856" i="2" a="1"/>
  <c r="L727" i="2" a="1"/>
  <c r="L609" i="2" a="1"/>
  <c r="L1256" i="2" a="1"/>
  <c r="L861" i="2" a="1"/>
  <c r="L368" i="2" a="1"/>
  <c r="L1217" i="2" a="1"/>
  <c r="L931" i="2" a="1"/>
  <c r="L393" i="2" a="1"/>
  <c r="L1248" i="2" a="1"/>
  <c r="L784" i="2" a="1"/>
  <c r="L295" i="2" a="1"/>
  <c r="L1228" i="2" a="1"/>
  <c r="L1398" i="2" a="1"/>
  <c r="L897" i="2" a="1"/>
  <c r="L831" i="2" a="1"/>
  <c r="L301" i="2" a="1"/>
  <c r="L484" i="2" a="1"/>
  <c r="L1400" i="2" a="1"/>
  <c r="L1307" i="2" a="1"/>
  <c r="L1110" i="2" a="1"/>
  <c r="L618" i="2" a="1"/>
  <c r="L1660" i="2" a="1"/>
  <c r="L1623" i="2" a="1"/>
  <c r="L1927" i="2" a="1"/>
  <c r="L1474" i="2" a="1"/>
  <c r="L1310" i="2" a="1"/>
  <c r="L1824" i="2" a="1"/>
  <c r="L1259" i="2" a="1"/>
  <c r="L460" i="2" a="1"/>
  <c r="L928" i="2" a="1"/>
  <c r="L1738" i="2" a="1"/>
  <c r="L1674" i="2" a="1"/>
  <c r="L2203" i="2" a="1"/>
  <c r="L1876" i="2" a="1"/>
  <c r="L2420" i="2" a="1"/>
  <c r="L1501" i="2" a="1"/>
  <c r="L2125" i="2" a="1"/>
  <c r="L1589" i="2" a="1"/>
  <c r="L2323" i="2" a="1"/>
  <c r="L1717" i="2" a="1"/>
  <c r="L2254" i="2" a="1"/>
  <c r="L1925" i="2" a="1"/>
  <c r="L2433" i="2" a="1"/>
  <c r="L1811" i="2" a="1"/>
  <c r="L2314" i="2" a="1"/>
  <c r="L1685" i="2" a="1"/>
  <c r="L1632" i="2" a="1"/>
  <c r="L2540" i="2" a="1"/>
  <c r="L1827" i="2" a="1"/>
  <c r="L2355" i="2" a="1"/>
  <c r="L2692" i="2" a="1"/>
  <c r="L1637" i="2" a="1"/>
  <c r="L2385" i="2" a="1"/>
  <c r="L2645" i="2" a="1"/>
  <c r="L1479" i="2" a="1"/>
  <c r="L2005" i="2" a="1"/>
  <c r="L2370" i="2" a="1"/>
  <c r="L2653" i="2" a="1"/>
  <c r="L1450" i="2" a="1"/>
  <c r="L2131" i="2" a="1"/>
  <c r="L2575" i="2" a="1"/>
  <c r="L1648" i="2" a="1"/>
  <c r="L2151" i="2" a="1"/>
  <c r="L2601" i="2" a="1"/>
  <c r="L2743" i="2" a="1"/>
  <c r="L1859" i="2" a="1"/>
  <c r="L2328" i="2" a="1"/>
  <c r="L733" i="2" a="1"/>
  <c r="L2481" i="2" a="1"/>
  <c r="L2844" i="2" a="1"/>
  <c r="L2716" i="2" a="1"/>
  <c r="L2558" i="2" a="1"/>
  <c r="L2242" i="2" a="1"/>
  <c r="L2763" i="2" a="1"/>
  <c r="L2228" i="2" a="1"/>
  <c r="L2271" i="2" a="1"/>
  <c r="L1841" i="2" a="1"/>
  <c r="L2582" i="2" a="1"/>
  <c r="L539" i="2" a="1"/>
  <c r="L2841" i="2" a="1"/>
  <c r="L1926" i="2" a="1"/>
  <c r="L2723" i="2" a="1"/>
  <c r="L2190" i="2" a="1"/>
  <c r="L2648" i="2" a="1"/>
  <c r="L1471" i="2" a="1"/>
  <c r="L2400" i="2" a="1"/>
  <c r="L2295" i="2" a="1"/>
  <c r="L2053" i="2" a="1"/>
  <c r="L296" i="2" a="1"/>
  <c r="L2569" i="2" a="1"/>
  <c r="L1814" i="2" a="1"/>
  <c r="L968" i="2" a="1"/>
  <c r="L2811" i="2" a="1"/>
  <c r="L2290" i="2" a="1"/>
  <c r="L2122" i="2" a="1"/>
  <c r="L1587" i="2" a="1"/>
  <c r="L2296" i="2" a="1"/>
  <c r="L2783" i="2" a="1"/>
  <c r="L2818" i="2" a="1"/>
  <c r="L2537" i="2" a="1"/>
  <c r="L1498" i="2" a="1"/>
  <c r="L59" i="2" a="1"/>
  <c r="L269" i="2" a="1"/>
  <c r="L818" i="2" a="1"/>
  <c r="L251" i="2" a="1"/>
  <c r="L606" i="2" a="1"/>
  <c r="L715" i="2" a="1"/>
  <c r="L436" i="2" a="1"/>
  <c r="L836" i="2" a="1"/>
  <c r="L272" i="2" a="1"/>
  <c r="L195" i="2" a="1"/>
  <c r="L39" i="2" a="1"/>
  <c r="L735" i="2" a="1"/>
  <c r="L292" i="2" a="1"/>
  <c r="L146" i="2" a="1"/>
  <c r="L25" i="2" a="1"/>
  <c r="L737" i="2" a="1"/>
  <c r="L622" i="2" a="1"/>
  <c r="L1264" i="2" a="1"/>
  <c r="L887" i="2" a="1"/>
  <c r="L392" i="2" a="1"/>
  <c r="L1225" i="2" a="1"/>
  <c r="L951" i="2" a="1"/>
  <c r="L414" i="2" a="1"/>
  <c r="L1258" i="2" a="1"/>
  <c r="L799" i="2" a="1"/>
  <c r="L313" i="2" a="1"/>
  <c r="L1236" i="2" a="1"/>
  <c r="L1406" i="2" a="1"/>
  <c r="L919" i="2" a="1"/>
  <c r="L880" i="2" a="1"/>
  <c r="L340" i="2" a="1"/>
  <c r="L521" i="2" a="1"/>
  <c r="L1408" i="2" a="1"/>
  <c r="L1317" i="2" a="1"/>
  <c r="L1170" i="2" a="1"/>
  <c r="L871" i="2" a="1"/>
  <c r="L1669" i="2" a="1"/>
  <c r="L1679" i="2" a="1"/>
  <c r="L1935" i="2" a="1"/>
  <c r="L1484" i="2" a="1"/>
  <c r="L1326" i="2" a="1"/>
  <c r="L1832" i="2" a="1"/>
  <c r="L1339" i="2" a="1"/>
  <c r="L575" i="2" a="1"/>
  <c r="L986" i="2" a="1"/>
  <c r="L1746" i="2" a="1"/>
  <c r="L1686" i="2" a="1"/>
  <c r="L2222" i="2" a="1"/>
  <c r="L1889" i="2" a="1"/>
  <c r="L2440" i="2" a="1"/>
  <c r="L1521" i="2" a="1"/>
  <c r="L2135" i="2" a="1"/>
  <c r="L1691" i="2" a="1"/>
  <c r="L2342" i="2" a="1"/>
  <c r="L1731" i="2" a="1"/>
  <c r="L2265" i="2" a="1"/>
  <c r="L1938" i="2" a="1"/>
  <c r="L2452" i="2" a="1"/>
  <c r="L1822" i="2" a="1"/>
  <c r="L2336" i="2" a="1"/>
  <c r="L1868" i="2" a="1"/>
  <c r="L1665" i="2" a="1"/>
  <c r="L2562" i="2" a="1"/>
  <c r="L1931" i="2" a="1"/>
  <c r="L2424" i="2" a="1"/>
  <c r="L2708" i="2" a="1"/>
  <c r="L1693" i="2" a="1"/>
  <c r="L2412" i="2" a="1"/>
  <c r="L2661" i="2" a="1"/>
  <c r="L1513" i="2" a="1"/>
  <c r="L2024" i="2" a="1"/>
  <c r="L2386" i="2" a="1"/>
  <c r="L2669" i="2" a="1"/>
  <c r="L1480" i="2" a="1"/>
  <c r="L2149" i="2" a="1"/>
  <c r="L2609" i="2" a="1"/>
  <c r="L1673" i="2" a="1"/>
  <c r="L2170" i="2" a="1"/>
  <c r="L2611" i="2" a="1"/>
  <c r="L2751" i="2" a="1"/>
  <c r="L1881" i="2" a="1"/>
  <c r="L2360" i="2" a="1"/>
  <c r="L1459" i="2" a="1"/>
  <c r="L2523" i="2" a="1"/>
  <c r="L2826" i="2" a="1"/>
  <c r="L2830" i="2" a="1"/>
  <c r="L1025" i="2" a="1"/>
  <c r="L2278" i="2" a="1"/>
  <c r="L2777" i="2" a="1"/>
  <c r="L2759" i="2" a="1"/>
  <c r="L2500" i="2" a="1"/>
  <c r="L1964" i="2" a="1"/>
  <c r="L2651" i="2" a="1"/>
  <c r="L1945" i="2" a="1"/>
  <c r="L1647" i="2" a="1"/>
  <c r="L2002" i="2" a="1"/>
  <c r="L2738" i="2" a="1"/>
  <c r="L2492" i="2" a="1"/>
  <c r="L2821" i="2" a="1"/>
  <c r="L1532" i="2" a="1"/>
  <c r="L2444" i="2" a="1"/>
  <c r="L2427" i="2" a="1"/>
  <c r="L2363" i="2" a="1"/>
  <c r="L829" i="2" a="1"/>
  <c r="L2588" i="2" a="1"/>
  <c r="L2153" i="2" a="1"/>
  <c r="L2123" i="2" a="1"/>
  <c r="L1130" i="2" a="1"/>
  <c r="L2349" i="2" a="1"/>
  <c r="L2430" i="2" a="1"/>
  <c r="L2171" i="2" a="1"/>
  <c r="L2326" i="2" a="1"/>
  <c r="L2807" i="2" a="1"/>
  <c r="L1499" i="2" a="1"/>
  <c r="L2705" i="2" a="1"/>
  <c r="L2755" i="2" a="1"/>
  <c r="L2774" i="2" a="1"/>
  <c r="L1684" i="2" a="1"/>
  <c r="L1139" i="2" a="1"/>
  <c r="L1846" i="2" a="1"/>
  <c r="L1455" i="2" a="1"/>
  <c r="L538" i="2" a="1"/>
  <c r="L2132" i="2" a="1"/>
  <c r="L2298" i="2" a="1"/>
  <c r="L2567" i="2" a="1"/>
  <c r="L2593" i="2" a="1"/>
  <c r="L906" i="2" a="1"/>
  <c r="L67" i="2" a="1"/>
  <c r="L324" i="2" a="1"/>
  <c r="L826" i="2" a="1"/>
  <c r="L270" i="2" a="1"/>
  <c r="L623" i="2" a="1"/>
  <c r="L723" i="2" a="1"/>
  <c r="L445" i="2" a="1"/>
  <c r="L844" i="2" a="1"/>
  <c r="L281" i="2" a="1"/>
  <c r="L210" i="2" a="1"/>
  <c r="L68" i="2" a="1"/>
  <c r="L745" i="2" a="1"/>
  <c r="L304" i="2" a="1"/>
  <c r="L159" i="2" a="1"/>
  <c r="L42" i="2" a="1"/>
  <c r="L750" i="2" a="1"/>
  <c r="L637" i="2" a="1"/>
  <c r="L1272" i="2" a="1"/>
  <c r="L909" i="2" a="1"/>
  <c r="L448" i="2" a="1"/>
  <c r="L1233" i="2" a="1"/>
  <c r="L961" i="2" a="1"/>
  <c r="L470" i="2" a="1"/>
  <c r="L1265" i="2" a="1"/>
  <c r="L863" i="2" a="1"/>
  <c r="L356" i="2" a="1"/>
  <c r="L1244" i="2" a="1"/>
  <c r="L1414" i="2" a="1"/>
  <c r="L972" i="2" a="1"/>
  <c r="L937" i="2" a="1"/>
  <c r="L417" i="2" a="1"/>
  <c r="L552" i="2" a="1"/>
  <c r="L1416" i="2" a="1"/>
  <c r="L1325" i="2" a="1"/>
  <c r="L1183" i="2" a="1"/>
  <c r="L914" i="2" a="1"/>
  <c r="L1678" i="2" a="1"/>
  <c r="L1687" i="2" a="1"/>
  <c r="L1943" i="2" a="1"/>
  <c r="L1495" i="2" a="1"/>
  <c r="L1365" i="2" a="1"/>
  <c r="L1840" i="2" a="1"/>
  <c r="L1354" i="2" a="1"/>
  <c r="L678" i="2" a="1"/>
  <c r="L1016" i="2" a="1"/>
  <c r="L1754" i="2" a="1"/>
  <c r="L1701" i="2" a="1"/>
  <c r="L2233" i="2" a="1"/>
  <c r="L1911" i="2" a="1"/>
  <c r="L2450" i="2" a="1"/>
  <c r="L1539" i="2" a="1"/>
  <c r="L2155" i="2" a="1"/>
  <c r="L1705" i="2" a="1"/>
  <c r="L2353" i="2" a="1"/>
  <c r="L1742" i="2" a="1"/>
  <c r="L2284" i="2" a="1"/>
  <c r="L1960" i="2" a="1"/>
  <c r="L2474" i="2" a="1"/>
  <c r="L1835" i="2" a="1"/>
  <c r="L2346" i="2" a="1"/>
  <c r="L2003" i="2" a="1"/>
  <c r="L1713" i="2" a="1"/>
  <c r="L2584" i="2" a="1"/>
  <c r="L1953" i="2" a="1"/>
  <c r="L2447" i="2" a="1"/>
  <c r="L2732" i="2" a="1"/>
  <c r="L1850" i="2" a="1"/>
  <c r="L2425" i="2" a="1"/>
  <c r="L2677" i="2" a="1"/>
  <c r="L1579" i="2" a="1"/>
  <c r="L2078" i="2" a="1"/>
  <c r="L2398" i="2" a="1"/>
  <c r="L2685" i="2" a="1"/>
  <c r="L1580" i="2" a="1"/>
  <c r="L2167" i="2" a="1"/>
  <c r="L2629" i="2" a="1"/>
  <c r="L1771" i="2" a="1"/>
  <c r="L2239" i="2" a="1"/>
  <c r="L2621" i="2" a="1"/>
  <c r="L497" i="2" a="1"/>
  <c r="L1898" i="2" a="1"/>
  <c r="L2376" i="2" a="1"/>
  <c r="L1530" i="2" a="1"/>
  <c r="L2542" i="2" a="1"/>
  <c r="L2610" i="2" a="1"/>
  <c r="L1629" i="2" a="1"/>
  <c r="L1995" i="2" a="1"/>
  <c r="L2310" i="2" a="1"/>
  <c r="L2814" i="2" a="1"/>
  <c r="L1346" i="2" a="1"/>
  <c r="L2649" i="2" a="1"/>
  <c r="L2001" i="2" a="1"/>
  <c r="L2666" i="2" a="1"/>
  <c r="L2475" i="2" a="1"/>
  <c r="L2202" i="2" a="1"/>
  <c r="L2071" i="2" a="1"/>
  <c r="L2753" i="2" a="1"/>
  <c r="L2808" i="2" a="1"/>
  <c r="L1639" i="2" a="1"/>
  <c r="L1599" i="2" a="1"/>
  <c r="L2486" i="2" a="1"/>
  <c r="L2570" i="2" a="1"/>
  <c r="L2614" i="2" a="1"/>
  <c r="L1396" i="2" a="1"/>
  <c r="L2605" i="2" a="1"/>
  <c r="L2512" i="2" a="1"/>
  <c r="L2536" i="2" a="1"/>
  <c r="L1303" i="2" a="1"/>
  <c r="L2378" i="2" a="1"/>
  <c r="L2745" i="2" a="1"/>
  <c r="L2620" i="2" a="1"/>
  <c r="L2379" i="2" a="1"/>
  <c r="L2828" i="2" a="1"/>
  <c r="L2052" i="2" a="1"/>
  <c r="L2822" i="2" a="1"/>
  <c r="L1347" i="2" a="1"/>
  <c r="L2672" i="2" a="1"/>
  <c r="L2405" i="2" a="1"/>
  <c r="L2406" i="2" a="1"/>
  <c r="L2380" i="2" a="1"/>
  <c r="L2407" i="2" a="1"/>
  <c r="L2641" i="2" a="1"/>
  <c r="L1490" i="2" a="1"/>
  <c r="L2491" i="2" a="1"/>
  <c r="L2138" i="2" a="1"/>
  <c r="L2673" i="2" a="1"/>
  <c r="L1617" i="2" a="1"/>
  <c r="L75" i="2" a="1"/>
  <c r="L333" i="2" a="1"/>
  <c r="L834" i="2" a="1"/>
  <c r="L279" i="2" a="1"/>
  <c r="L640" i="2" a="1"/>
  <c r="L732" i="2" a="1"/>
  <c r="L500" i="2" a="1"/>
  <c r="L852" i="2" a="1"/>
  <c r="L290" i="2" a="1"/>
  <c r="L237" i="2" a="1"/>
  <c r="L86" i="2" a="1"/>
  <c r="L766" i="2" a="1"/>
  <c r="L319" i="2" a="1"/>
  <c r="L174" i="2" a="1"/>
  <c r="L88" i="2" a="1"/>
  <c r="L768" i="2" a="1"/>
  <c r="L654" i="2" a="1"/>
  <c r="L15" i="2" a="1"/>
  <c r="L930" i="2" a="1"/>
  <c r="L547" i="2" a="1"/>
  <c r="L1241" i="2" a="1"/>
  <c r="L980" i="2" a="1"/>
  <c r="L511" i="2" a="1"/>
  <c r="L1274" i="2" a="1"/>
  <c r="L878" i="2" a="1"/>
  <c r="L399" i="2" a="1"/>
  <c r="L1251" i="2" a="1"/>
  <c r="L1422" i="2" a="1"/>
  <c r="L987" i="2" a="1"/>
  <c r="L955" i="2" a="1"/>
  <c r="L483" i="2" a="1"/>
  <c r="L585" i="2" a="1"/>
  <c r="L1424" i="2" a="1"/>
  <c r="L1334" i="2" a="1"/>
  <c r="L1243" i="2" a="1"/>
  <c r="L946" i="2" a="1"/>
  <c r="L46" i="2" a="1"/>
  <c r="L1695" i="2" a="1"/>
  <c r="L1951" i="2" a="1"/>
  <c r="L1506" i="2" a="1"/>
  <c r="L1466" i="2" a="1"/>
  <c r="L1848" i="2" a="1"/>
  <c r="L1369" i="2" a="1"/>
  <c r="L925" i="2" a="1"/>
  <c r="L1049" i="2" a="1"/>
  <c r="L1762" i="2" a="1"/>
  <c r="L1716" i="2" a="1"/>
  <c r="L2252" i="2" a="1"/>
  <c r="L1923" i="2" a="1"/>
  <c r="L2469" i="2" a="1"/>
  <c r="L1609" i="2" a="1"/>
  <c r="L2174" i="2" a="1"/>
  <c r="L1769" i="2" a="1"/>
  <c r="L2372" i="2" a="1"/>
  <c r="L1756" i="2" a="1"/>
  <c r="L2304" i="2" a="1"/>
  <c r="L1970" i="2" a="1"/>
  <c r="L2482" i="2" a="1"/>
  <c r="L1869" i="2" a="1"/>
  <c r="L2365" i="2" a="1"/>
  <c r="L2021" i="2" a="1"/>
  <c r="L1849" i="2" a="1"/>
  <c r="L2595" i="2" a="1"/>
  <c r="L1971" i="2" a="1"/>
  <c r="L2459" i="2" a="1"/>
  <c r="L2756" i="2" a="1"/>
  <c r="L1870" i="2" a="1"/>
  <c r="L2436" i="2" a="1"/>
  <c r="L2693" i="2" a="1"/>
  <c r="L1667" i="2" a="1"/>
  <c r="L2093" i="2" a="1"/>
  <c r="L2413" i="2" a="1"/>
  <c r="L2701" i="2" a="1"/>
  <c r="L1611" i="2" a="1"/>
  <c r="L2201" i="2" a="1"/>
  <c r="L652" i="2" a="1"/>
  <c r="L1789" i="2" a="1"/>
  <c r="L2258" i="2" a="1"/>
  <c r="L2639" i="2" a="1"/>
  <c r="L870" i="2" a="1"/>
  <c r="L1919" i="2" a="1"/>
  <c r="L2404" i="2" a="1"/>
  <c r="L1590" i="2" a="1"/>
  <c r="L2560" i="2" a="1"/>
  <c r="L2782" i="2" a="1"/>
  <c r="L2159" i="2" a="1"/>
  <c r="L2602" i="2" a="1"/>
  <c r="L2345" i="2" a="1"/>
  <c r="L2824" i="2" a="1"/>
  <c r="L1983" i="2" a="1"/>
  <c r="L2775" i="2" a="1"/>
  <c r="L2034" i="2" a="1"/>
  <c r="L2681" i="2" a="1"/>
  <c r="L2646" i="2" a="1"/>
  <c r="L2520" i="2" a="1"/>
  <c r="L2104" i="2" a="1"/>
  <c r="L2778" i="2" a="1"/>
  <c r="L1732" i="2" a="1"/>
  <c r="L2364" i="2" a="1"/>
  <c r="L1757" i="2" a="1"/>
  <c r="L2505" i="2" a="1"/>
  <c r="L1549" i="2" a="1"/>
  <c r="L2624" i="2" a="1"/>
  <c r="L1413" i="2" a="1"/>
  <c r="L2787" i="2" a="1"/>
  <c r="L1581" i="2" a="1"/>
  <c r="L1668" i="2" a="1"/>
  <c r="L2432" i="2" a="1"/>
  <c r="L2572" i="2" a="1"/>
  <c r="L2815" i="2" a="1"/>
  <c r="L1764" i="2" a="1"/>
  <c r="L2334" i="2" a="1"/>
  <c r="L2513" i="2" a="1"/>
  <c r="L83" i="2" a="1"/>
  <c r="L388" i="2" a="1"/>
  <c r="L842" i="2" a="1"/>
  <c r="L288" i="2" a="1"/>
  <c r="L657" i="2" a="1"/>
  <c r="L739" i="2" a="1"/>
  <c r="L509" i="2" a="1"/>
  <c r="L860" i="2" a="1"/>
  <c r="L299" i="2" a="1"/>
  <c r="L249" i="2" a="1"/>
  <c r="L116" i="2" a="1"/>
  <c r="L785" i="2" a="1"/>
  <c r="L358" i="2" a="1"/>
  <c r="L227" i="2" a="1"/>
  <c r="L105" i="2" a="1"/>
  <c r="L798" i="2" a="1"/>
  <c r="L669" i="2" a="1"/>
  <c r="L34" i="2" a="1"/>
  <c r="L949" i="2" a="1"/>
  <c r="L563" i="2" a="1"/>
  <c r="L1249" i="2" a="1"/>
  <c r="L1000" i="2" a="1"/>
  <c r="L565" i="2" a="1"/>
  <c r="L1283" i="2" a="1"/>
  <c r="L889" i="2" a="1"/>
  <c r="L435" i="2" a="1"/>
  <c r="L1260" i="2" a="1"/>
  <c r="L1430" i="2" a="1"/>
  <c r="L1022" i="2" a="1"/>
  <c r="L1005" i="2" a="1"/>
  <c r="L608" i="2" a="1"/>
  <c r="L635" i="2" a="1"/>
  <c r="L120" i="2" a="1"/>
  <c r="L1351" i="2" a="1"/>
  <c r="L1255" i="2" a="1"/>
  <c r="L977" i="2" a="1"/>
  <c r="L176" i="2" a="1"/>
  <c r="L1703" i="2" a="1"/>
  <c r="L1959" i="2" a="1"/>
  <c r="L1525" i="2" a="1"/>
  <c r="L1496" i="2" a="1"/>
  <c r="L1857" i="2" a="1"/>
  <c r="L1380" i="2" a="1"/>
  <c r="L953" i="2" a="1"/>
  <c r="L1078" i="2" a="1"/>
  <c r="L1770" i="2" a="1"/>
  <c r="L1726" i="2" a="1"/>
  <c r="L2272" i="2" a="1"/>
  <c r="L1967" i="2" a="1"/>
  <c r="L2479" i="2" a="1"/>
  <c r="L1641" i="2" a="1"/>
  <c r="L2185" i="2" a="1"/>
  <c r="L1830" i="2" a="1"/>
  <c r="L2392" i="2" a="1"/>
  <c r="L1781" i="2" a="1"/>
  <c r="L2316" i="2" a="1"/>
  <c r="L1989" i="2" a="1"/>
  <c r="L2501" i="2" a="1"/>
  <c r="L1882" i="2" a="1"/>
  <c r="L2375" i="2" a="1"/>
  <c r="L2039" i="2" a="1"/>
  <c r="L2054" i="2" a="1"/>
  <c r="L2617" i="2" a="1"/>
  <c r="L1986" i="2" a="1"/>
  <c r="L2472" i="2" a="1"/>
  <c r="L2772" i="2" a="1"/>
  <c r="L1892" i="2" a="1"/>
  <c r="L2448" i="2" a="1"/>
  <c r="L2709" i="2" a="1"/>
  <c r="L1694" i="2" a="1"/>
  <c r="L2112" i="2" a="1"/>
  <c r="L2449" i="2" a="1"/>
  <c r="L2717" i="2" a="1"/>
  <c r="L1638" i="2" a="1"/>
  <c r="L2219" i="2" a="1"/>
  <c r="L967" i="2" a="1"/>
  <c r="L1813" i="2" a="1"/>
  <c r="L2327" i="2" a="1"/>
  <c r="L2647" i="2" a="1"/>
  <c r="L1002" i="2" a="1"/>
  <c r="L1976" i="2" a="1"/>
  <c r="L2417" i="2" a="1"/>
  <c r="L1650" i="2" a="1"/>
  <c r="L2581" i="2" a="1"/>
  <c r="L1560" i="2" a="1"/>
  <c r="L2632" i="2" a="1"/>
  <c r="L2721" i="2" a="1"/>
  <c r="L2367" i="2" a="1"/>
  <c r="L2843" i="2" a="1"/>
  <c r="L2387" i="2" a="1"/>
  <c r="L2065" i="2" a="1"/>
  <c r="L2070" i="2" a="1"/>
  <c r="L2696" i="2" a="1"/>
  <c r="L540" i="2" a="1"/>
  <c r="L1239" i="2" a="1"/>
  <c r="L2246" i="2" a="1"/>
  <c r="L2792" i="2" a="1"/>
  <c r="L2089" i="2" a="1"/>
  <c r="L2675" i="2" a="1"/>
  <c r="L2525" i="2" a="1"/>
  <c r="L1874" i="2" a="1"/>
  <c r="L2794" i="2" a="1"/>
  <c r="L2445" i="2" a="1"/>
  <c r="L1344" i="2" a="1"/>
  <c r="L1965" i="2" a="1"/>
  <c r="L2656" i="2" a="1"/>
  <c r="L2490" i="2" a="1"/>
  <c r="L908" i="2" a="1"/>
  <c r="L5" i="2" a="1"/>
  <c r="L631" i="2" a="1"/>
  <c r="L26" i="2" a="1"/>
  <c r="L378" i="2" a="1"/>
  <c r="L262" i="2" a="1"/>
  <c r="L811" i="2" a="1"/>
  <c r="L676" i="2" a="1"/>
  <c r="L40" i="2" a="1"/>
  <c r="L400" i="2" a="1"/>
  <c r="L463" i="2" a="1"/>
  <c r="L344" i="2" a="1"/>
  <c r="L934" i="2" a="1"/>
  <c r="L543" i="2" a="1"/>
  <c r="L426" i="2" a="1"/>
  <c r="L307" i="2" a="1"/>
  <c r="L63" i="2" a="1"/>
  <c r="L988" i="2" a="1"/>
  <c r="L349" i="2" a="1"/>
  <c r="L1072" i="2" a="1"/>
  <c r="L809" i="2" a="1"/>
  <c r="L286" i="2" a="1"/>
  <c r="L1091" i="2" a="1"/>
  <c r="L942" i="2" a="1"/>
  <c r="L287" i="2" a="1"/>
  <c r="L1019" i="2" a="1"/>
  <c r="L840" i="2" a="1"/>
  <c r="L830" i="2" a="1"/>
  <c r="L1502" i="2" a="1"/>
  <c r="L1285" i="2" a="1"/>
  <c r="L1276" i="2" a="1"/>
  <c r="L1088" i="2" a="1"/>
  <c r="L956" i="2" a="1"/>
  <c r="L586" i="2" a="1"/>
  <c r="L422" i="2" a="1"/>
  <c r="L653" i="2" a="1"/>
  <c r="L1417" i="2" a="1"/>
  <c r="L1122" i="2" a="1"/>
  <c r="L1775" i="2" a="1"/>
  <c r="L800" i="2" a="1"/>
  <c r="L1652" i="2" a="1"/>
  <c r="L1671" i="2" a="1"/>
  <c r="L1928" i="2" a="1"/>
  <c r="L1485" i="2" a="1"/>
  <c r="L1527" i="2" a="1"/>
  <c r="L1434" i="2" a="1"/>
  <c r="L767" i="2" a="1"/>
  <c r="L1899" i="2" a="1"/>
  <c r="L1106" i="2" a="1"/>
  <c r="L2115" i="2" a="1"/>
  <c r="L2616" i="2" a="1"/>
  <c r="L1805" i="2" a="1"/>
  <c r="L2332" i="2" a="1"/>
  <c r="L2018" i="2" a="1"/>
  <c r="L1051" i="2" a="1"/>
  <c r="L1948" i="2" a="1"/>
  <c r="L1059" i="2" a="1"/>
  <c r="L2127" i="2" a="1"/>
  <c r="L533" i="2" a="1"/>
  <c r="L1916" i="2" a="1"/>
  <c r="L2395" i="2" a="1"/>
  <c r="L2073" i="2" a="1"/>
  <c r="L2128" i="2" a="1"/>
  <c r="L2715" i="2" a="1"/>
  <c r="L2004" i="2" a="1"/>
  <c r="L2494" i="2" a="1"/>
  <c r="L2796" i="2" a="1"/>
  <c r="L1908" i="2" a="1"/>
  <c r="L2460" i="2" a="1"/>
  <c r="L2725" i="2" a="1"/>
  <c r="L1718" i="2" a="1"/>
  <c r="L2148" i="2" a="1"/>
  <c r="L2461" i="2" a="1"/>
  <c r="L2733" i="2" a="1"/>
  <c r="L1721" i="2" a="1"/>
  <c r="L2289" i="2" a="1"/>
  <c r="L1372" i="2" a="1"/>
  <c r="L1836" i="2" a="1"/>
  <c r="L2359" i="2" a="1"/>
  <c r="L2655" i="2" a="1"/>
  <c r="L1345" i="2" a="1"/>
  <c r="L2031" i="2" a="1"/>
  <c r="L2428" i="2" a="1"/>
  <c r="L1707" i="2" a="1"/>
  <c r="L2635" i="2" a="1"/>
  <c r="L1941" i="2" a="1"/>
  <c r="L2760" i="2" a="1"/>
  <c r="L2823" i="2" a="1"/>
  <c r="L2442" i="2" a="1"/>
  <c r="L2802" i="2" a="1"/>
  <c r="L2718" i="2" a="1"/>
  <c r="L2277" i="2" a="1"/>
  <c r="L2103" i="2" a="1"/>
  <c r="L2766" i="2" a="1"/>
  <c r="L2409" i="2" a="1"/>
  <c r="L2280" i="2" a="1"/>
  <c r="L2799" i="2" a="1"/>
  <c r="L2456" i="2" a="1"/>
  <c r="L13" i="2" a="1"/>
  <c r="L648" i="2" a="1"/>
  <c r="L38" i="2" a="1"/>
  <c r="L398" i="2" a="1"/>
  <c r="L316" i="2" a="1"/>
  <c r="L819" i="2" a="1"/>
  <c r="L684" i="2" a="1"/>
  <c r="L50" i="2" a="1"/>
  <c r="L409" i="2" a="1"/>
  <c r="L476" i="2" a="1"/>
  <c r="L357" i="2" a="1"/>
  <c r="L940" i="2" a="1"/>
  <c r="L568" i="2" a="1"/>
  <c r="L451" i="2" a="1"/>
  <c r="L347" i="2" a="1"/>
  <c r="L84" i="2" a="1"/>
  <c r="L998" i="2" a="1"/>
  <c r="L408" i="2" a="1"/>
  <c r="L1081" i="2" a="1"/>
  <c r="L822" i="2" a="1"/>
  <c r="L376" i="2" a="1"/>
  <c r="L1108" i="2" a="1"/>
  <c r="L952" i="2" a="1"/>
  <c r="L335" i="2" a="1"/>
  <c r="L1028" i="2" a="1"/>
  <c r="L853" i="2" a="1"/>
  <c r="L936" i="2" a="1"/>
  <c r="L149" i="2" a="1"/>
  <c r="L1304" i="2" a="1"/>
  <c r="L1295" i="2" a="1"/>
  <c r="L1103" i="2" a="1"/>
  <c r="L975" i="2" a="1"/>
  <c r="L639" i="2" a="1"/>
  <c r="L496" i="2" a="1"/>
  <c r="L704" i="2" a="1"/>
  <c r="L1428" i="2" a="1"/>
  <c r="L1146" i="2" a="1"/>
  <c r="L1783" i="2" a="1"/>
  <c r="L947" i="2" a="1"/>
  <c r="L1661" i="2" a="1"/>
  <c r="L1680" i="2" a="1"/>
  <c r="L1936" i="2" a="1"/>
  <c r="L1497" i="2" a="1"/>
  <c r="L1547" i="2" a="1"/>
  <c r="L1456" i="2" a="1"/>
  <c r="L846" i="2" a="1"/>
  <c r="L1933" i="2" a="1"/>
  <c r="L1157" i="2" a="1"/>
  <c r="L2134" i="2" a="1"/>
  <c r="L2625" i="2" a="1"/>
  <c r="L1818" i="2" a="1"/>
  <c r="L2352" i="2" a="1"/>
  <c r="L2037" i="2" a="1"/>
  <c r="L1112" i="2" a="1"/>
  <c r="L1958" i="2" a="1"/>
  <c r="L1219" i="2" a="1"/>
  <c r="L2147" i="2" a="1"/>
  <c r="L957" i="2" a="1"/>
  <c r="L1991" i="2" a="1"/>
  <c r="L140" i="2" a="1"/>
  <c r="L2091" i="2" a="1"/>
  <c r="L2144" i="2" a="1"/>
  <c r="L2764" i="2" a="1"/>
  <c r="L2022" i="2" a="1"/>
  <c r="L2506" i="2" a="1"/>
  <c r="L2812" i="2" a="1"/>
  <c r="L1972" i="2" a="1"/>
  <c r="L2484" i="2" a="1"/>
  <c r="L2741" i="2" a="1"/>
  <c r="L1739" i="2" a="1"/>
  <c r="L2163" i="2" a="1"/>
  <c r="L2473" i="2" a="1"/>
  <c r="L2749" i="2" a="1"/>
  <c r="L1834" i="2" a="1"/>
  <c r="L2307" i="2" a="1"/>
  <c r="L236" i="2" a="1"/>
  <c r="L1858" i="2" a="1"/>
  <c r="L2374" i="2" a="1"/>
  <c r="L2663" i="2" a="1"/>
  <c r="L1386" i="2" a="1"/>
  <c r="L2064" i="2" a="1"/>
  <c r="L2441" i="2" a="1"/>
  <c r="L1749" i="2" a="1"/>
  <c r="L2650" i="2" a="1"/>
  <c r="L2189" i="2" a="1"/>
  <c r="L1198" i="2" a="1"/>
  <c r="L283" i="2" a="1"/>
  <c r="L2463" i="2" a="1"/>
  <c r="L2834" i="2" a="1"/>
  <c r="L2840" i="2" a="1"/>
  <c r="L2559" i="2" a="1"/>
  <c r="L2139" i="2" a="1"/>
  <c r="L2835" i="2" a="1"/>
  <c r="L2576" i="2" a="1"/>
  <c r="L2393" i="2" a="1"/>
  <c r="L2396" i="2" a="1"/>
  <c r="L2825" i="2" a="1"/>
  <c r="L2514" i="2" a="1"/>
  <c r="L1020" i="2" a="1"/>
  <c r="L2035" i="2" a="1"/>
  <c r="L2587" i="2" a="1"/>
  <c r="L2784" i="2" a="1"/>
  <c r="L2598" i="2" a="1"/>
  <c r="L1812" i="2" a="1"/>
  <c r="L2670" i="2" a="1"/>
  <c r="L2688" i="2" a="1"/>
  <c r="L2498" i="2" a="1"/>
  <c r="L1723" i="2" a="1"/>
  <c r="L2509" i="2" a="1"/>
  <c r="L2689" i="2" a="1"/>
  <c r="L1138" i="2" a="1"/>
  <c r="L2532" i="2" a="1"/>
  <c r="L1562" i="2" a="1"/>
  <c r="L2329" i="2" a="1"/>
  <c r="L2664" i="2" a="1"/>
  <c r="L29" i="2" a="1"/>
  <c r="L682" i="2" a="1"/>
  <c r="L58" i="2" a="1"/>
  <c r="L416" i="2" a="1"/>
  <c r="L381" i="2" a="1"/>
  <c r="L835" i="2" a="1"/>
  <c r="L700" i="2" a="1"/>
  <c r="L72" i="2" a="1"/>
  <c r="L427" i="2" a="1"/>
  <c r="L503" i="2" a="1"/>
  <c r="L384" i="2" a="1"/>
  <c r="L958" i="2" a="1"/>
  <c r="L41" i="2" a="1"/>
  <c r="L493" i="2" a="1"/>
  <c r="L401" i="2" a="1"/>
  <c r="L219" i="2" a="1"/>
  <c r="L1062" i="2" a="1"/>
  <c r="L468" i="2" a="1"/>
  <c r="L1107" i="2" a="1"/>
  <c r="L921" i="2" a="1"/>
  <c r="L431" i="2" a="1"/>
  <c r="L1134" i="2" a="1"/>
  <c r="L991" i="2" a="1"/>
  <c r="L375" i="2" a="1"/>
  <c r="L1056" i="2" a="1"/>
  <c r="L924" i="2" a="1"/>
  <c r="L1021" i="2" a="1"/>
  <c r="L229" i="2" a="1"/>
  <c r="L1323" i="2" a="1"/>
  <c r="L1341" i="2" a="1"/>
  <c r="L1149" i="2" a="1"/>
  <c r="L1024" i="2" a="1"/>
  <c r="L740" i="2" a="1"/>
  <c r="L588" i="2" a="1"/>
  <c r="L1003" i="2" a="1"/>
  <c r="L1451" i="2" a="1"/>
  <c r="L1203" i="2" a="1"/>
  <c r="L1799" i="2" a="1"/>
  <c r="L1034" i="2" a="1"/>
  <c r="L49" i="2" a="1"/>
  <c r="L1696" i="2" a="1"/>
  <c r="L127" i="2" a="1"/>
  <c r="L1526" i="2" a="1"/>
  <c r="L1578" i="2" a="1"/>
  <c r="L1518" i="2" a="1"/>
  <c r="L1048" i="2" a="1"/>
  <c r="L1956" i="2" a="1"/>
  <c r="L1329" i="2" a="1"/>
  <c r="L2164" i="2" a="1"/>
  <c r="L216" i="2" a="1"/>
  <c r="L1866" i="2" a="1"/>
  <c r="L2381" i="2" a="1"/>
  <c r="L2067" i="2" a="1"/>
  <c r="L1302" i="2" a="1"/>
  <c r="L1998" i="2" a="1"/>
  <c r="L1409" i="2" a="1"/>
  <c r="L2177" i="2" a="1"/>
  <c r="L1129" i="2" a="1"/>
  <c r="L2080" i="2" a="1"/>
  <c r="L96" i="2" a="1"/>
  <c r="L2179" i="2" a="1"/>
  <c r="L2212" i="2" a="1"/>
  <c r="L2788" i="2" a="1"/>
  <c r="L2180" i="2" a="1"/>
  <c r="L2551" i="2" a="1"/>
  <c r="L646" i="2" a="1"/>
  <c r="L2042" i="2" a="1"/>
  <c r="L2517" i="2" a="1"/>
  <c r="L2773" i="2" a="1"/>
  <c r="L1787" i="2" a="1"/>
  <c r="L2200" i="2" a="1"/>
  <c r="L2507" i="2" a="1"/>
  <c r="L2781" i="2" a="1"/>
  <c r="L1973" i="2" a="1"/>
  <c r="L2399" i="2" a="1"/>
  <c r="L1085" i="2" a="1"/>
  <c r="L1940" i="2" a="1"/>
  <c r="L2416" i="2" a="1"/>
  <c r="L2679" i="2" a="1"/>
  <c r="L1458" i="2" a="1"/>
  <c r="L2133" i="2" a="1"/>
  <c r="L2488" i="2" a="1"/>
  <c r="L2033" i="2" a="1"/>
  <c r="L2680" i="2" a="1"/>
  <c r="L2686" i="2" a="1"/>
  <c r="L2515" i="2" a="1"/>
  <c r="L1593" i="2" a="1"/>
  <c r="L2543" i="2" a="1"/>
  <c r="L433" i="2" a="1"/>
  <c r="L205" i="2" a="1"/>
  <c r="L233" i="2" a="1"/>
  <c r="L699" i="2" a="1"/>
  <c r="L820" i="2" a="1"/>
  <c r="L144" i="2" a="1"/>
  <c r="L713" i="2" a="1"/>
  <c r="L73" i="2" a="1"/>
  <c r="L717" i="2" a="1"/>
  <c r="L1250" i="2" a="1"/>
  <c r="L350" i="2" a="1"/>
  <c r="L911" i="2" a="1"/>
  <c r="L1242" i="2" a="1"/>
  <c r="L273" i="2" a="1"/>
  <c r="L1390" i="2" a="1"/>
  <c r="L663" i="2" a="1"/>
  <c r="L456" i="2" a="1"/>
  <c r="L1297" i="2" a="1"/>
  <c r="L501" i="2" a="1"/>
  <c r="L1613" i="2" a="1"/>
  <c r="L1463" i="2" a="1"/>
  <c r="L1816" i="2" a="1"/>
  <c r="L402" i="2" a="1"/>
  <c r="L1730" i="2" a="1"/>
  <c r="L2183" i="2" a="1"/>
  <c r="L2401" i="2" a="1"/>
  <c r="L2106" i="2" a="1"/>
  <c r="L2303" i="2" a="1"/>
  <c r="L2235" i="2" a="1"/>
  <c r="L2422" i="2" a="1"/>
  <c r="L2247" i="2" a="1"/>
  <c r="L1601" i="2" a="1"/>
  <c r="L1785" i="2" a="1"/>
  <c r="L2676" i="2" a="1"/>
  <c r="L2356" i="2" a="1"/>
  <c r="L1371" i="2" a="1"/>
  <c r="L2339" i="2" a="1"/>
  <c r="L1412" i="2" a="1"/>
  <c r="L2564" i="2" a="1"/>
  <c r="L2100" i="2" a="1"/>
  <c r="L2735" i="2" a="1"/>
  <c r="L2309" i="2" a="1"/>
  <c r="L2458" i="2" a="1"/>
  <c r="L2408" i="2" a="1"/>
  <c r="L2172" i="2" a="1"/>
  <c r="L1982" i="2" a="1"/>
  <c r="L1654" i="2" a="1"/>
  <c r="L2468" i="2" a="1"/>
  <c r="L1469" i="2" a="1"/>
  <c r="L2712" i="2" a="1"/>
  <c r="L2229" i="2" a="1"/>
  <c r="L2248" i="2" a="1"/>
  <c r="L1825" i="2" a="1"/>
  <c r="L2081" i="2" a="1"/>
  <c r="L2728" i="2" a="1"/>
  <c r="L2241" i="2" a="1"/>
  <c r="L2642" i="2" a="1"/>
  <c r="L1561" i="2" a="1"/>
  <c r="L2758" i="2" a="1"/>
  <c r="L2831" i="2" a="1"/>
  <c r="L2534" i="2" a="1"/>
  <c r="L2389" i="2" a="1"/>
  <c r="L2726" i="2" a="1"/>
  <c r="L2260" i="2" a="1"/>
  <c r="L571" i="2" a="1"/>
  <c r="L1664" i="2" a="1"/>
  <c r="L2266" i="2" a="1"/>
  <c r="L2429" i="2" a="1"/>
  <c r="L1012" i="2" a="1"/>
  <c r="L2181" i="2" a="1"/>
  <c r="L2577" i="2" a="1"/>
  <c r="L2477" i="2" a="1"/>
  <c r="L447" i="2" a="1"/>
  <c r="L765" i="2" a="1"/>
  <c r="L1900" i="2" a="1"/>
  <c r="L2573" i="2" a="1"/>
  <c r="L2426" i="2" a="1"/>
  <c r="L2736" i="2" a="1"/>
  <c r="L2768" i="2" a="1"/>
  <c r="L455" i="2" a="1"/>
  <c r="L1712" i="2" a="1"/>
  <c r="L2585" i="2" a="1"/>
  <c r="L2340" i="2" a="1"/>
  <c r="L2072" i="2" a="1"/>
  <c r="L2674" i="2" a="1"/>
  <c r="L90" i="2" a="1"/>
  <c r="L440" i="2" a="1"/>
  <c r="L1083" i="2" a="1"/>
  <c r="L1123" i="2" a="1"/>
  <c r="L1934" i="2" a="1"/>
  <c r="L2606" i="2" a="1"/>
  <c r="L2221" i="2" a="1"/>
  <c r="L2604" i="2" a="1"/>
  <c r="L2699" i="2" a="1"/>
  <c r="L102" i="2" a="1"/>
  <c r="L548" i="2" a="1"/>
  <c r="L1153" i="2" a="1"/>
  <c r="L2058" i="2" a="1"/>
  <c r="L965" i="2" a="1"/>
  <c r="L2795" i="2" a="1"/>
  <c r="L2143" i="2" a="1"/>
  <c r="L1862" i="2" a="1"/>
  <c r="L693" i="2" a="1"/>
  <c r="L1374" i="2" a="1"/>
  <c r="L1800" i="2" a="1"/>
  <c r="L2274" i="2" a="1"/>
  <c r="L2287" i="2" a="1"/>
  <c r="L2719" i="2" a="1"/>
  <c r="L1980" i="2" a="1"/>
  <c r="L2816" i="2" a="1"/>
  <c r="L665" i="2" a="1"/>
  <c r="L407" i="2" a="1"/>
  <c r="L827" i="2" a="1"/>
  <c r="L62" i="2" a="1"/>
  <c r="L488" i="2" a="1"/>
  <c r="L950" i="2" a="1"/>
  <c r="L466" i="2" a="1"/>
  <c r="L109" i="2" a="1"/>
  <c r="L430" i="2" a="1"/>
  <c r="L899" i="2" a="1"/>
  <c r="L1125" i="2" a="1"/>
  <c r="L353" i="2" a="1"/>
  <c r="L891" i="2" a="1"/>
  <c r="L191" i="2" a="1"/>
  <c r="L1305" i="2" a="1"/>
  <c r="L993" i="2" a="1"/>
  <c r="L531" i="2" a="1"/>
  <c r="L1441" i="2" a="1"/>
  <c r="L1791" i="2" a="1"/>
  <c r="L1670" i="2" a="1"/>
  <c r="L1944" i="2" a="1"/>
  <c r="L1567" i="2" a="1"/>
  <c r="L927" i="2" a="1"/>
  <c r="L1214" i="2" a="1"/>
  <c r="L2633" i="2" a="1"/>
  <c r="L2362" i="2" a="1"/>
  <c r="L1166" i="2" a="1"/>
  <c r="L1361" i="2" a="1"/>
  <c r="L1015" i="2" a="1"/>
  <c r="L404" i="2" a="1"/>
  <c r="L2197" i="2" a="1"/>
  <c r="L2129" i="2" a="1"/>
  <c r="L421" i="2" a="1"/>
  <c r="L2495" i="2" a="1"/>
  <c r="L1763" i="2" a="1"/>
  <c r="L2496" i="2" a="1"/>
  <c r="L1855" i="2" a="1"/>
  <c r="L697" i="2" a="1"/>
  <c r="L2388" i="2" a="1"/>
  <c r="L1420" i="2" a="1"/>
  <c r="L2453" i="2" a="1"/>
  <c r="L2665" i="2" a="1"/>
  <c r="L2299" i="2" a="1"/>
  <c r="L2502" i="2" a="1"/>
  <c r="L1984" i="2" a="1"/>
  <c r="L1750" i="2" a="1"/>
  <c r="L2657" i="2" a="1"/>
  <c r="L1598" i="2" a="1"/>
  <c r="L2767" i="2" a="1"/>
  <c r="L2455" i="2" a="1"/>
  <c r="L2281" i="2" a="1"/>
  <c r="L2261" i="2" a="1"/>
  <c r="L2182" i="2" a="1"/>
  <c r="L2829" i="2" a="1"/>
  <c r="L2521" i="2" a="1"/>
  <c r="L1942" i="2" a="1"/>
  <c r="L1725" i="2" a="1"/>
  <c r="L1620" i="2" a="1"/>
  <c r="L1788" i="2" a="1"/>
  <c r="L1861" i="2" a="1"/>
  <c r="L1905" i="2" a="1"/>
  <c r="L2737" i="2" a="1"/>
  <c r="L2114" i="2" a="1"/>
  <c r="L837" i="2" a="1"/>
  <c r="L879" i="2" a="1"/>
  <c r="L1651" i="2" a="1"/>
  <c r="L1205" i="2" a="1"/>
  <c r="L1482" i="2" a="1"/>
  <c r="L2527" i="2" a="1"/>
  <c r="L1990" i="2" a="1"/>
  <c r="L2555" i="2" a="1"/>
  <c r="L2557" i="2" a="1"/>
  <c r="L1113" i="2" a="1"/>
  <c r="L2020" i="2" a="1"/>
  <c r="L692" i="2" a="1"/>
  <c r="L386" i="2" a="1"/>
  <c r="L1004" i="2" a="1"/>
  <c r="L751" i="2" a="1"/>
  <c r="L1488" i="2" a="1"/>
  <c r="L2060" i="2" a="1"/>
  <c r="L2023" i="2" a="1"/>
  <c r="L2671" i="2" a="1"/>
  <c r="L2464" i="2" a="1"/>
  <c r="L2785" i="2" a="1"/>
  <c r="L70" i="2" a="1"/>
  <c r="L413" i="2" a="1"/>
  <c r="L1038" i="2" a="1"/>
  <c r="L1230" i="2" a="1"/>
  <c r="L2184" i="2" a="1"/>
  <c r="L2804" i="2" a="1"/>
  <c r="L2687" i="2" a="1"/>
  <c r="L1955" i="2" a="1"/>
  <c r="L2220" i="2" a="1"/>
  <c r="L444" i="2" a="1"/>
  <c r="L1098" i="2" a="1"/>
  <c r="L1074" i="2" a="1"/>
  <c r="L1180" i="2" a="1"/>
  <c r="L1548" i="2" a="1"/>
  <c r="L2097" i="2" a="1"/>
  <c r="L2130" i="2" a="1"/>
  <c r="L2695" i="2" a="1"/>
  <c r="L2524" i="2" a="1"/>
  <c r="L2810" i="2" a="1"/>
  <c r="L453" i="2" a="1"/>
  <c r="L527" i="2" a="1"/>
  <c r="L1114" i="2" a="1"/>
  <c r="L2116" i="2" a="1"/>
  <c r="L2199" i="2" a="1"/>
  <c r="L2554" i="2" a="1"/>
  <c r="L2108" i="2" a="1"/>
  <c r="L2771" i="2" a="1"/>
  <c r="L173" i="2" a="1"/>
  <c r="L1286" i="2" a="1"/>
  <c r="L2223" i="2" a="1"/>
  <c r="L2637" i="2" a="1"/>
  <c r="L2240" i="2" a="1"/>
  <c r="L2623" i="2" a="1"/>
  <c r="L2634" i="2" a="1"/>
  <c r="L130" i="2" a="1"/>
  <c r="L310" i="2" a="1"/>
  <c r="L1584" i="2" a="1"/>
  <c r="L2205" i="2" a="1"/>
  <c r="L2306" i="2" a="1"/>
  <c r="L1388" i="2" a="1"/>
  <c r="L690" i="2" a="1"/>
  <c r="L425" i="2" a="1"/>
  <c r="L843" i="2" a="1"/>
  <c r="L82" i="2" a="1"/>
  <c r="L542" i="2" a="1"/>
  <c r="L966" i="2" a="1"/>
  <c r="L505" i="2" a="1"/>
  <c r="L241" i="2" a="1"/>
  <c r="L486" i="2" a="1"/>
  <c r="L941" i="2" a="1"/>
  <c r="L1151" i="2" a="1"/>
  <c r="L432" i="2" a="1"/>
  <c r="L954" i="2" a="1"/>
  <c r="L258" i="2" a="1"/>
  <c r="L1358" i="2" a="1"/>
  <c r="L1041" i="2" a="1"/>
  <c r="L645" i="2" a="1"/>
  <c r="L1461" i="2" a="1"/>
  <c r="L1807" i="2" a="1"/>
  <c r="L458" i="2" a="1"/>
  <c r="L194" i="2" a="1"/>
  <c r="L1596" i="2" a="1"/>
  <c r="L1101" i="2" a="1"/>
  <c r="L1355" i="2" a="1"/>
  <c r="L360" i="2" a="1"/>
  <c r="L2391" i="2" a="1"/>
  <c r="L1331" i="2" a="1"/>
  <c r="L1427" i="2" a="1"/>
  <c r="L1280" i="2" a="1"/>
  <c r="L1032" i="2" a="1"/>
  <c r="L2230" i="2" a="1"/>
  <c r="L2198" i="2" a="1"/>
  <c r="L1171" i="2" a="1"/>
  <c r="L2539" i="2" a="1"/>
  <c r="L1828" i="2" a="1"/>
  <c r="L2530" i="2" a="1"/>
  <c r="L1992" i="2" a="1"/>
  <c r="L1190" i="2" a="1"/>
  <c r="L2439" i="2" a="1"/>
  <c r="L1550" i="2" a="1"/>
  <c r="L2510" i="2" a="1"/>
  <c r="L2694" i="2" a="1"/>
  <c r="L559" i="2" a="1"/>
  <c r="L2603" i="2" a="1"/>
  <c r="L2193" i="2" a="1"/>
  <c r="L1798" i="2" a="1"/>
  <c r="L2817" i="2" a="1"/>
  <c r="L1656" i="2" a="1"/>
  <c r="L2698" i="2" a="1"/>
  <c r="L2062" i="2" a="1"/>
  <c r="L2348" i="2" a="1"/>
  <c r="L2493" i="2" a="1"/>
  <c r="L2256" i="2" a="1"/>
  <c r="L1906" i="2" a="1"/>
  <c r="L2691" i="2" a="1"/>
  <c r="L2658" i="2" a="1"/>
  <c r="L1774" i="2" a="1"/>
  <c r="L1683" i="2" a="1"/>
  <c r="L2414" i="2" a="1"/>
  <c r="L2317" i="2" a="1"/>
  <c r="L1897" i="2" a="1"/>
  <c r="L1817" i="2" a="1"/>
  <c r="L2478" i="2" a="1"/>
  <c r="L2798" i="2" a="1"/>
  <c r="L1860" i="2" a="1"/>
  <c r="L1699" i="2" a="1"/>
  <c r="L2029" i="2" a="1"/>
  <c r="L271" i="2" a="1"/>
  <c r="L418" i="2" a="1"/>
  <c r="L1090" i="2" a="1"/>
  <c r="L1314" i="2" a="1"/>
  <c r="L1173" i="2" a="1"/>
  <c r="L1946" i="2" a="1"/>
  <c r="L2161" i="2" a="1"/>
  <c r="L2757" i="2" a="1"/>
  <c r="L1963" i="2" a="1"/>
  <c r="L2546" i="2" a="1"/>
  <c r="L2187" i="2" a="1"/>
  <c r="L37" i="2" a="1"/>
  <c r="L87" i="2" a="1"/>
  <c r="L1046" i="2" a="1"/>
  <c r="L1061" i="2" a="1"/>
  <c r="L1529" i="2" a="1"/>
  <c r="L2090" i="2" a="1"/>
  <c r="L167" i="2" a="1"/>
  <c r="L2120" i="2" a="1"/>
  <c r="L1921" i="2" a="1"/>
  <c r="L716" i="2" a="1"/>
  <c r="L428" i="2" a="1"/>
  <c r="L1055" i="2" a="1"/>
  <c r="L1093" i="2" a="1"/>
  <c r="L1913" i="2" a="1"/>
  <c r="L1140" i="2" a="1"/>
  <c r="L2437" i="2" a="1"/>
  <c r="L289" i="2" a="1"/>
  <c r="L2779" i="2" a="1"/>
  <c r="L53" i="2" a="1"/>
  <c r="L1115" i="2" a="1"/>
  <c r="L1266" i="2" a="1"/>
  <c r="L1568" i="2" a="1"/>
  <c r="L2048" i="2" a="1"/>
  <c r="L424" i="2" a="1"/>
  <c r="L2084" i="2" a="1"/>
  <c r="L2050" i="2" a="1"/>
  <c r="L61" i="2" a="1"/>
  <c r="L1167" i="2" a="1"/>
  <c r="L1172" i="2" a="1"/>
  <c r="L2136" i="2" a="1"/>
  <c r="L2288" i="2" a="1"/>
  <c r="L2000" i="2" a="1"/>
  <c r="L1773" i="2" a="1"/>
  <c r="L804" i="2" a="1"/>
  <c r="L1226" i="2" a="1"/>
  <c r="L1442" i="2" a="1"/>
  <c r="L2383" i="2" a="1"/>
  <c r="L2497" i="2" a="1"/>
  <c r="L2762" i="2" a="1"/>
  <c r="L698" i="2" a="1"/>
  <c r="L434" i="2" a="1"/>
  <c r="L851" i="2" a="1"/>
  <c r="L94" i="2" a="1"/>
  <c r="L555" i="2" a="1"/>
  <c r="L974" i="2" a="1"/>
  <c r="L520" i="2" a="1"/>
  <c r="L259" i="2" a="1"/>
  <c r="L506" i="2" a="1"/>
  <c r="L969" i="2" a="1"/>
  <c r="L1168" i="2" a="1"/>
  <c r="L472" i="2" a="1"/>
  <c r="L973" i="2" a="1"/>
  <c r="L300" i="2" a="1"/>
  <c r="L1375" i="2" a="1"/>
  <c r="L1058" i="2" a="1"/>
  <c r="L696" i="2" a="1"/>
  <c r="L1473" i="2" a="1"/>
  <c r="L1815" i="2" a="1"/>
  <c r="L512" i="2" a="1"/>
  <c r="L257" i="2" a="1"/>
  <c r="L1616" i="2" a="1"/>
  <c r="L1156" i="2" a="1"/>
  <c r="L1377" i="2" a="1"/>
  <c r="L474" i="2" a="1"/>
  <c r="L81" i="2" a="1"/>
  <c r="L1360" i="2" a="1"/>
  <c r="L1449" i="2" a="1"/>
  <c r="L1343" i="2" a="1"/>
  <c r="L1472" i="2" a="1"/>
  <c r="L2285" i="2" a="1"/>
  <c r="L2217" i="2" a="1"/>
  <c r="L1318" i="2" a="1"/>
  <c r="L2552" i="2" a="1"/>
  <c r="L1873" i="2" a="1"/>
  <c r="L2541" i="2" a="1"/>
  <c r="L2010" i="2" a="1"/>
  <c r="L1282" i="2" a="1"/>
  <c r="L2465" i="2" a="1"/>
  <c r="L1582" i="2" a="1"/>
  <c r="L2533" i="2" a="1"/>
  <c r="L2790" i="2" a="1"/>
  <c r="L2168" i="2" a="1"/>
  <c r="L2622" i="2" a="1"/>
  <c r="L2662" i="2" a="1"/>
  <c r="L2210" i="2" a="1"/>
  <c r="L2157" i="2" a="1"/>
  <c r="L1709" i="2" a="1"/>
  <c r="L2806" i="2" a="1"/>
  <c r="L2599" i="2" a="1"/>
  <c r="L2377" i="2" a="1"/>
  <c r="L2659" i="2" a="1"/>
  <c r="L2358" i="2" a="1"/>
  <c r="L2770" i="2" a="1"/>
  <c r="L1821" i="2" a="1"/>
  <c r="L2467" i="2" a="1"/>
  <c r="L2832" i="2" a="1"/>
  <c r="L2466" i="2" a="1"/>
  <c r="L2192" i="2" a="1"/>
  <c r="L1220" i="2" a="1"/>
  <c r="L1572" i="2" a="1"/>
  <c r="L2586" i="2" a="1"/>
  <c r="L168" i="2" a="1"/>
  <c r="L2827" i="2" a="1"/>
  <c r="L2150" i="2" a="1"/>
  <c r="L2145" i="2" a="1"/>
  <c r="L2591" i="2" a="1"/>
  <c r="L2678" i="2" a="1"/>
  <c r="L1065" i="2" a="1"/>
  <c r="L1537" i="2" a="1"/>
  <c r="L2249" i="2" a="1"/>
  <c r="L1962" i="2" a="1"/>
  <c r="L2503" i="2" a="1"/>
  <c r="L2734" i="2" a="1"/>
  <c r="L103" i="2" a="1"/>
  <c r="L1977" i="2" a="1"/>
  <c r="L166" i="2" a="1"/>
  <c r="L2838" i="2" a="1"/>
  <c r="L2207" i="2" a="1"/>
  <c r="L437" i="2" a="1"/>
  <c r="L1102" i="2" a="1"/>
  <c r="L1996" i="2" a="1"/>
  <c r="L1437" i="2" a="1"/>
  <c r="L1080" i="2" a="1"/>
  <c r="L1922" i="2" a="1"/>
  <c r="L2535" i="2" a="1"/>
  <c r="L2457" i="2" a="1"/>
  <c r="L454" i="2" a="1"/>
  <c r="L28" i="2" a="1"/>
  <c r="L1586" i="2" a="1"/>
  <c r="L2140" i="2" a="1"/>
  <c r="L2485" i="2" a="1"/>
  <c r="L1284" i="2" a="1"/>
  <c r="L2805" i="2" a="1"/>
  <c r="L215" i="2" a="1"/>
  <c r="L1232" i="2" a="1"/>
  <c r="L1197" i="2" a="1"/>
  <c r="L2076" i="2" a="1"/>
  <c r="L1079" i="2" a="1"/>
  <c r="L2418" i="2" a="1"/>
  <c r="L2640" i="2" a="1"/>
  <c r="L706" i="2" a="1"/>
  <c r="L443" i="2" a="1"/>
  <c r="L859" i="2" a="1"/>
  <c r="L104" i="2" a="1"/>
  <c r="L567" i="2" a="1"/>
  <c r="L982" i="2" a="1"/>
  <c r="L532" i="2" a="1"/>
  <c r="L284" i="2" a="1"/>
  <c r="L524" i="2" a="1"/>
  <c r="L989" i="2" a="1"/>
  <c r="L1185" i="2" a="1"/>
  <c r="L529" i="2" a="1"/>
  <c r="L984" i="2" a="1"/>
  <c r="L379" i="2" a="1"/>
  <c r="L1383" i="2" a="1"/>
  <c r="L1136" i="2" a="1"/>
  <c r="L721" i="2" a="1"/>
  <c r="L1483" i="2" a="1"/>
  <c r="L1823" i="2" a="1"/>
  <c r="L574" i="2" a="1"/>
  <c r="L323" i="2" a="1"/>
  <c r="L1626" i="2" a="1"/>
  <c r="L1299" i="2" a="1"/>
  <c r="L1401" i="2" a="1"/>
  <c r="L592" i="2" a="1"/>
  <c r="L362" i="2" a="1"/>
  <c r="L1385" i="2" a="1"/>
  <c r="L1468" i="2" a="1"/>
  <c r="L1387" i="2" a="1"/>
  <c r="L1509" i="2" a="1"/>
  <c r="L2300" i="2" a="1"/>
  <c r="L2231" i="2" a="1"/>
  <c r="L1370" i="2" a="1"/>
  <c r="L2563" i="2" a="1"/>
  <c r="L1893" i="2" a="1"/>
  <c r="L2553" i="2" a="1"/>
  <c r="L2025" i="2" a="1"/>
  <c r="L1373" i="2" a="1"/>
  <c r="L2476" i="2" a="1"/>
  <c r="L1649" i="2" a="1"/>
  <c r="L2545" i="2" a="1"/>
  <c r="L2801" i="2" a="1"/>
  <c r="L2434" i="2" a="1"/>
  <c r="L2638" i="2" a="1"/>
  <c r="L2746" i="2" a="1"/>
  <c r="L2279" i="2" a="1"/>
  <c r="L2702" i="2" a="1"/>
  <c r="L1753" i="2" a="1"/>
  <c r="L1492" i="2" a="1"/>
  <c r="L1796" i="2" a="1"/>
  <c r="L2667" i="2" a="1"/>
  <c r="L1939" i="2" a="1"/>
  <c r="L2419" i="2" a="1"/>
  <c r="L2626" i="2" a="1"/>
  <c r="L1566" i="2" a="1"/>
  <c r="L802" i="2" a="1"/>
  <c r="L1797" i="2" a="1"/>
  <c r="L2099" i="2" a="1"/>
  <c r="L2454" i="2" a="1"/>
  <c r="L412" i="2" a="1"/>
  <c r="L2166" i="2" a="1"/>
  <c r="L2118" i="2" a="1"/>
  <c r="L2797" i="2" a="1"/>
  <c r="L2630" i="2" a="1"/>
  <c r="L1124" i="2" a="1"/>
  <c r="L1966" i="2" a="1"/>
  <c r="L2111" i="2" a="1"/>
  <c r="L2209" i="2" a="1"/>
  <c r="L1777" i="2" a="1"/>
  <c r="L2592" i="2" a="1"/>
  <c r="L814" i="2" a="1"/>
  <c r="L2109" i="2" a="1"/>
  <c r="L1975" i="2" a="1"/>
  <c r="L2270" i="2" a="1"/>
  <c r="L2257" i="2" a="1"/>
  <c r="L839" i="2" a="1"/>
  <c r="L2462" i="2" a="1"/>
  <c r="L2538" i="2" a="1"/>
  <c r="L508" i="2" a="1"/>
  <c r="L1132" i="2" a="1"/>
  <c r="L976" i="2" a="1"/>
  <c r="L2016" i="2" a="1"/>
  <c r="L1476" i="2" a="1"/>
  <c r="L2012" i="2" a="1"/>
  <c r="L1619" i="2" a="1"/>
  <c r="L2415" i="2" a="1"/>
  <c r="L683" i="2" a="1"/>
  <c r="L862" i="2" a="1"/>
  <c r="L321" i="2" a="1"/>
  <c r="L2371" i="2" a="1"/>
  <c r="L1510" i="2" a="1"/>
  <c r="L2063" i="2" a="1"/>
  <c r="L2839" i="2" a="1"/>
  <c r="L2178" i="2" a="1"/>
  <c r="L714" i="2" a="1"/>
  <c r="L462" i="2" a="1"/>
  <c r="L867" i="2" a="1"/>
  <c r="L124" i="2" a="1"/>
  <c r="L578" i="2" a="1"/>
  <c r="L990" i="2" a="1"/>
  <c r="L546" i="2" a="1"/>
  <c r="L325" i="2" a="1"/>
  <c r="L545" i="2" a="1"/>
  <c r="L999" i="2" a="1"/>
  <c r="L17" i="2" a="1"/>
  <c r="L549" i="2" a="1"/>
  <c r="L1030" i="2" a="1"/>
  <c r="L405" i="2" a="1"/>
  <c r="L1391" i="2" a="1"/>
  <c r="L1211" i="2" a="1"/>
  <c r="L749" i="2" a="1"/>
  <c r="L1493" i="2" a="1"/>
  <c r="L1831" i="2" a="1"/>
  <c r="L720" i="2" a="1"/>
  <c r="L459" i="2" a="1"/>
  <c r="L1663" i="2" a="1"/>
  <c r="L1348" i="2" a="1"/>
  <c r="L1425" i="2" a="1"/>
  <c r="L680" i="2" a="1"/>
  <c r="L475" i="2" a="1"/>
  <c r="L1448" i="2" a="1"/>
  <c r="L1489" i="2" a="1"/>
  <c r="L1411" i="2" a="1"/>
  <c r="L1569" i="2" a="1"/>
  <c r="L2423" i="2" a="1"/>
  <c r="L2250" i="2" a="1"/>
  <c r="L1440" i="2" a="1"/>
  <c r="L2596" i="2" a="1"/>
  <c r="L1915" i="2" a="1"/>
  <c r="L2574" i="2" a="1"/>
  <c r="L2043" i="2" a="1"/>
  <c r="L1491" i="2" a="1"/>
  <c r="L2487" i="2" a="1"/>
  <c r="L1677" i="2" a="1"/>
  <c r="L2566" i="2" a="1"/>
  <c r="L2813" i="2" a="1"/>
  <c r="L2615" i="2" a="1"/>
  <c r="L2707" i="2" a="1"/>
  <c r="L1514" i="2" a="1"/>
  <c r="L2315" i="2" a="1"/>
  <c r="L2704" i="2" a="1"/>
  <c r="L1801" i="2" a="1"/>
  <c r="L2013" i="2" a="1"/>
  <c r="L2101" i="2" a="1"/>
  <c r="L2682" i="2" a="1"/>
  <c r="L1436" i="2" a="1"/>
  <c r="L2489" i="2" a="1"/>
  <c r="L2730" i="2" a="1"/>
  <c r="L1974" i="2" a="1"/>
  <c r="L2556" i="2" a="1"/>
  <c r="L1902" i="2" a="1"/>
  <c r="L2014" i="2" a="1"/>
  <c r="L2032" i="2" a="1"/>
  <c r="L2051" i="2" a="1"/>
  <c r="L2308" i="2" a="1"/>
  <c r="L2710" i="2" a="1"/>
  <c r="L2480" i="2" a="1"/>
  <c r="L883" i="2" a="1"/>
  <c r="L848" i="2" a="1"/>
  <c r="L744" i="2" a="1"/>
  <c r="L1076" i="2" a="1"/>
  <c r="L1293" i="2" a="1"/>
  <c r="L1657" i="2" a="1"/>
  <c r="L1891" i="2" a="1"/>
  <c r="L1602" i="2" a="1"/>
  <c r="L1618" i="2" a="1"/>
  <c r="L2791" i="2" a="1"/>
  <c r="L2504" i="2" a="1"/>
  <c r="L2739" i="2" a="1"/>
  <c r="L48" i="2" a="1"/>
  <c r="L369" i="2" a="1"/>
  <c r="L971" i="2" a="1"/>
  <c r="L1120" i="2" a="1"/>
  <c r="L1688" i="2" a="1"/>
  <c r="L2047" i="2" a="1"/>
  <c r="L2780" i="2" a="1"/>
  <c r="L2357" i="2" a="1"/>
  <c r="L734" i="2" a="1"/>
  <c r="L1288" i="2" a="1"/>
  <c r="L2571" i="2" a="1"/>
  <c r="L396" i="2" a="1"/>
  <c r="L469" i="2" a="1"/>
  <c r="L1164" i="2" a="1"/>
  <c r="L1704" i="2" a="1"/>
  <c r="L2196" i="2" a="1"/>
  <c r="L2236" i="2" a="1"/>
  <c r="L1838" i="2" a="1"/>
  <c r="L2837" i="2" a="1"/>
  <c r="C50" i="3" a="1"/>
  <c r="L45" i="2" a="1"/>
  <c r="L1141" i="2" a="1"/>
  <c r="L1086" i="2" a="1"/>
  <c r="L1254" i="2" a="1"/>
  <c r="L2194" i="2" a="1"/>
  <c r="L2216" i="2" a="1"/>
  <c r="L825" i="2" a="1"/>
  <c r="L1883" i="2" a="1"/>
  <c r="L1421" i="2" a="1"/>
  <c r="L724" i="2" a="1"/>
  <c r="L1150" i="2" a="1"/>
  <c r="L1366" i="2" a="1"/>
  <c r="L1576" i="2" a="1"/>
  <c r="L2119" i="2" a="1"/>
  <c r="L1993" i="2" a="1"/>
  <c r="L1031" i="2" a="1"/>
  <c r="L1917" i="2" a="1"/>
  <c r="L731" i="2" a="1"/>
  <c r="L1117" i="2" a="1"/>
  <c r="L1728" i="2" a="1"/>
  <c r="L2245" i="2" a="1"/>
  <c r="L1188" i="2" a="1"/>
  <c r="L2643" i="2" a="1"/>
  <c r="L2776" i="2" a="1"/>
  <c r="L10" i="2" a="1"/>
  <c r="L607" i="2" a="1"/>
  <c r="L1714" i="2" a="1"/>
  <c r="L1144" i="2" a="1"/>
  <c r="L2276" i="2" a="1"/>
  <c r="L1508" i="2" a="1"/>
  <c r="L27" i="2" a="1"/>
  <c r="L786" i="2" a="1"/>
  <c r="L553" i="2" a="1"/>
  <c r="L308" i="2" a="1"/>
  <c r="L226" i="2" a="1"/>
  <c r="L854" i="2" a="1"/>
  <c r="L225" i="2" a="1"/>
  <c r="L777" i="2" a="1"/>
  <c r="L541" i="2" a="1"/>
  <c r="L782" i="2" a="1"/>
  <c r="L1193" i="2" a="1"/>
  <c r="L311" i="2" a="1"/>
  <c r="L702" i="2" a="1"/>
  <c r="L1204" i="2" a="1"/>
  <c r="L806" i="2" a="1"/>
  <c r="L192" i="2" a="1"/>
  <c r="L1376" i="2" a="1"/>
  <c r="L1043" i="2" a="1"/>
  <c r="L1633" i="2" a="1"/>
  <c r="L1903" i="2" a="1"/>
  <c r="L1229" i="2" a="1"/>
  <c r="L1155" i="2" a="1"/>
  <c r="L587" i="2" a="1"/>
  <c r="L1621" i="2" a="1"/>
  <c r="L1793" i="2" a="1"/>
  <c r="L1356" i="2" a="1"/>
  <c r="L1467" i="2" a="1"/>
  <c r="L1645" i="2" a="1"/>
  <c r="L1856" i="2" a="1"/>
  <c r="L1708" i="2" a="1"/>
  <c r="L1600" i="2" a="1"/>
  <c r="L2483" i="2" a="1"/>
  <c r="L2268" i="2" a="1"/>
  <c r="L1512" i="2" a="1"/>
  <c r="L2618" i="2" a="1"/>
  <c r="L1932" i="2" a="1"/>
  <c r="L2608" i="2" a="1"/>
  <c r="L2061" i="2" a="1"/>
  <c r="L1523" i="2" a="1"/>
  <c r="L2522" i="2" a="1"/>
  <c r="L1700" i="2" a="1"/>
  <c r="L2589" i="2" a="1"/>
  <c r="L2833" i="2" a="1"/>
  <c r="L2761" i="2" a="1"/>
  <c r="L2722" i="2" a="1"/>
  <c r="L1994" i="2" a="1"/>
  <c r="L2347" i="2" a="1"/>
  <c r="L557" i="2" a="1"/>
  <c r="L1884" i="2" a="1"/>
  <c r="L2325" i="2" a="1"/>
  <c r="L2337" i="2" a="1"/>
  <c r="L2697" i="2" a="1"/>
  <c r="L2786" i="2" a="1"/>
  <c r="L2508" i="2" a="1"/>
  <c r="L1563" i="2" a="1"/>
  <c r="L2044" i="2" a="1"/>
  <c r="L2809" i="2" a="1"/>
  <c r="L2227" i="2" a="1"/>
  <c r="L2631" i="2" a="1"/>
  <c r="L2547" i="2" a="1"/>
  <c r="L43" i="2" a="1"/>
  <c r="L254" i="2" a="1"/>
  <c r="L265" i="2" a="1"/>
  <c r="L594" i="2" a="1"/>
  <c r="L1209" i="2" a="1"/>
  <c r="L351" i="2" a="1"/>
  <c r="L1392" i="2" a="1"/>
  <c r="L1918" i="2" a="1"/>
  <c r="L679" i="2" a="1"/>
  <c r="L1676" i="2" a="1"/>
  <c r="L2338" i="2" a="1"/>
  <c r="L2113" i="2" a="1"/>
  <c r="L1748" i="2" a="1"/>
  <c r="L2443" i="2" a="1"/>
  <c r="L2803" i="2" a="1"/>
  <c r="L2549" i="2" a="1"/>
  <c r="L21" i="2" a="1"/>
  <c r="L326" i="2" a="1"/>
  <c r="L24" i="2" a="1"/>
  <c r="L1037" i="2" a="1"/>
  <c r="L719" i="2" a="1"/>
  <c r="L1507" i="2" a="1"/>
  <c r="L1979" i="2" a="1"/>
  <c r="L2528" i="2" a="1"/>
  <c r="L1875" i="2" a="1"/>
  <c r="L2683" i="2" a="1"/>
  <c r="L2742" i="2" a="1"/>
  <c r="L2" i="2" a="1"/>
  <c r="L708" i="2" a="1"/>
  <c r="L1071" i="2" a="1"/>
  <c r="L1332" i="2" a="1"/>
  <c r="L1067" i="2" a="1"/>
  <c r="L2086" i="2" a="1"/>
  <c r="L2789" i="2" a="1"/>
  <c r="L2152" i="2" a="1"/>
  <c r="L2565" i="2" a="1"/>
  <c r="L1457" i="2" a="1"/>
  <c r="L80" i="2" a="1"/>
  <c r="L423" i="2" a="1"/>
  <c r="L487" i="2" a="1"/>
  <c r="L1349" i="2" a="1"/>
  <c r="L1555" i="2" a="1"/>
  <c r="L2028" i="2" a="1"/>
  <c r="L2251" i="2" a="1"/>
  <c r="L2330" i="2" a="1"/>
  <c r="L2361" i="2" a="1"/>
  <c r="L2612" i="2" a="1"/>
  <c r="L464" i="2" a="1"/>
  <c r="L1100" i="2" a="1"/>
  <c r="L1273" i="2" a="1"/>
  <c r="L2213" i="2" a="1"/>
  <c r="L148" i="2" a="1"/>
  <c r="L2703" i="2" a="1"/>
  <c r="L2579" i="2" a="1"/>
  <c r="L2526" i="2" a="1"/>
  <c r="L490" i="2" a="1"/>
  <c r="L1178" i="2" a="1"/>
  <c r="L1577" i="2" a="1"/>
  <c r="L964" i="2" a="1"/>
  <c r="L2711" i="2" a="1"/>
  <c r="L2690" i="2" a="1"/>
  <c r="L2713" i="2" a="1"/>
  <c r="L695" i="2" a="1"/>
  <c r="L302" i="2" a="1"/>
  <c r="L2154" i="2" a="1"/>
  <c r="L2652" i="2" a="1"/>
  <c r="L1189" i="2" a="1"/>
  <c r="L35" i="2" a="1"/>
  <c r="L794" i="2" a="1"/>
  <c r="L562" i="2" a="1"/>
  <c r="L317" i="2" a="1"/>
  <c r="L235" i="2" a="1"/>
  <c r="L873" i="2" a="1"/>
  <c r="L250" i="2" a="1"/>
  <c r="L807" i="2" a="1"/>
  <c r="L577" i="2" a="1"/>
  <c r="L833" i="2" a="1"/>
  <c r="L1201" i="2" a="1"/>
  <c r="L329" i="2" a="1"/>
  <c r="L718" i="2" a="1"/>
  <c r="L1212" i="2" a="1"/>
  <c r="L855" i="2" a="1"/>
  <c r="L231" i="2" a="1"/>
  <c r="L1384" i="2" a="1"/>
  <c r="L1060" i="2" a="1"/>
  <c r="L1642" i="2" a="1"/>
  <c r="L1910" i="2" a="1"/>
  <c r="L1278" i="2" a="1"/>
  <c r="L1182" i="2" a="1"/>
  <c r="L630" i="2" a="1"/>
  <c r="L1640" i="2" a="1"/>
  <c r="L1829" i="2" a="1"/>
  <c r="L1465" i="2" a="1"/>
  <c r="L1556" i="2" a="1"/>
  <c r="L1659" i="2" a="1"/>
  <c r="L1878" i="2" a="1"/>
  <c r="L1772" i="2" a="1"/>
  <c r="L1631" i="2" a="1"/>
  <c r="L2516" i="2" a="1"/>
  <c r="L2319" i="2" a="1"/>
  <c r="L1543" i="2" a="1"/>
  <c r="L2628" i="2" a="1"/>
  <c r="L1954" i="2" a="1"/>
  <c r="L2619" i="2" a="1"/>
  <c r="L2079" i="2" a="1"/>
  <c r="L1551" i="2" a="1"/>
  <c r="L2544" i="2" a="1"/>
  <c r="L1724" i="2" a="1"/>
  <c r="L1907" i="2" a="1"/>
  <c r="L2706" i="2" a="1"/>
  <c r="L2121" i="2" a="1"/>
  <c r="L372" i="2" a="1"/>
  <c r="L1842" i="2" a="1"/>
  <c r="L2636" i="2" a="1"/>
  <c r="L2752" i="2" a="1"/>
  <c r="L2335" i="2" a="1"/>
  <c r="L2750" i="2" a="1"/>
  <c r="L1007" i="2" a="1"/>
  <c r="L1852" i="2" a="1"/>
  <c r="L2765" i="2" a="1"/>
  <c r="L2720" i="2" a="1"/>
  <c r="L2754" i="2" a="1"/>
  <c r="L389" i="2" a="1"/>
  <c r="L2009" i="2" a="1"/>
  <c r="L2769" i="2" a="1"/>
  <c r="L1395" i="2" a="1"/>
  <c r="L2594" i="2" a="1"/>
  <c r="L1096" i="2" a="1"/>
  <c r="L2820" i="2" a="1"/>
  <c r="L2206" i="2" a="1"/>
  <c r="L2583" i="2" a="1"/>
  <c r="L2238" i="2" a="1"/>
  <c r="L117" i="2" a="1"/>
  <c r="L1720" i="2" a="1"/>
  <c r="L2226" i="2" a="1"/>
  <c r="L2269" i="2" a="1"/>
  <c r="L2366" i="2" a="1"/>
  <c r="L2590" i="2" a="1"/>
  <c r="L2793" i="2" a="1"/>
  <c r="L473" i="2" a="1"/>
  <c r="L1092" i="2" a="1"/>
  <c r="L1292" i="2" a="1"/>
  <c r="L1947" i="2" a="1"/>
  <c r="L2232" i="2" a="1"/>
  <c r="L2394" i="2" a="1"/>
  <c r="L2819" i="2" a="1"/>
  <c r="L2714" i="2" a="1"/>
  <c r="L98" i="2" a="1"/>
  <c r="L122" i="2" a="1"/>
  <c r="L207" i="2" a="1"/>
  <c r="L2158" i="2" a="1"/>
  <c r="L1270" i="2" a="1"/>
  <c r="L2068" i="2" a="1"/>
  <c r="L2842" i="2" a="1"/>
  <c r="L328" i="2" a="1"/>
  <c r="L2096" i="2" a="1"/>
  <c r="L2438" i="2" a="1"/>
  <c r="L896" i="2" a="1"/>
  <c r="L2744" i="2" a="1"/>
  <c r="L1808" i="2" a="1"/>
  <c r="L2082" i="2" a="1"/>
  <c r="L2173" i="2" a="1"/>
  <c r="L888" i="2" a="1"/>
  <c r="L2293" i="2" a="1"/>
  <c r="L2015" i="2" a="1"/>
  <c r="L2083" i="2" a="1"/>
  <c r="L2320" i="2" a="1"/>
  <c r="L128" i="2" a="1"/>
  <c r="L2518" i="2" a="1"/>
  <c r="L2291" i="2" a="1"/>
  <c r="L1234" i="2" a="1"/>
  <c r="L2215" i="2" a="1"/>
  <c r="L2102" i="2" a="1"/>
  <c r="L2800" i="2" a="1"/>
  <c r="L2403" i="2" a="1"/>
  <c r="L1435" i="2" a="1"/>
  <c r="L2169" i="2" a="1"/>
  <c r="L2729" i="2" a="1"/>
  <c r="L385" i="2" a="1"/>
  <c r="L2211" i="2" a="1"/>
  <c r="L812" i="2" a="1"/>
  <c r="L2613" i="2" a="1"/>
  <c r="L703" i="2" a="1"/>
  <c r="L1722" i="2" a="1"/>
  <c r="L2727" i="2" a="1"/>
  <c r="L2390" i="2" a="1"/>
  <c r="L165" i="2" a="1"/>
  <c r="L1335" i="2" a="1"/>
  <c r="L2660" i="2" a="1"/>
  <c r="L1382" i="2" a="1"/>
  <c r="L1531" i="2" a="1"/>
  <c r="L1541" i="2" a="1"/>
  <c r="L224" i="2" a="1"/>
  <c r="L1247" i="2" a="1"/>
  <c r="L1452" i="2" a="1"/>
  <c r="L274" i="2" a="1"/>
  <c r="L56" i="2" a="1"/>
  <c r="L634" i="2" a="1"/>
  <c r="L2259" i="2" a="1"/>
  <c r="L1287" i="2" a="1"/>
  <c r="L419" i="2" a="1"/>
  <c r="L1511" i="2" a="1"/>
  <c r="L1084" i="2" a="1"/>
  <c r="L2160" i="2" a="1"/>
  <c r="L1594" i="2" a="1"/>
  <c r="L2321" i="2" a="1"/>
  <c r="L1319" i="2" a="1"/>
  <c r="L2748" i="2" a="1"/>
  <c r="L1837" i="2" a="1"/>
  <c r="L196" i="2" a="1"/>
  <c r="L2654" i="2" a="1"/>
  <c r="L2731" i="2" a="1"/>
  <c r="L1949" i="2" a="1"/>
  <c r="L691" i="2" a="1"/>
  <c r="L2191" i="2" a="1"/>
  <c r="L1894" i="2" a="1"/>
  <c r="L2836" i="2" a="1"/>
  <c r="L705" i="2" a="1"/>
  <c r="L1240" i="2" a="1"/>
  <c r="Q3" i="2" l="1"/>
  <c r="D127" i="3"/>
  <c r="D126" i="3"/>
  <c r="D125" i="3"/>
  <c r="D115" i="3"/>
  <c r="D114" i="3"/>
  <c r="D113" i="3"/>
  <c r="C22" i="3"/>
  <c r="L2750" i="2"/>
  <c r="L2480" i="2"/>
  <c r="L2308" i="2"/>
  <c r="L2032" i="2"/>
  <c r="L2832" i="2"/>
  <c r="L2664" i="2"/>
  <c r="L2478" i="2"/>
  <c r="L2132" i="2"/>
  <c r="L1581" i="2"/>
  <c r="L2822" i="2"/>
  <c r="L2705" i="2"/>
  <c r="L2537" i="2"/>
  <c r="L2414" i="2"/>
  <c r="L1788" i="2"/>
  <c r="L2831" i="2"/>
  <c r="L2731" i="2"/>
  <c r="L2160" i="2"/>
  <c r="L1862" i="2"/>
  <c r="L2771" i="2"/>
  <c r="L2674" i="2"/>
  <c r="L2594" i="2"/>
  <c r="L2329" i="2"/>
  <c r="L908" i="2"/>
  <c r="L2572" i="2"/>
  <c r="L2380" i="2"/>
  <c r="L2052" i="2"/>
  <c r="L1499" i="2"/>
  <c r="L2818" i="2"/>
  <c r="L2630" i="2"/>
  <c r="L2429" i="2"/>
  <c r="L2260" i="2"/>
  <c r="L2227" i="2"/>
  <c r="L2014" i="2"/>
  <c r="L1905" i="2"/>
  <c r="L1821" i="2"/>
  <c r="L1683" i="2"/>
  <c r="L1620" i="2"/>
  <c r="L1562" i="2"/>
  <c r="L1498" i="2"/>
  <c r="L1344" i="2"/>
  <c r="L1139" i="2"/>
  <c r="L2828" i="2"/>
  <c r="L2807" i="2"/>
  <c r="L2783" i="2"/>
  <c r="L2758" i="2"/>
  <c r="L2744" i="2"/>
  <c r="L2729" i="2"/>
  <c r="L2714" i="2"/>
  <c r="L2699" i="2"/>
  <c r="L2612" i="2"/>
  <c r="L2592" i="2"/>
  <c r="L2571" i="2"/>
  <c r="L2549" i="2"/>
  <c r="L2532" i="2"/>
  <c r="L2513" i="2"/>
  <c r="L2491" i="2"/>
  <c r="L2406" i="2"/>
  <c r="L2379" i="2"/>
  <c r="L2326" i="2"/>
  <c r="L2296" i="2"/>
  <c r="L2121" i="2"/>
  <c r="L2051" i="2"/>
  <c r="L1902" i="2"/>
  <c r="L1860" i="2"/>
  <c r="L1817" i="2"/>
  <c r="L1774" i="2"/>
  <c r="L1725" i="2"/>
  <c r="L1561" i="2"/>
  <c r="L1335" i="2"/>
  <c r="L1138" i="2"/>
  <c r="L906" i="2"/>
  <c r="L538" i="2"/>
  <c r="L2787" i="2"/>
  <c r="L2620" i="2"/>
  <c r="L2171" i="2"/>
  <c r="L1587" i="2"/>
  <c r="L2800" i="2"/>
  <c r="L2634" i="2"/>
  <c r="L2457" i="2"/>
  <c r="L2238" i="2"/>
  <c r="L1457" i="2"/>
  <c r="L2477" i="2"/>
  <c r="L2020" i="2"/>
  <c r="L1566" i="2"/>
  <c r="L2809" i="2"/>
  <c r="L2689" i="2"/>
  <c r="L2556" i="2"/>
  <c r="L2432" i="2"/>
  <c r="L1684" i="2"/>
  <c r="L2745" i="2"/>
  <c r="L2430" i="2"/>
  <c r="L2122" i="2"/>
  <c r="L1861" i="2"/>
  <c r="L2770" i="2"/>
  <c r="L2658" i="2"/>
  <c r="L1942" i="2"/>
  <c r="L2642" i="2"/>
  <c r="L2083" i="2"/>
  <c r="L896" i="2"/>
  <c r="L2713" i="2"/>
  <c r="L2526" i="2"/>
  <c r="L2509" i="2"/>
  <c r="L2490" i="2"/>
  <c r="L2445" i="2"/>
  <c r="L2405" i="2"/>
  <c r="L2378" i="2"/>
  <c r="L2349" i="2"/>
  <c r="L2290" i="2"/>
  <c r="L2257" i="2"/>
  <c r="L2220" i="2"/>
  <c r="L2187" i="2"/>
  <c r="L2150" i="2"/>
  <c r="L2114" i="2"/>
  <c r="L2044" i="2"/>
  <c r="L1974" i="2"/>
  <c r="L1939" i="2"/>
  <c r="L1897" i="2"/>
  <c r="L1723" i="2"/>
  <c r="L1617" i="2"/>
  <c r="L1490" i="2"/>
  <c r="L1413" i="2"/>
  <c r="L1303" i="2"/>
  <c r="L1130" i="2"/>
  <c r="L2811" i="2"/>
  <c r="L2691" i="2"/>
  <c r="L2521" i="2"/>
  <c r="L2241" i="2"/>
  <c r="L1837" i="2"/>
  <c r="L2748" i="2"/>
  <c r="L2415" i="2"/>
  <c r="L1917" i="2"/>
  <c r="L2810" i="2"/>
  <c r="L2734" i="2"/>
  <c r="L2498" i="2"/>
  <c r="L2334" i="2"/>
  <c r="L1455" i="2"/>
  <c r="L2774" i="2"/>
  <c r="L2536" i="2"/>
  <c r="L2123" i="2"/>
  <c r="L968" i="2"/>
  <c r="L2785" i="2"/>
  <c r="L2454" i="2"/>
  <c r="L2192" i="2"/>
  <c r="L1563" i="2"/>
  <c r="L2730" i="2"/>
  <c r="L2534" i="2"/>
  <c r="L2358" i="2"/>
  <c r="L1906" i="2"/>
  <c r="L2829" i="2"/>
  <c r="L2688" i="2"/>
  <c r="L2593" i="2"/>
  <c r="L2794" i="2"/>
  <c r="L2672" i="2"/>
  <c r="L2512" i="2"/>
  <c r="L2153" i="2"/>
  <c r="L1814" i="2"/>
  <c r="L2728" i="2"/>
  <c r="L2836" i="2"/>
  <c r="L2816" i="2"/>
  <c r="L2805" i="2"/>
  <c r="L2793" i="2"/>
  <c r="L2779" i="2"/>
  <c r="L2768" i="2"/>
  <c r="L2754" i="2"/>
  <c r="L2739" i="2"/>
  <c r="L2670" i="2"/>
  <c r="L2656" i="2"/>
  <c r="L2641" i="2"/>
  <c r="L2624" i="2"/>
  <c r="L2605" i="2"/>
  <c r="L2588" i="2"/>
  <c r="L2569" i="2"/>
  <c r="L2547" i="2"/>
  <c r="L2508" i="2"/>
  <c r="L2489" i="2"/>
  <c r="L2467" i="2"/>
  <c r="L2317" i="2"/>
  <c r="L2256" i="2"/>
  <c r="L2182" i="2"/>
  <c r="L2081" i="2"/>
  <c r="L1894" i="2"/>
  <c r="L1812" i="2"/>
  <c r="L1764" i="2"/>
  <c r="L1668" i="2"/>
  <c r="L1549" i="2"/>
  <c r="L1396" i="2"/>
  <c r="L829" i="2"/>
  <c r="L296" i="2"/>
  <c r="L2842" i="2"/>
  <c r="L2776" i="2"/>
  <c r="L2538" i="2"/>
  <c r="L2207" i="2"/>
  <c r="L1921" i="2"/>
  <c r="L2678" i="2"/>
  <c r="L2335" i="2"/>
  <c r="L2029" i="2"/>
  <c r="L2786" i="2"/>
  <c r="L2598" i="2"/>
  <c r="L2456" i="2"/>
  <c r="L1874" i="2"/>
  <c r="L1347" i="2"/>
  <c r="L2614" i="2"/>
  <c r="L2363" i="2"/>
  <c r="L2053" i="2"/>
  <c r="L1436" i="2"/>
  <c r="L2798" i="2"/>
  <c r="L2659" i="2"/>
  <c r="L2493" i="2"/>
  <c r="L2261" i="2"/>
  <c r="L1825" i="2"/>
  <c r="L2613" i="2"/>
  <c r="L2191" i="2"/>
  <c r="L1773" i="2"/>
  <c r="L2784" i="2"/>
  <c r="L2673" i="2"/>
  <c r="L2407" i="2"/>
  <c r="L2755" i="2"/>
  <c r="L2570" i="2"/>
  <c r="L2427" i="2"/>
  <c r="L2295" i="2"/>
  <c r="L2050" i="2"/>
  <c r="L1421" i="2"/>
  <c r="L2837" i="2"/>
  <c r="L2742" i="2"/>
  <c r="L2803" i="2"/>
  <c r="L2726" i="2"/>
  <c r="L2697" i="2"/>
  <c r="L2682" i="2"/>
  <c r="L2667" i="2"/>
  <c r="L2587" i="2"/>
  <c r="L2567" i="2"/>
  <c r="L2525" i="2"/>
  <c r="L2505" i="2"/>
  <c r="L2486" i="2"/>
  <c r="L2444" i="2"/>
  <c r="L2400" i="2"/>
  <c r="L2377" i="2"/>
  <c r="L2348" i="2"/>
  <c r="L2281" i="2"/>
  <c r="L2248" i="2"/>
  <c r="L2211" i="2"/>
  <c r="L2178" i="2"/>
  <c r="L2143" i="2"/>
  <c r="L2108" i="2"/>
  <c r="L2072" i="2"/>
  <c r="L2035" i="2"/>
  <c r="L1965" i="2"/>
  <c r="L1846" i="2"/>
  <c r="L1757" i="2"/>
  <c r="L1599" i="2"/>
  <c r="L1532" i="2"/>
  <c r="L1471" i="2"/>
  <c r="L1395" i="2"/>
  <c r="L1288" i="2"/>
  <c r="L1113" i="2"/>
  <c r="L2706" i="2"/>
  <c r="L2337" i="2"/>
  <c r="L2101" i="2"/>
  <c r="L1796" i="2"/>
  <c r="L2599" i="2"/>
  <c r="L2062" i="2"/>
  <c r="L1020" i="2"/>
  <c r="L2799" i="2"/>
  <c r="L2675" i="2"/>
  <c r="L2364" i="2"/>
  <c r="L1639" i="2"/>
  <c r="L2821" i="2"/>
  <c r="L2648" i="2"/>
  <c r="L2455" i="2"/>
  <c r="L2229" i="2"/>
  <c r="L1949" i="2"/>
  <c r="L1508" i="2"/>
  <c r="L2819" i="2"/>
  <c r="L2535" i="2"/>
  <c r="L2361" i="2"/>
  <c r="L1777" i="2"/>
  <c r="L2797" i="2"/>
  <c r="L2514" i="2"/>
  <c r="L2298" i="2"/>
  <c r="L2089" i="2"/>
  <c r="L1732" i="2"/>
  <c r="L2808" i="2"/>
  <c r="L2492" i="2"/>
  <c r="L2190" i="2"/>
  <c r="L2827" i="2"/>
  <c r="L2626" i="2"/>
  <c r="L2325" i="2"/>
  <c r="L2013" i="2"/>
  <c r="L1492" i="2"/>
  <c r="L2806" i="2"/>
  <c r="L2698" i="2"/>
  <c r="L2767" i="2"/>
  <c r="L2712" i="2"/>
  <c r="L2825" i="2"/>
  <c r="L2815" i="2"/>
  <c r="L2792" i="2"/>
  <c r="L2778" i="2"/>
  <c r="L2753" i="2"/>
  <c r="L2738" i="2"/>
  <c r="L2723" i="2"/>
  <c r="L2654" i="2"/>
  <c r="L2640" i="2"/>
  <c r="L2623" i="2"/>
  <c r="L2604" i="2"/>
  <c r="L2583" i="2"/>
  <c r="L2565" i="2"/>
  <c r="L2546" i="2"/>
  <c r="L2504" i="2"/>
  <c r="L2466" i="2"/>
  <c r="L2396" i="2"/>
  <c r="L2280" i="2"/>
  <c r="L2246" i="2"/>
  <c r="L2104" i="2"/>
  <c r="L2071" i="2"/>
  <c r="L2002" i="2"/>
  <c r="L1926" i="2"/>
  <c r="L1884" i="2"/>
  <c r="L1801" i="2"/>
  <c r="L1753" i="2"/>
  <c r="L1709" i="2"/>
  <c r="L1656" i="2"/>
  <c r="L1598" i="2"/>
  <c r="L1469" i="2"/>
  <c r="L1084" i="2"/>
  <c r="L2762" i="2"/>
  <c r="L2393" i="2"/>
  <c r="L2138" i="2"/>
  <c r="L1239" i="2"/>
  <c r="L2520" i="2"/>
  <c r="L2202" i="2"/>
  <c r="L1647" i="2"/>
  <c r="L2841" i="2"/>
  <c r="L2690" i="2"/>
  <c r="L2579" i="2"/>
  <c r="L2270" i="2"/>
  <c r="L1955" i="2"/>
  <c r="L2577" i="2"/>
  <c r="L2266" i="2"/>
  <c r="L1907" i="2"/>
  <c r="L557" i="2"/>
  <c r="L2704" i="2"/>
  <c r="L2576" i="2"/>
  <c r="L2409" i="2"/>
  <c r="L540" i="2"/>
  <c r="L2646" i="2"/>
  <c r="L2475" i="2"/>
  <c r="L1945" i="2"/>
  <c r="L539" i="2"/>
  <c r="L2702" i="2"/>
  <c r="L2157" i="2"/>
  <c r="L2817" i="2"/>
  <c r="L2657" i="2"/>
  <c r="L2468" i="2"/>
  <c r="L2259" i="2"/>
  <c r="L1980" i="2"/>
  <c r="L1619" i="2"/>
  <c r="L2590" i="2"/>
  <c r="L2835" i="2"/>
  <c r="L2766" i="2"/>
  <c r="L2696" i="2"/>
  <c r="L2681" i="2"/>
  <c r="L2666" i="2"/>
  <c r="L2651" i="2"/>
  <c r="L2582" i="2"/>
  <c r="L2524" i="2"/>
  <c r="L2503" i="2"/>
  <c r="L2464" i="2"/>
  <c r="L2443" i="2"/>
  <c r="L2419" i="2"/>
  <c r="L2347" i="2"/>
  <c r="L2315" i="2"/>
  <c r="L2279" i="2"/>
  <c r="L2210" i="2"/>
  <c r="L2139" i="2"/>
  <c r="L2103" i="2"/>
  <c r="L2070" i="2"/>
  <c r="L2034" i="2"/>
  <c r="L2001" i="2"/>
  <c r="L1964" i="2"/>
  <c r="L1841" i="2"/>
  <c r="L1798" i="2"/>
  <c r="L1750" i="2"/>
  <c r="L1654" i="2"/>
  <c r="L1531" i="2"/>
  <c r="L1388" i="2"/>
  <c r="L1284" i="2"/>
  <c r="L1031" i="2"/>
  <c r="L289" i="2"/>
  <c r="L2736" i="2"/>
  <c r="L2559" i="2"/>
  <c r="L2277" i="2"/>
  <c r="L2065" i="2"/>
  <c r="L2775" i="2"/>
  <c r="L2649" i="2"/>
  <c r="L2500" i="2"/>
  <c r="L2271" i="2"/>
  <c r="L2720" i="2"/>
  <c r="L2557" i="2"/>
  <c r="L2389" i="2"/>
  <c r="L1994" i="2"/>
  <c r="L1514" i="2"/>
  <c r="L2746" i="2"/>
  <c r="L2662" i="2"/>
  <c r="L2193" i="2"/>
  <c r="L1984" i="2"/>
  <c r="L2840" i="2"/>
  <c r="L2718" i="2"/>
  <c r="L2387" i="2"/>
  <c r="L1983" i="2"/>
  <c r="L1346" i="2"/>
  <c r="L2759" i="2"/>
  <c r="L2228" i="2"/>
  <c r="L1982" i="2"/>
  <c r="L1435" i="2"/>
  <c r="L2839" i="2"/>
  <c r="L2643" i="2"/>
  <c r="L2084" i="2"/>
  <c r="L2838" i="2"/>
  <c r="L2120" i="2"/>
  <c r="L433" i="2"/>
  <c r="L2683" i="2"/>
  <c r="L2834" i="2"/>
  <c r="L2802" i="2"/>
  <c r="L2843" i="2"/>
  <c r="L2824" i="2"/>
  <c r="L2814" i="2"/>
  <c r="L2777" i="2"/>
  <c r="L2763" i="2"/>
  <c r="L2752" i="2"/>
  <c r="L2737" i="2"/>
  <c r="L2722" i="2"/>
  <c r="L2707" i="2"/>
  <c r="L2638" i="2"/>
  <c r="L2622" i="2"/>
  <c r="L2603" i="2"/>
  <c r="L2543" i="2"/>
  <c r="L2502" i="2"/>
  <c r="L2463" i="2"/>
  <c r="L2442" i="2"/>
  <c r="L2367" i="2"/>
  <c r="L2345" i="2"/>
  <c r="L2310" i="2"/>
  <c r="L2278" i="2"/>
  <c r="L2242" i="2"/>
  <c r="L2172" i="2"/>
  <c r="L2102" i="2"/>
  <c r="L2068" i="2"/>
  <c r="L2000" i="2"/>
  <c r="L1922" i="2"/>
  <c r="L1883" i="2"/>
  <c r="L1838" i="2"/>
  <c r="L1593" i="2"/>
  <c r="L734" i="2"/>
  <c r="L283" i="2"/>
  <c r="L2823" i="2"/>
  <c r="L2721" i="2"/>
  <c r="L2602" i="2"/>
  <c r="L1995" i="2"/>
  <c r="L1025" i="2"/>
  <c r="L2558" i="2"/>
  <c r="L2099" i="2"/>
  <c r="L1699" i="2"/>
  <c r="L2761" i="2"/>
  <c r="L2615" i="2"/>
  <c r="L2434" i="2"/>
  <c r="L2168" i="2"/>
  <c r="L559" i="2"/>
  <c r="L2515" i="2"/>
  <c r="L2299" i="2"/>
  <c r="L1198" i="2"/>
  <c r="L2760" i="2"/>
  <c r="L2632" i="2"/>
  <c r="L2159" i="2"/>
  <c r="L1629" i="2"/>
  <c r="L2830" i="2"/>
  <c r="L2716" i="2"/>
  <c r="L2408" i="2"/>
  <c r="L2015" i="2"/>
  <c r="L1189" i="2"/>
  <c r="L2795" i="2"/>
  <c r="L2554" i="2"/>
  <c r="L2330" i="2"/>
  <c r="L2769" i="2"/>
  <c r="L2686" i="2"/>
  <c r="L2591" i="2"/>
  <c r="L2189" i="2"/>
  <c r="L1941" i="2"/>
  <c r="L1560" i="2"/>
  <c r="L2782" i="2"/>
  <c r="L2610" i="2"/>
  <c r="L2826" i="2"/>
  <c r="L2844" i="2"/>
  <c r="L2791" i="2"/>
  <c r="L2710" i="2"/>
  <c r="L2833" i="2"/>
  <c r="L2813" i="2"/>
  <c r="L2801" i="2"/>
  <c r="L2790" i="2"/>
  <c r="L2694" i="2"/>
  <c r="L2680" i="2"/>
  <c r="L2665" i="2"/>
  <c r="L2650" i="2"/>
  <c r="L2635" i="2"/>
  <c r="L2581" i="2"/>
  <c r="L2560" i="2"/>
  <c r="L2542" i="2"/>
  <c r="L2523" i="2"/>
  <c r="L2481" i="2"/>
  <c r="L2458" i="2"/>
  <c r="L2438" i="2"/>
  <c r="L2418" i="2"/>
  <c r="L2394" i="2"/>
  <c r="L2366" i="2"/>
  <c r="L2340" i="2"/>
  <c r="L2209" i="2"/>
  <c r="L2033" i="2"/>
  <c r="L1963" i="2"/>
  <c r="L1749" i="2"/>
  <c r="L1707" i="2"/>
  <c r="L1650" i="2"/>
  <c r="L1590" i="2"/>
  <c r="L1530" i="2"/>
  <c r="L1459" i="2"/>
  <c r="L733" i="2"/>
  <c r="L168" i="2"/>
  <c r="L2631" i="2"/>
  <c r="L2589" i="2"/>
  <c r="L2566" i="2"/>
  <c r="L2545" i="2"/>
  <c r="L2533" i="2"/>
  <c r="L2510" i="2"/>
  <c r="L2488" i="2"/>
  <c r="L2453" i="2"/>
  <c r="L2441" i="2"/>
  <c r="L2428" i="2"/>
  <c r="L2417" i="2"/>
  <c r="L2404" i="2"/>
  <c r="L2376" i="2"/>
  <c r="L2360" i="2"/>
  <c r="L2328" i="2"/>
  <c r="L2309" i="2"/>
  <c r="L2291" i="2"/>
  <c r="L2276" i="2"/>
  <c r="L2240" i="2"/>
  <c r="L2221" i="2"/>
  <c r="L2206" i="2"/>
  <c r="L2152" i="2"/>
  <c r="L2133" i="2"/>
  <c r="L2118" i="2"/>
  <c r="L2064" i="2"/>
  <c r="L2031" i="2"/>
  <c r="L1976" i="2"/>
  <c r="L1919" i="2"/>
  <c r="L1898" i="2"/>
  <c r="L1881" i="2"/>
  <c r="L1859" i="2"/>
  <c r="L1748" i="2"/>
  <c r="L1724" i="2"/>
  <c r="L1700" i="2"/>
  <c r="L1677" i="2"/>
  <c r="L1649" i="2"/>
  <c r="L1582" i="2"/>
  <c r="L1550" i="2"/>
  <c r="L1458" i="2"/>
  <c r="L1420" i="2"/>
  <c r="L1386" i="2"/>
  <c r="L1345" i="2"/>
  <c r="L1002" i="2"/>
  <c r="L870" i="2"/>
  <c r="L497" i="2"/>
  <c r="L2751" i="2"/>
  <c r="L2743" i="2"/>
  <c r="L2735" i="2"/>
  <c r="L2727" i="2"/>
  <c r="L2719" i="2"/>
  <c r="L2711" i="2"/>
  <c r="L2703" i="2"/>
  <c r="L2695" i="2"/>
  <c r="L2687" i="2"/>
  <c r="L2679" i="2"/>
  <c r="L2671" i="2"/>
  <c r="L2663" i="2"/>
  <c r="L2655" i="2"/>
  <c r="L2647" i="2"/>
  <c r="L2639" i="2"/>
  <c r="L2621" i="2"/>
  <c r="L2611" i="2"/>
  <c r="L2601" i="2"/>
  <c r="L2555" i="2"/>
  <c r="L2544" i="2"/>
  <c r="L2522" i="2"/>
  <c r="L2487" i="2"/>
  <c r="L2476" i="2"/>
  <c r="L2465" i="2"/>
  <c r="L2439" i="2"/>
  <c r="L2416" i="2"/>
  <c r="L2388" i="2"/>
  <c r="L2374" i="2"/>
  <c r="L2359" i="2"/>
  <c r="L2327" i="2"/>
  <c r="L2258" i="2"/>
  <c r="L2239" i="2"/>
  <c r="L2170" i="2"/>
  <c r="L2151" i="2"/>
  <c r="L2100" i="2"/>
  <c r="L2082" i="2"/>
  <c r="L2063" i="2"/>
  <c r="L2012" i="2"/>
  <c r="L1993" i="2"/>
  <c r="L1975" i="2"/>
  <c r="L1962" i="2"/>
  <c r="L1940" i="2"/>
  <c r="L1875" i="2"/>
  <c r="L1858" i="2"/>
  <c r="L1836" i="2"/>
  <c r="L1813" i="2"/>
  <c r="L1789" i="2"/>
  <c r="L1771" i="2"/>
  <c r="L1673" i="2"/>
  <c r="L1648" i="2"/>
  <c r="L1618" i="2"/>
  <c r="L1551" i="2"/>
  <c r="L1523" i="2"/>
  <c r="L1491" i="2"/>
  <c r="L1373" i="2"/>
  <c r="L1282" i="2"/>
  <c r="L1190" i="2"/>
  <c r="L1085" i="2"/>
  <c r="L697" i="2"/>
  <c r="L236" i="2"/>
  <c r="L1372" i="2"/>
  <c r="L967" i="2"/>
  <c r="L652" i="2"/>
  <c r="L2629" i="2"/>
  <c r="L2609" i="2"/>
  <c r="L2575" i="2"/>
  <c r="L2564" i="2"/>
  <c r="L2518" i="2"/>
  <c r="L2497" i="2"/>
  <c r="L2485" i="2"/>
  <c r="L2462" i="2"/>
  <c r="L2437" i="2"/>
  <c r="L2426" i="2"/>
  <c r="L2399" i="2"/>
  <c r="L2357" i="2"/>
  <c r="L2307" i="2"/>
  <c r="L2289" i="2"/>
  <c r="L2219" i="2"/>
  <c r="L2201" i="2"/>
  <c r="L2167" i="2"/>
  <c r="L2149" i="2"/>
  <c r="L2131" i="2"/>
  <c r="L2113" i="2"/>
  <c r="L2079" i="2"/>
  <c r="L2061" i="2"/>
  <c r="L2043" i="2"/>
  <c r="L2025" i="2"/>
  <c r="L2010" i="2"/>
  <c r="L1992" i="2"/>
  <c r="L1973" i="2"/>
  <c r="L1855" i="2"/>
  <c r="L1834" i="2"/>
  <c r="L1721" i="2"/>
  <c r="L1638" i="2"/>
  <c r="L1611" i="2"/>
  <c r="L1580" i="2"/>
  <c r="L1480" i="2"/>
  <c r="L1450" i="2"/>
  <c r="L1412" i="2"/>
  <c r="L1319" i="2"/>
  <c r="L1270" i="2"/>
  <c r="L1188" i="2"/>
  <c r="L1080" i="2"/>
  <c r="L825" i="2"/>
  <c r="L167" i="2"/>
  <c r="L2781" i="2"/>
  <c r="L2765" i="2"/>
  <c r="L2749" i="2"/>
  <c r="L2733" i="2"/>
  <c r="L2717" i="2"/>
  <c r="L2701" i="2"/>
  <c r="L2685" i="2"/>
  <c r="L2669" i="2"/>
  <c r="L2653" i="2"/>
  <c r="L2636" i="2"/>
  <c r="L2619" i="2"/>
  <c r="L2608" i="2"/>
  <c r="L2574" i="2"/>
  <c r="L2553" i="2"/>
  <c r="L2541" i="2"/>
  <c r="L2530" i="2"/>
  <c r="L2507" i="2"/>
  <c r="L2496" i="2"/>
  <c r="L2473" i="2"/>
  <c r="L2461" i="2"/>
  <c r="L2449" i="2"/>
  <c r="L2413" i="2"/>
  <c r="L2398" i="2"/>
  <c r="L2386" i="2"/>
  <c r="L2370" i="2"/>
  <c r="L2339" i="2"/>
  <c r="L2321" i="2"/>
  <c r="L2306" i="2"/>
  <c r="L2288" i="2"/>
  <c r="L2269" i="2"/>
  <c r="L2251" i="2"/>
  <c r="L2236" i="2"/>
  <c r="L2200" i="2"/>
  <c r="L2181" i="2"/>
  <c r="L2163" i="2"/>
  <c r="L2148" i="2"/>
  <c r="L2112" i="2"/>
  <c r="L2093" i="2"/>
  <c r="L2078" i="2"/>
  <c r="L2024" i="2"/>
  <c r="L2005" i="2"/>
  <c r="L1990" i="2"/>
  <c r="L1954" i="2"/>
  <c r="L1932" i="2"/>
  <c r="L1915" i="2"/>
  <c r="L1893" i="2"/>
  <c r="L1873" i="2"/>
  <c r="L1828" i="2"/>
  <c r="L1787" i="2"/>
  <c r="L1763" i="2"/>
  <c r="L1739" i="2"/>
  <c r="L1718" i="2"/>
  <c r="L1694" i="2"/>
  <c r="L1667" i="2"/>
  <c r="L1579" i="2"/>
  <c r="L1513" i="2"/>
  <c r="L1479" i="2"/>
  <c r="L1371" i="2"/>
  <c r="L1247" i="2"/>
  <c r="L1079" i="2"/>
  <c r="L965" i="2"/>
  <c r="L424" i="2"/>
  <c r="L166" i="2"/>
  <c r="L2789" i="2"/>
  <c r="L2773" i="2"/>
  <c r="L2757" i="2"/>
  <c r="L2741" i="2"/>
  <c r="L2725" i="2"/>
  <c r="L2709" i="2"/>
  <c r="L2693" i="2"/>
  <c r="L2677" i="2"/>
  <c r="L2661" i="2"/>
  <c r="L2645" i="2"/>
  <c r="L2586" i="2"/>
  <c r="L2628" i="2"/>
  <c r="L2618" i="2"/>
  <c r="L2596" i="2"/>
  <c r="L2563" i="2"/>
  <c r="L2552" i="2"/>
  <c r="L2539" i="2"/>
  <c r="L2517" i="2"/>
  <c r="L2495" i="2"/>
  <c r="L2484" i="2"/>
  <c r="L2460" i="2"/>
  <c r="L2448" i="2"/>
  <c r="L2436" i="2"/>
  <c r="L2425" i="2"/>
  <c r="L2412" i="2"/>
  <c r="L2385" i="2"/>
  <c r="L2356" i="2"/>
  <c r="L2320" i="2"/>
  <c r="L2287" i="2"/>
  <c r="L2232" i="2"/>
  <c r="L2199" i="2"/>
  <c r="L2130" i="2"/>
  <c r="L2111" i="2"/>
  <c r="L2042" i="2"/>
  <c r="L2023" i="2"/>
  <c r="L1972" i="2"/>
  <c r="L1908" i="2"/>
  <c r="L1892" i="2"/>
  <c r="L1870" i="2"/>
  <c r="L1850" i="2"/>
  <c r="L1693" i="2"/>
  <c r="L1637" i="2"/>
  <c r="L1602" i="2"/>
  <c r="L1543" i="2"/>
  <c r="L1512" i="2"/>
  <c r="L1440" i="2"/>
  <c r="L1370" i="2"/>
  <c r="L1318" i="2"/>
  <c r="L1171" i="2"/>
  <c r="L646" i="2"/>
  <c r="L421" i="2"/>
  <c r="L2812" i="2"/>
  <c r="L2796" i="2"/>
  <c r="L2772" i="2"/>
  <c r="L2756" i="2"/>
  <c r="L2732" i="2"/>
  <c r="L2708" i="2"/>
  <c r="L2692" i="2"/>
  <c r="L2676" i="2"/>
  <c r="L2660" i="2"/>
  <c r="L2652" i="2"/>
  <c r="L2637" i="2"/>
  <c r="L2606" i="2"/>
  <c r="L2585" i="2"/>
  <c r="L2573" i="2"/>
  <c r="L2551" i="2"/>
  <c r="L2528" i="2"/>
  <c r="L2506" i="2"/>
  <c r="L2494" i="2"/>
  <c r="L2472" i="2"/>
  <c r="L2459" i="2"/>
  <c r="L2447" i="2"/>
  <c r="L2424" i="2"/>
  <c r="L2411" i="2"/>
  <c r="L2397" i="2"/>
  <c r="L2384" i="2"/>
  <c r="L2369" i="2"/>
  <c r="L2355" i="2"/>
  <c r="L2338" i="2"/>
  <c r="L2319" i="2"/>
  <c r="L2268" i="2"/>
  <c r="L2250" i="2"/>
  <c r="L2231" i="2"/>
  <c r="L2217" i="2"/>
  <c r="L2198" i="2"/>
  <c r="L2180" i="2"/>
  <c r="L2162" i="2"/>
  <c r="L2142" i="2"/>
  <c r="L2129" i="2"/>
  <c r="L2110" i="2"/>
  <c r="L2092" i="2"/>
  <c r="L2074" i="2"/>
  <c r="L2059" i="2"/>
  <c r="L2022" i="2"/>
  <c r="L2004" i="2"/>
  <c r="L1986" i="2"/>
  <c r="L1971" i="2"/>
  <c r="L1953" i="2"/>
  <c r="L1931" i="2"/>
  <c r="L1827" i="2"/>
  <c r="L1785" i="2"/>
  <c r="L1666" i="2"/>
  <c r="L1636" i="2"/>
  <c r="L1570" i="2"/>
  <c r="L1511" i="2"/>
  <c r="L1477" i="2"/>
  <c r="L1410" i="2"/>
  <c r="L1363" i="2"/>
  <c r="L1245" i="2"/>
  <c r="L1144" i="2"/>
  <c r="L964" i="2"/>
  <c r="L148" i="2"/>
  <c r="L2820" i="2"/>
  <c r="L2804" i="2"/>
  <c r="L2788" i="2"/>
  <c r="L2780" i="2"/>
  <c r="L2764" i="2"/>
  <c r="L2747" i="2"/>
  <c r="L2740" i="2"/>
  <c r="L2724" i="2"/>
  <c r="L2715" i="2"/>
  <c r="L2700" i="2"/>
  <c r="L2684" i="2"/>
  <c r="L2668" i="2"/>
  <c r="L2644" i="2"/>
  <c r="L2617" i="2"/>
  <c r="L2595" i="2"/>
  <c r="L2584" i="2"/>
  <c r="L2562" i="2"/>
  <c r="L2540" i="2"/>
  <c r="L2527" i="2"/>
  <c r="L2516" i="2"/>
  <c r="L2483" i="2"/>
  <c r="L2471" i="2"/>
  <c r="L2446" i="2"/>
  <c r="L2435" i="2"/>
  <c r="L2423" i="2"/>
  <c r="L2410" i="2"/>
  <c r="L2382" i="2"/>
  <c r="L2368" i="2"/>
  <c r="L2318" i="2"/>
  <c r="L2300" i="2"/>
  <c r="L2285" i="2"/>
  <c r="L2230" i="2"/>
  <c r="L2212" i="2"/>
  <c r="L2197" i="2"/>
  <c r="L2144" i="2"/>
  <c r="L2128" i="2"/>
  <c r="L2054" i="2"/>
  <c r="L2040" i="2"/>
  <c r="L1952" i="2"/>
  <c r="L1909" i="2"/>
  <c r="L1849" i="2"/>
  <c r="L1803" i="2"/>
  <c r="L1782" i="2"/>
  <c r="L1761" i="2"/>
  <c r="L1737" i="2"/>
  <c r="L1713" i="2"/>
  <c r="L1665" i="2"/>
  <c r="L1632" i="2"/>
  <c r="L1601" i="2"/>
  <c r="L1541" i="2"/>
  <c r="L1510" i="2"/>
  <c r="L1476" i="2"/>
  <c r="L1437" i="2"/>
  <c r="L1397" i="2"/>
  <c r="L1362" i="2"/>
  <c r="L1316" i="2"/>
  <c r="L1140" i="2"/>
  <c r="L944" i="2"/>
  <c r="L791" i="2"/>
  <c r="L366" i="2"/>
  <c r="L97" i="2"/>
  <c r="L2249" i="2"/>
  <c r="L2179" i="2"/>
  <c r="L2161" i="2"/>
  <c r="L2091" i="2"/>
  <c r="L2073" i="2"/>
  <c r="L2039" i="2"/>
  <c r="L2021" i="2"/>
  <c r="L2003" i="2"/>
  <c r="L1985" i="2"/>
  <c r="L1930" i="2"/>
  <c r="L1885" i="2"/>
  <c r="L1868" i="2"/>
  <c r="L1845" i="2"/>
  <c r="L1826" i="2"/>
  <c r="L1734" i="2"/>
  <c r="L1710" i="2"/>
  <c r="L1685" i="2"/>
  <c r="L1664" i="2"/>
  <c r="L1631" i="2"/>
  <c r="L1600" i="2"/>
  <c r="L1569" i="2"/>
  <c r="L1509" i="2"/>
  <c r="L1472" i="2"/>
  <c r="L1032" i="2"/>
  <c r="L943" i="2"/>
  <c r="L601" i="2"/>
  <c r="L365" i="2"/>
  <c r="L96" i="2"/>
  <c r="L963" i="2"/>
  <c r="L894" i="2"/>
  <c r="L816" i="2"/>
  <c r="L726" i="2"/>
  <c r="L404" i="2"/>
  <c r="L140" i="2"/>
  <c r="L2395" i="2"/>
  <c r="L2375" i="2"/>
  <c r="L2365" i="2"/>
  <c r="L2346" i="2"/>
  <c r="L2336" i="2"/>
  <c r="L2314" i="2"/>
  <c r="L2297" i="2"/>
  <c r="L2286" i="2"/>
  <c r="L2267" i="2"/>
  <c r="L2247" i="2"/>
  <c r="L2237" i="2"/>
  <c r="L2218" i="2"/>
  <c r="L2208" i="2"/>
  <c r="L2188" i="2"/>
  <c r="L2169" i="2"/>
  <c r="L2158" i="2"/>
  <c r="L2140" i="2"/>
  <c r="L2119" i="2"/>
  <c r="L2109" i="2"/>
  <c r="L2090" i="2"/>
  <c r="L2080" i="2"/>
  <c r="L2060" i="2"/>
  <c r="L2041" i="2"/>
  <c r="L2030" i="2"/>
  <c r="L2011" i="2"/>
  <c r="L1991" i="2"/>
  <c r="L1981" i="2"/>
  <c r="L1961" i="2"/>
  <c r="L1950" i="2"/>
  <c r="L1929" i="2"/>
  <c r="L1916" i="2"/>
  <c r="L1882" i="2"/>
  <c r="L1869" i="2"/>
  <c r="L1835" i="2"/>
  <c r="L1822" i="2"/>
  <c r="L1811" i="2"/>
  <c r="L1797" i="2"/>
  <c r="L1772" i="2"/>
  <c r="L1758" i="2"/>
  <c r="L1747" i="2"/>
  <c r="L1733" i="2"/>
  <c r="L1708" i="2"/>
  <c r="L1630" i="2"/>
  <c r="L1612" i="2"/>
  <c r="L1542" i="2"/>
  <c r="L1528" i="2"/>
  <c r="L1411" i="2"/>
  <c r="L1387" i="2"/>
  <c r="L1343" i="2"/>
  <c r="L1280" i="2"/>
  <c r="L1129" i="2"/>
  <c r="L1015" i="2"/>
  <c r="L957" i="2"/>
  <c r="L533" i="2"/>
  <c r="L135" i="2"/>
  <c r="L2627" i="2"/>
  <c r="L2600" i="2"/>
  <c r="L2580" i="2"/>
  <c r="L2561" i="2"/>
  <c r="L2550" i="2"/>
  <c r="L2531" i="2"/>
  <c r="L2511" i="2"/>
  <c r="L2501" i="2"/>
  <c r="L2482" i="2"/>
  <c r="L2474" i="2"/>
  <c r="L2452" i="2"/>
  <c r="L2433" i="2"/>
  <c r="L2422" i="2"/>
  <c r="L2403" i="2"/>
  <c r="L2383" i="2"/>
  <c r="L2373" i="2"/>
  <c r="L2354" i="2"/>
  <c r="L2344" i="2"/>
  <c r="L2324" i="2"/>
  <c r="L2305" i="2"/>
  <c r="L2294" i="2"/>
  <c r="L2275" i="2"/>
  <c r="L2255" i="2"/>
  <c r="L2245" i="2"/>
  <c r="L2226" i="2"/>
  <c r="L2216" i="2"/>
  <c r="L2196" i="2"/>
  <c r="L2177" i="2"/>
  <c r="L2166" i="2"/>
  <c r="L2147" i="2"/>
  <c r="L2127" i="2"/>
  <c r="L2117" i="2"/>
  <c r="L2098" i="2"/>
  <c r="L2088" i="2"/>
  <c r="L2069" i="2"/>
  <c r="L2049" i="2"/>
  <c r="L2038" i="2"/>
  <c r="L2019" i="2"/>
  <c r="L1999" i="2"/>
  <c r="L1989" i="2"/>
  <c r="L1970" i="2"/>
  <c r="L1960" i="2"/>
  <c r="L1938" i="2"/>
  <c r="L1925" i="2"/>
  <c r="L1891" i="2"/>
  <c r="L1878" i="2"/>
  <c r="L1856" i="2"/>
  <c r="L1844" i="2"/>
  <c r="L1809" i="2"/>
  <c r="L1745" i="2"/>
  <c r="L1692" i="2"/>
  <c r="L1646" i="2"/>
  <c r="L1592" i="2"/>
  <c r="L1559" i="2"/>
  <c r="L1504" i="2"/>
  <c r="L1489" i="2"/>
  <c r="L1468" i="2"/>
  <c r="L1449" i="2"/>
  <c r="L1427" i="2"/>
  <c r="L1409" i="2"/>
  <c r="L1361" i="2"/>
  <c r="L1219" i="2"/>
  <c r="L1059" i="2"/>
  <c r="L997" i="2"/>
  <c r="L935" i="2"/>
  <c r="L869" i="2"/>
  <c r="L600" i="2"/>
  <c r="L495" i="2"/>
  <c r="L234" i="2"/>
  <c r="L2343" i="2"/>
  <c r="L2333" i="2"/>
  <c r="L2316" i="2"/>
  <c r="L2304" i="2"/>
  <c r="L2284" i="2"/>
  <c r="L2265" i="2"/>
  <c r="L2254" i="2"/>
  <c r="L2235" i="2"/>
  <c r="L2215" i="2"/>
  <c r="L2205" i="2"/>
  <c r="L2186" i="2"/>
  <c r="L2176" i="2"/>
  <c r="L2156" i="2"/>
  <c r="L2137" i="2"/>
  <c r="L2126" i="2"/>
  <c r="L2107" i="2"/>
  <c r="L2087" i="2"/>
  <c r="L2077" i="2"/>
  <c r="L2058" i="2"/>
  <c r="L2048" i="2"/>
  <c r="L2028" i="2"/>
  <c r="L2009" i="2"/>
  <c r="L1998" i="2"/>
  <c r="L1979" i="2"/>
  <c r="L1958" i="2"/>
  <c r="L1948" i="2"/>
  <c r="L1914" i="2"/>
  <c r="L1901" i="2"/>
  <c r="L1867" i="2"/>
  <c r="L1853" i="2"/>
  <c r="L1833" i="2"/>
  <c r="L1820" i="2"/>
  <c r="L1806" i="2"/>
  <c r="L1795" i="2"/>
  <c r="L1781" i="2"/>
  <c r="L1756" i="2"/>
  <c r="L1742" i="2"/>
  <c r="L1731" i="2"/>
  <c r="L1717" i="2"/>
  <c r="L1676" i="2"/>
  <c r="L1659" i="2"/>
  <c r="L1645" i="2"/>
  <c r="L1628" i="2"/>
  <c r="L1610" i="2"/>
  <c r="L1591" i="2"/>
  <c r="L1558" i="2"/>
  <c r="L1540" i="2"/>
  <c r="L1522" i="2"/>
  <c r="L1503" i="2"/>
  <c r="L1487" i="2"/>
  <c r="L1448" i="2"/>
  <c r="L1385" i="2"/>
  <c r="L1360" i="2"/>
  <c r="L1331" i="2"/>
  <c r="L1302" i="2"/>
  <c r="L1166" i="2"/>
  <c r="L1112" i="2"/>
  <c r="L1051" i="2"/>
  <c r="L933" i="2"/>
  <c r="L364" i="2"/>
  <c r="L218" i="2"/>
  <c r="L2470" i="2"/>
  <c r="L2451" i="2"/>
  <c r="L2431" i="2"/>
  <c r="L2421" i="2"/>
  <c r="L2402" i="2"/>
  <c r="L2392" i="2"/>
  <c r="L2372" i="2"/>
  <c r="L2353" i="2"/>
  <c r="L2342" i="2"/>
  <c r="L2323" i="2"/>
  <c r="L2303" i="2"/>
  <c r="L2293" i="2"/>
  <c r="L2274" i="2"/>
  <c r="L2264" i="2"/>
  <c r="L2244" i="2"/>
  <c r="L2225" i="2"/>
  <c r="L2214" i="2"/>
  <c r="L2195" i="2"/>
  <c r="L2175" i="2"/>
  <c r="L2165" i="2"/>
  <c r="L2146" i="2"/>
  <c r="L2136" i="2"/>
  <c r="L2116" i="2"/>
  <c r="L2097" i="2"/>
  <c r="L2086" i="2"/>
  <c r="L2067" i="2"/>
  <c r="L2047" i="2"/>
  <c r="L2037" i="2"/>
  <c r="L2018" i="2"/>
  <c r="L2008" i="2"/>
  <c r="L1988" i="2"/>
  <c r="L1969" i="2"/>
  <c r="L1937" i="2"/>
  <c r="L1924" i="2"/>
  <c r="L1890" i="2"/>
  <c r="L1877" i="2"/>
  <c r="L1843" i="2"/>
  <c r="L1830" i="2"/>
  <c r="L1769" i="2"/>
  <c r="L1705" i="2"/>
  <c r="L1691" i="2"/>
  <c r="L1589" i="2"/>
  <c r="L1572" i="2"/>
  <c r="L1556" i="2"/>
  <c r="L1467" i="2"/>
  <c r="L1447" i="2"/>
  <c r="L1426" i="2"/>
  <c r="L1402" i="2"/>
  <c r="L1381" i="2"/>
  <c r="L1268" i="2"/>
  <c r="L1215" i="2"/>
  <c r="L996" i="2"/>
  <c r="L694" i="2"/>
  <c r="L475" i="2"/>
  <c r="L362" i="2"/>
  <c r="L81" i="2"/>
  <c r="L2391" i="2"/>
  <c r="L2381" i="2"/>
  <c r="L2362" i="2"/>
  <c r="L2352" i="2"/>
  <c r="L2332" i="2"/>
  <c r="L2313" i="2"/>
  <c r="L2302" i="2"/>
  <c r="L2283" i="2"/>
  <c r="L2263" i="2"/>
  <c r="L2253" i="2"/>
  <c r="L2234" i="2"/>
  <c r="L2224" i="2"/>
  <c r="L2204" i="2"/>
  <c r="L2185" i="2"/>
  <c r="L2174" i="2"/>
  <c r="L2155" i="2"/>
  <c r="L2135" i="2"/>
  <c r="L2125" i="2"/>
  <c r="L2106" i="2"/>
  <c r="L2096" i="2"/>
  <c r="L2076" i="2"/>
  <c r="L2057" i="2"/>
  <c r="L2046" i="2"/>
  <c r="L2027" i="2"/>
  <c r="L2007" i="2"/>
  <c r="L1997" i="2"/>
  <c r="L1978" i="2"/>
  <c r="L1968" i="2"/>
  <c r="L1957" i="2"/>
  <c r="L1947" i="2"/>
  <c r="L1934" i="2"/>
  <c r="L1913" i="2"/>
  <c r="L1900" i="2"/>
  <c r="L1866" i="2"/>
  <c r="L1852" i="2"/>
  <c r="L1818" i="2"/>
  <c r="L1805" i="2"/>
  <c r="L1780" i="2"/>
  <c r="L1766" i="2"/>
  <c r="L1755" i="2"/>
  <c r="L1741" i="2"/>
  <c r="L1715" i="2"/>
  <c r="L1702" i="2"/>
  <c r="L1675" i="2"/>
  <c r="L1658" i="2"/>
  <c r="L1641" i="2"/>
  <c r="L1609" i="2"/>
  <c r="L1539" i="2"/>
  <c r="L1521" i="2"/>
  <c r="L1501" i="2"/>
  <c r="L1482" i="2"/>
  <c r="L1465" i="2"/>
  <c r="L1356" i="2"/>
  <c r="L1330" i="2"/>
  <c r="L1301" i="2"/>
  <c r="L1262" i="2"/>
  <c r="L1161" i="2"/>
  <c r="L1050" i="2"/>
  <c r="L994" i="2"/>
  <c r="L929" i="2"/>
  <c r="L776" i="2"/>
  <c r="L680" i="2"/>
  <c r="L592" i="2"/>
  <c r="L474" i="2"/>
  <c r="L360" i="2"/>
  <c r="L216" i="2"/>
  <c r="L2633" i="2"/>
  <c r="L2625" i="2"/>
  <c r="L2616" i="2"/>
  <c r="L2607" i="2"/>
  <c r="L2597" i="2"/>
  <c r="L2578" i="2"/>
  <c r="L2568" i="2"/>
  <c r="L2548" i="2"/>
  <c r="L2529" i="2"/>
  <c r="L2519" i="2"/>
  <c r="L2499" i="2"/>
  <c r="L2479" i="2"/>
  <c r="L2469" i="2"/>
  <c r="L2450" i="2"/>
  <c r="L2440" i="2"/>
  <c r="L2420" i="2"/>
  <c r="L2401" i="2"/>
  <c r="L2390" i="2"/>
  <c r="L2371" i="2"/>
  <c r="L2351" i="2"/>
  <c r="L2341" i="2"/>
  <c r="L2322" i="2"/>
  <c r="L2312" i="2"/>
  <c r="L2292" i="2"/>
  <c r="L2273" i="2"/>
  <c r="L2262" i="2"/>
  <c r="L2243" i="2"/>
  <c r="L2223" i="2"/>
  <c r="L2213" i="2"/>
  <c r="L2194" i="2"/>
  <c r="L2184" i="2"/>
  <c r="L2164" i="2"/>
  <c r="L2145" i="2"/>
  <c r="L2134" i="2"/>
  <c r="L2115" i="2"/>
  <c r="L2095" i="2"/>
  <c r="L2085" i="2"/>
  <c r="L2066" i="2"/>
  <c r="L2056" i="2"/>
  <c r="L2036" i="2"/>
  <c r="L2017" i="2"/>
  <c r="L2006" i="2"/>
  <c r="L1987" i="2"/>
  <c r="L1967" i="2"/>
  <c r="L1923" i="2"/>
  <c r="L1911" i="2"/>
  <c r="L1889" i="2"/>
  <c r="L1876" i="2"/>
  <c r="L1842" i="2"/>
  <c r="L1829" i="2"/>
  <c r="L1793" i="2"/>
  <c r="L1729" i="2"/>
  <c r="L1608" i="2"/>
  <c r="L1588" i="2"/>
  <c r="L1571" i="2"/>
  <c r="L1552" i="2"/>
  <c r="L1538" i="2"/>
  <c r="L1520" i="2"/>
  <c r="L1445" i="2"/>
  <c r="L1425" i="2"/>
  <c r="L1401" i="2"/>
  <c r="L1377" i="2"/>
  <c r="L1355" i="2"/>
  <c r="L1329" i="2"/>
  <c r="L1214" i="2"/>
  <c r="L1157" i="2"/>
  <c r="L1106" i="2"/>
  <c r="L590" i="2"/>
  <c r="L214" i="2"/>
  <c r="L78" i="2"/>
  <c r="L2350" i="2"/>
  <c r="L2331" i="2"/>
  <c r="L2311" i="2"/>
  <c r="L2301" i="2"/>
  <c r="L2282" i="2"/>
  <c r="L2272" i="2"/>
  <c r="L2252" i="2"/>
  <c r="L2233" i="2"/>
  <c r="L2222" i="2"/>
  <c r="L2203" i="2"/>
  <c r="L2183" i="2"/>
  <c r="L2173" i="2"/>
  <c r="L2154" i="2"/>
  <c r="L2141" i="2"/>
  <c r="L2124" i="2"/>
  <c r="L2105" i="2"/>
  <c r="L2094" i="2"/>
  <c r="L2075" i="2"/>
  <c r="L2055" i="2"/>
  <c r="L2045" i="2"/>
  <c r="L2026" i="2"/>
  <c r="L2016" i="2"/>
  <c r="L1996" i="2"/>
  <c r="L1977" i="2"/>
  <c r="L1966" i="2"/>
  <c r="L1956" i="2"/>
  <c r="L1946" i="2"/>
  <c r="L1933" i="2"/>
  <c r="L1899" i="2"/>
  <c r="L1886" i="2"/>
  <c r="L1865" i="2"/>
  <c r="L1851" i="2"/>
  <c r="L1804" i="2"/>
  <c r="L1790" i="2"/>
  <c r="L1779" i="2"/>
  <c r="L1765" i="2"/>
  <c r="L1740" i="2"/>
  <c r="L1726" i="2"/>
  <c r="L1716" i="2"/>
  <c r="L1701" i="2"/>
  <c r="L1686" i="2"/>
  <c r="L1674" i="2"/>
  <c r="L1657" i="2"/>
  <c r="L1640" i="2"/>
  <c r="L1621" i="2"/>
  <c r="L1606" i="2"/>
  <c r="L1553" i="2"/>
  <c r="L1533" i="2"/>
  <c r="L1519" i="2"/>
  <c r="L1500" i="2"/>
  <c r="L1481" i="2"/>
  <c r="L1460" i="2"/>
  <c r="L1444" i="2"/>
  <c r="L1348" i="2"/>
  <c r="L1299" i="2"/>
  <c r="L1156" i="2"/>
  <c r="L1101" i="2"/>
  <c r="L1048" i="2"/>
  <c r="L927" i="2"/>
  <c r="L846" i="2"/>
  <c r="L767" i="2"/>
  <c r="L337" i="2"/>
  <c r="L209" i="2"/>
  <c r="L1819" i="2"/>
  <c r="L1810" i="2"/>
  <c r="L1802" i="2"/>
  <c r="L1794" i="2"/>
  <c r="L1786" i="2"/>
  <c r="L1778" i="2"/>
  <c r="L1770" i="2"/>
  <c r="L1762" i="2"/>
  <c r="L1754" i="2"/>
  <c r="L1746" i="2"/>
  <c r="L1738" i="2"/>
  <c r="L1730" i="2"/>
  <c r="L1722" i="2"/>
  <c r="L1714" i="2"/>
  <c r="L1706" i="2"/>
  <c r="L1698" i="2"/>
  <c r="L1690" i="2"/>
  <c r="L1682" i="2"/>
  <c r="L1655" i="2"/>
  <c r="L1627" i="2"/>
  <c r="L1607" i="2"/>
  <c r="L1597" i="2"/>
  <c r="L1577" i="2"/>
  <c r="L1568" i="2"/>
  <c r="L1548" i="2"/>
  <c r="L1529" i="2"/>
  <c r="L1518" i="2"/>
  <c r="L1488" i="2"/>
  <c r="L1456" i="2"/>
  <c r="L1434" i="2"/>
  <c r="L1328" i="2"/>
  <c r="L1312" i="2"/>
  <c r="L1300" i="2"/>
  <c r="L1281" i="2"/>
  <c r="L1261" i="2"/>
  <c r="L1235" i="2"/>
  <c r="L1213" i="2"/>
  <c r="L1187" i="2"/>
  <c r="L1078" i="2"/>
  <c r="L1049" i="2"/>
  <c r="L1016" i="2"/>
  <c r="L986" i="2"/>
  <c r="L928" i="2"/>
  <c r="L679" i="2"/>
  <c r="L630" i="2"/>
  <c r="L587" i="2"/>
  <c r="L536" i="2"/>
  <c r="L403" i="2"/>
  <c r="L348" i="2"/>
  <c r="L282" i="2"/>
  <c r="L57" i="2"/>
  <c r="L1697" i="2"/>
  <c r="L1689" i="2"/>
  <c r="L1681" i="2"/>
  <c r="L1663" i="2"/>
  <c r="L1626" i="2"/>
  <c r="L1616" i="2"/>
  <c r="L1596" i="2"/>
  <c r="L1578" i="2"/>
  <c r="L1567" i="2"/>
  <c r="L1547" i="2"/>
  <c r="L1527" i="2"/>
  <c r="L1517" i="2"/>
  <c r="L1433" i="2"/>
  <c r="L1327" i="2"/>
  <c r="L1311" i="2"/>
  <c r="L1231" i="2"/>
  <c r="L1077" i="2"/>
  <c r="L1047" i="2"/>
  <c r="L985" i="2"/>
  <c r="L953" i="2"/>
  <c r="L925" i="2"/>
  <c r="L678" i="2"/>
  <c r="L575" i="2"/>
  <c r="L460" i="2"/>
  <c r="L402" i="2"/>
  <c r="L274" i="2"/>
  <c r="L207" i="2"/>
  <c r="L52" i="2"/>
  <c r="L1672" i="2"/>
  <c r="L1662" i="2"/>
  <c r="L1653" i="2"/>
  <c r="L1644" i="2"/>
  <c r="L1635" i="2"/>
  <c r="L1615" i="2"/>
  <c r="L1605" i="2"/>
  <c r="L1586" i="2"/>
  <c r="L1576" i="2"/>
  <c r="L1555" i="2"/>
  <c r="L1537" i="2"/>
  <c r="L1526" i="2"/>
  <c r="L1507" i="2"/>
  <c r="L1497" i="2"/>
  <c r="L1485" i="2"/>
  <c r="L1475" i="2"/>
  <c r="L1464" i="2"/>
  <c r="L1453" i="2"/>
  <c r="L1443" i="2"/>
  <c r="L1432" i="2"/>
  <c r="L1419" i="2"/>
  <c r="L1405" i="2"/>
  <c r="L1394" i="2"/>
  <c r="L1380" i="2"/>
  <c r="L1369" i="2"/>
  <c r="L1354" i="2"/>
  <c r="L1339" i="2"/>
  <c r="L1259" i="2"/>
  <c r="L1205" i="2"/>
  <c r="L1182" i="2"/>
  <c r="L1155" i="2"/>
  <c r="L1097" i="2"/>
  <c r="L1068" i="2"/>
  <c r="L1014" i="2"/>
  <c r="L948" i="2"/>
  <c r="L760" i="2"/>
  <c r="L677" i="2"/>
  <c r="L621" i="2"/>
  <c r="L522" i="2"/>
  <c r="L459" i="2"/>
  <c r="L323" i="2"/>
  <c r="L257" i="2"/>
  <c r="L194" i="2"/>
  <c r="L127" i="2"/>
  <c r="L1944" i="2"/>
  <c r="L1936" i="2"/>
  <c r="L1928" i="2"/>
  <c r="L1920" i="2"/>
  <c r="L1912" i="2"/>
  <c r="L1904" i="2"/>
  <c r="L1896" i="2"/>
  <c r="L1888" i="2"/>
  <c r="L1880" i="2"/>
  <c r="L1872" i="2"/>
  <c r="L1864" i="2"/>
  <c r="L1857" i="2"/>
  <c r="L1848" i="2"/>
  <c r="L1840" i="2"/>
  <c r="L1832" i="2"/>
  <c r="L1824" i="2"/>
  <c r="L1816" i="2"/>
  <c r="L1808" i="2"/>
  <c r="L1800" i="2"/>
  <c r="L1792" i="2"/>
  <c r="L1784" i="2"/>
  <c r="L1776" i="2"/>
  <c r="L1768" i="2"/>
  <c r="L1760" i="2"/>
  <c r="L1752" i="2"/>
  <c r="L1744" i="2"/>
  <c r="L1736" i="2"/>
  <c r="L1728" i="2"/>
  <c r="L1720" i="2"/>
  <c r="L1712" i="2"/>
  <c r="L1704" i="2"/>
  <c r="L1696" i="2"/>
  <c r="L1688" i="2"/>
  <c r="L1680" i="2"/>
  <c r="L1671" i="2"/>
  <c r="L1625" i="2"/>
  <c r="L1614" i="2"/>
  <c r="L1595" i="2"/>
  <c r="L1575" i="2"/>
  <c r="L1565" i="2"/>
  <c r="L1546" i="2"/>
  <c r="L1536" i="2"/>
  <c r="L1516" i="2"/>
  <c r="L1496" i="2"/>
  <c r="L1466" i="2"/>
  <c r="L1365" i="2"/>
  <c r="L1326" i="2"/>
  <c r="L1310" i="2"/>
  <c r="L1293" i="2"/>
  <c r="L1278" i="2"/>
  <c r="L1229" i="2"/>
  <c r="L1154" i="2"/>
  <c r="L1127" i="2"/>
  <c r="L1042" i="2"/>
  <c r="L1013" i="2"/>
  <c r="L983" i="2"/>
  <c r="L915" i="2"/>
  <c r="L801" i="2"/>
  <c r="L753" i="2"/>
  <c r="L720" i="2"/>
  <c r="L574" i="2"/>
  <c r="L512" i="2"/>
  <c r="L458" i="2"/>
  <c r="L49" i="2"/>
  <c r="L1670" i="2"/>
  <c r="L1661" i="2"/>
  <c r="L1652" i="2"/>
  <c r="L1643" i="2"/>
  <c r="L1634" i="2"/>
  <c r="L1624" i="2"/>
  <c r="L1604" i="2"/>
  <c r="L1585" i="2"/>
  <c r="L1574" i="2"/>
  <c r="L1557" i="2"/>
  <c r="L1535" i="2"/>
  <c r="L1525" i="2"/>
  <c r="L1506" i="2"/>
  <c r="L1495" i="2"/>
  <c r="L1484" i="2"/>
  <c r="L1474" i="2"/>
  <c r="L1463" i="2"/>
  <c r="L1452" i="2"/>
  <c r="L1442" i="2"/>
  <c r="L1429" i="2"/>
  <c r="L1418" i="2"/>
  <c r="L1404" i="2"/>
  <c r="L1393" i="2"/>
  <c r="L1379" i="2"/>
  <c r="L1353" i="2"/>
  <c r="L1338" i="2"/>
  <c r="L1174" i="2"/>
  <c r="L1153" i="2"/>
  <c r="L1123" i="2"/>
  <c r="L1096" i="2"/>
  <c r="L1067" i="2"/>
  <c r="L1034" i="2"/>
  <c r="L1012" i="2"/>
  <c r="L947" i="2"/>
  <c r="L800" i="2"/>
  <c r="L709" i="2"/>
  <c r="L668" i="2"/>
  <c r="L620" i="2"/>
  <c r="L394" i="2"/>
  <c r="L322" i="2"/>
  <c r="L256" i="2"/>
  <c r="L183" i="2"/>
  <c r="L125" i="2"/>
  <c r="L1959" i="2"/>
  <c r="L1951" i="2"/>
  <c r="L1943" i="2"/>
  <c r="L1935" i="2"/>
  <c r="L1927" i="2"/>
  <c r="L1918" i="2"/>
  <c r="L1910" i="2"/>
  <c r="L1903" i="2"/>
  <c r="L1895" i="2"/>
  <c r="L1887" i="2"/>
  <c r="L1879" i="2"/>
  <c r="L1871" i="2"/>
  <c r="L1863" i="2"/>
  <c r="L1854" i="2"/>
  <c r="L1847" i="2"/>
  <c r="L1839" i="2"/>
  <c r="L1831" i="2"/>
  <c r="L1823" i="2"/>
  <c r="L1815" i="2"/>
  <c r="L1807" i="2"/>
  <c r="L1799" i="2"/>
  <c r="L1791" i="2"/>
  <c r="L1783" i="2"/>
  <c r="L1775" i="2"/>
  <c r="L1767" i="2"/>
  <c r="L1759" i="2"/>
  <c r="L1751" i="2"/>
  <c r="L1743" i="2"/>
  <c r="L1735" i="2"/>
  <c r="L1727" i="2"/>
  <c r="L1719" i="2"/>
  <c r="L1711" i="2"/>
  <c r="L1703" i="2"/>
  <c r="L1695" i="2"/>
  <c r="L1687" i="2"/>
  <c r="L1679" i="2"/>
  <c r="L1623" i="2"/>
  <c r="L1613" i="2"/>
  <c r="L1594" i="2"/>
  <c r="L1584" i="2"/>
  <c r="L1564" i="2"/>
  <c r="L1545" i="2"/>
  <c r="L1534" i="2"/>
  <c r="L1515" i="2"/>
  <c r="L1364" i="2"/>
  <c r="L1352" i="2"/>
  <c r="L1322" i="2"/>
  <c r="L1309" i="2"/>
  <c r="L1292" i="2"/>
  <c r="L1273" i="2"/>
  <c r="L1254" i="2"/>
  <c r="L1230" i="2"/>
  <c r="L1203" i="2"/>
  <c r="L1173" i="2"/>
  <c r="L1146" i="2"/>
  <c r="L1122" i="2"/>
  <c r="L1066" i="2"/>
  <c r="L1011" i="2"/>
  <c r="L978" i="2"/>
  <c r="L916" i="2"/>
  <c r="L752" i="2"/>
  <c r="L619" i="2"/>
  <c r="L502" i="2"/>
  <c r="L441" i="2"/>
  <c r="L176" i="2"/>
  <c r="L46" i="2"/>
  <c r="L1678" i="2"/>
  <c r="L1669" i="2"/>
  <c r="L1660" i="2"/>
  <c r="L1651" i="2"/>
  <c r="L1642" i="2"/>
  <c r="L1633" i="2"/>
  <c r="L1622" i="2"/>
  <c r="L1603" i="2"/>
  <c r="L1583" i="2"/>
  <c r="L1573" i="2"/>
  <c r="L1554" i="2"/>
  <c r="L1544" i="2"/>
  <c r="L1524" i="2"/>
  <c r="L1505" i="2"/>
  <c r="L1493" i="2"/>
  <c r="L1483" i="2"/>
  <c r="L1473" i="2"/>
  <c r="L1461" i="2"/>
  <c r="L1451" i="2"/>
  <c r="L1441" i="2"/>
  <c r="L1428" i="2"/>
  <c r="L1417" i="2"/>
  <c r="L1403" i="2"/>
  <c r="L1389" i="2"/>
  <c r="L1378" i="2"/>
  <c r="L1337" i="2"/>
  <c r="L1321" i="2"/>
  <c r="L1246" i="2"/>
  <c r="L1095" i="2"/>
  <c r="L1033" i="2"/>
  <c r="L977" i="2"/>
  <c r="L946" i="2"/>
  <c r="L914" i="2"/>
  <c r="L871" i="2"/>
  <c r="L618" i="2"/>
  <c r="L501" i="2"/>
  <c r="L385" i="2"/>
  <c r="L321" i="2"/>
  <c r="L248" i="2"/>
  <c r="L1336" i="2"/>
  <c r="L1320" i="2"/>
  <c r="L1308" i="2"/>
  <c r="L1291" i="2"/>
  <c r="L1271" i="2"/>
  <c r="L1227" i="2"/>
  <c r="L1199" i="2"/>
  <c r="L1172" i="2"/>
  <c r="L1114" i="2"/>
  <c r="L1093" i="2"/>
  <c r="L1061" i="2"/>
  <c r="L1003" i="2"/>
  <c r="L751" i="2"/>
  <c r="L704" i="2"/>
  <c r="L653" i="2"/>
  <c r="L560" i="2"/>
  <c r="L499" i="2"/>
  <c r="L439" i="2"/>
  <c r="L175" i="2"/>
  <c r="L32" i="2"/>
  <c r="L1289" i="2"/>
  <c r="L1279" i="2"/>
  <c r="L1269" i="2"/>
  <c r="L1255" i="2"/>
  <c r="L1243" i="2"/>
  <c r="L1183" i="2"/>
  <c r="L1170" i="2"/>
  <c r="L1110" i="2"/>
  <c r="L1076" i="2"/>
  <c r="L1060" i="2"/>
  <c r="L1043" i="2"/>
  <c r="L1029" i="2"/>
  <c r="L945" i="2"/>
  <c r="L907" i="2"/>
  <c r="L885" i="2"/>
  <c r="L865" i="2"/>
  <c r="L841" i="2"/>
  <c r="L792" i="2"/>
  <c r="L773" i="2"/>
  <c r="L749" i="2"/>
  <c r="L721" i="2"/>
  <c r="L696" i="2"/>
  <c r="L645" i="2"/>
  <c r="L588" i="2"/>
  <c r="L531" i="2"/>
  <c r="L496" i="2"/>
  <c r="L422" i="2"/>
  <c r="L387" i="2"/>
  <c r="L355" i="2"/>
  <c r="L314" i="2"/>
  <c r="L275" i="2"/>
  <c r="L126" i="2"/>
  <c r="L79" i="2"/>
  <c r="L33" i="2"/>
  <c r="L1368" i="2"/>
  <c r="L1351" i="2"/>
  <c r="L1334" i="2"/>
  <c r="L1325" i="2"/>
  <c r="L1317" i="2"/>
  <c r="L1307" i="2"/>
  <c r="L1297" i="2"/>
  <c r="L1287" i="2"/>
  <c r="L1197" i="2"/>
  <c r="L1181" i="2"/>
  <c r="L1165" i="2"/>
  <c r="L1137" i="2"/>
  <c r="L1121" i="2"/>
  <c r="L1105" i="2"/>
  <c r="L1089" i="2"/>
  <c r="L1075" i="2"/>
  <c r="L995" i="2"/>
  <c r="L976" i="2"/>
  <c r="L839" i="2"/>
  <c r="L814" i="2"/>
  <c r="L765" i="2"/>
  <c r="L740" i="2"/>
  <c r="L719" i="2"/>
  <c r="L639" i="2"/>
  <c r="L586" i="2"/>
  <c r="L554" i="2"/>
  <c r="L420" i="2"/>
  <c r="L383" i="2"/>
  <c r="L341" i="2"/>
  <c r="L312" i="2"/>
  <c r="L232" i="2"/>
  <c r="L193" i="2"/>
  <c r="L154" i="2"/>
  <c r="L120" i="2"/>
  <c r="L1424" i="2"/>
  <c r="L1416" i="2"/>
  <c r="L1408" i="2"/>
  <c r="L1400" i="2"/>
  <c r="L1392" i="2"/>
  <c r="L1384" i="2"/>
  <c r="L1376" i="2"/>
  <c r="L1359" i="2"/>
  <c r="L1342" i="2"/>
  <c r="L1296" i="2"/>
  <c r="L1277" i="2"/>
  <c r="L1267" i="2"/>
  <c r="L1253" i="2"/>
  <c r="L1238" i="2"/>
  <c r="L1223" i="2"/>
  <c r="L1211" i="2"/>
  <c r="L1136" i="2"/>
  <c r="L1058" i="2"/>
  <c r="L1041" i="2"/>
  <c r="L1024" i="2"/>
  <c r="L993" i="2"/>
  <c r="L975" i="2"/>
  <c r="L956" i="2"/>
  <c r="L938" i="2"/>
  <c r="L923" i="2"/>
  <c r="L905" i="2"/>
  <c r="L881" i="2"/>
  <c r="L832" i="2"/>
  <c r="L813" i="2"/>
  <c r="L790" i="2"/>
  <c r="L664" i="2"/>
  <c r="L635" i="2"/>
  <c r="L585" i="2"/>
  <c r="L552" i="2"/>
  <c r="L521" i="2"/>
  <c r="L484" i="2"/>
  <c r="L456" i="2"/>
  <c r="L419" i="2"/>
  <c r="L302" i="2"/>
  <c r="L76" i="2"/>
  <c r="L31" i="2"/>
  <c r="L1367" i="2"/>
  <c r="L1350" i="2"/>
  <c r="L1333" i="2"/>
  <c r="L1324" i="2"/>
  <c r="L1315" i="2"/>
  <c r="L1306" i="2"/>
  <c r="L1286" i="2"/>
  <c r="L1266" i="2"/>
  <c r="L1180" i="2"/>
  <c r="L1164" i="2"/>
  <c r="L1149" i="2"/>
  <c r="L1120" i="2"/>
  <c r="L1103" i="2"/>
  <c r="L1088" i="2"/>
  <c r="L1057" i="2"/>
  <c r="L1023" i="2"/>
  <c r="L1006" i="2"/>
  <c r="L917" i="2"/>
  <c r="L903" i="2"/>
  <c r="L857" i="2"/>
  <c r="L711" i="2"/>
  <c r="L689" i="2"/>
  <c r="L608" i="2"/>
  <c r="L483" i="2"/>
  <c r="L417" i="2"/>
  <c r="L340" i="2"/>
  <c r="L301" i="2"/>
  <c r="L271" i="2"/>
  <c r="L231" i="2"/>
  <c r="L192" i="2"/>
  <c r="L152" i="2"/>
  <c r="L74" i="2"/>
  <c r="L1439" i="2"/>
  <c r="L1431" i="2"/>
  <c r="L1423" i="2"/>
  <c r="L1415" i="2"/>
  <c r="L1407" i="2"/>
  <c r="L1399" i="2"/>
  <c r="L1391" i="2"/>
  <c r="L1383" i="2"/>
  <c r="L1375" i="2"/>
  <c r="L1358" i="2"/>
  <c r="L1341" i="2"/>
  <c r="L1305" i="2"/>
  <c r="L1295" i="2"/>
  <c r="L1276" i="2"/>
  <c r="L1237" i="2"/>
  <c r="L1222" i="2"/>
  <c r="L1207" i="2"/>
  <c r="L1195" i="2"/>
  <c r="L1119" i="2"/>
  <c r="L1087" i="2"/>
  <c r="L1070" i="2"/>
  <c r="L1040" i="2"/>
  <c r="L1005" i="2"/>
  <c r="L955" i="2"/>
  <c r="L937" i="2"/>
  <c r="L880" i="2"/>
  <c r="L831" i="2"/>
  <c r="L663" i="2"/>
  <c r="L634" i="2"/>
  <c r="L607" i="2"/>
  <c r="L514" i="2"/>
  <c r="L415" i="2"/>
  <c r="L377" i="2"/>
  <c r="L339" i="2"/>
  <c r="L230" i="2"/>
  <c r="L150" i="2"/>
  <c r="L108" i="2"/>
  <c r="L66" i="2"/>
  <c r="L28" i="2"/>
  <c r="L1366" i="2"/>
  <c r="L1349" i="2"/>
  <c r="L1332" i="2"/>
  <c r="L1323" i="2"/>
  <c r="L1314" i="2"/>
  <c r="L1304" i="2"/>
  <c r="L1285" i="2"/>
  <c r="L1263" i="2"/>
  <c r="L1252" i="2"/>
  <c r="L1163" i="2"/>
  <c r="L1147" i="2"/>
  <c r="L1131" i="2"/>
  <c r="L1104" i="2"/>
  <c r="L1069" i="2"/>
  <c r="L1052" i="2"/>
  <c r="L1022" i="2"/>
  <c r="L987" i="2"/>
  <c r="L972" i="2"/>
  <c r="L919" i="2"/>
  <c r="L897" i="2"/>
  <c r="L879" i="2"/>
  <c r="L855" i="2"/>
  <c r="L806" i="2"/>
  <c r="L736" i="2"/>
  <c r="L710" i="2"/>
  <c r="L661" i="2"/>
  <c r="L605" i="2"/>
  <c r="L576" i="2"/>
  <c r="L550" i="2"/>
  <c r="L481" i="2"/>
  <c r="L442" i="2"/>
  <c r="L405" i="2"/>
  <c r="L379" i="2"/>
  <c r="L300" i="2"/>
  <c r="L258" i="2"/>
  <c r="L229" i="2"/>
  <c r="L191" i="2"/>
  <c r="L149" i="2"/>
  <c r="L1502" i="2"/>
  <c r="L1494" i="2"/>
  <c r="L1486" i="2"/>
  <c r="L1478" i="2"/>
  <c r="L1470" i="2"/>
  <c r="L1462" i="2"/>
  <c r="L1454" i="2"/>
  <c r="L1446" i="2"/>
  <c r="L1438" i="2"/>
  <c r="L1430" i="2"/>
  <c r="L1422" i="2"/>
  <c r="L1414" i="2"/>
  <c r="L1406" i="2"/>
  <c r="L1398" i="2"/>
  <c r="L1390" i="2"/>
  <c r="L1382" i="2"/>
  <c r="L1374" i="2"/>
  <c r="L1357" i="2"/>
  <c r="L1340" i="2"/>
  <c r="L1313" i="2"/>
  <c r="L1294" i="2"/>
  <c r="L1275" i="2"/>
  <c r="L1221" i="2"/>
  <c r="L1206" i="2"/>
  <c r="L1191" i="2"/>
  <c r="L1178" i="2"/>
  <c r="L1102" i="2"/>
  <c r="L1086" i="2"/>
  <c r="L1038" i="2"/>
  <c r="L1021" i="2"/>
  <c r="L1004" i="2"/>
  <c r="L936" i="2"/>
  <c r="L830" i="2"/>
  <c r="L781" i="2"/>
  <c r="L603" i="2"/>
  <c r="L478" i="2"/>
  <c r="L338" i="2"/>
  <c r="L298" i="2"/>
  <c r="L106" i="2"/>
  <c r="L60" i="2"/>
  <c r="L20" i="2"/>
  <c r="L1260" i="2"/>
  <c r="L1251" i="2"/>
  <c r="L1244" i="2"/>
  <c r="L1236" i="2"/>
  <c r="L1228" i="2"/>
  <c r="L1220" i="2"/>
  <c r="L1212" i="2"/>
  <c r="L1204" i="2"/>
  <c r="L1196" i="2"/>
  <c r="L1179" i="2"/>
  <c r="L1162" i="2"/>
  <c r="L1145" i="2"/>
  <c r="L1128" i="2"/>
  <c r="L1111" i="2"/>
  <c r="L1094" i="2"/>
  <c r="L1039" i="2"/>
  <c r="L1030" i="2"/>
  <c r="L984" i="2"/>
  <c r="L973" i="2"/>
  <c r="L954" i="2"/>
  <c r="L924" i="2"/>
  <c r="L891" i="2"/>
  <c r="L853" i="2"/>
  <c r="L840" i="2"/>
  <c r="L789" i="2"/>
  <c r="L774" i="2"/>
  <c r="L761" i="2"/>
  <c r="L570" i="2"/>
  <c r="L551" i="2"/>
  <c r="L534" i="2"/>
  <c r="L513" i="2"/>
  <c r="L457" i="2"/>
  <c r="L435" i="2"/>
  <c r="L399" i="2"/>
  <c r="L356" i="2"/>
  <c r="L313" i="2"/>
  <c r="L295" i="2"/>
  <c r="L273" i="2"/>
  <c r="L165" i="2"/>
  <c r="L122" i="2"/>
  <c r="L47" i="2"/>
  <c r="L22" i="2"/>
  <c r="L1186" i="2"/>
  <c r="L1169" i="2"/>
  <c r="L1152" i="2"/>
  <c r="L1135" i="2"/>
  <c r="L1118" i="2"/>
  <c r="L1109" i="2"/>
  <c r="L1092" i="2"/>
  <c r="L1083" i="2"/>
  <c r="L1074" i="2"/>
  <c r="L1065" i="2"/>
  <c r="L1056" i="2"/>
  <c r="L1037" i="2"/>
  <c r="L1028" i="2"/>
  <c r="L1019" i="2"/>
  <c r="L1010" i="2"/>
  <c r="L1001" i="2"/>
  <c r="L992" i="2"/>
  <c r="L981" i="2"/>
  <c r="L962" i="2"/>
  <c r="L932" i="2"/>
  <c r="L913" i="2"/>
  <c r="L901" i="2"/>
  <c r="L889" i="2"/>
  <c r="L878" i="2"/>
  <c r="L863" i="2"/>
  <c r="L799" i="2"/>
  <c r="L784" i="2"/>
  <c r="L744" i="2"/>
  <c r="L718" i="2"/>
  <c r="L702" i="2"/>
  <c r="L688" i="2"/>
  <c r="L675" i="2"/>
  <c r="L658" i="2"/>
  <c r="L644" i="2"/>
  <c r="L629" i="2"/>
  <c r="L612" i="2"/>
  <c r="L584" i="2"/>
  <c r="L566" i="2"/>
  <c r="L549" i="2"/>
  <c r="L529" i="2"/>
  <c r="L472" i="2"/>
  <c r="L432" i="2"/>
  <c r="L375" i="2"/>
  <c r="L353" i="2"/>
  <c r="L335" i="2"/>
  <c r="L287" i="2"/>
  <c r="L247" i="2"/>
  <c r="L204" i="2"/>
  <c r="L163" i="2"/>
  <c r="L138" i="2"/>
  <c r="L119" i="2"/>
  <c r="L95" i="2"/>
  <c r="L1298" i="2"/>
  <c r="L1290" i="2"/>
  <c r="L1283" i="2"/>
  <c r="L1274" i="2"/>
  <c r="L1265" i="2"/>
  <c r="L1258" i="2"/>
  <c r="L1248" i="2"/>
  <c r="L1242" i="2"/>
  <c r="L1234" i="2"/>
  <c r="L1226" i="2"/>
  <c r="L1218" i="2"/>
  <c r="L1210" i="2"/>
  <c r="L1202" i="2"/>
  <c r="L1194" i="2"/>
  <c r="L1177" i="2"/>
  <c r="L1160" i="2"/>
  <c r="L1143" i="2"/>
  <c r="L1126" i="2"/>
  <c r="L1117" i="2"/>
  <c r="L1100" i="2"/>
  <c r="L1055" i="2"/>
  <c r="L1046" i="2"/>
  <c r="L991" i="2"/>
  <c r="L971" i="2"/>
  <c r="L952" i="2"/>
  <c r="L942" i="2"/>
  <c r="L922" i="2"/>
  <c r="L838" i="2"/>
  <c r="L823" i="2"/>
  <c r="L759" i="2"/>
  <c r="L673" i="2"/>
  <c r="L656" i="2"/>
  <c r="L643" i="2"/>
  <c r="L611" i="2"/>
  <c r="L565" i="2"/>
  <c r="L511" i="2"/>
  <c r="L470" i="2"/>
  <c r="L414" i="2"/>
  <c r="L393" i="2"/>
  <c r="L351" i="2"/>
  <c r="L329" i="2"/>
  <c r="L311" i="2"/>
  <c r="L268" i="2"/>
  <c r="L222" i="2"/>
  <c r="L203" i="2"/>
  <c r="L182" i="2"/>
  <c r="L164" i="2"/>
  <c r="L114" i="2"/>
  <c r="L65" i="2"/>
  <c r="L44" i="2"/>
  <c r="L17" i="2"/>
  <c r="L1185" i="2"/>
  <c r="L1168" i="2"/>
  <c r="L1151" i="2"/>
  <c r="L1134" i="2"/>
  <c r="L1125" i="2"/>
  <c r="L1108" i="2"/>
  <c r="L1091" i="2"/>
  <c r="L1082" i="2"/>
  <c r="L1073" i="2"/>
  <c r="L1064" i="2"/>
  <c r="L1045" i="2"/>
  <c r="L1036" i="2"/>
  <c r="L1027" i="2"/>
  <c r="L1018" i="2"/>
  <c r="L1009" i="2"/>
  <c r="L1000" i="2"/>
  <c r="L980" i="2"/>
  <c r="L961" i="2"/>
  <c r="L951" i="2"/>
  <c r="L931" i="2"/>
  <c r="L911" i="2"/>
  <c r="L888" i="2"/>
  <c r="L862" i="2"/>
  <c r="L849" i="2"/>
  <c r="L797" i="2"/>
  <c r="L783" i="2"/>
  <c r="L743" i="2"/>
  <c r="L729" i="2"/>
  <c r="L701" i="2"/>
  <c r="L687" i="2"/>
  <c r="L596" i="2"/>
  <c r="L548" i="2"/>
  <c r="L527" i="2"/>
  <c r="L487" i="2"/>
  <c r="L469" i="2"/>
  <c r="L431" i="2"/>
  <c r="L412" i="2"/>
  <c r="L376" i="2"/>
  <c r="L286" i="2"/>
  <c r="L267" i="2"/>
  <c r="L246" i="2"/>
  <c r="L221" i="2"/>
  <c r="L181" i="2"/>
  <c r="L137" i="2"/>
  <c r="L92" i="2"/>
  <c r="L14" i="2"/>
  <c r="L1257" i="2"/>
  <c r="L1249" i="2"/>
  <c r="L1241" i="2"/>
  <c r="L1233" i="2"/>
  <c r="L1225" i="2"/>
  <c r="L1217" i="2"/>
  <c r="L1209" i="2"/>
  <c r="L1201" i="2"/>
  <c r="L1193" i="2"/>
  <c r="L1176" i="2"/>
  <c r="L1159" i="2"/>
  <c r="L1142" i="2"/>
  <c r="L1133" i="2"/>
  <c r="L1116" i="2"/>
  <c r="L1099" i="2"/>
  <c r="L1063" i="2"/>
  <c r="L1054" i="2"/>
  <c r="L999" i="2"/>
  <c r="L989" i="2"/>
  <c r="L969" i="2"/>
  <c r="L941" i="2"/>
  <c r="L921" i="2"/>
  <c r="L899" i="2"/>
  <c r="L822" i="2"/>
  <c r="L809" i="2"/>
  <c r="L757" i="2"/>
  <c r="L671" i="2"/>
  <c r="L655" i="2"/>
  <c r="L642" i="2"/>
  <c r="L626" i="2"/>
  <c r="L610" i="2"/>
  <c r="L595" i="2"/>
  <c r="L579" i="2"/>
  <c r="L563" i="2"/>
  <c r="L547" i="2"/>
  <c r="L448" i="2"/>
  <c r="L392" i="2"/>
  <c r="L368" i="2"/>
  <c r="L350" i="2"/>
  <c r="L328" i="2"/>
  <c r="L310" i="2"/>
  <c r="L285" i="2"/>
  <c r="L245" i="2"/>
  <c r="L202" i="2"/>
  <c r="L179" i="2"/>
  <c r="L156" i="2"/>
  <c r="L89" i="2"/>
  <c r="L64" i="2"/>
  <c r="L1184" i="2"/>
  <c r="L1167" i="2"/>
  <c r="L1150" i="2"/>
  <c r="L1141" i="2"/>
  <c r="L1124" i="2"/>
  <c r="L1107" i="2"/>
  <c r="L1090" i="2"/>
  <c r="L1081" i="2"/>
  <c r="L1072" i="2"/>
  <c r="L1053" i="2"/>
  <c r="L1044" i="2"/>
  <c r="L1035" i="2"/>
  <c r="L1026" i="2"/>
  <c r="L1017" i="2"/>
  <c r="L1008" i="2"/>
  <c r="L979" i="2"/>
  <c r="L960" i="2"/>
  <c r="L949" i="2"/>
  <c r="L930" i="2"/>
  <c r="L909" i="2"/>
  <c r="L887" i="2"/>
  <c r="L861" i="2"/>
  <c r="L848" i="2"/>
  <c r="L833" i="2"/>
  <c r="L782" i="2"/>
  <c r="L769" i="2"/>
  <c r="L742" i="2"/>
  <c r="L728" i="2"/>
  <c r="L712" i="2"/>
  <c r="L686" i="2"/>
  <c r="L641" i="2"/>
  <c r="L624" i="2"/>
  <c r="L561" i="2"/>
  <c r="L545" i="2"/>
  <c r="L524" i="2"/>
  <c r="L506" i="2"/>
  <c r="L486" i="2"/>
  <c r="L468" i="2"/>
  <c r="L430" i="2"/>
  <c r="L408" i="2"/>
  <c r="L349" i="2"/>
  <c r="L309" i="2"/>
  <c r="L261" i="2"/>
  <c r="L243" i="2"/>
  <c r="L220" i="2"/>
  <c r="L177" i="2"/>
  <c r="L155" i="2"/>
  <c r="L136" i="2"/>
  <c r="L110" i="2"/>
  <c r="L34" i="2"/>
  <c r="L15" i="2"/>
  <c r="L1272" i="2"/>
  <c r="L1264" i="2"/>
  <c r="L1256" i="2"/>
  <c r="L1250" i="2"/>
  <c r="L1240" i="2"/>
  <c r="L1232" i="2"/>
  <c r="L1224" i="2"/>
  <c r="L1216" i="2"/>
  <c r="L1208" i="2"/>
  <c r="L1200" i="2"/>
  <c r="L1192" i="2"/>
  <c r="L1175" i="2"/>
  <c r="L1158" i="2"/>
  <c r="L1148" i="2"/>
  <c r="L1132" i="2"/>
  <c r="L1115" i="2"/>
  <c r="L1098" i="2"/>
  <c r="L1071" i="2"/>
  <c r="L1062" i="2"/>
  <c r="L1007" i="2"/>
  <c r="L998" i="2"/>
  <c r="L988" i="2"/>
  <c r="L970" i="2"/>
  <c r="L959" i="2"/>
  <c r="L939" i="2"/>
  <c r="L918" i="2"/>
  <c r="L872" i="2"/>
  <c r="L821" i="2"/>
  <c r="L808" i="2"/>
  <c r="L793" i="2"/>
  <c r="L669" i="2"/>
  <c r="L654" i="2"/>
  <c r="L637" i="2"/>
  <c r="L622" i="2"/>
  <c r="L609" i="2"/>
  <c r="L594" i="2"/>
  <c r="L577" i="2"/>
  <c r="L541" i="2"/>
  <c r="L523" i="2"/>
  <c r="L485" i="2"/>
  <c r="L467" i="2"/>
  <c r="L446" i="2"/>
  <c r="L429" i="2"/>
  <c r="L406" i="2"/>
  <c r="L390" i="2"/>
  <c r="L367" i="2"/>
  <c r="L325" i="2"/>
  <c r="L284" i="2"/>
  <c r="L259" i="2"/>
  <c r="L241" i="2"/>
  <c r="L219" i="2"/>
  <c r="L109" i="2"/>
  <c r="L84" i="2"/>
  <c r="L63" i="2"/>
  <c r="L12" i="2"/>
  <c r="L912" i="2"/>
  <c r="L904" i="2"/>
  <c r="L895" i="2"/>
  <c r="L886" i="2"/>
  <c r="L877" i="2"/>
  <c r="L847" i="2"/>
  <c r="L817" i="2"/>
  <c r="L798" i="2"/>
  <c r="L768" i="2"/>
  <c r="L750" i="2"/>
  <c r="L737" i="2"/>
  <c r="L727" i="2"/>
  <c r="L717" i="2"/>
  <c r="L705" i="2"/>
  <c r="L695" i="2"/>
  <c r="L685" i="2"/>
  <c r="L662" i="2"/>
  <c r="L651" i="2"/>
  <c r="L628" i="2"/>
  <c r="L617" i="2"/>
  <c r="L583" i="2"/>
  <c r="L494" i="2"/>
  <c r="L479" i="2"/>
  <c r="L454" i="2"/>
  <c r="L440" i="2"/>
  <c r="L428" i="2"/>
  <c r="L413" i="2"/>
  <c r="L401" i="2"/>
  <c r="L386" i="2"/>
  <c r="L347" i="2"/>
  <c r="L307" i="2"/>
  <c r="L294" i="2"/>
  <c r="L255" i="2"/>
  <c r="L240" i="2"/>
  <c r="L228" i="2"/>
  <c r="L213" i="2"/>
  <c r="L201" i="2"/>
  <c r="L186" i="2"/>
  <c r="L161" i="2"/>
  <c r="L105" i="2"/>
  <c r="L88" i="2"/>
  <c r="L42" i="2"/>
  <c r="L25" i="2"/>
  <c r="L856" i="2"/>
  <c r="L837" i="2"/>
  <c r="L807" i="2"/>
  <c r="L777" i="2"/>
  <c r="L758" i="2"/>
  <c r="L672" i="2"/>
  <c r="L636" i="2"/>
  <c r="L627" i="2"/>
  <c r="L604" i="2"/>
  <c r="L593" i="2"/>
  <c r="L569" i="2"/>
  <c r="L558" i="2"/>
  <c r="L546" i="2"/>
  <c r="L532" i="2"/>
  <c r="L520" i="2"/>
  <c r="L505" i="2"/>
  <c r="L493" i="2"/>
  <c r="L466" i="2"/>
  <c r="L451" i="2"/>
  <c r="L426" i="2"/>
  <c r="L374" i="2"/>
  <c r="L359" i="2"/>
  <c r="L332" i="2"/>
  <c r="L320" i="2"/>
  <c r="L305" i="2"/>
  <c r="L293" i="2"/>
  <c r="L280" i="2"/>
  <c r="L266" i="2"/>
  <c r="L227" i="2"/>
  <c r="L174" i="2"/>
  <c r="L159" i="2"/>
  <c r="L146" i="2"/>
  <c r="L118" i="2"/>
  <c r="L73" i="2"/>
  <c r="L56" i="2"/>
  <c r="L10" i="2"/>
  <c r="L373" i="2"/>
  <c r="L346" i="2"/>
  <c r="L331" i="2"/>
  <c r="L278" i="2"/>
  <c r="L239" i="2"/>
  <c r="L212" i="2"/>
  <c r="L200" i="2"/>
  <c r="L185" i="2"/>
  <c r="L173" i="2"/>
  <c r="L117" i="2"/>
  <c r="L103" i="2"/>
  <c r="L87" i="2"/>
  <c r="L41" i="2"/>
  <c r="L24" i="2"/>
  <c r="L568" i="2"/>
  <c r="L543" i="2"/>
  <c r="L518" i="2"/>
  <c r="L504" i="2"/>
  <c r="L492" i="2"/>
  <c r="L477" i="2"/>
  <c r="L465" i="2"/>
  <c r="L450" i="2"/>
  <c r="L410" i="2"/>
  <c r="L371" i="2"/>
  <c r="L358" i="2"/>
  <c r="L319" i="2"/>
  <c r="L304" i="2"/>
  <c r="L292" i="2"/>
  <c r="L277" i="2"/>
  <c r="L265" i="2"/>
  <c r="L250" i="2"/>
  <c r="L225" i="2"/>
  <c r="L211" i="2"/>
  <c r="L158" i="2"/>
  <c r="L145" i="2"/>
  <c r="L129" i="2"/>
  <c r="L100" i="2"/>
  <c r="L71" i="2"/>
  <c r="L55" i="2"/>
  <c r="L9" i="2"/>
  <c r="L990" i="2"/>
  <c r="L982" i="2"/>
  <c r="L974" i="2"/>
  <c r="L966" i="2"/>
  <c r="L958" i="2"/>
  <c r="L950" i="2"/>
  <c r="L940" i="2"/>
  <c r="L934" i="2"/>
  <c r="L926" i="2"/>
  <c r="L920" i="2"/>
  <c r="L910" i="2"/>
  <c r="L902" i="2"/>
  <c r="L893" i="2"/>
  <c r="L864" i="2"/>
  <c r="L845" i="2"/>
  <c r="L815" i="2"/>
  <c r="L785" i="2"/>
  <c r="L766" i="2"/>
  <c r="L745" i="2"/>
  <c r="L735" i="2"/>
  <c r="L725" i="2"/>
  <c r="L713" i="2"/>
  <c r="L703" i="2"/>
  <c r="L693" i="2"/>
  <c r="L681" i="2"/>
  <c r="L660" i="2"/>
  <c r="L647" i="2"/>
  <c r="L613" i="2"/>
  <c r="L602" i="2"/>
  <c r="L556" i="2"/>
  <c r="L530" i="2"/>
  <c r="L515" i="2"/>
  <c r="L490" i="2"/>
  <c r="L437" i="2"/>
  <c r="L423" i="2"/>
  <c r="L396" i="2"/>
  <c r="L384" i="2"/>
  <c r="L369" i="2"/>
  <c r="L357" i="2"/>
  <c r="L344" i="2"/>
  <c r="L330" i="2"/>
  <c r="L291" i="2"/>
  <c r="L238" i="2"/>
  <c r="L223" i="2"/>
  <c r="L198" i="2"/>
  <c r="L184" i="2"/>
  <c r="L172" i="2"/>
  <c r="L157" i="2"/>
  <c r="L116" i="2"/>
  <c r="L86" i="2"/>
  <c r="L68" i="2"/>
  <c r="L39" i="2"/>
  <c r="L23" i="2"/>
  <c r="L883" i="2"/>
  <c r="L873" i="2"/>
  <c r="L854" i="2"/>
  <c r="L824" i="2"/>
  <c r="L805" i="2"/>
  <c r="L775" i="2"/>
  <c r="L670" i="2"/>
  <c r="L659" i="2"/>
  <c r="L638" i="2"/>
  <c r="L625" i="2"/>
  <c r="L591" i="2"/>
  <c r="L578" i="2"/>
  <c r="L567" i="2"/>
  <c r="L555" i="2"/>
  <c r="L542" i="2"/>
  <c r="L503" i="2"/>
  <c r="L488" i="2"/>
  <c r="L476" i="2"/>
  <c r="L463" i="2"/>
  <c r="L449" i="2"/>
  <c r="L438" i="2"/>
  <c r="L411" i="2"/>
  <c r="L395" i="2"/>
  <c r="L342" i="2"/>
  <c r="L303" i="2"/>
  <c r="L276" i="2"/>
  <c r="L264" i="2"/>
  <c r="L249" i="2"/>
  <c r="L237" i="2"/>
  <c r="L210" i="2"/>
  <c r="L195" i="2"/>
  <c r="L169" i="2"/>
  <c r="L144" i="2"/>
  <c r="L128" i="2"/>
  <c r="L98" i="2"/>
  <c r="L54" i="2"/>
  <c r="L36" i="2"/>
  <c r="L537" i="2"/>
  <c r="L528" i="2"/>
  <c r="L519" i="2"/>
  <c r="L510" i="2"/>
  <c r="L491" i="2"/>
  <c r="L482" i="2"/>
  <c r="L473" i="2"/>
  <c r="L464" i="2"/>
  <c r="L455" i="2"/>
  <c r="L447" i="2"/>
  <c r="L427" i="2"/>
  <c r="L418" i="2"/>
  <c r="L409" i="2"/>
  <c r="L400" i="2"/>
  <c r="L391" i="2"/>
  <c r="L382" i="2"/>
  <c r="L363" i="2"/>
  <c r="L354" i="2"/>
  <c r="L345" i="2"/>
  <c r="L336" i="2"/>
  <c r="L327" i="2"/>
  <c r="L318" i="2"/>
  <c r="L299" i="2"/>
  <c r="L290" i="2"/>
  <c r="L281" i="2"/>
  <c r="L272" i="2"/>
  <c r="L263" i="2"/>
  <c r="L254" i="2"/>
  <c r="L235" i="2"/>
  <c r="L226" i="2"/>
  <c r="L217" i="2"/>
  <c r="L208" i="2"/>
  <c r="L199" i="2"/>
  <c r="L190" i="2"/>
  <c r="L171" i="2"/>
  <c r="L162" i="2"/>
  <c r="L153" i="2"/>
  <c r="L134" i="2"/>
  <c r="L124" i="2"/>
  <c r="L104" i="2"/>
  <c r="L94" i="2"/>
  <c r="L82" i="2"/>
  <c r="L72" i="2"/>
  <c r="L62" i="2"/>
  <c r="L50" i="2"/>
  <c r="L40" i="2"/>
  <c r="L30" i="2"/>
  <c r="L18" i="2"/>
  <c r="L8" i="2"/>
  <c r="L900" i="2"/>
  <c r="L892" i="2"/>
  <c r="L884" i="2"/>
  <c r="L876" i="2"/>
  <c r="L868" i="2"/>
  <c r="L860" i="2"/>
  <c r="L852" i="2"/>
  <c r="L844" i="2"/>
  <c r="L836" i="2"/>
  <c r="L828" i="2"/>
  <c r="L820" i="2"/>
  <c r="L812" i="2"/>
  <c r="L804" i="2"/>
  <c r="L796" i="2"/>
  <c r="L788" i="2"/>
  <c r="L780" i="2"/>
  <c r="L772" i="2"/>
  <c r="L764" i="2"/>
  <c r="L756" i="2"/>
  <c r="L748" i="2"/>
  <c r="L741" i="2"/>
  <c r="L731" i="2"/>
  <c r="L724" i="2"/>
  <c r="L716" i="2"/>
  <c r="L708" i="2"/>
  <c r="L700" i="2"/>
  <c r="L692" i="2"/>
  <c r="L684" i="2"/>
  <c r="L676" i="2"/>
  <c r="L667" i="2"/>
  <c r="L650" i="2"/>
  <c r="L633" i="2"/>
  <c r="L616" i="2"/>
  <c r="L599" i="2"/>
  <c r="L582" i="2"/>
  <c r="L573" i="2"/>
  <c r="L564" i="2"/>
  <c r="L509" i="2"/>
  <c r="L500" i="2"/>
  <c r="L445" i="2"/>
  <c r="L436" i="2"/>
  <c r="L380" i="2"/>
  <c r="L372" i="2"/>
  <c r="L317" i="2"/>
  <c r="L308" i="2"/>
  <c r="L253" i="2"/>
  <c r="L244" i="2"/>
  <c r="L189" i="2"/>
  <c r="L180" i="2"/>
  <c r="L143" i="2"/>
  <c r="L133" i="2"/>
  <c r="L113" i="2"/>
  <c r="L875" i="2"/>
  <c r="L867" i="2"/>
  <c r="L859" i="2"/>
  <c r="L851" i="2"/>
  <c r="L843" i="2"/>
  <c r="L835" i="2"/>
  <c r="L827" i="2"/>
  <c r="L819" i="2"/>
  <c r="L811" i="2"/>
  <c r="L803" i="2"/>
  <c r="L795" i="2"/>
  <c r="L787" i="2"/>
  <c r="L779" i="2"/>
  <c r="L771" i="2"/>
  <c r="L763" i="2"/>
  <c r="L755" i="2"/>
  <c r="L747" i="2"/>
  <c r="L739" i="2"/>
  <c r="L732" i="2"/>
  <c r="L723" i="2"/>
  <c r="L715" i="2"/>
  <c r="L707" i="2"/>
  <c r="L699" i="2"/>
  <c r="L691" i="2"/>
  <c r="L683" i="2"/>
  <c r="L666" i="2"/>
  <c r="L649" i="2"/>
  <c r="L632" i="2"/>
  <c r="L615" i="2"/>
  <c r="L598" i="2"/>
  <c r="L581" i="2"/>
  <c r="L572" i="2"/>
  <c r="L517" i="2"/>
  <c r="L508" i="2"/>
  <c r="L453" i="2"/>
  <c r="L444" i="2"/>
  <c r="L389" i="2"/>
  <c r="L381" i="2"/>
  <c r="L326" i="2"/>
  <c r="L316" i="2"/>
  <c r="L262" i="2"/>
  <c r="L252" i="2"/>
  <c r="L197" i="2"/>
  <c r="L188" i="2"/>
  <c r="L142" i="2"/>
  <c r="L132" i="2"/>
  <c r="L112" i="2"/>
  <c r="L6" i="2"/>
  <c r="L674" i="2"/>
  <c r="L657" i="2"/>
  <c r="L640" i="2"/>
  <c r="L623" i="2"/>
  <c r="L606" i="2"/>
  <c r="L589" i="2"/>
  <c r="L571" i="2"/>
  <c r="L562" i="2"/>
  <c r="L553" i="2"/>
  <c r="L544" i="2"/>
  <c r="L535" i="2"/>
  <c r="L526" i="2"/>
  <c r="L507" i="2"/>
  <c r="L498" i="2"/>
  <c r="L489" i="2"/>
  <c r="L480" i="2"/>
  <c r="L471" i="2"/>
  <c r="L462" i="2"/>
  <c r="L443" i="2"/>
  <c r="L434" i="2"/>
  <c r="L425" i="2"/>
  <c r="L416" i="2"/>
  <c r="L407" i="2"/>
  <c r="L398" i="2"/>
  <c r="L378" i="2"/>
  <c r="L370" i="2"/>
  <c r="L361" i="2"/>
  <c r="L352" i="2"/>
  <c r="L343" i="2"/>
  <c r="L334" i="2"/>
  <c r="L315" i="2"/>
  <c r="L306" i="2"/>
  <c r="L297" i="2"/>
  <c r="L288" i="2"/>
  <c r="L279" i="2"/>
  <c r="L270" i="2"/>
  <c r="L251" i="2"/>
  <c r="L242" i="2"/>
  <c r="L233" i="2"/>
  <c r="L224" i="2"/>
  <c r="L215" i="2"/>
  <c r="L206" i="2"/>
  <c r="L187" i="2"/>
  <c r="L178" i="2"/>
  <c r="L170" i="2"/>
  <c r="L160" i="2"/>
  <c r="L151" i="2"/>
  <c r="L141" i="2"/>
  <c r="L121" i="2"/>
  <c r="L102" i="2"/>
  <c r="L90" i="2"/>
  <c r="L80" i="2"/>
  <c r="L70" i="2"/>
  <c r="L58" i="2"/>
  <c r="L48" i="2"/>
  <c r="L38" i="2"/>
  <c r="L26" i="2"/>
  <c r="L16" i="2"/>
  <c r="L898" i="2"/>
  <c r="L890" i="2"/>
  <c r="L882" i="2"/>
  <c r="L874" i="2"/>
  <c r="L866" i="2"/>
  <c r="L858" i="2"/>
  <c r="L850" i="2"/>
  <c r="L842" i="2"/>
  <c r="L834" i="2"/>
  <c r="L826" i="2"/>
  <c r="L818" i="2"/>
  <c r="L810" i="2"/>
  <c r="L802" i="2"/>
  <c r="L794" i="2"/>
  <c r="L786" i="2"/>
  <c r="L778" i="2"/>
  <c r="L770" i="2"/>
  <c r="L762" i="2"/>
  <c r="L754" i="2"/>
  <c r="L746" i="2"/>
  <c r="L738" i="2"/>
  <c r="L730" i="2"/>
  <c r="L722" i="2"/>
  <c r="L714" i="2"/>
  <c r="L706" i="2"/>
  <c r="L698" i="2"/>
  <c r="L690" i="2"/>
  <c r="L682" i="2"/>
  <c r="L665" i="2"/>
  <c r="L648" i="2"/>
  <c r="L631" i="2"/>
  <c r="L614" i="2"/>
  <c r="L597" i="2"/>
  <c r="L580" i="2"/>
  <c r="L525" i="2"/>
  <c r="L516" i="2"/>
  <c r="L461" i="2"/>
  <c r="L452" i="2"/>
  <c r="L397" i="2"/>
  <c r="L388" i="2"/>
  <c r="L333" i="2"/>
  <c r="L324" i="2"/>
  <c r="L269" i="2"/>
  <c r="L260" i="2"/>
  <c r="L205" i="2"/>
  <c r="L196" i="2"/>
  <c r="L130" i="2"/>
  <c r="L111" i="2"/>
  <c r="L4" i="2"/>
  <c r="L7" i="2"/>
  <c r="L101" i="2"/>
  <c r="L93" i="2"/>
  <c r="L85" i="2"/>
  <c r="L77" i="2"/>
  <c r="L69" i="2"/>
  <c r="L61" i="2"/>
  <c r="L53" i="2"/>
  <c r="L45" i="2"/>
  <c r="L37" i="2"/>
  <c r="L29" i="2"/>
  <c r="L21" i="2"/>
  <c r="L13" i="2"/>
  <c r="L5" i="2"/>
  <c r="L147" i="2"/>
  <c r="L139" i="2"/>
  <c r="L131" i="2"/>
  <c r="L123" i="2"/>
  <c r="L115" i="2"/>
  <c r="L107" i="2"/>
  <c r="L99" i="2"/>
  <c r="L91" i="2"/>
  <c r="L83" i="2"/>
  <c r="L75" i="2"/>
  <c r="L67" i="2"/>
  <c r="L59" i="2"/>
  <c r="L51" i="2"/>
  <c r="L43" i="2"/>
  <c r="L35" i="2"/>
  <c r="L27" i="2"/>
  <c r="L19" i="2"/>
  <c r="L11" i="2"/>
  <c r="L3" i="2"/>
  <c r="L2" i="2"/>
  <c r="C50" i="3"/>
  <c r="A1" i="4"/>
  <c r="C17" i="4" a="1"/>
  <c r="C17" i="4" s="1"/>
  <c r="C15" i="4"/>
  <c r="C22" i="4" l="1"/>
  <c r="C8" i="4"/>
  <c r="C12" i="4"/>
  <c r="B2" i="4"/>
  <c r="U2" i="4" l="1" a="1"/>
  <c r="U2" i="4" s="1"/>
  <c r="S2" i="4" a="1"/>
  <c r="S2" i="4" s="1"/>
  <c r="C3" i="4"/>
  <c r="C2" i="4" s="1"/>
  <c r="B1" i="4" s="1"/>
  <c r="C6" i="4"/>
  <c r="D6" i="4" s="1"/>
  <c r="D1" i="3" l="1"/>
  <c r="H29" i="4"/>
  <c r="C14" i="4"/>
  <c r="C16" i="4"/>
  <c r="C4" i="4"/>
  <c r="S3" i="4"/>
  <c r="S4" i="4" s="1"/>
  <c r="S5" i="4" s="1"/>
  <c r="S6" i="4" s="1"/>
  <c r="S7" i="4" s="1"/>
  <c r="S8" i="4" s="1"/>
  <c r="S9" i="4" s="1"/>
  <c r="S10" i="4" s="1"/>
  <c r="S11" i="4" s="1"/>
  <c r="S12" i="4" s="1"/>
  <c r="S13" i="4" s="1"/>
  <c r="S14" i="4" s="1"/>
  <c r="S15" i="4" s="1"/>
  <c r="S16" i="4" s="1"/>
  <c r="S17" i="4" s="1"/>
  <c r="S18" i="4" s="1"/>
  <c r="S19" i="4" s="1"/>
  <c r="S20" i="4" s="1"/>
  <c r="S21" i="4" s="1"/>
  <c r="S22" i="4" s="1"/>
  <c r="S23" i="4" s="1"/>
  <c r="S24" i="4" s="1"/>
  <c r="S25" i="4" s="1"/>
  <c r="S26" i="4" s="1"/>
  <c r="S27" i="4" s="1"/>
  <c r="S28" i="4" s="1"/>
  <c r="S29" i="4" s="1"/>
  <c r="S30" i="4" s="1"/>
  <c r="S31" i="4" s="1"/>
  <c r="S32" i="4" s="1"/>
  <c r="S33" i="4" s="1"/>
  <c r="S34" i="4" s="1"/>
  <c r="S35" i="4" s="1"/>
  <c r="S36" i="4" s="1"/>
  <c r="S37" i="4" s="1"/>
  <c r="S38" i="4" s="1"/>
  <c r="S39" i="4" s="1"/>
  <c r="S40" i="4" s="1"/>
  <c r="S41" i="4" s="1"/>
  <c r="S42" i="4" s="1"/>
  <c r="S43" i="4" s="1"/>
  <c r="S44" i="4" s="1"/>
  <c r="S45" i="4" s="1"/>
  <c r="S46" i="4" s="1"/>
  <c r="S47" i="4" s="1"/>
  <c r="S48" i="4" s="1"/>
  <c r="S49" i="4" s="1"/>
  <c r="S50" i="4" s="1"/>
  <c r="S51" i="4" s="1"/>
  <c r="S52" i="4" s="1"/>
  <c r="S53" i="4" s="1"/>
  <c r="S54" i="4" s="1"/>
  <c r="U3" i="4"/>
  <c r="U4" i="4" s="1"/>
  <c r="U5" i="4" s="1"/>
  <c r="U6" i="4" s="1"/>
  <c r="U7" i="4" s="1"/>
  <c r="U8" i="4" s="1"/>
  <c r="U9" i="4" s="1"/>
  <c r="U10" i="4" s="1"/>
  <c r="U11" i="4" s="1"/>
  <c r="U12" i="4" s="1"/>
  <c r="U13" i="4" s="1"/>
  <c r="U14" i="4" s="1"/>
  <c r="U15" i="4" s="1"/>
  <c r="U16" i="4" s="1"/>
  <c r="U17" i="4" s="1"/>
  <c r="U18" i="4" s="1"/>
  <c r="U19" i="4" s="1"/>
  <c r="U20" i="4" s="1"/>
  <c r="U21" i="4" s="1"/>
  <c r="U22" i="4" s="1"/>
  <c r="U23" i="4" s="1"/>
  <c r="U24" i="4" s="1"/>
  <c r="U25" i="4" s="1"/>
  <c r="U26" i="4" s="1"/>
  <c r="U27" i="4" s="1"/>
  <c r="U28" i="4" s="1"/>
  <c r="U29" i="4" s="1"/>
  <c r="U30" i="4" s="1"/>
  <c r="U31" i="4" s="1"/>
  <c r="U32" i="4" s="1"/>
  <c r="U33" i="4" s="1"/>
  <c r="U34" i="4" s="1"/>
  <c r="U35" i="4" s="1"/>
  <c r="U36" i="4" s="1"/>
  <c r="U37" i="4" s="1"/>
  <c r="U38" i="4" s="1"/>
  <c r="U39" i="4" s="1"/>
  <c r="U40" i="4" s="1"/>
  <c r="U41" i="4" s="1"/>
  <c r="U42" i="4" s="1"/>
  <c r="U43" i="4" s="1"/>
  <c r="U44" i="4" s="1"/>
  <c r="U45" i="4" s="1"/>
  <c r="U46" i="4" s="1"/>
  <c r="U47" i="4" s="1"/>
  <c r="U48" i="4" s="1"/>
  <c r="U49" i="4" s="1"/>
  <c r="U50" i="4" s="1"/>
  <c r="U51" i="4" s="1"/>
  <c r="U52" i="4" s="1"/>
  <c r="U53" i="4" s="1"/>
  <c r="U54" i="4" s="1"/>
  <c r="G2" i="4" l="1"/>
  <c r="H3" i="4"/>
  <c r="B4" i="5" s="1"/>
  <c r="H20" i="4"/>
  <c r="H4" i="4"/>
  <c r="B5" i="5" s="1"/>
  <c r="G18" i="4"/>
  <c r="H2" i="4"/>
  <c r="H26" i="4"/>
  <c r="H27" i="4"/>
  <c r="B28" i="5" s="1"/>
  <c r="G15" i="4"/>
  <c r="G7" i="4"/>
  <c r="H1" i="4"/>
  <c r="B2" i="5" s="1"/>
  <c r="H24" i="4"/>
  <c r="B25" i="5" s="1"/>
  <c r="G19" i="4"/>
  <c r="A20" i="5" s="1"/>
  <c r="G3" i="4"/>
  <c r="A4" i="5" s="1"/>
  <c r="H30" i="4"/>
  <c r="B31" i="5" s="1"/>
  <c r="H10" i="4"/>
  <c r="B11" i="5" s="1"/>
  <c r="H11" i="4"/>
  <c r="H28" i="4"/>
  <c r="G13" i="4"/>
  <c r="G14" i="4"/>
  <c r="A15" i="5" s="1"/>
  <c r="G27" i="4"/>
  <c r="G24" i="4"/>
  <c r="G25" i="4"/>
  <c r="A26" i="5" s="1"/>
  <c r="H12" i="4"/>
  <c r="G26" i="4"/>
  <c r="G10" i="4"/>
  <c r="G22" i="4"/>
  <c r="H21" i="4"/>
  <c r="B22" i="5" s="1"/>
  <c r="G28" i="4"/>
  <c r="A29" i="5" s="1"/>
  <c r="H5" i="4"/>
  <c r="B6" i="5" s="1"/>
  <c r="H6" i="4"/>
  <c r="B7" i="5" s="1"/>
  <c r="H23" i="4"/>
  <c r="B24" i="5" s="1"/>
  <c r="H16" i="4"/>
  <c r="G30" i="4"/>
  <c r="G8" i="4"/>
  <c r="H22" i="4"/>
  <c r="H9" i="4"/>
  <c r="G11" i="4"/>
  <c r="G20" i="4"/>
  <c r="A21" i="5" s="1"/>
  <c r="H7" i="4"/>
  <c r="B8" i="5" s="1"/>
  <c r="H17" i="4"/>
  <c r="H14" i="4"/>
  <c r="G12" i="4"/>
  <c r="A13" i="5" s="1"/>
  <c r="G6" i="4"/>
  <c r="A7" i="5" s="1"/>
  <c r="H19" i="4"/>
  <c r="H15" i="4"/>
  <c r="B16" i="5" s="1"/>
  <c r="G29" i="4"/>
  <c r="A30" i="5" s="1"/>
  <c r="G9" i="4"/>
  <c r="A10" i="5" s="1"/>
  <c r="G17" i="4"/>
  <c r="G23" i="4"/>
  <c r="H8" i="4"/>
  <c r="G4" i="4"/>
  <c r="A5" i="5" s="1"/>
  <c r="G21" i="4"/>
  <c r="G5" i="4"/>
  <c r="H18" i="4"/>
  <c r="G1" i="4"/>
  <c r="G16" i="4"/>
  <c r="H13" i="4"/>
  <c r="B14" i="5" s="1"/>
  <c r="H25" i="4"/>
  <c r="B26" i="5" s="1"/>
  <c r="B21" i="5"/>
  <c r="B18" i="5"/>
  <c r="B12" i="5"/>
  <c r="B19" i="5"/>
  <c r="A14" i="5"/>
  <c r="A11" i="5"/>
  <c r="B17" i="5"/>
  <c r="B15" i="5"/>
  <c r="A31" i="5"/>
  <c r="B13" i="5"/>
  <c r="B20" i="5"/>
  <c r="B30" i="5"/>
  <c r="A25" i="5"/>
  <c r="A28" i="5"/>
  <c r="A16" i="5"/>
  <c r="B27" i="5"/>
  <c r="B29" i="5"/>
  <c r="B3" i="5"/>
  <c r="A17" i="5"/>
  <c r="A23" i="5"/>
  <c r="A2" i="5"/>
  <c r="B23" i="5"/>
  <c r="B9" i="5"/>
  <c r="B10" i="5"/>
  <c r="A6" i="5"/>
  <c r="A18" i="5"/>
  <c r="A12" i="5"/>
  <c r="A19" i="5"/>
  <c r="A3" i="5"/>
  <c r="A24" i="5"/>
  <c r="A9" i="5"/>
  <c r="A27" i="5"/>
  <c r="A8" i="5"/>
  <c r="A22"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<sst xmlns="http://schemas.openxmlformats.org/spreadsheetml/2006/main" count="23514" uniqueCount="11776">
  <si>
    <t>posted</t>
  </si>
  <si>
    <t>screen_name</t>
  </si>
  <si>
    <t>location</t>
  </si>
  <si>
    <t>verified</t>
  </si>
  <si>
    <t>followers_count</t>
  </si>
  <si>
    <t>friends_count</t>
  </si>
  <si>
    <t>lang</t>
  </si>
  <si>
    <t>retweet_count</t>
  </si>
  <si>
    <t>favorite_count</t>
  </si>
  <si>
    <t xml:space="preserve"> Sat Feb 03 2018 11:03:09</t>
  </si>
  <si>
    <t xml:space="preserve"> Today we can see positive trends for growth, but will there be a new fall? #bitcoin #crypto #cryptocurrency</t>
  </si>
  <si>
    <t xml:space="preserve"> Ksandimo</t>
  </si>
  <si>
    <t xml:space="preserve"> null</t>
  </si>
  <si>
    <t xml:space="preserve"> false</t>
  </si>
  <si>
    <t xml:space="preserve"> ru</t>
  </si>
  <si>
    <t xml:space="preserve"> Sat Feb 03 2018 11:03:14</t>
  </si>
  <si>
    <t xml:space="preserve"> 8745.02$ per #bitcoin now</t>
  </si>
  <si>
    <t xml:space="preserve"> CoinLibre2009</t>
  </si>
  <si>
    <t xml:space="preserve"> Free World</t>
  </si>
  <si>
    <t xml:space="preserve"> Sat Feb 03 2018 11:03:16</t>
  </si>
  <si>
    <t xml:space="preserve"> Current price of #Bitcoin is $8745.02</t>
  </si>
  <si>
    <t xml:space="preserve"> bitcoinavg</t>
  </si>
  <si>
    <t xml:space="preserve"> en</t>
  </si>
  <si>
    <t xml:space="preserve"> Sat Feb 03 2018 11:03:25</t>
  </si>
  <si>
    <t xml:space="preserve"> Think weve hit resistance for Bitcoin now. Will it fully recover? Im not sure</t>
  </si>
  <si>
    <t xml:space="preserve"> jasongaved</t>
  </si>
  <si>
    <t xml:space="preserve"> Brighton &amp; Hove / London</t>
  </si>
  <si>
    <t xml:space="preserve"> Sat Feb 03 2018 11:03:28</t>
  </si>
  <si>
    <t xml:space="preserve"> Today's #Bitcoin price is $8745.02 as of February 3, 2018 at 11:59AM</t>
  </si>
  <si>
    <t xml:space="preserve"> FR33Q</t>
  </si>
  <si>
    <t xml:space="preserve"> Europe</t>
  </si>
  <si>
    <t xml:space="preserve"> Sat Feb 03 2018 11:03:37</t>
  </si>
  <si>
    <t xml:space="preserve"> bitcoin might have been a hoax, the issue that the outrage was at these</t>
  </si>
  <si>
    <t xml:space="preserve"> krrishd_pzombie</t>
  </si>
  <si>
    <t xml:space="preserve"> your mind</t>
  </si>
  <si>
    <t xml:space="preserve"> Sat Feb 03 2018 11:03:50</t>
  </si>
  <si>
    <t xml:space="preserve"> @alistairmilne I believe the chart would be adoption of 'blockchain technology' rather than bitcoin individually...</t>
  </si>
  <si>
    <t xml:space="preserve"> mt_crypto</t>
  </si>
  <si>
    <t xml:space="preserve"> Sat Feb 03 2018 11:04:07</t>
  </si>
  <si>
    <t xml:space="preserve"> Current price of Bitcoin is $8745.02 via Chain</t>
  </si>
  <si>
    <t xml:space="preserve"> kimrin</t>
  </si>
  <si>
    <t xml:space="preserve"> Kawasaki</t>
  </si>
  <si>
    <t xml:space="preserve"> ja</t>
  </si>
  <si>
    <t xml:space="preserve"> Sat Feb 03 2018 11:04:14</t>
  </si>
  <si>
    <t xml:space="preserve"> @AlaskaAir Compensation?  Sounds interesting.   Like 1 Bitcoin perhaps? Maybe a couple of Ethereum.   Whatchu got in mind?</t>
  </si>
  <si>
    <t xml:space="preserve"> rahulsood</t>
  </si>
  <si>
    <t xml:space="preserve"> seattle washington</t>
  </si>
  <si>
    <t xml:space="preserve"> true</t>
  </si>
  <si>
    <t xml:space="preserve"> Sat Feb 03 2018 11:04:22</t>
  </si>
  <si>
    <t xml:space="preserve"> Current price of Bitcoin is $8745.02</t>
  </si>
  <si>
    <t xml:space="preserve"> NeoMutualCo</t>
  </si>
  <si>
    <t xml:space="preserve"> South Africa</t>
  </si>
  <si>
    <t xml:space="preserve"> Sat Feb 03 2018 11:04:51</t>
  </si>
  <si>
    <t xml:space="preserve"> @NotTheTimCurry Please send Bitcoin. I'll write it. Spec. Love ya man!</t>
  </si>
  <si>
    <t xml:space="preserve"> JackLucas5</t>
  </si>
  <si>
    <t xml:space="preserve"> Sat Feb 03 2018 11:05:09</t>
  </si>
  <si>
    <t xml:space="preserve"> @Veridoge Also waiting for CNBC to make a new tutorial on How to short Bitcoin with 100x Leverage on BitMex</t>
  </si>
  <si>
    <t xml:space="preserve"> Topkek1337xd</t>
  </si>
  <si>
    <t xml:space="preserve"> Luxemburg</t>
  </si>
  <si>
    <t xml:space="preserve"> de</t>
  </si>
  <si>
    <t xml:space="preserve"> Sat Feb 03 2018 11:05:14</t>
  </si>
  <si>
    <t xml:space="preserve"> I should be making a killing for mining all this stale DSH coin, minergate. #bitcoin #ripple #altcoin</t>
  </si>
  <si>
    <t xml:space="preserve"> carlosrr24</t>
  </si>
  <si>
    <t xml:space="preserve"> Providence, RI</t>
  </si>
  <si>
    <t xml:space="preserve"> @cryptodailyuk @ADAcoin_ @BittrexExchange @exchange @NEWS @Bitcoin @crypto @_CryptoIQ @CharlieShrem Well done! Shut the fkn tether down!</t>
  </si>
  <si>
    <t xml:space="preserve"> Pascal74672564</t>
  </si>
  <si>
    <t xml:space="preserve"> Zrich, Schweiz</t>
  </si>
  <si>
    <t xml:space="preserve"> Sat Feb 03 2018 11:05:27</t>
  </si>
  <si>
    <t xml:space="preserve"> When @Bitcoin becomes number 2 market cap, can I call it an Alt coin? </t>
  </si>
  <si>
    <t xml:space="preserve"> Steven_Budgen84</t>
  </si>
  <si>
    <t xml:space="preserve"> Bahrain</t>
  </si>
  <si>
    <t xml:space="preserve"> Sat Feb 03 2018 11:05:35</t>
  </si>
  <si>
    <t xml:space="preserve"> Current price of Bitcoin is $8844.61 #Bitcoin #Bithound</t>
  </si>
  <si>
    <t xml:space="preserve"> The_BitHound</t>
  </si>
  <si>
    <t xml:space="preserve"> United States</t>
  </si>
  <si>
    <t xml:space="preserve"> Sat Feb 03 2018 11:05:52</t>
  </si>
  <si>
    <t xml:space="preserve"> THE MOST INNOVATIVE AND LUCRATIVE WAY TO EARN BITCOIN JOIN BITCLUB NETWORK! ! !</t>
  </si>
  <si>
    <t xml:space="preserve"> toshi_mat003</t>
  </si>
  <si>
    <t xml:space="preserve"> Sat Feb 03 2018 11:05:56</t>
  </si>
  <si>
    <t xml:space="preserve"> THE MOST INNOVATIVE AND LUCRATIVE WAY TO EARN BITCOIN JOIN BITCLUB NETWORK!!!</t>
  </si>
  <si>
    <t xml:space="preserve"> Bitclubnetwork3</t>
  </si>
  <si>
    <t xml:space="preserve"> Australia</t>
  </si>
  <si>
    <t xml:space="preserve"> Sat Feb 03 2018 11:06:07</t>
  </si>
  <si>
    <t xml:space="preserve"> Always Hodl #hodl #bitcoin #TRX #Litecoin #besttweet</t>
  </si>
  <si>
    <t xml:space="preserve"> fortpie</t>
  </si>
  <si>
    <t xml:space="preserve"> Spagna</t>
  </si>
  <si>
    <t xml:space="preserve"> it</t>
  </si>
  <si>
    <t xml:space="preserve"> Sat Feb 03 2018 11:06:32</t>
  </si>
  <si>
    <t xml:space="preserve"> @BitcoinDood From this line: Bitcoin; and/or (5) any other suitable type of payment. Seems like several crypots might be usable! </t>
  </si>
  <si>
    <t xml:space="preserve"> ThatGuyJru</t>
  </si>
  <si>
    <t xml:space="preserve"> Sat Feb 03 2018 11:06:44</t>
  </si>
  <si>
    <t xml:space="preserve"> @uoeurope $crypto a jacket or some bitcoin?! Sorry Uo</t>
  </si>
  <si>
    <t xml:space="preserve"> Pupsrics</t>
  </si>
  <si>
    <t xml:space="preserve"> Sat Feb 03 2018 11:08:41</t>
  </si>
  <si>
    <t xml:space="preserve"> @pepipopa2 Whiskey is the new bitcoin</t>
  </si>
  <si>
    <t xml:space="preserve"> tiiflar</t>
  </si>
  <si>
    <t xml:space="preserve"> fr</t>
  </si>
  <si>
    <t xml:space="preserve"> Sat Feb 03 2018 11:09:09</t>
  </si>
  <si>
    <t xml:space="preserve"> @jduffyrice Yeah. It's the bitcoin of politics.</t>
  </si>
  <si>
    <t xml:space="preserve"> RSGAT</t>
  </si>
  <si>
    <t xml:space="preserve"> Hartford, CT</t>
  </si>
  <si>
    <t xml:space="preserve"> Sat Feb 03 2018 11:09:10</t>
  </si>
  <si>
    <t xml:space="preserve"> MGTI:  it is amazing that Bitcoin price is more driven more by South Korea  and China than any other places.</t>
  </si>
  <si>
    <t xml:space="preserve"> thecowboyrange</t>
  </si>
  <si>
    <t xml:space="preserve"> USA - Silicon Valley.</t>
  </si>
  <si>
    <t xml:space="preserve"> Sat Feb 03 2018 11:09:15</t>
  </si>
  <si>
    <t xml:space="preserve"> No, i dont fw bitcoin</t>
  </si>
  <si>
    <t xml:space="preserve"> Meilodee</t>
  </si>
  <si>
    <t xml:space="preserve"> United Kingdom</t>
  </si>
  <si>
    <t xml:space="preserve"> Sat Feb 03 2018 11:09:37</t>
  </si>
  <si>
    <t xml:space="preserve"> Want to buy #Bitcoin account? Current price is $7000.82  Send me a #DM  #selling #account #sellingaccount #accountforsale #sale #buyaccount</t>
  </si>
  <si>
    <t xml:space="preserve"> kayaponpon</t>
  </si>
  <si>
    <t xml:space="preserve"> </t>
  </si>
  <si>
    <t xml:space="preserve"> Sat Feb 03 2018 11:09:52</t>
  </si>
  <si>
    <t xml:space="preserve"> Bitcoin is what they tell you, technology is what you get.</t>
  </si>
  <si>
    <t xml:space="preserve"> mic_am_mic</t>
  </si>
  <si>
    <t xml:space="preserve"> right here</t>
  </si>
  <si>
    <t xml:space="preserve"> Sat Feb 03 2018 11:10:02</t>
  </si>
  <si>
    <t xml:space="preserve"> @YarmolukDan Follow @Hashtags_Trends for the latest news &amp; #trading trends about #bitcoin &amp; #crypto world.</t>
  </si>
  <si>
    <t xml:space="preserve"> bitcoinsub</t>
  </si>
  <si>
    <t xml:space="preserve"> Worldwide</t>
  </si>
  <si>
    <t xml:space="preserve"> Sat Feb 03 2018 11:10:04</t>
  </si>
  <si>
    <t xml:space="preserve"> Bitcoin BTC Current Price: $8795.54 1 Hour: -1.06 % | 24 Hours: 7.03 % | 7 Days: -21.56 % #btc #bitcoin</t>
  </si>
  <si>
    <t xml:space="preserve"> aWebAnalysis</t>
  </si>
  <si>
    <t xml:space="preserve"> New York, NY</t>
  </si>
  <si>
    <t xml:space="preserve"> es</t>
  </si>
  <si>
    <t xml:space="preserve"> Sat Feb 03 2018 11:10:07</t>
  </si>
  <si>
    <t xml:space="preserve"> @CryptoInvest18 Follow @Hashtags_Trends for the latest news &amp; #trading trends about #bitcoin &amp; #crypto world.</t>
  </si>
  <si>
    <t xml:space="preserve"> Sat Feb 03 2018 11:10:16</t>
  </si>
  <si>
    <t xml:space="preserve"> @rahulsood (38820 follows) @AlaskaAir Compensation?  Sounds interesting.   Like 1 Bitcoin perhaps? Maybe a couple of Ethereum.   Whatch...</t>
  </si>
  <si>
    <t xml:space="preserve"> ibmcrypto</t>
  </si>
  <si>
    <t xml:space="preserve"> L</t>
  </si>
  <si>
    <t xml:space="preserve"> Sat Feb 03 2018 11:10:20</t>
  </si>
  <si>
    <t xml:space="preserve"> @WillCode_4_Beer Nice, I have never heard of the first two though :p I have Bitcoin, Ethereum, and Litecoin since October.</t>
  </si>
  <si>
    <t xml:space="preserve"> chrislozeau</t>
  </si>
  <si>
    <t xml:space="preserve"> London, UK</t>
  </si>
  <si>
    <t xml:space="preserve"> Sat Feb 03 2018 11:10:25</t>
  </si>
  <si>
    <t xml:space="preserve"> New York town Massena to get 150 jobs in approved #Bitcoin mining operation.  #cryptocurrency #whalescommunity</t>
  </si>
  <si>
    <t xml:space="preserve"> WhalesCommunity</t>
  </si>
  <si>
    <t xml:space="preserve"> ar</t>
  </si>
  <si>
    <t xml:space="preserve"> Sat Feb 03 2018 11:10:35</t>
  </si>
  <si>
    <t xml:space="preserve"> Again a bad day  Tron is down and bitcoin too. My balance going towards zero </t>
  </si>
  <si>
    <t xml:space="preserve"> RENJITH24806115</t>
  </si>
  <si>
    <t xml:space="preserve"> Kerala, India</t>
  </si>
  <si>
    <t xml:space="preserve"> Sat Feb 03 2018 11:11:33</t>
  </si>
  <si>
    <t xml:space="preserve"> @Eswee15 Only dip I know, is the one you take in a pool. Just like Bitcoin, if I should take that dip, I might just drown.</t>
  </si>
  <si>
    <t xml:space="preserve"> SchalkLouw</t>
  </si>
  <si>
    <t xml:space="preserve"> Cape Town</t>
  </si>
  <si>
    <t xml:space="preserve"> Sat Feb 03 2018 11:11:46</t>
  </si>
  <si>
    <t xml:space="preserve"> how to bitcoin #WeirdNewCollegeCourses</t>
  </si>
  <si>
    <t xml:space="preserve"> scaramber</t>
  </si>
  <si>
    <t xml:space="preserve"> Sat Feb 03 2018 11:12:04</t>
  </si>
  <si>
    <t xml:space="preserve"> @Cryptopia_NZ cmon guys. You supporting the fork for ZCL/bitcoin private or what??</t>
  </si>
  <si>
    <t xml:space="preserve"> Moonboot10</t>
  </si>
  <si>
    <t xml:space="preserve"> Sat Feb 03 2018 11:12:25</t>
  </si>
  <si>
    <t xml:space="preserve"> @FalleNCS @ESEA It's their bitcoin miner, just give it some of the crypto currency and you're good to go!</t>
  </si>
  <si>
    <t xml:space="preserve"> DepthLAN</t>
  </si>
  <si>
    <t xml:space="preserve"> France</t>
  </si>
  <si>
    <t xml:space="preserve"> Sat Feb 03 2018 11:12:45</t>
  </si>
  <si>
    <t xml:space="preserve"> Bitcoin  laugh  </t>
  </si>
  <si>
    <t xml:space="preserve"> zy_amal</t>
  </si>
  <si>
    <t xml:space="preserve"> Republic of the Philippines</t>
  </si>
  <si>
    <t xml:space="preserve"> Sat Feb 03 2018 11:13:25</t>
  </si>
  <si>
    <t xml:space="preserve"> Some people don't believe in God but believe in Bitcoin. #hodl</t>
  </si>
  <si>
    <t xml:space="preserve"> fortesyrup2</t>
  </si>
  <si>
    <t xml:space="preserve"> Lahore, Pakistan</t>
  </si>
  <si>
    <t xml:space="preserve"> Sat Feb 03 2018 11:13:30</t>
  </si>
  <si>
    <t xml:space="preserve"> I going to stick to locks. Bitcoin? Literally decided last night to sell up. Today? Up 14%. FML.</t>
  </si>
  <si>
    <t xml:space="preserve"> discreetsecure</t>
  </si>
  <si>
    <t xml:space="preserve"> Hereford and Worcester</t>
  </si>
  <si>
    <t xml:space="preserve"> Sat Feb 03 2018 11:13:48</t>
  </si>
  <si>
    <t xml:space="preserve"> Bitcoin and infographic. What a match!</t>
  </si>
  <si>
    <t xml:space="preserve"> mrssuso</t>
  </si>
  <si>
    <t xml:space="preserve"> Sat Feb 03 2018 11:14:47</t>
  </si>
  <si>
    <t xml:space="preserve"> #BitcoinCash is the real #Bitcoin and around Feb  10-15 it will be known by all</t>
  </si>
  <si>
    <t xml:space="preserve"> BitcoinCashD</t>
  </si>
  <si>
    <t xml:space="preserve"> Michigan, USA</t>
  </si>
  <si>
    <t xml:space="preserve"> Sat Feb 03 2018 11:15:01</t>
  </si>
  <si>
    <t xml:space="preserve"> The current price of Bitcoin is $8759.54. The current price of BCash is $1177.43, or 0.134622 BTC</t>
  </si>
  <si>
    <t xml:space="preserve"> big_blockers</t>
  </si>
  <si>
    <t xml:space="preserve"> on the blockchain</t>
  </si>
  <si>
    <t xml:space="preserve"> Sat Feb 03 2018 11:15:28</t>
  </si>
  <si>
    <t xml:space="preserve"> All that #Bitcoin infrastructure. Yeah that is $BCH infrastructure now.</t>
  </si>
  <si>
    <t xml:space="preserve"> Sat Feb 03 2018 11:15:36</t>
  </si>
  <si>
    <t xml:space="preserve"> The market is so low today that I panic sold all my INR #cryptocurrency #Bitcoin #HODL</t>
  </si>
  <si>
    <t xml:space="preserve"> Cryptotalks_in</t>
  </si>
  <si>
    <t xml:space="preserve"> India</t>
  </si>
  <si>
    <t xml:space="preserve"> Sat Feb 03 2018 11:15:40</t>
  </si>
  <si>
    <t xml:space="preserve"> @kuhle07 Bitcoin is over finished haha</t>
  </si>
  <si>
    <t xml:space="preserve"> Mr_Tyikwe</t>
  </si>
  <si>
    <t xml:space="preserve"> Sat Feb 03 2018 11:16:07</t>
  </si>
  <si>
    <t xml:space="preserve"> @andy_phipps Ask for it in bitcoin.Its a sure thing!</t>
  </si>
  <si>
    <t xml:space="preserve"> stiophan</t>
  </si>
  <si>
    <t xml:space="preserve"> Dublin</t>
  </si>
  <si>
    <t xml:space="preserve"> Sat Feb 03 2018 11:16:49</t>
  </si>
  <si>
    <t xml:space="preserve"> @CalvinAyre You are correct; bitcoin cash is as close to technological menstruation as a blockchain can get. #bitcoin #bcash $bch $btc</t>
  </si>
  <si>
    <t xml:space="preserve"> SirGrantFleming</t>
  </si>
  <si>
    <t xml:space="preserve"> Cape Town, South Africa</t>
  </si>
  <si>
    <t xml:space="preserve"> Sat Feb 03 2018 11:16:57</t>
  </si>
  <si>
    <t xml:space="preserve"> @genemarks Bitcoin is a definitely a good investment, it's calledmoney reset</t>
  </si>
  <si>
    <t xml:space="preserve"> afroconscience</t>
  </si>
  <si>
    <t xml:space="preserve"> Sat Feb 03 2018 11:17:04</t>
  </si>
  <si>
    <t xml:space="preserve"> Bitcoin Cash BCH Current Price: $1177.43 1 Hour: 0.26 % | 24 Hours: 8.4 % | 7 Days: -26.79 % #bch #bitcoin cash</t>
  </si>
  <si>
    <t xml:space="preserve"> Sat Feb 03 2018 11:18:00</t>
  </si>
  <si>
    <t xml:space="preserve"> CryptoCompare Bitcoin price changed +1.04% to $8874.57 #bitcoin</t>
  </si>
  <si>
    <t xml:space="preserve"> Winkdexer</t>
  </si>
  <si>
    <t xml:space="preserve"> Sat Feb 03 2018 11:18:03</t>
  </si>
  <si>
    <t xml:space="preserve"> @NEMofficial Bitcoin is the new economy movement.......</t>
  </si>
  <si>
    <t xml:space="preserve"> Awyee707</t>
  </si>
  <si>
    <t xml:space="preserve"> Lakeland, FL</t>
  </si>
  <si>
    <t xml:space="preserve"> Sat Feb 03 2018 11:18:14</t>
  </si>
  <si>
    <t xml:space="preserve"> Buying more $ADA and $XLM for the long term!   I LOVE THIS WEEK!  #BTC #Bitcoin #Cardano #ADA #Stellar #StellarLumens #XLM #Crypto</t>
  </si>
  <si>
    <t xml:space="preserve"> CryptoCristo</t>
  </si>
  <si>
    <t xml:space="preserve"> Preston, England</t>
  </si>
  <si>
    <t xml:space="preserve"> Sat Feb 03 2018 11:18:27</t>
  </si>
  <si>
    <t xml:space="preserve"> @BradPri65821099 It's the whole bitcoin drama that's dragging us down. We are in for a massive price explosion very soon.</t>
  </si>
  <si>
    <t xml:space="preserve"> XRPclan</t>
  </si>
  <si>
    <t xml:space="preserve"> Sat Feb 03 2018 11:19:17</t>
  </si>
  <si>
    <t xml:space="preserve"> tis a thing of beauty to see how quickly bitcoin node is downloading on my new unit..</t>
  </si>
  <si>
    <t xml:space="preserve"> johnbrennan77</t>
  </si>
  <si>
    <t xml:space="preserve"> Waterford, Ireland</t>
  </si>
  <si>
    <t xml:space="preserve"> Sat Feb 03 2018 11:19:28</t>
  </si>
  <si>
    <t xml:space="preserve"> @warralakin Wouldnt be as tiring as counting all your Bitcoin Tito!</t>
  </si>
  <si>
    <t xml:space="preserve"> warralakin13</t>
  </si>
  <si>
    <t xml:space="preserve"> Toodyay</t>
  </si>
  <si>
    <t xml:space="preserve"> Sat Feb 03 2018 11:19:47</t>
  </si>
  <si>
    <t xml:space="preserve"> The only #crypto you shouldn't be buying during this dip is $btc #bitcoin.</t>
  </si>
  <si>
    <t xml:space="preserve"> CryptoGreggyz</t>
  </si>
  <si>
    <t xml:space="preserve"> Sat Feb 03 2018 11:20:05</t>
  </si>
  <si>
    <t xml:space="preserve"> @CNBCi MSM 2 days ago: Tether will kill bitcoin, where heading to $100!!!!!  MSM now: buy bitcoin for EZ 70% gains</t>
  </si>
  <si>
    <t xml:space="preserve"> TheCryptoAgenda</t>
  </si>
  <si>
    <t xml:space="preserve"> Japan</t>
  </si>
  <si>
    <t xml:space="preserve"> Sat Feb 03 2018 11:20:50</t>
  </si>
  <si>
    <t xml:space="preserve"> @moamsec @Bitcoin This is just absurd</t>
  </si>
  <si>
    <t xml:space="preserve"> apophenist</t>
  </si>
  <si>
    <t xml:space="preserve"> Johannesburg, South Africa</t>
  </si>
  <si>
    <t xml:space="preserve"> Sat Feb 03 2018 11:21:04</t>
  </si>
  <si>
    <t xml:space="preserve"> @Cointelegraph 'almost definitely' bag holders of bitcoin frauds? lol. 29%</t>
  </si>
  <si>
    <t xml:space="preserve"> CryptoT18819310</t>
  </si>
  <si>
    <t xml:space="preserve"> Sat Feb 03 2018 11:21:22</t>
  </si>
  <si>
    <t xml:space="preserve"> Bitcoin will do to banks what email did to the postal industry #bitcoin #bitcoin #bitcoins #bitcoinnews #bitcoinsnews #btc</t>
  </si>
  <si>
    <t xml:space="preserve"> bitcoins_future</t>
  </si>
  <si>
    <t xml:space="preserve"> www.bitcoinsfuture.com</t>
  </si>
  <si>
    <t xml:space="preserve"> Sat Feb 03 2018 11:22:00</t>
  </si>
  <si>
    <t xml:space="preserve"> i dont care about bitcoin can i just got my phone 3 months ago</t>
  </si>
  <si>
    <t xml:space="preserve"> idiotbicht</t>
  </si>
  <si>
    <t xml:space="preserve"> lol</t>
  </si>
  <si>
    <t xml:space="preserve"> Sat Feb 03 2018 11:22:45</t>
  </si>
  <si>
    <t xml:space="preserve"> @Poloniex where can i find information or instruction to buy on the site i have bitcoin and i want to buy siacoin?</t>
  </si>
  <si>
    <t xml:space="preserve"> martha58m</t>
  </si>
  <si>
    <t xml:space="preserve"> kilmarnock, va</t>
  </si>
  <si>
    <t xml:space="preserve"> Sat Feb 03 2018 11:23:50</t>
  </si>
  <si>
    <t xml:space="preserve"> Don't forget crypto is coming to robinhood #xrp#bitcoin #Ethereum</t>
  </si>
  <si>
    <t xml:space="preserve"> echad252</t>
  </si>
  <si>
    <t xml:space="preserve"> Sat Feb 03 2018 11:24:15</t>
  </si>
  <si>
    <t xml:space="preserve"> The current value of BTC at 21:24:09 on 03/02/2018 (AEST) is $10,800.00 AUD. #bitcoin #australia</t>
  </si>
  <si>
    <t xml:space="preserve"> aus_bitcoin</t>
  </si>
  <si>
    <t xml:space="preserve"> Brisbane, Queensland</t>
  </si>
  <si>
    <t xml:space="preserve"> Sat Feb 03 2018 11:24:26</t>
  </si>
  <si>
    <t xml:space="preserve"> #blockchain  Health Information System  #bitcoin #ICO @SRCoin_ICO</t>
  </si>
  <si>
    <t xml:space="preserve"> wa_seann</t>
  </si>
  <si>
    <t xml:space="preserve"> Sat Feb 03 2018 11:24:40</t>
  </si>
  <si>
    <t xml:space="preserve"> @XavierKNR @willrbc @wtfkenneth @Bitcoin You don't need my respect, you earn money. You are replaceable, realize that.</t>
  </si>
  <si>
    <t xml:space="preserve"> BitcoinBram</t>
  </si>
  <si>
    <t xml:space="preserve"> Sat Feb 03 2018 11:24:43</t>
  </si>
  <si>
    <t xml:space="preserve"> @EdKrassen @Twitter @TwitterSupport Bitcoin advert scam</t>
  </si>
  <si>
    <t xml:space="preserve"> Kandy63</t>
  </si>
  <si>
    <t xml:space="preserve"> Sat Feb 03 2018 11:25:13</t>
  </si>
  <si>
    <t xml:space="preserve"> Sat Feb 03 2018 11:25:16</t>
  </si>
  <si>
    <t xml:space="preserve"> @Bitcoin Don't follow trump.</t>
  </si>
  <si>
    <t xml:space="preserve"> Ejaz_UrRehman</t>
  </si>
  <si>
    <t xml:space="preserve"> Stoke-on-Trent, England</t>
  </si>
  <si>
    <t xml:space="preserve"> Sat Feb 03 2018 11:26:37</t>
  </si>
  <si>
    <t xml:space="preserve"> @LukeRDavis @NiceHashMining How does that in any way ensurte a bottom line?  You still have to convert your bitcoin to fiat.</t>
  </si>
  <si>
    <t xml:space="preserve"> Andy_Hodges_UK</t>
  </si>
  <si>
    <t xml:space="preserve">  Bucks. UK</t>
  </si>
  <si>
    <t xml:space="preserve"> Sat Feb 03 2018 11:26:39</t>
  </si>
  <si>
    <t xml:space="preserve"> Looks like #Bitcoin is on the rise again  #cryptocurrency</t>
  </si>
  <si>
    <t xml:space="preserve"> bestadultads</t>
  </si>
  <si>
    <t xml:space="preserve"> Sat Feb 03 2018 11:26:42</t>
  </si>
  <si>
    <t xml:space="preserve"> @EVIDENCE4ZAINAB @Bitcoin You should look at the bigger picture :)</t>
  </si>
  <si>
    <t xml:space="preserve"> thangux</t>
  </si>
  <si>
    <t xml:space="preserve"> Norge</t>
  </si>
  <si>
    <t xml:space="preserve"> no</t>
  </si>
  <si>
    <t xml:space="preserve"> Sat Feb 03 2018 11:27:20</t>
  </si>
  <si>
    <t xml:space="preserve"> @PhilakoneCrypto Doesn't he owe bitcoin to whoever catches him still tweeting</t>
  </si>
  <si>
    <t xml:space="preserve"> Aaron57127963</t>
  </si>
  <si>
    <t xml:space="preserve"> Sat Feb 03 2018 11:27:30</t>
  </si>
  <si>
    <t xml:space="preserve"> @dkhesin123 @CryptoCobain Bitcoin isn't gold</t>
  </si>
  <si>
    <t xml:space="preserve"> ryan_grambling</t>
  </si>
  <si>
    <t xml:space="preserve"> Sat Feb 03 2018 11:29:01</t>
  </si>
  <si>
    <t xml:space="preserve"> @wtfkenneth @gundecker @Bitcoin Nope. Bitcoin Cash is Bitcoin Cash. Bitcoin is Bitcoin. What's so hard to understand about that?</t>
  </si>
  <si>
    <t xml:space="preserve"> MyLegacyKit</t>
  </si>
  <si>
    <t xml:space="preserve"> Around The Globe</t>
  </si>
  <si>
    <t xml:space="preserve"> Sat Feb 03 2018 11:29:19</t>
  </si>
  <si>
    <t xml:space="preserve"> Man twitter is much quieter without the Bitcoin tossers stinking up every other post.  Wonder what happened there </t>
  </si>
  <si>
    <t xml:space="preserve"> Chocobalt</t>
  </si>
  <si>
    <t xml:space="preserve"> Hobart, Tasmania</t>
  </si>
  <si>
    <t xml:space="preserve"> Sat Feb 03 2018 11:29:32</t>
  </si>
  <si>
    <t xml:space="preserve"> @fumanchu6666 @CarpeNoctom almost all currencies look like this, even bitcoin looks almost like this LOL</t>
  </si>
  <si>
    <t xml:space="preserve"> SJCrypto</t>
  </si>
  <si>
    <t xml:space="preserve"> Sat Feb 03 2018 11:29:56</t>
  </si>
  <si>
    <t xml:space="preserve"> @TobiWilliams Oga, spend this bitcoin money loool</t>
  </si>
  <si>
    <t xml:space="preserve"> adonye_wilcox</t>
  </si>
  <si>
    <t xml:space="preserve"> Sat Feb 03 2018 11:30:02</t>
  </si>
  <si>
    <t xml:space="preserve"> Bitcoin:$8880.99 Ethereum:$943.405 Bitcoin Cash:$1190.65 Litecoin:$134.139 Ripple:$0.873894 IOTA:$1.88541</t>
  </si>
  <si>
    <t xml:space="preserve"> ScrapeINT</t>
  </si>
  <si>
    <t xml:space="preserve"> Turkish Time (TRT), UTC +3</t>
  </si>
  <si>
    <t xml:space="preserve"> Sat Feb 03 2018 11:30:25</t>
  </si>
  <si>
    <t xml:space="preserve"> Press Release: Silvertoken: A Stabilizing Currency in an armed raid in rural England #news #bitcoin</t>
  </si>
  <si>
    <t xml:space="preserve"> cryptominernews</t>
  </si>
  <si>
    <t xml:space="preserve"> Sat Feb 03 2018 11:30:55</t>
  </si>
  <si>
    <t xml:space="preserve"> @WeeklyOptTrader boss move, Bitcoin just broke its fall hard. great risk/reward here w a stop at 8500-7800</t>
  </si>
  <si>
    <t xml:space="preserve"> PPb610</t>
  </si>
  <si>
    <t xml:space="preserve"> Sat Feb 03 2018 11:31:00</t>
  </si>
  <si>
    <t xml:space="preserve"> CryptoCompare Bitcoin price changed +1.00% to $8963.56 #bitcoin</t>
  </si>
  <si>
    <t xml:space="preserve"> Sat Feb 03 2018 11:31:14</t>
  </si>
  <si>
    <t xml:space="preserve"> Hello humans, #Bitcoin is currently around $8880.99 as of Sat Feb  3 05:31:10 CST 2018</t>
  </si>
  <si>
    <t xml:space="preserve"> enigmapi_one</t>
  </si>
  <si>
    <t xml:space="preserve"> Kearney, NE</t>
  </si>
  <si>
    <t xml:space="preserve"> Sat Feb 03 2018 11:31:44</t>
  </si>
  <si>
    <t xml:space="preserve"> We are buying bitcoin this morning   RT for that person looking for buyer thanks</t>
  </si>
  <si>
    <t xml:space="preserve"> richlinksNG</t>
  </si>
  <si>
    <t xml:space="preserve"> Nigeria</t>
  </si>
  <si>
    <t xml:space="preserve"> Sat Feb 03 2018 11:31:55</t>
  </si>
  <si>
    <t xml:space="preserve"> Nocoiners coming out of the woodwork to ask me how my #bitcoin is doing...  *Remembers 1 Year returns*  My corns are just fine, Karen.</t>
  </si>
  <si>
    <t xml:space="preserve"> iheartcryptos</t>
  </si>
  <si>
    <t xml:space="preserve"> Sat Feb 03 2018 11:32:03</t>
  </si>
  <si>
    <t xml:space="preserve"> @barrysilbert Maybe it goes down to 850, so Vinny can rebuy without regrets and don't be so salty about Bitcoin anymore...</t>
  </si>
  <si>
    <t xml:space="preserve"> o8511</t>
  </si>
  <si>
    <t xml:space="preserve"> Sat Feb 03 2018 11:32:06</t>
  </si>
  <si>
    <t xml:space="preserve"> @XavierKNR @BitcoinBram @wtfkenneth @Bitcoin Why does anyone mine any other coin?</t>
  </si>
  <si>
    <t xml:space="preserve"> willrbc</t>
  </si>
  <si>
    <t xml:space="preserve"> Bristol, England</t>
  </si>
  <si>
    <t xml:space="preserve"> Sat Feb 03 2018 11:32:23</t>
  </si>
  <si>
    <t xml:space="preserve"> @chigrl Have banks ever dictated what can and cannot be purchased on credit cards before? (Is it a crime to buy #bitcoin?)</t>
  </si>
  <si>
    <t xml:space="preserve"> IrkHudson</t>
  </si>
  <si>
    <t xml:space="preserve"> London, England</t>
  </si>
  <si>
    <t xml:space="preserve"> Sat Feb 03 2018 11:32:36</t>
  </si>
  <si>
    <t xml:space="preserve"> @Gentleman_343 I have no doubts you can become a unique bitcoin expert please join</t>
  </si>
  <si>
    <t xml:space="preserve"> BTCMoneyCenter</t>
  </si>
  <si>
    <t xml:space="preserve"> Sat Feb 03 2018 11:32:51</t>
  </si>
  <si>
    <t xml:space="preserve"> Bitcoin can have the regulation.</t>
  </si>
  <si>
    <t xml:space="preserve"> jeffznikekb27</t>
  </si>
  <si>
    <t xml:space="preserve"> Los Angeles, CA</t>
  </si>
  <si>
    <t xml:space="preserve"> Sat Feb 03 2018 11:33:57</t>
  </si>
  <si>
    <t xml:space="preserve"> Sanduskygate bitcoin guy 2 tidies dittos 2 all g string rico parties mo than 2x every dime 18 Times return</t>
  </si>
  <si>
    <t xml:space="preserve"> BarbaraCoastal</t>
  </si>
  <si>
    <t xml:space="preserve"> Sat Feb 03 2018 11:35:13</t>
  </si>
  <si>
    <t xml:space="preserve"> #Bitcoin at 9000 again, A plus of 11% today</t>
  </si>
  <si>
    <t xml:space="preserve"> freakingcat</t>
  </si>
  <si>
    <t xml:space="preserve"> Berlin </t>
  </si>
  <si>
    <t xml:space="preserve"> Sat Feb 03 2018 11:35:30</t>
  </si>
  <si>
    <t xml:space="preserve"> Once rigged regulators and GOVs are in the weekend $Crypto is going up. What a surprise   $BTC $LTC $BCC $BCash #Bitcoin</t>
  </si>
  <si>
    <t xml:space="preserve"> prt_xmr</t>
  </si>
  <si>
    <t xml:space="preserve"> moon</t>
  </si>
  <si>
    <t xml:space="preserve"> Sat Feb 03 2018 11:35:49</t>
  </si>
  <si>
    <t xml:space="preserve"> @GameMarketToken Be the big #Giant #cryptocurrency #crypto #Blockchain #bitcoin #Altcoin #airdrop</t>
  </si>
  <si>
    <t xml:space="preserve"> longmax1117</t>
  </si>
  <si>
    <t xml:space="preserve"> Kota Medan, Sumatera Utara</t>
  </si>
  <si>
    <t xml:space="preserve"> id</t>
  </si>
  <si>
    <t xml:space="preserve"> Sat Feb 03 2018 11:36:09</t>
  </si>
  <si>
    <t xml:space="preserve"> i hope people stop talking about crypto/bitcoin before I have to learn what it is</t>
  </si>
  <si>
    <t xml:space="preserve"> zackovixen</t>
  </si>
  <si>
    <t xml:space="preserve"> Saudi Arabia</t>
  </si>
  <si>
    <t xml:space="preserve"> Sat Feb 03 2018 11:36:42</t>
  </si>
  <si>
    <t xml:space="preserve"> @Saves_Shopping F your Bitcoin female enticer bs</t>
  </si>
  <si>
    <t xml:space="preserve"> DuoskiJoe</t>
  </si>
  <si>
    <t xml:space="preserve"> Maine, USA</t>
  </si>
  <si>
    <t xml:space="preserve"> Sat Feb 03 2018 11:37:06</t>
  </si>
  <si>
    <t xml:space="preserve"> Bitcoin historic reversal crash below 530 , panic selloff</t>
  </si>
  <si>
    <t xml:space="preserve"> visionary005</t>
  </si>
  <si>
    <t xml:space="preserve"> Sat Feb 03 2018 11:38:53</t>
  </si>
  <si>
    <t xml:space="preserve"> @fluffypony @laurashin Hopefully less haha idk Bcash seems the same as Bitcoin, who can say? .   </t>
  </si>
  <si>
    <t xml:space="preserve"> Skantastico</t>
  </si>
  <si>
    <t xml:space="preserve"> Sat Feb 03 2018 11:39:12</t>
  </si>
  <si>
    <t xml:space="preserve"> Bitcoin plunges below $8,000 amid rapid plunge in value of cryptocurrency</t>
  </si>
  <si>
    <t xml:space="preserve"> iam_gero_</t>
  </si>
  <si>
    <t xml:space="preserve"> Kampala Uganda, East Africa</t>
  </si>
  <si>
    <t xml:space="preserve"> Sat Feb 03 2018 11:39:14</t>
  </si>
  <si>
    <t xml:space="preserve"> HODL #bitcoin retweet</t>
  </si>
  <si>
    <t xml:space="preserve"> Talhainfal</t>
  </si>
  <si>
    <t xml:space="preserve"> tr</t>
  </si>
  <si>
    <t xml:space="preserve"> Sat Feb 03 2018 11:39:58</t>
  </si>
  <si>
    <t xml:space="preserve"> @centerofright @Meenakshi_shn Do bitcoin trade is legal. gr8. then allow Coinbase and GDAX to operate in India</t>
  </si>
  <si>
    <t xml:space="preserve"> hermanprit</t>
  </si>
  <si>
    <t xml:space="preserve"> Kolkata, NYC</t>
  </si>
  <si>
    <t xml:space="preserve"> Sat Feb 03 2018 11:40:16</t>
  </si>
  <si>
    <t xml:space="preserve"> @kenyanwalstreet (63894 follows) RT @kenyanwalstreet: Bitcoin now below $8000 from a December high of $20,000  *$125Bn cleared in a day...</t>
  </si>
  <si>
    <t xml:space="preserve"> Sat Feb 03 2018 11:40:32</t>
  </si>
  <si>
    <t xml:space="preserve"> @JooFlorentino3 @PolitzOficial Bitcoin</t>
  </si>
  <si>
    <t xml:space="preserve"> pachecozueiro</t>
  </si>
  <si>
    <t xml:space="preserve"> Coritiba</t>
  </si>
  <si>
    <t xml:space="preserve"> pt</t>
  </si>
  <si>
    <t xml:space="preserve"> Sat Feb 03 2018 11:41:07</t>
  </si>
  <si>
    <t xml:space="preserve"> Bitcoin percentage of market cap: 34.8 % #BPOMC #Bitcoin #Altcoin #Blockchain #Cryptocurrency #Dominance</t>
  </si>
  <si>
    <t xml:space="preserve"> schwarzweisz</t>
  </si>
  <si>
    <t xml:space="preserve"> Sat Feb 03 2018 11:41:47</t>
  </si>
  <si>
    <t xml:space="preserve"> @coindesk @johndetrixhe Lloyds been taking about bitcoin for at least a decade.</t>
  </si>
  <si>
    <t xml:space="preserve"> buyinbreakouts</t>
  </si>
  <si>
    <t xml:space="preserve"> Buyin breakouts!</t>
  </si>
  <si>
    <t xml:space="preserve"> Sat Feb 03 2018 11:42:21</t>
  </si>
  <si>
    <t xml:space="preserve"> #Bitcoin prices will change based on the demand, trustworthiness by people. Completely open and is based on the market fluctuations.</t>
  </si>
  <si>
    <t xml:space="preserve"> CampusRadioKE</t>
  </si>
  <si>
    <t xml:space="preserve"> Kenya</t>
  </si>
  <si>
    <t xml:space="preserve"> Sat Feb 03 2018 11:42:53</t>
  </si>
  <si>
    <t xml:space="preserve"> @freebitco Bitcoin</t>
  </si>
  <si>
    <t xml:space="preserve"> Amirshah5121472</t>
  </si>
  <si>
    <t xml:space="preserve"> Sat Feb 03 2018 11:43:23</t>
  </si>
  <si>
    <t xml:space="preserve"> @FourOctets Best bitcoin hot take, EVER</t>
  </si>
  <si>
    <t xml:space="preserve"> TheBigKhuna</t>
  </si>
  <si>
    <t xml:space="preserve"> MS WorkingConnection 99'</t>
  </si>
  <si>
    <t xml:space="preserve"> Sat Feb 03 2018 11:44:14</t>
  </si>
  <si>
    <t xml:space="preserve"> When #bitcoin up #altcoin up when bitcoin down altcoin down. Bitcoin  still commands very strong. #cryptocurrency #ethereum #ICO #blockchain</t>
  </si>
  <si>
    <t xml:space="preserve"> jackStowe</t>
  </si>
  <si>
    <t xml:space="preserve"> Manila</t>
  </si>
  <si>
    <t xml:space="preserve"> Sat Feb 03 2018 11:44:20</t>
  </si>
  <si>
    <t xml:space="preserve"> @FourOctets It might launch my second bitcoin company accordingly. So I will keep watching this...  #bitcoinbreaks</t>
  </si>
  <si>
    <t xml:space="preserve"> JNakamurma</t>
  </si>
  <si>
    <t xml:space="preserve"> Waterworld</t>
  </si>
  <si>
    <t xml:space="preserve"> Sat Feb 03 2018 11:44:22</t>
  </si>
  <si>
    <t xml:space="preserve"> @_ClaireConnelly Have you written articles on Bitcoin? Are you familiar with @aantonop ?</t>
  </si>
  <si>
    <t xml:space="preserve"> X899480998248</t>
  </si>
  <si>
    <t xml:space="preserve"> Sat Feb 03 2018 11:44:56</t>
  </si>
  <si>
    <t xml:space="preserve"> @Menza4Menza yeah your are right bitcoin and altcoins still have value but yo memo doesnt!</t>
  </si>
  <si>
    <t xml:space="preserve"> wankia12</t>
  </si>
  <si>
    <t xml:space="preserve"> Washington, DC</t>
  </si>
  <si>
    <t xml:space="preserve"> Sat Feb 03 2018 11:45:02</t>
  </si>
  <si>
    <t xml:space="preserve"> There are currently 12,197 unconfirmed Bitcoin transactions. #bitcoin #btc $BTC</t>
  </si>
  <si>
    <t xml:space="preserve"> UnconfirmedTxns</t>
  </si>
  <si>
    <t xml:space="preserve"> BitcoinLand</t>
  </si>
  <si>
    <t xml:space="preserve"> Sat Feb 03 2018 11:45:15</t>
  </si>
  <si>
    <t xml:space="preserve"> i used to just by new vans when they got dirty, but bitcoin crashed</t>
  </si>
  <si>
    <t xml:space="preserve"> J_with_the_Jays</t>
  </si>
  <si>
    <t xml:space="preserve"> Osan-si, Republic of Korea</t>
  </si>
  <si>
    <t xml:space="preserve"> Sat Feb 03 2018 11:45:16</t>
  </si>
  <si>
    <t xml:space="preserve"> @dril Can you at least fix bitcoin?</t>
  </si>
  <si>
    <t xml:space="preserve"> DavidGEisner</t>
  </si>
  <si>
    <t xml:space="preserve"> Sat Feb 03 2018 11:45:29</t>
  </si>
  <si>
    <t xml:space="preserve"> Top 6 BTC/USD Exchange Orderbooks: Resistance til $8700:$14.5M; Support til $8100:$18.4M $BTC $BTCUSD #bitcoin #orderbook #cryptocurrency</t>
  </si>
  <si>
    <t xml:space="preserve"> lakers_tweet</t>
  </si>
  <si>
    <t xml:space="preserve"> Switzerland</t>
  </si>
  <si>
    <t xml:space="preserve"> Sat Feb 03 2018 11:45:30</t>
  </si>
  <si>
    <t xml:space="preserve"> Anyone selling nano ledger hardware wallet I'm in England. #LedgerWallet #nanos #cryptocurrency #crypto #cryptowallet #bitcoin #Blockchain</t>
  </si>
  <si>
    <t xml:space="preserve"> abusa1f</t>
  </si>
  <si>
    <t xml:space="preserve"> England</t>
  </si>
  <si>
    <t xml:space="preserve"> Sat Feb 03 2018 11:45:37</t>
  </si>
  <si>
    <t xml:space="preserve"> @XavierKNR @BitcoinBram @wtfkenneth @Bitcoin Good for you. So are there no miners with who believe in bitcoin?</t>
  </si>
  <si>
    <t xml:space="preserve"> Sat Feb 03 2018 11:45:52</t>
  </si>
  <si>
    <t xml:space="preserve"> Top 6 BTC/USD Exchange Orderbooks: Resistance til $8600:$15.5M; Support til $7900:$40.1M $BTC $BTCUSD #bitcoin #orderbook #finance #markets</t>
  </si>
  <si>
    <t xml:space="preserve"> Sat Feb 03 2018 11:47:25</t>
  </si>
  <si>
    <t xml:space="preserve"> @alistairmilne Damn fine time for paying personal debt in bitcoin is what Id say.</t>
  </si>
  <si>
    <t xml:space="preserve"> delicopsch56</t>
  </si>
  <si>
    <t xml:space="preserve"> Planiverse</t>
  </si>
  <si>
    <t xml:space="preserve"> Sat Feb 03 2018 11:47:31</t>
  </si>
  <si>
    <t xml:space="preserve"> #XVG $xvg #vergecurrency good green day guys! verge the next bitcoin but better is coming! #ada #xrp #trx #stellar #tron #Litecoin</t>
  </si>
  <si>
    <t xml:space="preserve"> decksbyziecnj</t>
  </si>
  <si>
    <t xml:space="preserve"> Sat Feb 03 2018 11:47:42</t>
  </si>
  <si>
    <t xml:space="preserve"> Cryptocurrency: #Bitcoin Price USD: 8971.2 Price BTC: 1.0 24h Volume USD: 10259800000.0 Percent change 24h: 10.51</t>
  </si>
  <si>
    <t xml:space="preserve"> DetroitCrypto</t>
  </si>
  <si>
    <t xml:space="preserve"> Sat Feb 03 2018 11:47:43</t>
  </si>
  <si>
    <t xml:space="preserve"> Overheard at an algo trading conference:  Why is govt so worried about Bitcoin?  Ans: Because they cant demonetise it!</t>
  </si>
  <si>
    <t xml:space="preserve"> SatanAtWink</t>
  </si>
  <si>
    <t xml:space="preserve"> BLR-BOM-DEL</t>
  </si>
  <si>
    <t xml:space="preserve"> Sat Feb 03 2018 11:47:55</t>
  </si>
  <si>
    <t xml:space="preserve"> @DavidGEisner @dril Nothing is wrong with bitcoin</t>
  </si>
  <si>
    <t xml:space="preserve"> ddos1271</t>
  </si>
  <si>
    <t xml:space="preserve"> Sat Feb 03 2018 11:48:18</t>
  </si>
  <si>
    <t xml:space="preserve"> @WeathermanIam @Frances_Coppola BREAKING: @Frances_Coppola calls #Bitcoin NOT A SCAM! ;)</t>
  </si>
  <si>
    <t xml:space="preserve"> ZLOK</t>
  </si>
  <si>
    <t xml:space="preserve"> Geneva &amp; Tokyo</t>
  </si>
  <si>
    <t xml:space="preserve"> Sat Feb 03 2018 11:48:51</t>
  </si>
  <si>
    <t xml:space="preserve"> @Yayuba_de @Crypto_Bitlord Plus bitcoin is more than just a price, so yea I'm more than positive while trying to be realisitic !</t>
  </si>
  <si>
    <t xml:space="preserve"> __jnsmk__</t>
  </si>
  <si>
    <t xml:space="preserve"> Sat Feb 03 2018 11:49:11</t>
  </si>
  <si>
    <t xml:space="preserve"> @Firstblood_Dev THS SCAMMM !!!!! REAL FRSTBLOOD TWEETTEE ADRESS FRSBLOOD.O #BTC #Bitcoin</t>
  </si>
  <si>
    <t xml:space="preserve"> titanyum0</t>
  </si>
  <si>
    <t xml:space="preserve"> Sat Feb 03 2018 11:49:08</t>
  </si>
  <si>
    <t xml:space="preserve"> Check out this spreadsheet of high quality #crypto #faucets! Instant withdrawls of #bitcoin #dash #doge #litecoin</t>
  </si>
  <si>
    <t xml:space="preserve"> sokchea_san</t>
  </si>
  <si>
    <t xml:space="preserve"> Cambodia</t>
  </si>
  <si>
    <t xml:space="preserve"> Sat Feb 03 2018 11:49:16</t>
  </si>
  <si>
    <t xml:space="preserve"> @CosmUnity @coiniusmaximus Yup, Bitcoin is in fact nothing more than a Cryptokittie.</t>
  </si>
  <si>
    <t xml:space="preserve"> BorisCameron2</t>
  </si>
  <si>
    <t xml:space="preserve"> Sat Feb 03 2018 11:49:20</t>
  </si>
  <si>
    <t xml:space="preserve"> @IvanOnTech #BitcoinCash  is real #bitcoin, but #segwit  will win because of hub-node profit. Bitcoin will explode soon soon.....</t>
  </si>
  <si>
    <t xml:space="preserve"> SasaJesic</t>
  </si>
  <si>
    <t xml:space="preserve"> Sat Feb 03 2018 11:49:25</t>
  </si>
  <si>
    <t xml:space="preserve"> @bitcoinarama Cheers Barry bitcoin.</t>
  </si>
  <si>
    <t xml:space="preserve"> ChadJoh64881714</t>
  </si>
  <si>
    <t xml:space="preserve"> Sat Feb 03 2018 11:49:34</t>
  </si>
  <si>
    <t xml:space="preserve"> You need around 12-13 bitcoin to buy a Huracan. Hope we are going to 6-7k so I can buy a ton. #btc #HODLgang #Bitcoin</t>
  </si>
  <si>
    <t xml:space="preserve"> Hyunsoo_Crypto</t>
  </si>
  <si>
    <t xml:space="preserve"> Hermosa Beach, CA</t>
  </si>
  <si>
    <t xml:space="preserve"> Sat Feb 03 2018 11:49:39</t>
  </si>
  <si>
    <t xml:space="preserve"> Optimal tx fee: 65 satoshi per byte.  BTC : $8931 / 7166 / 6324 @ Block 507423.  Market Cap: 148.11B USD. #Bitcoin #Finance</t>
  </si>
  <si>
    <t xml:space="preserve"> StatXbt</t>
  </si>
  <si>
    <t xml:space="preserve"> Blockchain - FI - US</t>
  </si>
  <si>
    <t xml:space="preserve"> Sat Feb 03 2018 11:49:49</t>
  </si>
  <si>
    <t xml:space="preserve"> Taipei Taps IOTA Blockchain Tech for Smart City Upgrade  #trx #tron #btc #bitcoin #cryptocoin #crypto #eth #etherum #ripple #xrp #altcoins</t>
  </si>
  <si>
    <t xml:space="preserve"> CoinsNews24h</t>
  </si>
  <si>
    <t xml:space="preserve"> Based on Spain</t>
  </si>
  <si>
    <t xml:space="preserve"> Sat Feb 03 2018 11:49:53</t>
  </si>
  <si>
    <t xml:space="preserve"> @dacryptonerd Cant wait to see the fomo this next month jump back in after they shat themselves and sold out #bitcoin #trx #tron $trx</t>
  </si>
  <si>
    <t xml:space="preserve"> james_green19</t>
  </si>
  <si>
    <t xml:space="preserve"> Moon</t>
  </si>
  <si>
    <t xml:space="preserve"> Sat Feb 03 2018 11:50:37</t>
  </si>
  <si>
    <t xml:space="preserve"> @Reuters @Breakingviews @mak_robyn @petesweeneypro #bitcoin is a criminals playground! What are you hiding?</t>
  </si>
  <si>
    <t xml:space="preserve"> islandgirlnaz</t>
  </si>
  <si>
    <t xml:space="preserve"> Sat Feb 03 2018 11:51:04</t>
  </si>
  <si>
    <t xml:space="preserve"> #Bitcoin The Current Bitcoin Price is 0.00011236 BTC for $1 USD #GoldCoinJar</t>
  </si>
  <si>
    <t xml:space="preserve"> GoldCoinJar</t>
  </si>
  <si>
    <t xml:space="preserve"> Global</t>
  </si>
  <si>
    <t xml:space="preserve"> Sat Feb 03 2018 11:51:53</t>
  </si>
  <si>
    <t xml:space="preserve"> Bitcoin $BTC Neo $NEO Elastos $ELA Icon $ICX Ethereum Classic $ETC Iota $IOTA Trinity Network Credit $TNC  Tron (lol, just kidding)</t>
  </si>
  <si>
    <t xml:space="preserve"> duffypaul1</t>
  </si>
  <si>
    <t xml:space="preserve"> Ireland</t>
  </si>
  <si>
    <t xml:space="preserve"> Sat Feb 03 2018 11:52:06</t>
  </si>
  <si>
    <t xml:space="preserve"> @ToneVays Of course #Bitcoin is going over $20k. And #Ethereum going to zero.</t>
  </si>
  <si>
    <t xml:space="preserve"> rbenadon</t>
  </si>
  <si>
    <t xml:space="preserve"> Sat Feb 03 2018 11:52:15</t>
  </si>
  <si>
    <t xml:space="preserve"> @MarketWatch Millennials own Bitcoin!!!</t>
  </si>
  <si>
    <t xml:space="preserve"> Sat Feb 03 2018 11:52:31</t>
  </si>
  <si>
    <t xml:space="preserve"> I want to say Bitcoin is recovering, but I only want to say it because if I say it is I might jinx it. </t>
  </si>
  <si>
    <t xml:space="preserve"> jamesonjeevers</t>
  </si>
  <si>
    <t xml:space="preserve"> Some Place</t>
  </si>
  <si>
    <t xml:space="preserve"> Sat Feb 03 2018 11:53:00</t>
  </si>
  <si>
    <t xml:space="preserve"> @decentralcoin Be a big #Giant @decentralcoin #ETH #Bitcoin #crypto #cryptocurrency</t>
  </si>
  <si>
    <t xml:space="preserve"> Sat Feb 03 2018 11:53:09</t>
  </si>
  <si>
    <t xml:space="preserve"> @Crypto_Newz Is #Bitcoin DEAD? @RandomRantsofRy seems to think so. Please reply</t>
  </si>
  <si>
    <t xml:space="preserve"> scottwb83434</t>
  </si>
  <si>
    <t xml:space="preserve"> Standing Upright in the Lords Grace</t>
  </si>
  <si>
    <t xml:space="preserve"> Sat Feb 03 2018 11:53:12</t>
  </si>
  <si>
    <t xml:space="preserve"> @LindaKSibs This is the spirit behind bitcoin</t>
  </si>
  <si>
    <t xml:space="preserve"> karongaT</t>
  </si>
  <si>
    <t xml:space="preserve"> Zimbabwe</t>
  </si>
  <si>
    <t xml:space="preserve"> Sat Feb 03 2018 11:53:16</t>
  </si>
  <si>
    <t xml:space="preserve"> a guide to buy #bitcoin for beginners: don't.</t>
  </si>
  <si>
    <t xml:space="preserve"> MrThorMighty</t>
  </si>
  <si>
    <t xml:space="preserve"> Valhalla</t>
  </si>
  <si>
    <t xml:space="preserve"> Sat Feb 03 2018 11:53:41</t>
  </si>
  <si>
    <t xml:space="preserve"> buy when there's blood in the streets  #bitcoin $btc</t>
  </si>
  <si>
    <t xml:space="preserve"> pedrotdg</t>
  </si>
  <si>
    <t xml:space="preserve"> Sat Feb 03 2018 11:53:42</t>
  </si>
  <si>
    <t xml:space="preserve"> .@Breakingviews: What are Asian governments doing to crack down on bitcoin? Heres @mak_robyn, @petesweeneypro on</t>
  </si>
  <si>
    <t xml:space="preserve"> therkut1</t>
  </si>
  <si>
    <t xml:space="preserve"> Sat Feb 03 2018 11:54:27</t>
  </si>
  <si>
    <t xml:space="preserve"> @jmacd79 Bitcoin trying to rally right now...Hopefully your plays are doing well.</t>
  </si>
  <si>
    <t xml:space="preserve"> CryptoSassassin</t>
  </si>
  <si>
    <t xml:space="preserve"> Fuenlabrada, Spain</t>
  </si>
  <si>
    <t xml:space="preserve"> Sat Feb 03 2018 11:54:44</t>
  </si>
  <si>
    <t xml:space="preserve"> @InfoSecHotSpot Bitcoin will spoil your milk!</t>
  </si>
  <si>
    <t xml:space="preserve"> JanHaugland</t>
  </si>
  <si>
    <t xml:space="preserve"> Bergen, Norway</t>
  </si>
  <si>
    <t xml:space="preserve"> Sat Feb 03 2018 11:55:04</t>
  </si>
  <si>
    <t xml:space="preserve"> THE MOST INNOVATIVE AND LUCRATIVE WAY TO EARN BITCOIN JOIN BITCLUB NETWORK!</t>
  </si>
  <si>
    <t xml:space="preserve"> toshi_mat002</t>
  </si>
  <si>
    <t xml:space="preserve"> Sat Feb 03 2018 11:55:49</t>
  </si>
  <si>
    <t xml:space="preserve"> I thought Bitcoin is different, and the hype cycle does not apply. Looks like I was wrong.</t>
  </si>
  <si>
    <t xml:space="preserve"> euronodi</t>
  </si>
  <si>
    <t xml:space="preserve"> asgardia</t>
  </si>
  <si>
    <t xml:space="preserve"> Sat Feb 03 2018 11:56:52</t>
  </si>
  <si>
    <t xml:space="preserve"> @mwbzness @BigJim618 How much AUD is 500 bitcoin? (I have no idea how it works)</t>
  </si>
  <si>
    <t xml:space="preserve"> xstux618</t>
  </si>
  <si>
    <t xml:space="preserve"> Melbourne, Australia</t>
  </si>
  <si>
    <t xml:space="preserve"> Sat Feb 03 2018 11:57:13</t>
  </si>
  <si>
    <t xml:space="preserve"> Zynga Helps Build Bitcoin Buzz But Dont Get Carried Away  Yet. - MoneyBeat - WSJ via</t>
  </si>
  <si>
    <t xml:space="preserve"> morey2gysc</t>
  </si>
  <si>
    <t xml:space="preserve"> Sat Feb 03 2018 11:57:32</t>
  </si>
  <si>
    <t xml:space="preserve"> Sell all your bitcoins. It will moonshot. #Bitcoin</t>
  </si>
  <si>
    <t xml:space="preserve"> Sat Feb 03 2018 11:57:37</t>
  </si>
  <si>
    <t xml:space="preserve"> @mBTCPizpie So if satoshi sells his bitcoins does that mean bitcoin will die </t>
  </si>
  <si>
    <t xml:space="preserve"> AlwafiAlashhib</t>
  </si>
  <si>
    <t xml:space="preserve"> every where </t>
  </si>
  <si>
    <t xml:space="preserve"> Sat Feb 03 2018 11:57:47</t>
  </si>
  <si>
    <t xml:space="preserve"> Did you buy #Bitcoin on the dip? $8,879.61 Up 10.733%</t>
  </si>
  <si>
    <t xml:space="preserve"> bbjsportguy</t>
  </si>
  <si>
    <t xml:space="preserve"> Johannesburg</t>
  </si>
  <si>
    <t xml:space="preserve"> Sat Feb 03 2018 11:58:00</t>
  </si>
  <si>
    <t xml:space="preserve"> CryptoCompare Bitcoin price changed +1.01% to $9053.92 #bitcoin</t>
  </si>
  <si>
    <t xml:space="preserve"> Sat Feb 03 2018 11:59:39</t>
  </si>
  <si>
    <t xml:space="preserve"> Got advised to invest in bitcoin so many times and I'm still glad I didn't. Too volatile for me</t>
  </si>
  <si>
    <t xml:space="preserve"> BillHorgan93</t>
  </si>
  <si>
    <t xml:space="preserve"> Greenhithe, Kent</t>
  </si>
  <si>
    <t xml:space="preserve"> Sat Feb 03 2018 12:00:00</t>
  </si>
  <si>
    <t xml:space="preserve"> @ #1, Bitcoin with unit price of $8,976.74, market cap of $151,193,319,774 (34.78%), and 24 hr vol. of $10,138,100,000 (31.58%)</t>
  </si>
  <si>
    <t xml:space="preserve"> CryptoHourly</t>
  </si>
  <si>
    <t xml:space="preserve"> Sat Feb 03 2018 12:00:01</t>
  </si>
  <si>
    <t xml:space="preserve"> Average Bitcoin market price is: USD 9,076.85, EUR 7,288.80</t>
  </si>
  <si>
    <t xml:space="preserve"> bitcoinrate247</t>
  </si>
  <si>
    <t xml:space="preserve"> International</t>
  </si>
  <si>
    <t xml:space="preserve"> Sat Feb 03 2018 12:00:02</t>
  </si>
  <si>
    <t xml:space="preserve"> #Crypto Market Capitalizations(Total): $ 432 568 774 635  $BTC #Bitcoin Dominance: 34.87%</t>
  </si>
  <si>
    <t xml:space="preserve"> finvestmonitor</t>
  </si>
  <si>
    <t xml:space="preserve"> New York, USA</t>
  </si>
  <si>
    <t xml:space="preserve"> Current BTC Dominance: 34.78% #Bitcoin #Altcoin #Cryptocurrency</t>
  </si>
  <si>
    <t xml:space="preserve"> BTCdominance</t>
  </si>
  <si>
    <t xml:space="preserve"> Blockchain</t>
  </si>
  <si>
    <t xml:space="preserve"> The average price of Bitcoin across all exchanges is 8,954.81 USD</t>
  </si>
  <si>
    <t xml:space="preserve"> bitcointousd</t>
  </si>
  <si>
    <t xml:space="preserve"> Sat Feb 03 2018 12:00:03</t>
  </si>
  <si>
    <t xml:space="preserve"> Bitcoin:$8954.81 Ethereum:$949.575 Bitcoin Cash:$1215.91 Litecoin:$134.939 Ripple:$0.880439 IOTA:$1.91307</t>
  </si>
  <si>
    <t xml:space="preserve"> Sat Feb 03 2018 12:00:04</t>
  </si>
  <si>
    <t xml:space="preserve"> Feb 03, 2018 04:00AM #Bitcoin Price: USD 8512.84 | EUR 6850.94 | JPY 917703.70</t>
  </si>
  <si>
    <t xml:space="preserve"> btcreports</t>
  </si>
  <si>
    <t xml:space="preserve"> The World</t>
  </si>
  <si>
    <t xml:space="preserve"> Sat Feb 03 2018 12:00:05</t>
  </si>
  <si>
    <t xml:space="preserve"> #BTC  The price of #Bitcoin is currently $8954.8100  #Crypto $BTC</t>
  </si>
  <si>
    <t xml:space="preserve"> coindataza</t>
  </si>
  <si>
    <t xml:space="preserve"> 1 Bitcoin = 7335 Euro</t>
  </si>
  <si>
    <t xml:space="preserve"> diggadugger</t>
  </si>
  <si>
    <t xml:space="preserve"> Berlin, Deutschland</t>
  </si>
  <si>
    <t xml:space="preserve"> Sat Feb 03 2018 12:00:12</t>
  </si>
  <si>
    <t xml:space="preserve"> @RedditBTC just unistall bitcoin core and switch to bitcoin abc</t>
  </si>
  <si>
    <t xml:space="preserve"> ppetrovdotnet</t>
  </si>
  <si>
    <t xml:space="preserve"> Sat Feb 03 2018 12:00:14</t>
  </si>
  <si>
    <t xml:space="preserve"> Top 6 BTC/USD Exchange Orderbooks: Resistance til $9400:$30.9M; Support til $8700:$16.8M $BTC $BTCUSD #bitcoin #orderbook #cryptocurrency</t>
  </si>
  <si>
    <t xml:space="preserve"> CryptoNewswire</t>
  </si>
  <si>
    <t xml:space="preserve"> Sat Feb 03 2018 12:00:18</t>
  </si>
  <si>
    <t xml:space="preserve"> Bitcoin Price: $8954.81 [USD] 1hr - change: 1.95%  1day - trend: 10.22%  1week - trend: -20.36%  Remaining Supply: 19.796% #bitcoin</t>
  </si>
  <si>
    <t xml:space="preserve"> BitcoinDailyy</t>
  </si>
  <si>
    <t xml:space="preserve"> Everywhere</t>
  </si>
  <si>
    <t xml:space="preserve"> Sat Feb 03 2018 12:00:22</t>
  </si>
  <si>
    <t xml:space="preserve"> @davidgokhshtein @AltOne_Crypto I just put some extra cash onto binance. Thoughts on ideal coins to invest in? Or leave it as bitcoin? </t>
  </si>
  <si>
    <t xml:space="preserve"> rick_on_fire</t>
  </si>
  <si>
    <t xml:space="preserve"> Sat Feb 03 2018 12:00:29</t>
  </si>
  <si>
    <t xml:space="preserve"> The latest #bitcoin price is $9,016.97. Price is up from $8,838.29.</t>
  </si>
  <si>
    <t xml:space="preserve"> tangerinepw</t>
  </si>
  <si>
    <t xml:space="preserve"> San Diego, CA</t>
  </si>
  <si>
    <t xml:space="preserve"> Sat Feb 03 2018 12:00:31</t>
  </si>
  <si>
    <t xml:space="preserve"> BTC hourly update $9062.60    |    +0.0270% $BTC #BTCUSD #Bitcoin</t>
  </si>
  <si>
    <t xml:space="preserve"> BtcPulse</t>
  </si>
  <si>
    <t xml:space="preserve"> Sat Feb 03 2018 12:00:39</t>
  </si>
  <si>
    <t xml:space="preserve"> Current price of Bitcoin is $9028.00 Like if thats good for you and retweet if thats not good for you #bitcoin #btc #bitcoinprice</t>
  </si>
  <si>
    <t xml:space="preserve"> BitcoinMoz10</t>
  </si>
  <si>
    <t xml:space="preserve"> Nottingham</t>
  </si>
  <si>
    <t xml:space="preserve"> Sat Feb 03 2018 12:00:56</t>
  </si>
  <si>
    <t xml:space="preserve"> IT's almost time for Tokensale #cryptocurrency #bitcoin #Ethereum  for #Kryll @kryll_io will start on Feb 7, 2018.</t>
  </si>
  <si>
    <t xml:space="preserve"> TheLocketto</t>
  </si>
  <si>
    <t xml:space="preserve"> Sat Feb 03 2018 12:00:57</t>
  </si>
  <si>
    <t xml:space="preserve"> @verge just bitcoin? get your fact straights before spewing nonsense. $btc</t>
  </si>
  <si>
    <t xml:space="preserve"> typhades</t>
  </si>
  <si>
    <t xml:space="preserve"> safjrur, Iceland</t>
  </si>
  <si>
    <t xml:space="preserve"> Sat Feb 03 2018 12:01:03</t>
  </si>
  <si>
    <t xml:space="preserve"> Push it up ! #bitcoin #cryptocurrency</t>
  </si>
  <si>
    <t xml:space="preserve"> Error_Money</t>
  </si>
  <si>
    <t xml:space="preserve"> dago-bert, Duck</t>
  </si>
  <si>
    <t xml:space="preserve"> Sat Feb 03 2018 12:01:02</t>
  </si>
  <si>
    <t xml:space="preserve"> #Bitcoin Latest Bitcoin Price: $9051.47 USD for 1 BTC #GoldCoinJar</t>
  </si>
  <si>
    <t xml:space="preserve"> Sat Feb 03 2018 12:01:04</t>
  </si>
  <si>
    <t xml:space="preserve"> Current price of Bitcoin is $9028.00</t>
  </si>
  <si>
    <t xml:space="preserve"> Breaking_Crypto</t>
  </si>
  <si>
    <t xml:space="preserve"> WorldWide</t>
  </si>
  <si>
    <t xml:space="preserve"> Sat Feb 03 2018 12:01:07</t>
  </si>
  <si>
    <t xml:space="preserve"> .@derose As long as you use @Patreon you don't fully understand your @timpastoor intervieuw. #feelsgoodman #bitcoin</t>
  </si>
  <si>
    <t xml:space="preserve"> Sat Feb 03 2018 12:01:47</t>
  </si>
  <si>
    <t xml:space="preserve"> Current price of Bitcoin is $9028.00 - please Like/RT - Thanks @BTCpx</t>
  </si>
  <si>
    <t xml:space="preserve"> BTCpx</t>
  </si>
  <si>
    <t xml:space="preserve"> Data from Bloomberg and Apple</t>
  </si>
  <si>
    <t xml:space="preserve"> Sat Feb 03 2018 12:01:50</t>
  </si>
  <si>
    <t xml:space="preserve"> Bitcoin and the whole crypto market could benefit from the Dow crash. #Bitcoin #BTC #crypto #Eth</t>
  </si>
  <si>
    <t xml:space="preserve"> Karachi_Post</t>
  </si>
  <si>
    <t xml:space="preserve"> Sat Feb 03 2018 12:01:56</t>
  </si>
  <si>
    <t xml:space="preserve"> #bitcoin unless we close above 9900 on #bitstamp ... i'll remain bearish</t>
  </si>
  <si>
    <t xml:space="preserve"> vwayservicemax</t>
  </si>
  <si>
    <t xml:space="preserve"> Sat Feb 03 2018 12:02:06</t>
  </si>
  <si>
    <t xml:space="preserve"> Insult - You are a Bitcoin</t>
  </si>
  <si>
    <t xml:space="preserve"> CaptainCrumbz</t>
  </si>
  <si>
    <t xml:space="preserve"> Sydney, Australia</t>
  </si>
  <si>
    <t xml:space="preserve"> Sat Feb 03 2018 12:02:11</t>
  </si>
  <si>
    <t xml:space="preserve"> #Bitcoin is going down down </t>
  </si>
  <si>
    <t xml:space="preserve"> FromMaadi</t>
  </si>
  <si>
    <t xml:space="preserve"> 3L0H55A</t>
  </si>
  <si>
    <t xml:space="preserve"> Sat Feb 03 2018 12:02:29</t>
  </si>
  <si>
    <t xml:space="preserve"> Most positive movements in the last hour #MonaCoin(6.69%), #Ada(6.11%), #Verge(5.51%), #Basic Attention Token(4.88%), #Bitcoin Gold(4.58%)</t>
  </si>
  <si>
    <t xml:space="preserve"> CryptoDarwin</t>
  </si>
  <si>
    <t xml:space="preserve"> Antwerpen, Belgi</t>
  </si>
  <si>
    <t xml:space="preserve"> nl</t>
  </si>
  <si>
    <t xml:space="preserve"> Sat Feb 03 2018 12:02:31</t>
  </si>
  <si>
    <t xml:space="preserve"> Sat Feb 03 2018 12:02:34</t>
  </si>
  <si>
    <t xml:space="preserve"> @Hassonya Bitcoin ve posw var</t>
  </si>
  <si>
    <t xml:space="preserve"> Tikidikboy</t>
  </si>
  <si>
    <t xml:space="preserve"> Sat Feb 03 2018 12:02:37</t>
  </si>
  <si>
    <t xml:space="preserve"> @ColinAd33006332 @Bitcoin @tipprbot you sir, need to get your head checked out.</t>
  </si>
  <si>
    <t xml:space="preserve"> asher_creates</t>
  </si>
  <si>
    <t xml:space="preserve"> Sat Feb 03 2018 12:03:12</t>
  </si>
  <si>
    <t xml:space="preserve"> alamat Bitcoin 1AP49EXSASd17P9wBPYBs26iVtWowUY6kn</t>
  </si>
  <si>
    <t xml:space="preserve"> iprayforyou001</t>
  </si>
  <si>
    <t xml:space="preserve"> Sat Feb 03 2018 12:03:17</t>
  </si>
  <si>
    <t xml:space="preserve"> Current price of #Bitcoin is $9028.00</t>
  </si>
  <si>
    <t xml:space="preserve"> Sat Feb 03 2018 12:03:18</t>
  </si>
  <si>
    <t xml:space="preserve"> Retweet if you want $QASH on $binance or $kucoin  #QASH #Binance #Kucoin #QRYPTOS #QUOINE  @binance_2017  @Bitcoin @kucoin_shares</t>
  </si>
  <si>
    <t xml:space="preserve"> kucoin81</t>
  </si>
  <si>
    <t xml:space="preserve"> Zuid-Holland, Nederland</t>
  </si>
  <si>
    <t xml:space="preserve"> Sat Feb 03 2018 12:03:38</t>
  </si>
  <si>
    <t xml:space="preserve"> $#BTCUSD: #BitCoin (9098.00) Huge%MoveUP+ (+11%), 26DyChgHi:-47%, 0NewHi, 25:4Accel+, tf:0111111, FirmTrnd-:+100%, 5LoDays:55%</t>
  </si>
  <si>
    <t xml:space="preserve"> tymorapro</t>
  </si>
  <si>
    <t xml:space="preserve"> New York City</t>
  </si>
  <si>
    <t xml:space="preserve"> Sat Feb 03 2018 12:03:43</t>
  </si>
  <si>
    <t xml:space="preserve"> 10k today. #Bitcoin #BTC $BTC</t>
  </si>
  <si>
    <t xml:space="preserve"> cryptoha</t>
  </si>
  <si>
    <t xml:space="preserve"> Sat Feb 03 2018 12:03:47</t>
  </si>
  <si>
    <t xml:space="preserve"> To clarify, my percentages are of the approx 3billion Internet users worldwide ... the total addressable market for Bitcoin currently</t>
  </si>
  <si>
    <t xml:space="preserve"> alistairmilne</t>
  </si>
  <si>
    <t xml:space="preserve"> Monte-Carlo, Monaco</t>
  </si>
  <si>
    <t xml:space="preserve"> Sat Feb 03 2018 12:04:12</t>
  </si>
  <si>
    <t xml:space="preserve"> @RyanRadloff The ethereum network can overcome bitcoin in that year//</t>
  </si>
  <si>
    <t xml:space="preserve"> Sviontek</t>
  </si>
  <si>
    <t xml:space="preserve"> Sat Feb 03 2018 12:04:13</t>
  </si>
  <si>
    <t xml:space="preserve"> @6BillionPeople The amount of sarcastic texts Ive got asking me how my bitcoin is, is ridiculous. </t>
  </si>
  <si>
    <t xml:space="preserve"> Sophia_Crypto</t>
  </si>
  <si>
    <t xml:space="preserve"> Sat Feb 03 2018 12:04:23</t>
  </si>
  <si>
    <t xml:space="preserve"> Current price of Bitcoin is $9028.00.</t>
  </si>
  <si>
    <t xml:space="preserve"> YourLocalAnon</t>
  </si>
  <si>
    <t xml:space="preserve"> I'm an Idea. I am everywhere.</t>
  </si>
  <si>
    <t xml:space="preserve"> Sat Feb 03 2018 12:04:26</t>
  </si>
  <si>
    <t xml:space="preserve"> @bitcoinprivate Hello BTP Team: can I earn my Bitcoin Private coins by holding my ZClassic coins within Bittrex? Thank you.</t>
  </si>
  <si>
    <t xml:space="preserve"> kalinavanska</t>
  </si>
  <si>
    <t xml:space="preserve"> los angeles</t>
  </si>
  <si>
    <t xml:space="preserve"> Sat Feb 03 2018 12:04:46</t>
  </si>
  <si>
    <t xml:space="preserve"> @kevinhargaden Praise be the Bitcoin.</t>
  </si>
  <si>
    <t xml:space="preserve"> ownohmanny</t>
  </si>
  <si>
    <t xml:space="preserve"> Sat Feb 03 2018 12:04:54</t>
  </si>
  <si>
    <t xml:space="preserve"> @Bitcoien @Bitcoin 0xEc82Ff7BE0F93BA98398EB4438DC4A36B566d999</t>
  </si>
  <si>
    <t xml:space="preserve"> SERGOSS112</t>
  </si>
  <si>
    <t xml:space="preserve"> Sat Feb 03 2018 12:04:59</t>
  </si>
  <si>
    <t xml:space="preserve"> It's official. You will never be able to buy a bitcoin for less than $8000 again.</t>
  </si>
  <si>
    <t xml:space="preserve"> vraidunand</t>
  </si>
  <si>
    <t xml:space="preserve"> Sat Feb 03 2018 12:05:15</t>
  </si>
  <si>
    <t xml:space="preserve"> Bitcoin address 1AP49EXSASd17P9wBPYBs26iVtWowUY6kn</t>
  </si>
  <si>
    <t xml:space="preserve"> Sat Feb 03 2018 12:05:27</t>
  </si>
  <si>
    <t xml:space="preserve"> Let the show begin!  #Bullish #bitcoin #PIVX #NoMoreFUD</t>
  </si>
  <si>
    <t xml:space="preserve"> satoshinakajeff</t>
  </si>
  <si>
    <t xml:space="preserve"> Sat Feb 03 2018 12:06:21</t>
  </si>
  <si>
    <t xml:space="preserve"> Bitcoin cyrpto currency</t>
  </si>
  <si>
    <t xml:space="preserve"> KaniaruKamau</t>
  </si>
  <si>
    <t xml:space="preserve"> Murang'a GatangaKenya</t>
  </si>
  <si>
    <t xml:space="preserve"> Sat Feb 03 2018 12:06:42</t>
  </si>
  <si>
    <t xml:space="preserve"> @satoshiokamotob I keep trying to tap Request Payment button and send myself some bitcoin .  1FJn4zTKzy9c6YYKm3AKE1akhDL1QiMSrR</t>
  </si>
  <si>
    <t xml:space="preserve"> gr8fuledbutler</t>
  </si>
  <si>
    <t xml:space="preserve"> Sat Feb 03 2018 12:07:01</t>
  </si>
  <si>
    <t xml:space="preserve"> @AmiBelArt what price did you first get into Bitcoin at?</t>
  </si>
  <si>
    <t xml:space="preserve"> CoinTradePros</t>
  </si>
  <si>
    <t xml:space="preserve"> California, USA</t>
  </si>
  <si>
    <t xml:space="preserve"> Sat Feb 03 2018 12:07:12</t>
  </si>
  <si>
    <t xml:space="preserve"> Does anyone have a very credible daily #bitcoin spot price chart please?  Tia</t>
  </si>
  <si>
    <t xml:space="preserve"> Sat Feb 03 2018 12:07:23</t>
  </si>
  <si>
    <t xml:space="preserve"> Top 6 BTC/USD Exchange Orderbooks: Resistance til $8800:$15.0M; Support til $8200:$26.5M $BTC $BTCUSD #bitcoin #orderbook #investing #crypto</t>
  </si>
  <si>
    <t xml:space="preserve"> Sat Feb 03 2018 12:07:49</t>
  </si>
  <si>
    <t xml:space="preserve"> Dow plunges 666 points. Worst day in years.  Bitcoin: Hold my beer.</t>
  </si>
  <si>
    <t xml:space="preserve"> LNeilFriedman</t>
  </si>
  <si>
    <t xml:space="preserve"> NC</t>
  </si>
  <si>
    <t xml:space="preserve"> Sat Feb 03 2018 12:09:15</t>
  </si>
  <si>
    <t xml:space="preserve"> @OnWindowly @rogerkver It already has I don't even see bitcoin core listed anywhere.</t>
  </si>
  <si>
    <t xml:space="preserve"> hernzzzzzz</t>
  </si>
  <si>
    <t xml:space="preserve"> Cascadia</t>
  </si>
  <si>
    <t xml:space="preserve"> Sat Feb 03 2018 12:09:27</t>
  </si>
  <si>
    <t xml:space="preserve"> @MGTOWpants @RampCapitalLLC Bitcoin is a scam and those promoting it should be exposed</t>
  </si>
  <si>
    <t xml:space="preserve"> BoyfromBurleigh</t>
  </si>
  <si>
    <t xml:space="preserve"> South East Queensland</t>
  </si>
  <si>
    <t xml:space="preserve"> Sat Feb 03 2018 12:09:39</t>
  </si>
  <si>
    <t xml:space="preserve"> Top 6 BTC/USD Exchange Orderbooks: Resistance til $8900:$14.9M; Support til $8300:$20.3M $BTC $BTCUSD #bitcoin #orderbook #investing #crypto</t>
  </si>
  <si>
    <t xml:space="preserve"> Sat Feb 03 2018 12:10:02</t>
  </si>
  <si>
    <t xml:space="preserve"> @EJ_Emil_ Follow @Hashtags_Trends for the latest news &amp; #trading trends about #bitcoin &amp; #crypto world.</t>
  </si>
  <si>
    <t xml:space="preserve"> Sat Feb 03 2018 12:10:04</t>
  </si>
  <si>
    <t xml:space="preserve"> Bitcoin BTC Current Price: $8976.74 1 Hour: 2.19 % | 24 Hours: 10.31 % | 7 Days: -20.17 % #btc #bitcoin</t>
  </si>
  <si>
    <t xml:space="preserve"> Sat Feb 03 2018 12:10:11</t>
  </si>
  <si>
    <t xml:space="preserve"> @coinspectator Follow @Hashtags_Trends for the latest news &amp; #trading trends about #bitcoin &amp; #crypto world.</t>
  </si>
  <si>
    <t xml:space="preserve"> Sat Feb 03 2018 12:10:13</t>
  </si>
  <si>
    <t xml:space="preserve"> Bitcoin liquidity frozen it see a panic selling , historic reversal selloff below 530</t>
  </si>
  <si>
    <t xml:space="preserve"> Sat Feb 03 2018 12:10:17</t>
  </si>
  <si>
    <t xml:space="preserve"> @BoyfromBurleigh @RampCapitalLLC Dont confuse Bitcoin with bitconnect...</t>
  </si>
  <si>
    <t xml:space="preserve"> MGTOWpants</t>
  </si>
  <si>
    <t xml:space="preserve"> Sat Feb 03 2018 12:10:26</t>
  </si>
  <si>
    <t xml:space="preserve"> Bitcoin beginning to show why it was so volatile to start with, looking like it will fall below 6,000.</t>
  </si>
  <si>
    <t xml:space="preserve"> DanielStudio51</t>
  </si>
  <si>
    <t xml:space="preserve"> UK</t>
  </si>
  <si>
    <t xml:space="preserve"> Sat Feb 03 2018 12:10:31</t>
  </si>
  <si>
    <t xml:space="preserve"> @XavierKNR Haha. Sorry, but I already exchanged all my free Bitcoin Cash to Bitcoin. Maybe next time if you catch me early enough.</t>
  </si>
  <si>
    <t xml:space="preserve"> 2B7C89526</t>
  </si>
  <si>
    <t xml:space="preserve"> Sat Feb 03 2018 12:10:32</t>
  </si>
  <si>
    <t xml:space="preserve"> Lost coins only make everyone else's coins worth slightly more. Think of it as a donation to everyone. - Satoshi Nakamoto #bitcoin #quote</t>
  </si>
  <si>
    <t xml:space="preserve"> bitcoinest</t>
  </si>
  <si>
    <t xml:space="preserve"> Sat Feb 03 2018 12:10:33</t>
  </si>
  <si>
    <t xml:space="preserve"> @NitfortheMONEY Do you think it's over? It seems over with bitcoin rising approx 1.5k</t>
  </si>
  <si>
    <t xml:space="preserve"> NickHopper10</t>
  </si>
  <si>
    <t xml:space="preserve"> Adelaide, South Australia</t>
  </si>
  <si>
    <t xml:space="preserve"> Sat Feb 03 2018 12:10:38</t>
  </si>
  <si>
    <t xml:space="preserve"> the coke prices up and down like it's bitcoin, holmes  - jay z (lyric modified for 2018)</t>
  </si>
  <si>
    <t xml:space="preserve"> SANDfuckinTOAST</t>
  </si>
  <si>
    <t xml:space="preserve">  </t>
  </si>
  <si>
    <t xml:space="preserve"> Sat Feb 03 2018 12:11:15</t>
  </si>
  <si>
    <t xml:space="preserve"> working to disrupt snack bars using augmented reality, native apps and Bitcoin</t>
  </si>
  <si>
    <t xml:space="preserve"> fund_my_startup</t>
  </si>
  <si>
    <t xml:space="preserve"> Sat Feb 03 2018 12:11:22</t>
  </si>
  <si>
    <t xml:space="preserve"> ;[ ;[ ;[ ;[...&gt;.&lt; ....[Bitcoin performance assessment (-52.81%)] #bitcoin</t>
  </si>
  <si>
    <t xml:space="preserve"> PlattsburghBTC</t>
  </si>
  <si>
    <t xml:space="preserve"> Plattsburgh, NY</t>
  </si>
  <si>
    <t xml:space="preserve"> Sat Feb 03 2018 12:11:35</t>
  </si>
  <si>
    <t xml:space="preserve"> Bitcoin under financial scrutiny to be bann for example Ico from face book</t>
  </si>
  <si>
    <t xml:space="preserve"> Sat Feb 03 2018 12:12:00</t>
  </si>
  <si>
    <t xml:space="preserve"> A week away in the French Alps, just saw bitcoin... TOLD YOU, sigh. How much did you lose because you didn't listen?</t>
  </si>
  <si>
    <t xml:space="preserve"> TheOaise</t>
  </si>
  <si>
    <t xml:space="preserve"> Berlin, Germany</t>
  </si>
  <si>
    <t xml:space="preserve"> Sat Feb 03 2018 12:12:05</t>
  </si>
  <si>
    <t xml:space="preserve"> @OTC_Bitcoin bitcoin prediction video still unavailable ?</t>
  </si>
  <si>
    <t xml:space="preserve"> TruthBenvolio</t>
  </si>
  <si>
    <t xml:space="preserve"> Sat Feb 03 2018 12:12:24</t>
  </si>
  <si>
    <t xml:space="preserve"> After a small recovery #XVG $xvg #vergecurrency  going up like a hungry beast. Bitcoin cash will follow.</t>
  </si>
  <si>
    <t xml:space="preserve"> muraty56998460</t>
  </si>
  <si>
    <t xml:space="preserve"> Sat Feb 03 2018 12:13:12</t>
  </si>
  <si>
    <t xml:space="preserve"> @xstux618 @BigJim618 No I mean I have about 500 aud of Bitcoin. If I had 500 btc I would be a multimillionaire</t>
  </si>
  <si>
    <t xml:space="preserve"> mwbzness</t>
  </si>
  <si>
    <t xml:space="preserve"> Sat Feb 03 2018 12:13:39</t>
  </si>
  <si>
    <t xml:space="preserve"> bitcoin price $9K. now im happy i didn't know how to invest my $200 when it was at $19K LUL.</t>
  </si>
  <si>
    <t xml:space="preserve"> hekarocsgo</t>
  </si>
  <si>
    <t xml:space="preserve"> Sat Feb 03 2018 12:13:52</t>
  </si>
  <si>
    <t xml:space="preserve"> @theJDuce @pitakakariki New Bitcoin?</t>
  </si>
  <si>
    <t xml:space="preserve"> chrissybrown</t>
  </si>
  <si>
    <t xml:space="preserve"> Wellington City, New Zealand</t>
  </si>
  <si>
    <t xml:space="preserve"> Sat Feb 03 2018 12:13:54</t>
  </si>
  <si>
    <t xml:space="preserve"> @theRealKiyosaki Like Bitcoin right now</t>
  </si>
  <si>
    <t xml:space="preserve"> bitmoneda</t>
  </si>
  <si>
    <t xml:space="preserve"> Sat Feb 03 2018 12:14:09</t>
  </si>
  <si>
    <t xml:space="preserve"> Current price of Bitcoin is $9028.00 #Bitcoin #Bithound</t>
  </si>
  <si>
    <t xml:space="preserve"> Sat Feb 03 2018 12:14:39</t>
  </si>
  <si>
    <t xml:space="preserve"> @coindesk @johndetrixhe bahahahahaha! They all secretly own bitcoin, probably all stored in a Ledger Nano hardwallet</t>
  </si>
  <si>
    <t xml:space="preserve"> Lillyandpumpkin</t>
  </si>
  <si>
    <t xml:space="preserve"> Sat Feb 03 2018 12:15:01</t>
  </si>
  <si>
    <t xml:space="preserve"> The current price of Bitcoin is $9028.06. The current price of BCash is $1222.75, or 0.135026 BTC</t>
  </si>
  <si>
    <t xml:space="preserve"> Sat Feb 03 2018 12:15:10</t>
  </si>
  <si>
    <t xml:space="preserve"> @IvanOnTech This is great Ivan! I think this provides the best quick view of the state of the bitcoin network and dev progress.</t>
  </si>
  <si>
    <t xml:space="preserve"> DouglasKoobs</t>
  </si>
  <si>
    <t xml:space="preserve"> Sat Feb 03 2018 12:16:25</t>
  </si>
  <si>
    <t xml:space="preserve"> Now it is hurting PC gamers by pushing up $GPU prices #news #bitcoin</t>
  </si>
  <si>
    <t xml:space="preserve"> Sat Feb 03 2018 12:16:31</t>
  </si>
  <si>
    <t xml:space="preserve"> @ollaniuspius @Frances_Coppola Bitcoin</t>
  </si>
  <si>
    <t xml:space="preserve"> rationalsapien</t>
  </si>
  <si>
    <t xml:space="preserve"> Sat Feb 03 2018 12:16:50</t>
  </si>
  <si>
    <t xml:space="preserve"> @theantnest Is Bcash like bitcoin but without the cool stuff?</t>
  </si>
  <si>
    <t xml:space="preserve"> username_Dizzy</t>
  </si>
  <si>
    <t xml:space="preserve"> Sat Feb 03 2018 12:17:03</t>
  </si>
  <si>
    <t xml:space="preserve"> Bitcoin Cash BCH Current Price: $1226.81 1 Hour: 3.82 % | 24 Hours: 14.43 % | 7 Days: -23.88 % #bch #bitcoin cash</t>
  </si>
  <si>
    <t xml:space="preserve"> Sat Feb 03 2018 12:17:30</t>
  </si>
  <si>
    <t xml:space="preserve"> Bitcoin Don Crash.</t>
  </si>
  <si>
    <t xml:space="preserve"> Hasheem_MS</t>
  </si>
  <si>
    <t xml:space="preserve"> Gombe, Nigeria</t>
  </si>
  <si>
    <t xml:space="preserve"> Sat Feb 03 2018 12:18:05</t>
  </si>
  <si>
    <t xml:space="preserve"> @CryptonumStu I might of bought your colleagues Bitcoin. Please thank him for me </t>
  </si>
  <si>
    <t xml:space="preserve"> GPBosman</t>
  </si>
  <si>
    <t xml:space="preserve"> Mauritius</t>
  </si>
  <si>
    <t xml:space="preserve"> Sat Feb 03 2018 12:18:06</t>
  </si>
  <si>
    <t xml:space="preserve"> @CeunenBjorn @theantnest @PWasensteiner So its like Bitcoin but without the developers and users. Got it </t>
  </si>
  <si>
    <t xml:space="preserve"> Sat Feb 03 2018 12:18:09</t>
  </si>
  <si>
    <t xml:space="preserve"> Bitcoin has these morons buying a bunch of penny stocks and posting em everyday cause they think they the wolf of Wall Street now</t>
  </si>
  <si>
    <t xml:space="preserve"> GoodLiving_Mike</t>
  </si>
  <si>
    <t xml:space="preserve"> Bronx, NY</t>
  </si>
  <si>
    <t xml:space="preserve"> Sat Feb 03 2018 12:19:45</t>
  </si>
  <si>
    <t xml:space="preserve"> #Knowledgetoken where you can turn your knowledge to real asset. #tokensale #bitcoin</t>
  </si>
  <si>
    <t xml:space="preserve"> picccc89</t>
  </si>
  <si>
    <t xml:space="preserve"> Sat Feb 03 2018 12:20:01</t>
  </si>
  <si>
    <t xml:space="preserve"> BTC-RCN AskRate: 0.00002298 #Bittrex  #RCN $RCN #Ripio Credit Network #altcoin #altcoins #bitcoin   FOLLOW for PROFIT</t>
  </si>
  <si>
    <t xml:space="preserve"> cryptoknocks</t>
  </si>
  <si>
    <t xml:space="preserve"> Sat Feb 03 2018 12:20:34</t>
  </si>
  <si>
    <t xml:space="preserve"> @NorthmanTrader @Saucerys At first glance i thought that was the bitcoin chart</t>
  </si>
  <si>
    <t xml:space="preserve"> ssoeborg</t>
  </si>
  <si>
    <t xml:space="preserve"> Sat Feb 03 2018 12:20:46</t>
  </si>
  <si>
    <t xml:space="preserve"> I hope you filled your bags while the sale lasted #bitcoin #Ethereum #Cardano #litecoin etc.</t>
  </si>
  <si>
    <t xml:space="preserve"> frederikjulian</t>
  </si>
  <si>
    <t xml:space="preserve"> Sat Feb 03 2018 12:21:12</t>
  </si>
  <si>
    <t xml:space="preserve"> feel bad for the all people that bought a bunch of bitcoin after hearing about it on talk radio for the first time like 2 months ago</t>
  </si>
  <si>
    <t xml:space="preserve"> jasonjarmoosh</t>
  </si>
  <si>
    <t xml:space="preserve"> Sat Feb 03 2018 12:21:13</t>
  </si>
  <si>
    <t xml:space="preserve"> Lost password of your valuable Bitcoin password, Get help from #WalletHelpdesk</t>
  </si>
  <si>
    <t xml:space="preserve"> WalletHelpdesk</t>
  </si>
  <si>
    <t xml:space="preserve"> World</t>
  </si>
  <si>
    <t xml:space="preserve"> Sat Feb 03 2018 12:21:22</t>
  </si>
  <si>
    <t xml:space="preserve"> @MichaelFulcher4 Bitcoin/Crypto decline started after listing of bitcoin futures. There you'll find a key...</t>
  </si>
  <si>
    <t xml:space="preserve"> Vandamme_Jeroen</t>
  </si>
  <si>
    <t xml:space="preserve"> Belgium</t>
  </si>
  <si>
    <t xml:space="preserve"> Sat Feb 03 2018 12:21:27</t>
  </si>
  <si>
    <t xml:space="preserve"> @Mr_Ted_Nuisance @billmaher Shouldn't you be busy mining bitcoin?</t>
  </si>
  <si>
    <t xml:space="preserve"> peterisfunny</t>
  </si>
  <si>
    <t xml:space="preserve"> Toronto</t>
  </si>
  <si>
    <t xml:space="preserve"> Sat Feb 03 2018 12:22:06</t>
  </si>
  <si>
    <t xml:space="preserve"> Looks like the whole market is bouncing back fron a major correction.  Green days ahead. #HODL #Ripple #XRP #Bitcoin</t>
  </si>
  <si>
    <t xml:space="preserve"> ErikAunapuu</t>
  </si>
  <si>
    <t xml:space="preserve"> Tallinn, Estonia</t>
  </si>
  <si>
    <t xml:space="preserve"> Sat Feb 03 2018 12:22:37</t>
  </si>
  <si>
    <t xml:space="preserve"> @CryptoGodFatha @CryptoGodFatha Thank you for recommending it. :)  Also, how long do you think Bitcoin is going to hangout at 9000 range?</t>
  </si>
  <si>
    <t xml:space="preserve"> AltCBuy</t>
  </si>
  <si>
    <t xml:space="preserve"> Sat Feb 03 2018 12:22:44</t>
  </si>
  <si>
    <t xml:space="preserve"> @transwitchlexi Take two bitcoin with water</t>
  </si>
  <si>
    <t xml:space="preserve"> xandra_W</t>
  </si>
  <si>
    <t xml:space="preserve"> Bournemouth, England</t>
  </si>
  <si>
    <t xml:space="preserve"> Sat Feb 03 2018 12:23:11</t>
  </si>
  <si>
    <t xml:space="preserve"> @RichardKlein75 @MarkYusko Seems to me you dont what #bitcoin is..but please, continue to demonstrate that.</t>
  </si>
  <si>
    <t xml:space="preserve"> genell</t>
  </si>
  <si>
    <t xml:space="preserve"> Chiang Mai, Thailand</t>
  </si>
  <si>
    <t xml:space="preserve"> Sat Feb 03 2018 12:24:04</t>
  </si>
  <si>
    <t xml:space="preserve"> @philosobrrr Did you buy bitcoin? :)</t>
  </si>
  <si>
    <t xml:space="preserve"> ZiaKhatri</t>
  </si>
  <si>
    <t xml:space="preserve"> Karachi, Pakistan</t>
  </si>
  <si>
    <t xml:space="preserve"> #Bitcoin $1 USD is currently worth 0.00011173 BTC! #GoldCoinJar</t>
  </si>
  <si>
    <t xml:space="preserve"> Sat Feb 03 2018 12:24:38</t>
  </si>
  <si>
    <t xml:space="preserve"> I swear its like every person involved in Wall Street throws away all common sense when it comes to Bitcoin. They're either afraid, or dumb.</t>
  </si>
  <si>
    <t xml:space="preserve"> GGFrosteV9</t>
  </si>
  <si>
    <t xml:space="preserve"> Sat Feb 03 2018 12:24:42</t>
  </si>
  <si>
    <t xml:space="preserve"> @username_Dizzy @theantnest @CeunenBjorn @PWasensteiner Whats's is this all about? Bitcoin Cash is definitely undervalued.</t>
  </si>
  <si>
    <t xml:space="preserve"> Simonbruzzi</t>
  </si>
  <si>
    <t xml:space="preserve"> Sat Feb 03 2018 12:24:54</t>
  </si>
  <si>
    <t xml:space="preserve"> why is there a unicode bitcoin symbol</t>
  </si>
  <si>
    <t xml:space="preserve"> abyssarium666</t>
  </si>
  <si>
    <t xml:space="preserve"> Sat Feb 03 2018 12:25:07</t>
  </si>
  <si>
    <t xml:space="preserve"> Current price of Bitcoin is $8745.02 #Bitcoin #Bithound</t>
  </si>
  <si>
    <t xml:space="preserve"> Sat Feb 03 2018 12:25:45</t>
  </si>
  <si>
    <t xml:space="preserve"> Do not miss the bonus Token sale. #Tokensale #Denaro #bitcoin #altcoin #ethereum</t>
  </si>
  <si>
    <t xml:space="preserve"> kolyagolovko191</t>
  </si>
  <si>
    <t xml:space="preserve"> uk</t>
  </si>
  <si>
    <t xml:space="preserve"> Sat Feb 03 2018 12:25:57</t>
  </si>
  <si>
    <t xml:space="preserve"> Big boost for #bitcoin. Just read that #Lamborghini has started accepting Bitcoin as payment.</t>
  </si>
  <si>
    <t xml:space="preserve"> Jasmeet_SB</t>
  </si>
  <si>
    <t xml:space="preserve"> Sat Feb 03 2018 12:26:22</t>
  </si>
  <si>
    <t xml:space="preserve"> #Ilovebitcoin because the government and bitcoin are best friends</t>
  </si>
  <si>
    <t xml:space="preserve"> Sat Feb 03 2018 12:27:30</t>
  </si>
  <si>
    <t xml:space="preserve"> @pradeepASSRR Bitcoin</t>
  </si>
  <si>
    <t xml:space="preserve"> jonnabhaskar</t>
  </si>
  <si>
    <t xml:space="preserve"> Anantapur, India</t>
  </si>
  <si>
    <t xml:space="preserve"> Sat Feb 03 2018 12:27:40</t>
  </si>
  <si>
    <t xml:space="preserve"> I joked about Bitcoin in my Tinder bio and it has ruined my targeted ads</t>
  </si>
  <si>
    <t xml:space="preserve"> cha_bo72</t>
  </si>
  <si>
    <t xml:space="preserve"> Sat Feb 03 2018 12:27:42</t>
  </si>
  <si>
    <t xml:space="preserve"> Bitcoin is crashing rapidly. Cryptocurrency sell-off intensifies...</t>
  </si>
  <si>
    <t xml:space="preserve"> waringrupert</t>
  </si>
  <si>
    <t xml:space="preserve"> Sat Feb 03 2018 12:27:46</t>
  </si>
  <si>
    <t xml:space="preserve"> In 2009, Satoshi Nakamoto released the first Bitcoin client and issued the first Bitcoins.</t>
  </si>
  <si>
    <t xml:space="preserve"> DailyTechFacts</t>
  </si>
  <si>
    <t xml:space="preserve"> Sat Feb 03 2018 12:28:59</t>
  </si>
  <si>
    <t xml:space="preserve"> @RichardHeartWin Was your twitter account hacked? Even #Bitcoin crypto?? LOL </t>
  </si>
  <si>
    <t xml:space="preserve"> BlockchainBlvrs</t>
  </si>
  <si>
    <t xml:space="preserve"> Sat Feb 03 2018 12:29:26</t>
  </si>
  <si>
    <t xml:space="preserve"> @Andy_Hoffman_CG @ToneVays What about a bear market in Bitcoin dominance? How long will it last???</t>
  </si>
  <si>
    <t xml:space="preserve"> AYogensha</t>
  </si>
  <si>
    <t xml:space="preserve"> Sat Feb 03 2018 12:30:02</t>
  </si>
  <si>
    <t xml:space="preserve"> Bitcoin:$8980.5 Ethereum:$948.876 Bitcoin Cash:$1216.6 Litecoin:$135.342 Ripple:$0.892628 IOTA:$1.88966</t>
  </si>
  <si>
    <t xml:space="preserve"> Sat Feb 03 2018 12:30:04</t>
  </si>
  <si>
    <t xml:space="preserve"> I dont trade, when I cannot make the market clear. This is seriously important. #cryptocurrency #Bitcoin</t>
  </si>
  <si>
    <t xml:space="preserve"> 8th_mark</t>
  </si>
  <si>
    <t xml:space="preserve"> Sat Feb 03 2018 12:30:19</t>
  </si>
  <si>
    <t xml:space="preserve"> Shorting Bitcoin is probably the worst financial move that I can think of, since it can jump 1,000% in a year.</t>
  </si>
  <si>
    <t xml:space="preserve"> BeachLife987</t>
  </si>
  <si>
    <t xml:space="preserve"> Sat Feb 03 2018 12:30:27</t>
  </si>
  <si>
    <t xml:space="preserve"> Bitcoin boom is a 'gold rush' for cybercriminals @Thirty_Banal</t>
  </si>
  <si>
    <t xml:space="preserve"> Andreea_Banal</t>
  </si>
  <si>
    <t xml:space="preserve"> Bucharest, Bucureti</t>
  </si>
  <si>
    <t xml:space="preserve"> Sat Feb 03 2018 12:30:31</t>
  </si>
  <si>
    <t xml:space="preserve"> @DougPolkPoker thoughts on Bitcoin Private? Thanks</t>
  </si>
  <si>
    <t xml:space="preserve"> Cheesesteaked</t>
  </si>
  <si>
    <t xml:space="preserve"> Sat Feb 03 2018 12:30:52</t>
  </si>
  <si>
    <t xml:space="preserve"> @Bitcoin Nope</t>
  </si>
  <si>
    <t xml:space="preserve"> Cacahuetus</t>
  </si>
  <si>
    <t xml:space="preserve"> Sat Feb 03 2018 12:31:10</t>
  </si>
  <si>
    <t xml:space="preserve"> @Egon_01 Are you really trying to undermine the lightning sign use regarding bitcoin related user namers? Damn dude you are pathetic </t>
  </si>
  <si>
    <t xml:space="preserve"> _hightek</t>
  </si>
  <si>
    <t xml:space="preserve"> Sat Feb 03 2018 12:31:13</t>
  </si>
  <si>
    <t xml:space="preserve"> Hello humans, #Bitcoin is currently around $8966.6 as of Sat Feb  3 06:31:09 CST 2018</t>
  </si>
  <si>
    <t xml:space="preserve"> Sat Feb 03 2018 12:31:19</t>
  </si>
  <si>
    <t xml:space="preserve"> Bitcoin Atom [BCA] balances (1:1 btc) will be added on 505,888 block</t>
  </si>
  <si>
    <t xml:space="preserve"> AlfonsoBalingit</t>
  </si>
  <si>
    <t xml:space="preserve"> Sat Feb 03 2018 12:31:28</t>
  </si>
  <si>
    <t xml:space="preserve"> Apple co-founder Steve Wozniak bought bitcoin at $700</t>
  </si>
  <si>
    <t xml:space="preserve"> yashthakrar1996</t>
  </si>
  <si>
    <t xml:space="preserve"> Sat Feb 03 2018 12:31:38</t>
  </si>
  <si>
    <t xml:space="preserve"> Did you saw my tweet yesterday to Buy Bitcoin ????  price went 20% up,  next time LISTEN !!!!!!</t>
  </si>
  <si>
    <t xml:space="preserve"> CryptoTweezts</t>
  </si>
  <si>
    <t xml:space="preserve"> crypto paradise</t>
  </si>
  <si>
    <t xml:space="preserve"> Sat Feb 03 2018 12:31:43</t>
  </si>
  <si>
    <t xml:space="preserve"> @box_on_head @GamingAndPandas @NowakVulpix BitCoin miners are buying out cards for mining.</t>
  </si>
  <si>
    <t xml:space="preserve"> Lucamas221</t>
  </si>
  <si>
    <t xml:space="preserve"> Sat Feb 03 2018 12:32:07</t>
  </si>
  <si>
    <t xml:space="preserve"> @LuvathugginD @BO201030 @pcgamer Look up bitcoin news on google the price is falling</t>
  </si>
  <si>
    <t xml:space="preserve"> ayylmaotv</t>
  </si>
  <si>
    <t xml:space="preserve"> the ghetto</t>
  </si>
  <si>
    <t xml:space="preserve"> Sat Feb 03 2018 12:32:16</t>
  </si>
  <si>
    <t xml:space="preserve"> @cyptowannabe Haha. This thing is going way faster than Bitcoins price haha</t>
  </si>
  <si>
    <t xml:space="preserve"> CryptoTrendy</t>
  </si>
  <si>
    <t xml:space="preserve"> Paris, France</t>
  </si>
  <si>
    <t xml:space="preserve"> Sat Feb 03 2018 12:32:19</t>
  </si>
  <si>
    <t xml:space="preserve"> @execappts Only if they pay me in Bitcoin</t>
  </si>
  <si>
    <t xml:space="preserve"> ianwhite85</t>
  </si>
  <si>
    <t xml:space="preserve"> London</t>
  </si>
  <si>
    <t xml:space="preserve"> Sat Feb 03 2018 12:32:20</t>
  </si>
  <si>
    <t xml:space="preserve"> Brokerage firms excited about 24/5 trading. LOL.   Bitcoin trades 24/7. 365. Even Christmas.  Bitcoin never sleeps.</t>
  </si>
  <si>
    <t xml:space="preserve"> Sat Feb 03 2018 12:32:26</t>
  </si>
  <si>
    <t xml:space="preserve"> @BBC_TopGear Bitcoin!</t>
  </si>
  <si>
    <t xml:space="preserve"> lqaddict</t>
  </si>
  <si>
    <t xml:space="preserve"> Sat Feb 03 2018 12:33:06</t>
  </si>
  <si>
    <t xml:space="preserve"> Ohhh Bitcoin</t>
  </si>
  <si>
    <t xml:space="preserve"> moyinotub</t>
  </si>
  <si>
    <t xml:space="preserve"> Sat Feb 03 2018 12:33:23</t>
  </si>
  <si>
    <t xml:space="preserve"> @davidgokhshtein What do you think about bitcoin dip ? It will dip more or  its rising time</t>
  </si>
  <si>
    <t xml:space="preserve"> PrashantGandhi5</t>
  </si>
  <si>
    <t xml:space="preserve"> Sat Feb 03 2018 12:33:32</t>
  </si>
  <si>
    <t xml:space="preserve"> you don't have to buy a stock in bitcoin when you make cootie catchers</t>
  </si>
  <si>
    <t xml:space="preserve"> wowsoproductive</t>
  </si>
  <si>
    <t xml:space="preserve"> Sat Feb 03 2018 12:33:41</t>
  </si>
  <si>
    <t xml:space="preserve"> @BigRedMurphy @whatcanudoman @georgepf84 @lopp Following your logic, you'd also say unconfirmed transactions are IOUs and not Bitcoin?</t>
  </si>
  <si>
    <t xml:space="preserve"> dexx7y</t>
  </si>
  <si>
    <t xml:space="preserve"> Sat Feb 03 2018 12:34:11</t>
  </si>
  <si>
    <t xml:space="preserve"> unintended effect of bitcoin driving up graphics cards prices is that at least now the games industry will finally die.</t>
  </si>
  <si>
    <t xml:space="preserve"> Sat Feb 03 2018 12:34:35</t>
  </si>
  <si>
    <t xml:space="preserve"> Cryptocurrency: #Bitcoin Price USD: 8966.6 Price BTC: 1.0 24h Volume USD: 9904820000.0 Percent change 24h: 9.59</t>
  </si>
  <si>
    <t xml:space="preserve"> Sat Feb 03 2018 12:34:53</t>
  </si>
  <si>
    <t xml:space="preserve"> Bitcoin slowly working up through overhead resistance. Expect a quick move up to $10,100.</t>
  </si>
  <si>
    <t xml:space="preserve"> LucidInvestment</t>
  </si>
  <si>
    <t xml:space="preserve"> Baiting Hollow, New York</t>
  </si>
  <si>
    <t xml:space="preserve"> Sat Feb 03 2018 12:35:27</t>
  </si>
  <si>
    <t xml:space="preserve"> @SwenLink Seems like bitcoin at 19.000....:)</t>
  </si>
  <si>
    <t xml:space="preserve"> CiprianStefan13</t>
  </si>
  <si>
    <t xml:space="preserve"> Sat Feb 03 2018 12:35:53</t>
  </si>
  <si>
    <t xml:space="preserve"> Guy says Bitcoin is the biggest bubble in human history (Lie) and fortune magazine writes and publishes an article about him..WOW</t>
  </si>
  <si>
    <t xml:space="preserve"> bitcoin_hooper</t>
  </si>
  <si>
    <t xml:space="preserve"> Sat Feb 03 2018 12:36:00</t>
  </si>
  <si>
    <t xml:space="preserve"> Just checked #bitcoin slightly up and the other crypto currencies are up hope this is recovery</t>
  </si>
  <si>
    <t xml:space="preserve"> ianaustin1</t>
  </si>
  <si>
    <t xml:space="preserve"> derby</t>
  </si>
  <si>
    <t xml:space="preserve"> Sat Feb 03 2018 12:36:30</t>
  </si>
  <si>
    <t xml:space="preserve"> #Bitcoin could entirely change the way our means of exchange works #bitcoins #bitcoin #btc #bitcoinsfuture</t>
  </si>
  <si>
    <t xml:space="preserve"> Sat Feb 03 2018 12:37:05</t>
  </si>
  <si>
    <t xml:space="preserve"> @Bitcoin @BitcoinBram This Twitter account purchase has clearly been an outstanding success. Bravo Roger, Bravo.</t>
  </si>
  <si>
    <t xml:space="preserve"> BitsRage</t>
  </si>
  <si>
    <t xml:space="preserve"> Sat Feb 03 2018 12:38:10</t>
  </si>
  <si>
    <t xml:space="preserve"> @Bitcoin I suggest everyone UNFOLLOW this fraud account.</t>
  </si>
  <si>
    <t xml:space="preserve"> Sat Feb 03 2018 12:38:54</t>
  </si>
  <si>
    <t xml:space="preserve"> what's my bitcoin acct password?  #notagain</t>
  </si>
  <si>
    <t xml:space="preserve"> IystilahStorm</t>
  </si>
  <si>
    <t xml:space="preserve"> Germany</t>
  </si>
  <si>
    <t xml:space="preserve"> Sat Feb 03 2018 12:39:20</t>
  </si>
  <si>
    <t xml:space="preserve"> Time to clean this acc up. No more Facebook posts. Scan the code and have a coffee on me. #Bitcoin</t>
  </si>
  <si>
    <t xml:space="preserve"> Lookn_4_More</t>
  </si>
  <si>
    <t xml:space="preserve"> Sat Feb 03 2018 12:39:25</t>
  </si>
  <si>
    <t xml:space="preserve"> More bad #news pushes bitcoin's value could get bitcoin rich off of the $NFL playoffs this weekend #news #bitcoin</t>
  </si>
  <si>
    <t xml:space="preserve"> Sat Feb 03 2018 12:39:52</t>
  </si>
  <si>
    <t xml:space="preserve"> Dont buy or invest other than Bitcoin, the rest is copy ans scam. Would you buy fake or copied usd, euro, jpy???</t>
  </si>
  <si>
    <t xml:space="preserve"> adminSilenT</t>
  </si>
  <si>
    <t xml:space="preserve"> The Netherlands</t>
  </si>
  <si>
    <t xml:space="preserve"> Sat Feb 03 2018 12:40:16</t>
  </si>
  <si>
    <t xml:space="preserve"> @naturelovings (63228 follows) RT @CryptoXanax: Crypto and bitcoin has changed my life for the better so heres a random .1 btc giveaway...</t>
  </si>
  <si>
    <t xml:space="preserve"> Sat Feb 03 2018 12:40:36</t>
  </si>
  <si>
    <t xml:space="preserve"> 1 BITCOIN = $8,953</t>
  </si>
  <si>
    <t xml:space="preserve"> elAsunceno</t>
  </si>
  <si>
    <t xml:space="preserve"> Asuncin, Paraguay</t>
  </si>
  <si>
    <t xml:space="preserve"> Sat Feb 03 2018 12:41:53</t>
  </si>
  <si>
    <t xml:space="preserve"> Better than trading Bitcoin? Shorting the stockmarket at the top!</t>
  </si>
  <si>
    <t xml:space="preserve"> guswg</t>
  </si>
  <si>
    <t xml:space="preserve"> Sat Feb 03 2018 12:42:05</t>
  </si>
  <si>
    <t xml:space="preserve"> Bitcoin down to 8k!</t>
  </si>
  <si>
    <t xml:space="preserve"> StickJookVibe</t>
  </si>
  <si>
    <t xml:space="preserve"> Sat Feb 03 2018 12:42:27</t>
  </si>
  <si>
    <t xml:space="preserve"> @JayBWood Dude, in my part of the country, party talk was (this is real) about taking out HELOCs to buy Bitcoin.</t>
  </si>
  <si>
    <t xml:space="preserve"> BrandonWatson</t>
  </si>
  <si>
    <t xml:space="preserve"> Boulder, CO</t>
  </si>
  <si>
    <t xml:space="preserve"> Sat Feb 03 2018 12:42:32</t>
  </si>
  <si>
    <t xml:space="preserve"> Ah nigha need ta get some bitcoin. Frfr</t>
  </si>
  <si>
    <t xml:space="preserve"> Jiggi_James</t>
  </si>
  <si>
    <t xml:space="preserve"> Jackson, MS</t>
  </si>
  <si>
    <t xml:space="preserve"> Sat Feb 03 2018 12:43:12</t>
  </si>
  <si>
    <t xml:space="preserve"> New post: Crypto Rich and Paranoid: Threats Prompt Radical Security in Bitcoin Land</t>
  </si>
  <si>
    <t xml:space="preserve"> bitcoin_beast</t>
  </si>
  <si>
    <t xml:space="preserve"> Palo Alto, CA</t>
  </si>
  <si>
    <t xml:space="preserve"> Sat Feb 03 2018 12:43:24</t>
  </si>
  <si>
    <t xml:space="preserve"> The most unstable relationship I have ever had, has been with #crypto   #Bitcoin $BTC $BCH</t>
  </si>
  <si>
    <t xml:space="preserve"> paidthruxchange</t>
  </si>
  <si>
    <t xml:space="preserve"> Sat Feb 03 2018 12:43:34</t>
  </si>
  <si>
    <t xml:space="preserve"> I'll keep trying to post the most relevant tech new :) The price is what is, the tech revolutionary! #Bitcoin #btc</t>
  </si>
  <si>
    <t xml:space="preserve"> crypto_revolver</t>
  </si>
  <si>
    <t xml:space="preserve"> Asia</t>
  </si>
  <si>
    <t xml:space="preserve"> Sat Feb 03 2018 12:44:27</t>
  </si>
  <si>
    <t xml:space="preserve"> How much of your income tax check u getting flipped and how much going to bitcoin</t>
  </si>
  <si>
    <t xml:space="preserve"> Rude_Fawker</t>
  </si>
  <si>
    <t xml:space="preserve"> Sat Feb 03 2018 12:44:37</t>
  </si>
  <si>
    <t xml:space="preserve"> @PALE_Primate bitcoin?</t>
  </si>
  <si>
    <t xml:space="preserve"> nastyoldmrpike</t>
  </si>
  <si>
    <t xml:space="preserve"> Sat Feb 03 2018 12:44:42</t>
  </si>
  <si>
    <t xml:space="preserve"> @TheJulianBlack bitcoin founder</t>
  </si>
  <si>
    <t xml:space="preserve"> StevenCapatosto</t>
  </si>
  <si>
    <t xml:space="preserve"> Sat Feb 03 2018 12:45:02</t>
  </si>
  <si>
    <t xml:space="preserve"> There are currently 12,313 unconfirmed Bitcoin transactions. #bitcoin #btc $BTC</t>
  </si>
  <si>
    <t xml:space="preserve"> Sat Feb 03 2018 12:45:17</t>
  </si>
  <si>
    <t xml:space="preserve"> Sign up to @RevolutApp in 60 seconds, buy some cryptocurrency 30 seconds later - wow  #Bitcoin #Litecoin #cryptocurrency #blockchain</t>
  </si>
  <si>
    <t xml:space="preserve"> Me92962756</t>
  </si>
  <si>
    <t xml:space="preserve"> Pennsylvania, USA</t>
  </si>
  <si>
    <t xml:space="preserve"> Sat Feb 03 2018 12:45:55</t>
  </si>
  <si>
    <t xml:space="preserve"> @Timolol2012 The issue is that 99% of commits are simply copied from the Bitcoin repository. So the video would be identical to Bitcoin.</t>
  </si>
  <si>
    <t xml:space="preserve"> xelionio</t>
  </si>
  <si>
    <t xml:space="preserve"> Sat Feb 03 2018 12:46:01</t>
  </si>
  <si>
    <t xml:space="preserve"> @addersgfx A bitcoin</t>
  </si>
  <si>
    <t xml:space="preserve"> joejoethefoxYT</t>
  </si>
  <si>
    <t xml:space="preserve"> Liquidity Purchase Trend Myrend #BTC #Bitcoin #Ripple</t>
  </si>
  <si>
    <t xml:space="preserve"> Bo_MohameD5</t>
  </si>
  <si>
    <t xml:space="preserve"> Sat Feb 03 2018 12:46:13</t>
  </si>
  <si>
    <t xml:space="preserve"> Bitcoin is due for a correction! The bulls will be taken over and don't say I didn't tell you.</t>
  </si>
  <si>
    <t xml:space="preserve"> StevenEspo313</t>
  </si>
  <si>
    <t xml:space="preserve"> Sat Feb 03 2018 12:46:38</t>
  </si>
  <si>
    <t xml:space="preserve"> @ToneVays 1. Make fiat, 2. Buy Bitcoin, 3. Repeat!  HODL past 2020, Buy the Dip, 1,2,3!  Thanks Tone, enjoy your weekend!</t>
  </si>
  <si>
    <t xml:space="preserve"> KenCornell18</t>
  </si>
  <si>
    <t xml:space="preserve"> Gainesville, FL</t>
  </si>
  <si>
    <t xml:space="preserve"> Sat Feb 03 2018 12:47:00</t>
  </si>
  <si>
    <t xml:space="preserve"> Okay, so Bitcoin.</t>
  </si>
  <si>
    <t xml:space="preserve"> BryceElder</t>
  </si>
  <si>
    <t xml:space="preserve"> Harlesden</t>
  </si>
  <si>
    <t xml:space="preserve"> Sat Feb 03 2018 12:47:25</t>
  </si>
  <si>
    <t xml:space="preserve"> Please stop reaching my comment for that volatile Bitcoin. Stay away from it.</t>
  </si>
  <si>
    <t xml:space="preserve"> raph_iger</t>
  </si>
  <si>
    <t xml:space="preserve"> Sen Gil Puyat Avenue, Makati City</t>
  </si>
  <si>
    <t xml:space="preserve"> Sat Feb 03 2018 12:47:32</t>
  </si>
  <si>
    <t xml:space="preserve"> @Bitcoin As I said its going up</t>
  </si>
  <si>
    <t xml:space="preserve"> Md_AFwaz</t>
  </si>
  <si>
    <t xml:space="preserve"> Sat Feb 03 2018 12:47:40</t>
  </si>
  <si>
    <t xml:space="preserve"> Bitcoin is a decentralised currency that is backed by energy that is harvested from traffic on the world wide web, or internet.</t>
  </si>
  <si>
    <t xml:space="preserve"> Sat Feb 03 2018 12:47:41</t>
  </si>
  <si>
    <t xml:space="preserve"> Agetron, biggest digital currency, electronic money, bitcoin, cryptocurrency, blockchain via @coins_agetron</t>
  </si>
  <si>
    <t xml:space="preserve"> HungAnhDao1</t>
  </si>
  <si>
    <t xml:space="preserve"> Sat Feb 03 2018 12:47:48</t>
  </si>
  <si>
    <t xml:space="preserve"> CLOUT Is Set To Attract Attention As A #Sponsor Of The North American Bitcoin #Conference</t>
  </si>
  <si>
    <t xml:space="preserve"> RanaChaklader5</t>
  </si>
  <si>
    <t xml:space="preserve"> Sat Feb 03 2018 12:47:57</t>
  </si>
  <si>
    <t xml:space="preserve"> What is bitcoin?</t>
  </si>
  <si>
    <t xml:space="preserve"> NMnmaxime</t>
  </si>
  <si>
    <t xml:space="preserve"> kigali</t>
  </si>
  <si>
    <t xml:space="preserve"> Sat Feb 03 2018 12:48:14</t>
  </si>
  <si>
    <t xml:space="preserve"> #bitcoin hardfork portfolio held in proxy by the house speaker.</t>
  </si>
  <si>
    <t xml:space="preserve"> maximillion50</t>
  </si>
  <si>
    <t xml:space="preserve"> london</t>
  </si>
  <si>
    <t xml:space="preserve"> Sat Feb 03 2018 12:48:16</t>
  </si>
  <si>
    <t xml:space="preserve"> @CarpeNoctom favoured by charlatans and swindlers  - seems his knowledge of Bitcoin comes from his Sunday paper.</t>
  </si>
  <si>
    <t xml:space="preserve"> ArchieBrave</t>
  </si>
  <si>
    <t xml:space="preserve"> Sat Feb 03 2018 12:48:43</t>
  </si>
  <si>
    <t xml:space="preserve"> @chigrl @IrkHudson So take a cash advance and buy Bitcoin</t>
  </si>
  <si>
    <t xml:space="preserve"> amdshorn</t>
  </si>
  <si>
    <t xml:space="preserve"> Ontario, Canada</t>
  </si>
  <si>
    <t xml:space="preserve"> Sat Feb 03 2018 12:48:55</t>
  </si>
  <si>
    <t xml:space="preserve"> Optimal tx fee: 85 satoshi per byte.  BTC : $8944 / 7176 / 6333 @ Block 507429.  Market Cap: 148.11B USD. #Bitcoin #Finance</t>
  </si>
  <si>
    <t xml:space="preserve"> Sat Feb 03 2018 12:49:30</t>
  </si>
  <si>
    <t xml:space="preserve"> Crypto space is under new management, we will go to ATH soon! $btc $eth $icx $etc #btc #bitcoin #cryptocurrency</t>
  </si>
  <si>
    <t xml:space="preserve"> thomascryptos</t>
  </si>
  <si>
    <t xml:space="preserve"> Birmingham, England</t>
  </si>
  <si>
    <t xml:space="preserve"> Sat Feb 03 2018 12:49:51</t>
  </si>
  <si>
    <t xml:space="preserve"> Why Wall Street's Angry About the Bitcoin Gold Rush -- The Motley Fool #Bitcoin #BTC #ETH #LTC #BCH</t>
  </si>
  <si>
    <t xml:space="preserve"> Cryptocredit</t>
  </si>
  <si>
    <t xml:space="preserve"> Sat Feb 03 2018 12:50:27</t>
  </si>
  <si>
    <t xml:space="preserve"> So in o. What, exactly, is Bitcoin?</t>
  </si>
  <si>
    <t xml:space="preserve"> lolanismen</t>
  </si>
  <si>
    <t xml:space="preserve"> Nairobi, Kenya</t>
  </si>
  <si>
    <t xml:space="preserve"> Sat Feb 03 2018 12:50:51</t>
  </si>
  <si>
    <t xml:space="preserve"> @markbspiegel 90% of his retirement investments are in Tesla stock? What is he doing with the other 10%? bitcoin?</t>
  </si>
  <si>
    <t xml:space="preserve"> hilinetrail</t>
  </si>
  <si>
    <t xml:space="preserve"> Connecticut, USA</t>
  </si>
  <si>
    <t xml:space="preserve"> Sat Feb 03 2018 12:51:54</t>
  </si>
  <si>
    <t xml:space="preserve"> I hate how everything is green and Im still -50%. I bought the wrong dip.  #Bitcoin #Reddcoin #Digibyte #Cardano #Crypto #altcoins</t>
  </si>
  <si>
    <t xml:space="preserve"> LucyGoesCrypto</t>
  </si>
  <si>
    <t xml:space="preserve"> Slovaki</t>
  </si>
  <si>
    <t xml:space="preserve"> cs</t>
  </si>
  <si>
    <t xml:space="preserve"> Sat Feb 03 2018 12:52:49</t>
  </si>
  <si>
    <t xml:space="preserve"> OTradingS99</t>
  </si>
  <si>
    <t xml:space="preserve"> Sat Feb 03 2018 12:52:58</t>
  </si>
  <si>
    <t xml:space="preserve"> Most #markets are green...I wait! #bitcoin #crypto</t>
  </si>
  <si>
    <t xml:space="preserve"> CryptoPinbar</t>
  </si>
  <si>
    <t xml:space="preserve"> Cryptonomad</t>
  </si>
  <si>
    <t xml:space="preserve"> Sat Feb 03 2018 12:53:17</t>
  </si>
  <si>
    <t xml:space="preserve"> @urbantravelsLA I hope they can convert it to cash before bitcoin crashes.</t>
  </si>
  <si>
    <t xml:space="preserve"> knittahknits</t>
  </si>
  <si>
    <t xml:space="preserve"> near Philly</t>
  </si>
  <si>
    <t xml:space="preserve"> Sat Feb 03 2018 12:53:50</t>
  </si>
  <si>
    <t xml:space="preserve"> @CalvinAyre Just because Bitcoin BCH bled out of the one Bitcoin, doesn't mean that you should publicly refer to it as a period...</t>
  </si>
  <si>
    <t xml:space="preserve"> BobRoots1</t>
  </si>
  <si>
    <t xml:space="preserve"> Sat Feb 03 2018 12:53:53</t>
  </si>
  <si>
    <t xml:space="preserve"> @aashishshah Its just bitcoin so it doesnt count</t>
  </si>
  <si>
    <t xml:space="preserve"> whatsdamatowitu</t>
  </si>
  <si>
    <t xml:space="preserve"> Sat Feb 03 2018 12:54:06</t>
  </si>
  <si>
    <t xml:space="preserve"> Regardless of the FUD: Bitcoin is the Future.</t>
  </si>
  <si>
    <t xml:space="preserve"> DrNtsele</t>
  </si>
  <si>
    <t xml:space="preserve"> Pretoria</t>
  </si>
  <si>
    <t xml:space="preserve"> Sat Feb 03 2018 12:54:24</t>
  </si>
  <si>
    <t xml:space="preserve"> Yo memo is so stupid it thinks Trump is on the face of Bitcoin #YoMemoJokes  #Resist</t>
  </si>
  <si>
    <t xml:space="preserve"> JerryBrownRocks</t>
  </si>
  <si>
    <t xml:space="preserve"> Sat Feb 03 2018 12:54:52</t>
  </si>
  <si>
    <t xml:space="preserve"> Do you remember centralized exchange ? Yes and pogs too  #BTC #ETH #NEO #cryptocurrency #Bitcoin #LSK</t>
  </si>
  <si>
    <t xml:space="preserve"> crypto_walter</t>
  </si>
  <si>
    <t xml:space="preserve"> Sat Feb 03 2018 12:55:15</t>
  </si>
  <si>
    <t xml:space="preserve"> If u sold #bitcoin this week.   Thank you.</t>
  </si>
  <si>
    <t xml:space="preserve"> ZarkMuckerbarn</t>
  </si>
  <si>
    <t xml:space="preserve"> Planet Earth is 127.0.0.1</t>
  </si>
  <si>
    <t xml:space="preserve"> Sat Feb 03 2018 12:55:19</t>
  </si>
  <si>
    <t xml:space="preserve"> @coindesk @johndetrixhe Inadvertently my a$$, they need a way to accumulate #bitcoin, while denying it at every turn.</t>
  </si>
  <si>
    <t xml:space="preserve"> CryptoPrecision</t>
  </si>
  <si>
    <t xml:space="preserve"> Sat Feb 03 2018 12:55:53</t>
  </si>
  <si>
    <t xml:space="preserve"> 1 BITCOIN = $9,031</t>
  </si>
  <si>
    <t xml:space="preserve"> Sat Feb 03 2018 12:56:10</t>
  </si>
  <si>
    <t xml:space="preserve"> @BrandonDLee Im just waiting for the tech to improve so we get counterfeit Bitcoin.</t>
  </si>
  <si>
    <t xml:space="preserve"> Wasgo</t>
  </si>
  <si>
    <t xml:space="preserve"> Vancouver, Canada</t>
  </si>
  <si>
    <t xml:space="preserve"> Sat Feb 03 2018 12:56:24</t>
  </si>
  <si>
    <t xml:space="preserve"> #Ilovebitcoin because people do many more illegal things with #bitcoin than the US dollar</t>
  </si>
  <si>
    <t xml:space="preserve"> Sat Feb 03 2018 12:56:36</t>
  </si>
  <si>
    <t xml:space="preserve"> @federalreserve Buy #Bitcoin preserve your wealth from bankster crooks.</t>
  </si>
  <si>
    <t xml:space="preserve"> Pravi_ToJeIvan</t>
  </si>
  <si>
    <t xml:space="preserve"> Republic of Croatia</t>
  </si>
  <si>
    <t xml:space="preserve"> Sat Feb 03 2018 12:56:41</t>
  </si>
  <si>
    <t xml:space="preserve"> When #bitcoin &amp; #altcoins go to the moon together it will be a beautiful sight   #HODL</t>
  </si>
  <si>
    <t xml:space="preserve"> CryptoCarrots</t>
  </si>
  <si>
    <t xml:space="preserve"> Sat Feb 03 2018 12:57:07</t>
  </si>
  <si>
    <t xml:space="preserve"> #Bitcoin The Current Bitcoin Price is 0.00011093 BTC for $1 USD #GoldCoinJar</t>
  </si>
  <si>
    <t xml:space="preserve"> Sat Feb 03 2018 12:57:09</t>
  </si>
  <si>
    <t xml:space="preserve"> Eat, sleep, bitcoin, repeat  #Traders #bitcoin #cryptocurrency</t>
  </si>
  <si>
    <t xml:space="preserve"> bang_didik</t>
  </si>
  <si>
    <t xml:space="preserve"> Yogyakarta</t>
  </si>
  <si>
    <t xml:space="preserve"> Sat Feb 03 2018 12:57:34</t>
  </si>
  <si>
    <t xml:space="preserve"> @WeareThrivelabs wow  great  video  thanks  for the  information using the following hashtags: #thrive #ico #ethereum #bitcoin</t>
  </si>
  <si>
    <t xml:space="preserve"> rizny3886</t>
  </si>
  <si>
    <t xml:space="preserve"> 0x0758f2fe84668625aa6F585acE8910cdC2ea28e3</t>
  </si>
  <si>
    <t xml:space="preserve"> Sat Feb 03 2018 12:57:56</t>
  </si>
  <si>
    <t xml:space="preserve"> @WeareThrivelabs happy  to  join  with  ths  project using the following hashtags: #thrive #ico #ethereum #bitcoin</t>
  </si>
  <si>
    <t xml:space="preserve"> Sat Feb 03 2018 12:58:02</t>
  </si>
  <si>
    <t xml:space="preserve"> Bitcoin about to skyrocket in the coming weeks imo</t>
  </si>
  <si>
    <t xml:space="preserve"> TheEliteMartial</t>
  </si>
  <si>
    <t xml:space="preserve"> @DazzaBrownsword</t>
  </si>
  <si>
    <t xml:space="preserve"> Sat Feb 03 2018 12:58:07</t>
  </si>
  <si>
    <t xml:space="preserve"> So...who bought the dip? #btc #bitcoin #ltc #litecoin #ETH #ethereum #bch #bitcoincash #Altcoins. Which coin will emerge as the big winner?</t>
  </si>
  <si>
    <t xml:space="preserve"> cryptelmedia</t>
  </si>
  <si>
    <t xml:space="preserve"> Sat Feb 03 2018 12:58:37</t>
  </si>
  <si>
    <t xml:space="preserve"> I keep hear about bitcoin mining and I'm expecting to see an onion article about Bitcoin miners plan to unionize</t>
  </si>
  <si>
    <t xml:space="preserve"> marcusnoble</t>
  </si>
  <si>
    <t xml:space="preserve"> Pasadena, MD</t>
  </si>
  <si>
    <t xml:space="preserve"> Sat Feb 03 2018 12:58:48</t>
  </si>
  <si>
    <t xml:space="preserve"> Better long term HODL? #Trac #Man $Trac $Man #cryptocurrency #crypto #bitcoin</t>
  </si>
  <si>
    <t xml:space="preserve"> LibertySource</t>
  </si>
  <si>
    <t xml:space="preserve"> Sat Feb 03 2018 12:59:01</t>
  </si>
  <si>
    <t xml:space="preserve"> I have $40 in bitcoin Im just going to leave until it blows up again</t>
  </si>
  <si>
    <t xml:space="preserve"> gco__</t>
  </si>
  <si>
    <t xml:space="preserve"> Alberta, Canada</t>
  </si>
  <si>
    <t xml:space="preserve"> Sat Feb 03 2018 12:59:10</t>
  </si>
  <si>
    <t xml:space="preserve"> One of the worst jobs in the world must be righting about crypto currencies like bitcoin, you praise it one day &amp; mock it the next </t>
  </si>
  <si>
    <t xml:space="preserve"> ClintonDillion1</t>
  </si>
  <si>
    <t xml:space="preserve"> Holding Abraham Lincolns beer. </t>
  </si>
  <si>
    <t xml:space="preserve"> Sat Feb 03 2018 12:59:11</t>
  </si>
  <si>
    <t xml:space="preserve"> @ButtCoin Ooooh do sell bitcoin next</t>
  </si>
  <si>
    <t xml:space="preserve"> armthony</t>
  </si>
  <si>
    <t xml:space="preserve"> canon url hoe </t>
  </si>
  <si>
    <t xml:space="preserve"> Sat Feb 03 2018 12:59:24</t>
  </si>
  <si>
    <t xml:space="preserve"> @loudmouthmuch @JaredLeto @MusicCares @PaigeStrackman Jared is the real bitcoin Jesus!</t>
  </si>
  <si>
    <t xml:space="preserve"> roryhighside</t>
  </si>
  <si>
    <t xml:space="preserve"> Converting Bitcoin to Ethereum. Who is with me?! </t>
  </si>
  <si>
    <t xml:space="preserve"> StanKayCee</t>
  </si>
  <si>
    <t xml:space="preserve"> Lagos, Nigeria</t>
  </si>
  <si>
    <t xml:space="preserve"> Sat Feb 03 2018 12:59:57</t>
  </si>
  <si>
    <t xml:space="preserve"> Niggas was hyped for Bitcoin for like a week lol ...yall annoying </t>
  </si>
  <si>
    <t xml:space="preserve"> rodzilla2xx</t>
  </si>
  <si>
    <t xml:space="preserve"> Sat Feb 03 2018 13:00:01</t>
  </si>
  <si>
    <t xml:space="preserve"> @ #1, Bitcoin with unit price of $9,025.89, market cap of $152,021,711,386 (34.69%), and 24 hr vol. of $9,536,060,000 (31.81%)</t>
  </si>
  <si>
    <t xml:space="preserve"> mobileye iverge bitcoin android 8.1 exynos 9 series fake news  </t>
  </si>
  <si>
    <t xml:space="preserve"> techpeepee</t>
  </si>
  <si>
    <t xml:space="preserve"> Your Internets</t>
  </si>
  <si>
    <t xml:space="preserve"> Current BTC Dominance: 34.72% #Bitcoin #Altcoin #Cryptocurrency</t>
  </si>
  <si>
    <t xml:space="preserve"> Sat Feb 03 2018 13:00:02</t>
  </si>
  <si>
    <t xml:space="preserve"> The average price of Bitcoin across all exchanges is 9,025.89 USD</t>
  </si>
  <si>
    <t xml:space="preserve"> Average Bitcoin market price is: USD 9,052.46, EUR 7,270.65</t>
  </si>
  <si>
    <t xml:space="preserve"> Bitcoin:$9025.89 Ethereum:$953.352 Bitcoin Cash:$1224.49 Litecoin:$137.318 Ripple:$0.91132 IOTA:$1.88866</t>
  </si>
  <si>
    <t xml:space="preserve"> Sat Feb 03 2018 13:00:05</t>
  </si>
  <si>
    <t xml:space="preserve"> One of the worst jobs in the world must be writing articles about crypto currencies like bitcoin, you praise it one day &amp; mock it the next </t>
  </si>
  <si>
    <t xml:space="preserve"> Lets take a like vote. Do you feel dumb selling your bitcoin now for 7.6 - 8500? If not... wait a few hours ...</t>
  </si>
  <si>
    <t xml:space="preserve"> cameronrfox</t>
  </si>
  <si>
    <t xml:space="preserve"> Texas</t>
  </si>
  <si>
    <t xml:space="preserve"> Sat Feb 03 2018 13:00:06</t>
  </si>
  <si>
    <t xml:space="preserve"> Feb 03, 2018 05:00AM #Bitcoin Price: USD 8670.92 | EUR 6984.17 | JPY 927689.19</t>
  </si>
  <si>
    <t xml:space="preserve"> Sat Feb 03 2018 13:00:08</t>
  </si>
  <si>
    <t xml:space="preserve"> Bitcoin ranges from nano-payments to giga-payments on a single network.</t>
  </si>
  <si>
    <t xml:space="preserve"> BitcoinEdu</t>
  </si>
  <si>
    <t xml:space="preserve"> Maintained by @djbooth007</t>
  </si>
  <si>
    <t xml:space="preserve"> Sat Feb 03 2018 13:00:11</t>
  </si>
  <si>
    <t xml:space="preserve"> @LetsBuyCrypto 2018 will be good for us. Not for everyone... #cryptocurrency #bitcoin #Bytecoin</t>
  </si>
  <si>
    <t xml:space="preserve"> x_phamtom</t>
  </si>
  <si>
    <t xml:space="preserve"> Marseille, France</t>
  </si>
  <si>
    <t xml:space="preserve"> Sat Feb 03 2018 13:00:19</t>
  </si>
  <si>
    <t xml:space="preserve"> Bitcoin is currently trading at $9,074</t>
  </si>
  <si>
    <t xml:space="preserve"> CoinKenya</t>
  </si>
  <si>
    <t xml:space="preserve"> Nairobi</t>
  </si>
  <si>
    <t xml:space="preserve"> Sat Feb 03 2018 13:00:31</t>
  </si>
  <si>
    <t xml:space="preserve"> BTC hourly update $9078.44    |    +0.0017% $BTC #BTCUSD #Bitcoin</t>
  </si>
  <si>
    <t xml:space="preserve"> Sat Feb 03 2018 13:00:32</t>
  </si>
  <si>
    <t xml:space="preserve"> In the next Mario you wont collect coins youll just collect Bitcoin investments</t>
  </si>
  <si>
    <t xml:space="preserve"> joetaylor1239</t>
  </si>
  <si>
    <t xml:space="preserve"> Newcastle/Bath</t>
  </si>
  <si>
    <t xml:space="preserve"> Sat Feb 03 2018 13:00:38</t>
  </si>
  <si>
    <t xml:space="preserve"> @chengevelyn Should never buy bitcoin with credit anyway. It's a recipe for disaster! Sensible move by the banks, I suppose...</t>
  </si>
  <si>
    <t xml:space="preserve"> coinsbiz</t>
  </si>
  <si>
    <t xml:space="preserve"> Melbourne, Victoria</t>
  </si>
  <si>
    <t xml:space="preserve"> Sat Feb 03 2018 13:00:51</t>
  </si>
  <si>
    <t xml:space="preserve"> Current price of Bitcoin is $9029.81</t>
  </si>
  <si>
    <t xml:space="preserve"> Sat Feb 03 2018 13:00:52</t>
  </si>
  <si>
    <t xml:space="preserve"> YO! The price of Bitcoin is $9029.81 today.</t>
  </si>
  <si>
    <t xml:space="preserve"> rankthelion</t>
  </si>
  <si>
    <t xml:space="preserve"> My Humble Abode </t>
  </si>
  <si>
    <t xml:space="preserve"> Sat Feb 03 2018 13:00:53</t>
  </si>
  <si>
    <t xml:space="preserve"> Since last week, Bolgakov has been playing Quake III and not buying any Bitcoin.</t>
  </si>
  <si>
    <t xml:space="preserve"> Sat Feb 03 2018 13:00:55</t>
  </si>
  <si>
    <t xml:space="preserve"> Current price of #Bitcoin is $9029.81 via Chain #BTCUSD #cryptocurrencies #blockchain</t>
  </si>
  <si>
    <t xml:space="preserve"> quasidb</t>
  </si>
  <si>
    <t xml:space="preserve"> Cambridge</t>
  </si>
  <si>
    <t xml:space="preserve"> Sat Feb 03 2018 13:01:19</t>
  </si>
  <si>
    <t xml:space="preserve"> It's February 3, 2018 at 07:59AM and #Bitcoin $BTC is $9029.81 Lets make some #Money today!</t>
  </si>
  <si>
    <t xml:space="preserve"> AllCryptoInfo</t>
  </si>
  <si>
    <t xml:space="preserve"> Sat Feb 03 2018 13:01:22</t>
  </si>
  <si>
    <t xml:space="preserve"> Current price of Bitcoin is $9029.81 #BTC #BTCUSD</t>
  </si>
  <si>
    <t xml:space="preserve"> Sat Feb 03 2018 13:01:39</t>
  </si>
  <si>
    <t xml:space="preserve"> 'If It's Controlled By 1 Party, It's Not A Blockchain'  Charlie Shrem Lauds Bitcoin #Bitcoinmovement</t>
  </si>
  <si>
    <t xml:space="preserve"> Moecashmedia</t>
  </si>
  <si>
    <t xml:space="preserve"> Nigeria, Africa</t>
  </si>
  <si>
    <t xml:space="preserve"> Anonymous bitcoin philanthropist donates $5 million to medicine foundation #Bitcoinmovement</t>
  </si>
  <si>
    <t xml:space="preserve"> Sat Feb 03 2018 13:01:40</t>
  </si>
  <si>
    <t xml:space="preserve"> Bitcoin Ban Expands Across Credit Cards as Big US Banks Recoil #Bitcoinmovement</t>
  </si>
  <si>
    <t xml:space="preserve"> Sat Feb 03 2018 13:01:41</t>
  </si>
  <si>
    <t xml:space="preserve"> PSA: No India hasn't banned Bitcoin  but it's still talking tough on crypto #Bitcoinmovement</t>
  </si>
  <si>
    <t xml:space="preserve"> Sat Feb 03 2018 13:01:42</t>
  </si>
  <si>
    <t xml:space="preserve"> Bitcoin Mining Comes To New York As Lawmakers Approve Power Allocation #Bitcoinmovement</t>
  </si>
  <si>
    <t xml:space="preserve"> Sat Feb 03 2018 13:01:49</t>
  </si>
  <si>
    <t xml:space="preserve"> ps bitcoin</t>
  </si>
  <si>
    <t xml:space="preserve"> itmegetabeer</t>
  </si>
  <si>
    <t xml:space="preserve"> Houston, TX</t>
  </si>
  <si>
    <t xml:space="preserve"> Sat Feb 03 2018 13:02:09</t>
  </si>
  <si>
    <t xml:space="preserve"> Current price of Bitcoin is $9029.81.</t>
  </si>
  <si>
    <t xml:space="preserve"> Sat Feb 03 2018 13:02:13</t>
  </si>
  <si>
    <t xml:space="preserve"> Current price of #Bitcoin is $9029.81 $btc</t>
  </si>
  <si>
    <t xml:space="preserve"> crypto_lu</t>
  </si>
  <si>
    <t xml:space="preserve"> Sat Feb 03 2018 13:02:14</t>
  </si>
  <si>
    <t xml:space="preserve"> Current price of Bitcoin is $9029.81 via Chain</t>
  </si>
  <si>
    <t xml:space="preserve"> cryptogo_io</t>
  </si>
  <si>
    <t xml:space="preserve"> Sat Feb 03 2018 13:02:17</t>
  </si>
  <si>
    <t xml:space="preserve"> 1 #Bitcoin is currently worth $9029.81. $BTC $BTCUSD [via @chain]</t>
  </si>
  <si>
    <t xml:space="preserve"> KevTembo</t>
  </si>
  <si>
    <t xml:space="preserve"> Sat Feb 03 2018 13:03:00</t>
  </si>
  <si>
    <t xml:space="preserve"> @jmauli @alistairmilne Learn how to hash your bitcoin right inside your wallet fast and secured, Request for a free ebook.</t>
  </si>
  <si>
    <t xml:space="preserve"> anthonycox1010</t>
  </si>
  <si>
    <t xml:space="preserve"> Chicago, IL</t>
  </si>
  <si>
    <t xml:space="preserve"> Sat Feb 03 2018 13:03:01</t>
  </si>
  <si>
    <t xml:space="preserve"> #trading the speed of bitcoin now worth $0 000 -100 00% #xrp the court approved a bitcoin &amp; eth mining sign up here and earn your elf now!</t>
  </si>
  <si>
    <t xml:space="preserve"> buttkoin</t>
  </si>
  <si>
    <t xml:space="preserve"> Sat Feb 03 2018 13:03:02</t>
  </si>
  <si>
    <t xml:space="preserve"> Current price of #Bitcoin is $9029.81</t>
  </si>
  <si>
    <t xml:space="preserve"> Sat Feb 03 2018 13:03:06</t>
  </si>
  <si>
    <t xml:space="preserve"> Today's Bitcoin Price 9029.81 USD via Chain</t>
  </si>
  <si>
    <t xml:space="preserve"> AGDConsulting</t>
  </si>
  <si>
    <t xml:space="preserve"> Toronto, Ontario, Canada</t>
  </si>
  <si>
    <t xml:space="preserve"> Sat Feb 03 2018 13:03:07</t>
  </si>
  <si>
    <t xml:space="preserve"> Bitcoin 9029.81 $</t>
  </si>
  <si>
    <t xml:space="preserve"> BitcoinDestek</t>
  </si>
  <si>
    <t xml:space="preserve"> Trkiye</t>
  </si>
  <si>
    <t xml:space="preserve"> Sat Feb 03 2018 13:03:10</t>
  </si>
  <si>
    <t xml:space="preserve"> zzmej</t>
  </si>
  <si>
    <t xml:space="preserve"> Current price of Bitcoin is $9029.81 Like if thats good for you and retweet if thats not good for you #bitcoin #btc #bitcoinprice</t>
  </si>
  <si>
    <t xml:space="preserve"> Sat Feb 03 2018 13:03:28</t>
  </si>
  <si>
    <t xml:space="preserve"> Forget #Bitcoin there is #Sardex in #Sardinia by #Sardex.net. Is this similar to #BristalPound #Bristol # is this safe to use #currency?</t>
  </si>
  <si>
    <t xml:space="preserve"> kamlesm</t>
  </si>
  <si>
    <t xml:space="preserve"> Andaman And Nicobar, India</t>
  </si>
  <si>
    <t xml:space="preserve"> Sat Feb 03 2018 13:03:29</t>
  </si>
  <si>
    <t xml:space="preserve"> @Crypto_Bitlord You got a bitcoin tatoo? Wtff is wrong with u?</t>
  </si>
  <si>
    <t xml:space="preserve"> Cryptoheaven1</t>
  </si>
  <si>
    <t xml:space="preserve"> Sat Feb 03 2018 13:03:31</t>
  </si>
  <si>
    <t xml:space="preserve"> So, the current price of Bitcoin is $9029.81. #bitcoin #update</t>
  </si>
  <si>
    <t xml:space="preserve"> notagrouch</t>
  </si>
  <si>
    <t xml:space="preserve"> Irvine, CA</t>
  </si>
  <si>
    <t xml:space="preserve"> Sat Feb 03 2018 13:03:40</t>
  </si>
  <si>
    <t xml:space="preserve"> @Sofinplatform Grow your bitcoin Get $200 bonus free instantly Earn 0.5btc every 5days Comment info isabellagmez079@gmail.com</t>
  </si>
  <si>
    <t xml:space="preserve"> Isabella63946</t>
  </si>
  <si>
    <t xml:space="preserve"> Sat Feb 03 2018 13:04:06</t>
  </si>
  <si>
    <t xml:space="preserve"> #Bitcoin 1 Bitcoin is currently worth $8991 USD! #GoldCoinJar</t>
  </si>
  <si>
    <t xml:space="preserve"> Sat Feb 03 2018 13:04:21</t>
  </si>
  <si>
    <t xml:space="preserve"> #Bitcoin Price Alert: Current price of $BTC is $9029.81 USD</t>
  </si>
  <si>
    <t xml:space="preserve"> CryptoTrappin</t>
  </si>
  <si>
    <t xml:space="preserve"> Somewhere talking crypto with Satoshi.</t>
  </si>
  <si>
    <t xml:space="preserve"> Sat Feb 03 2018 13:04:29</t>
  </si>
  <si>
    <t xml:space="preserve"> Good morning #Bitcoin Enthusiasts. #BTC price is currently $9029.81</t>
  </si>
  <si>
    <t xml:space="preserve"> TodayInBitcoin</t>
  </si>
  <si>
    <t xml:space="preserve"> The Blockchain</t>
  </si>
  <si>
    <t xml:space="preserve"> Sat Feb 03 2018 13:04:45</t>
  </si>
  <si>
    <t xml:space="preserve"> Sat Feb 03 2018 13:05:16</t>
  </si>
  <si>
    <t xml:space="preserve"> THE MOST INNOVATIVE AND LUCRATIVE WAY TO EARN BITCOIN JOIN BITCLUB NETWORK!  [Virtual currency mining Encryption currency]</t>
  </si>
  <si>
    <t xml:space="preserve"> toshi_mat001</t>
  </si>
  <si>
    <t xml:space="preserve"> Sat Feb 03 2018 13:05:30</t>
  </si>
  <si>
    <t xml:space="preserve"> @SouperNerd Bitcoin Candy</t>
  </si>
  <si>
    <t xml:space="preserve"> ChainFunction</t>
  </si>
  <si>
    <t xml:space="preserve"> On Chain</t>
  </si>
  <si>
    <t xml:space="preserve"> Sat Feb 03 2018 13:05:52</t>
  </si>
  <si>
    <t xml:space="preserve"> Dont worry BitCoin speculators Gordon Gekko has a few words of encouragement for your portfolios conversation. </t>
  </si>
  <si>
    <t xml:space="preserve"> Tazman117</t>
  </si>
  <si>
    <t xml:space="preserve"> Sat Feb 03 2018 13:05:53</t>
  </si>
  <si>
    <t xml:space="preserve"> The Bitcoin community awaits the return of Satoshi Nakamoto.</t>
  </si>
  <si>
    <t xml:space="preserve"> Sat Feb 03 2018 13:06:46</t>
  </si>
  <si>
    <t xml:space="preserve"> @Crypto_Bitlord Bitcoin tat....respect </t>
  </si>
  <si>
    <t xml:space="preserve"> cyrilthecypherp</t>
  </si>
  <si>
    <t xml:space="preserve"> Sat Feb 03 2018 13:06:57</t>
  </si>
  <si>
    <t xml:space="preserve"> @vishkam1 Ive planned to make another separate video for bitcoin and how blockchain works! Stay tuned for that video anytime soon</t>
  </si>
  <si>
    <t xml:space="preserve"> visaipalagai</t>
  </si>
  <si>
    <t xml:space="preserve"> Tamil Nadu, India</t>
  </si>
  <si>
    <t xml:space="preserve"> Sat Feb 03 2018 13:08:08</t>
  </si>
  <si>
    <t xml:space="preserve"> @LedgerHQ I recieved  Bitcoin yesterday. How can I see if my address generator isnt infected and my address was safe?</t>
  </si>
  <si>
    <t xml:space="preserve"> MaverickBit</t>
  </si>
  <si>
    <t xml:space="preserve"> Sat Feb 03 2018 13:08:10</t>
  </si>
  <si>
    <t xml:space="preserve"> Sat Feb 03 2018 13:08:14</t>
  </si>
  <si>
    <t xml:space="preserve"> I like how right when I invested in bitcoin the bottom fell out. Ill hold it though, I have a feeling thats a long term win.</t>
  </si>
  <si>
    <t xml:space="preserve"> DontaeHodge</t>
  </si>
  <si>
    <t xml:space="preserve"> Tortola, BVI &amp; Atlanta, GA </t>
  </si>
  <si>
    <t xml:space="preserve"> Sat Feb 03 2018 13:08:28</t>
  </si>
  <si>
    <t xml:space="preserve"> I wonder if there's a grime producer named Bitcoin? </t>
  </si>
  <si>
    <t xml:space="preserve"> OlesDatsko</t>
  </si>
  <si>
    <t xml:space="preserve"> Finland</t>
  </si>
  <si>
    <t xml:space="preserve"> Sat Feb 03 2018 13:08:51</t>
  </si>
  <si>
    <t xml:space="preserve"> @alanalda  Explain to a grade schooler: Nunes memo or Bitcoin.</t>
  </si>
  <si>
    <t xml:space="preserve"> etiennewang</t>
  </si>
  <si>
    <t xml:space="preserve"> Sat Feb 03 2018 13:09:01</t>
  </si>
  <si>
    <t xml:space="preserve"> @taasfund amazing payouts paid  great work guys @cryptoassets @bitcoin</t>
  </si>
  <si>
    <t xml:space="preserve"> Dalessandro1989</t>
  </si>
  <si>
    <t xml:space="preserve"> Svizzera</t>
  </si>
  <si>
    <t xml:space="preserve"> Sat Feb 03 2018 13:09:02</t>
  </si>
  <si>
    <t xml:space="preserve"> To all of you #cardano roadmap incoming #tomorrow. Get your cheap buys in today :). #alts #ada #bitcoin #ethereum #eth #btc</t>
  </si>
  <si>
    <t xml:space="preserve"> cryptospyluke</t>
  </si>
  <si>
    <t xml:space="preserve"> Sat Feb 03 2018 13:09:29</t>
  </si>
  <si>
    <t xml:space="preserve"> Going to the #bitcoin atm to buy some $litecoin :) $btc $ltc $eth #cryptocurrency #Cryptos</t>
  </si>
  <si>
    <t xml:space="preserve"> ilovecrypto2</t>
  </si>
  <si>
    <t xml:space="preserve"> Sat Feb 03 2018 13:09:47</t>
  </si>
  <si>
    <t xml:space="preserve"> Missed Bitcoin Rally, Invest In Dencity Now! $3M Raised 1200 Investors Whale Round Ending Soon @DenCity #Dencity #ICO #ethereum #Blockchain</t>
  </si>
  <si>
    <t xml:space="preserve"> badashova_svetl</t>
  </si>
  <si>
    <t xml:space="preserve"> Sat Feb 03 2018 13:10:02</t>
  </si>
  <si>
    <t xml:space="preserve"> @Bitcoin_Finance Follow @Hashtags_Trends for the latest news &amp; #trading trends about #bitcoin &amp; #crypto world.</t>
  </si>
  <si>
    <t xml:space="preserve"> Sat Feb 03 2018 13:10:04</t>
  </si>
  <si>
    <t xml:space="preserve"> Bitcoin BTC Current Price: $9033.37 1 Hour: 0.46 % | 24 Hours: 8.9 % | 7 Days: -19.74 % #btc #bitcoin</t>
  </si>
  <si>
    <t xml:space="preserve"> Sat Feb 03 2018 13:10:06</t>
  </si>
  <si>
    <t xml:space="preserve"> @_Kevin_Pham So bitcoin fees hurt them 100x more than Americans.   Good point. They need low fees.   #BitcoinCash for Venezuela </t>
  </si>
  <si>
    <t xml:space="preserve"> **green emoji rain dance to appease the bitcoin green candle gods**</t>
  </si>
  <si>
    <t xml:space="preserve"> ShillyRabbit</t>
  </si>
  <si>
    <t xml:space="preserve"> Vancouver, British Columbia</t>
  </si>
  <si>
    <t xml:space="preserve"> Sat Feb 03 2018 13:10:13</t>
  </si>
  <si>
    <t xml:space="preserve"> Just put the Mrs money back into Bitcoin, hope the bloodbath is over.</t>
  </si>
  <si>
    <t xml:space="preserve"> rosstimson</t>
  </si>
  <si>
    <t xml:space="preserve"> Border Reiver / UK</t>
  </si>
  <si>
    <t xml:space="preserve"> Sat Feb 03 2018 13:10:45</t>
  </si>
  <si>
    <t xml:space="preserve"> @dhh Probably should buy some while its this low. Never thought bitcoin would be deemed too risky by a... literal race car driver. </t>
  </si>
  <si>
    <t xml:space="preserve"> DanteAlston</t>
  </si>
  <si>
    <t xml:space="preserve"> Miami, FL</t>
  </si>
  <si>
    <t xml:space="preserve"> Sat Feb 03 2018 13:11:08</t>
  </si>
  <si>
    <t xml:space="preserve"> Amazing how much effort the media puts into trashing Bitcoin.  Why?!</t>
  </si>
  <si>
    <t xml:space="preserve"> Sat Feb 03 2018 13:12:09</t>
  </si>
  <si>
    <t xml:space="preserve"> @ForkLog Bitcoin gold real btc, all the rest scam and lie</t>
  </si>
  <si>
    <t xml:space="preserve"> Sidorenko63</t>
  </si>
  <si>
    <t xml:space="preserve"> , </t>
  </si>
  <si>
    <t xml:space="preserve"> Sat Feb 03 2018 13:12:29</t>
  </si>
  <si>
    <t xml:space="preserve"> @LedgerHQ This is a huge problem. How is the fix a) not mandated and b) not available for non-bitcoin programs?</t>
  </si>
  <si>
    <t xml:space="preserve"> bowz87</t>
  </si>
  <si>
    <t xml:space="preserve"> Sat Feb 03 2018 13:12:46</t>
  </si>
  <si>
    <t xml:space="preserve"> He was curious who knew the most about bitcoin.</t>
  </si>
  <si>
    <t xml:space="preserve"> MichaelREMcycle</t>
  </si>
  <si>
    <t xml:space="preserve"> Sat Feb 03 2018 13:13:09</t>
  </si>
  <si>
    <t xml:space="preserve"> @BlessieMiaTwit ... you're very close to the sunshine! #Fintech #sri #solar #blockchain #bitcoin #www.startengine.com/sun-fund</t>
  </si>
  <si>
    <t xml:space="preserve"> Sun_Fund</t>
  </si>
  <si>
    <t xml:space="preserve"> Milford, CT</t>
  </si>
  <si>
    <t xml:space="preserve"> Sat Feb 03 2018 13:13:15</t>
  </si>
  <si>
    <t xml:space="preserve"> Is Facebook really gonna stop all posts about Bitcoin and other crypto currencies? </t>
  </si>
  <si>
    <t xml:space="preserve"> Steph_Git</t>
  </si>
  <si>
    <t xml:space="preserve"> West Midlands, England</t>
  </si>
  <si>
    <t xml:space="preserve"> They want to suck as much retail in as they can.... #BitcoinCash #bitcoincrash #bulltrap #bitcoin</t>
  </si>
  <si>
    <t xml:space="preserve"> KubaWLLC</t>
  </si>
  <si>
    <t xml:space="preserve"> Denver, CO</t>
  </si>
  <si>
    <t xml:space="preserve"> Sat Feb 03 2018 13:13:20</t>
  </si>
  <si>
    <t xml:space="preserve"> @FortuneMagazine bet that helped the DOW DIVE, having to raise cash and cover shorts &amp; bitcoin losses.</t>
  </si>
  <si>
    <t xml:space="preserve"> dialarotor</t>
  </si>
  <si>
    <t xml:space="preserve"> Northwest MI</t>
  </si>
  <si>
    <t xml:space="preserve"> Sat Feb 03 2018 13:13:53</t>
  </si>
  <si>
    <t xml:space="preserve"> What's up with Bitcoin?</t>
  </si>
  <si>
    <t xml:space="preserve"> bibzyCarter</t>
  </si>
  <si>
    <t xml:space="preserve"> Earth</t>
  </si>
  <si>
    <t xml:space="preserve"> Sat Feb 03 2018 13:14:11</t>
  </si>
  <si>
    <t xml:space="preserve"> look just srop emailing me pk ok spam bitcoin afs and that likr i onlu ha e so much data storage in my cuboid pyrisium</t>
  </si>
  <si>
    <t xml:space="preserve"> sentreh</t>
  </si>
  <si>
    <t xml:space="preserve"> New Zealand</t>
  </si>
  <si>
    <t xml:space="preserve"> Sat Feb 03 2018 13:14:19</t>
  </si>
  <si>
    <t xml:space="preserve"> Bitcoin White markete ekleyelim mi? Should be add Bitcoin White to market? #BTW #BitcoinWhite</t>
  </si>
  <si>
    <t xml:space="preserve"> BitibuOfficial</t>
  </si>
  <si>
    <t xml:space="preserve"> Cyprus</t>
  </si>
  <si>
    <t xml:space="preserve"> Sat Feb 03 2018 13:14:29</t>
  </si>
  <si>
    <t xml:space="preserve"> When you stop chasing the wrong things you give the right things a chance to catch you. #bitcoin #bitcoins #bitcoinsfuture</t>
  </si>
  <si>
    <t xml:space="preserve"> Sat Feb 03 2018 13:15:01</t>
  </si>
  <si>
    <t xml:space="preserve"> The current price of Bitcoin is $9001.79. The current price of BCash is $1220.36, or 0.135413 BTC</t>
  </si>
  <si>
    <t xml:space="preserve"> Sat Feb 03 2018 13:15:14</t>
  </si>
  <si>
    <t xml:space="preserve"> @celestialweasel It almost makes it worthwhile to adopt Bitcoin.</t>
  </si>
  <si>
    <t xml:space="preserve"> kentindell</t>
  </si>
  <si>
    <t xml:space="preserve"> Bury St. Edmunds</t>
  </si>
  <si>
    <t xml:space="preserve"> Sat Feb 03 2018 13:15:23</t>
  </si>
  <si>
    <t xml:space="preserve"> Bitcoin people how market?</t>
  </si>
  <si>
    <t xml:space="preserve"> Tolu_l0pe</t>
  </si>
  <si>
    <t xml:space="preserve"> Sat Feb 03 2018 13:15:36</t>
  </si>
  <si>
    <t xml:space="preserve"> @foxandfriends @KevinRKelly_ How bout my bitcoin</t>
  </si>
  <si>
    <t xml:space="preserve"> skolnak</t>
  </si>
  <si>
    <t xml:space="preserve"> Sat Feb 03 2018 13:16:03</t>
  </si>
  <si>
    <t xml:space="preserve"> @czech_trader_ @crypto_rand Did TA ever worked with bitcoin?</t>
  </si>
  <si>
    <t xml:space="preserve"> Crypto_Antman</t>
  </si>
  <si>
    <t xml:space="preserve"> Sat Feb 03 2018 13:16:09</t>
  </si>
  <si>
    <t xml:space="preserve"> Don't let Bitcoin distract you from the fact football is on Saturday</t>
  </si>
  <si>
    <t xml:space="preserve"> cryptobaahnz</t>
  </si>
  <si>
    <t xml:space="preserve"> Sat Feb 03 2018 13:16:11</t>
  </si>
  <si>
    <t xml:space="preserve"> my friend won't make it to the bitcoin meetup so i have to go alone and i'm kinda scared Ha</t>
  </si>
  <si>
    <t xml:space="preserve"> wujubebe</t>
  </si>
  <si>
    <t xml:space="preserve"> you did well</t>
  </si>
  <si>
    <t xml:space="preserve"> Sat Feb 03 2018 13:16:17</t>
  </si>
  <si>
    <t xml:space="preserve"> @digitaloverlor2 @RichardBSpencer @TheDisrespectre What do you mean? Who will invest in bitcoin then there is the UGANDA COIN?? #ugandacoin</t>
  </si>
  <si>
    <t xml:space="preserve"> JBarrster</t>
  </si>
  <si>
    <t xml:space="preserve"> Sat Feb 03 2018 13:16:22</t>
  </si>
  <si>
    <t xml:space="preserve"> @pocketfoxsil I mean, given what the price of Bitcoin has been doing lately...</t>
  </si>
  <si>
    <t xml:space="preserve"> faeriealex</t>
  </si>
  <si>
    <t xml:space="preserve"> Anthrocon</t>
  </si>
  <si>
    <t xml:space="preserve"> Sat Feb 03 2018 13:16:28</t>
  </si>
  <si>
    <t xml:space="preserve"> @monplaysgames The bitcoin bubble (which is in the process of bursting boisterously) caused a spike in prices - particularly GPUs.</t>
  </si>
  <si>
    <t xml:space="preserve"> PahandaBear</t>
  </si>
  <si>
    <t xml:space="preserve"> Champaign, IL</t>
  </si>
  <si>
    <t xml:space="preserve"> Sat Feb 03 2018 13:16:29</t>
  </si>
  <si>
    <t xml:space="preserve"> @OTC_Bitcoin The french lady however is very anti bitcoin.</t>
  </si>
  <si>
    <t xml:space="preserve"> MikeyBlocks11</t>
  </si>
  <si>
    <t xml:space="preserve"> Sat Feb 03 2018 13:17:04</t>
  </si>
  <si>
    <t xml:space="preserve"> Bitcoin Cash BCH Current Price: $1220.36 1 Hour: - | 24 Hours: 12.02 % | 7 Days: -24.37 % #bch #bitcoin cash</t>
  </si>
  <si>
    <t xml:space="preserve"> Sat Feb 03 2018 13:17:08</t>
  </si>
  <si>
    <t xml:space="preserve"> Does Nobody else notice that the Chinese have all the bitcoin..? #ww3 #PRC #onenation #</t>
  </si>
  <si>
    <t xml:space="preserve"> therealDC22</t>
  </si>
  <si>
    <t xml:space="preserve"> Sat Feb 03 2018 13:17:34</t>
  </si>
  <si>
    <t xml:space="preserve"> @GrootLem I just want to use Bitcoin as a currency.</t>
  </si>
  <si>
    <t xml:space="preserve"> AndreFlashPatch</t>
  </si>
  <si>
    <t xml:space="preserve"> Sat Feb 03 2018 13:18:08</t>
  </si>
  <si>
    <t xml:space="preserve"> @huiosrealtors HAHAHA  you must have missed out on bitcoin.  Taking over the world with arisebank,  either you are insane, dumb, or both.</t>
  </si>
  <si>
    <t xml:space="preserve"> arunbalakumar</t>
  </si>
  <si>
    <t xml:space="preserve"> Sat Feb 03 2018 13:18:31</t>
  </si>
  <si>
    <t xml:space="preserve"> @ssoumier Bitcoin Bien </t>
  </si>
  <si>
    <t xml:space="preserve"> IRON_HOMME</t>
  </si>
  <si>
    <t xml:space="preserve"> Ile-de-France, France</t>
  </si>
  <si>
    <t xml:space="preserve"> Sat Feb 03 2018 13:18:41</t>
  </si>
  <si>
    <t xml:space="preserve"> Dont buy bitcoin, I bought 50 dollars worth and now its worth 25 :-(.</t>
  </si>
  <si>
    <t xml:space="preserve"> Frans_Stal</t>
  </si>
  <si>
    <t xml:space="preserve"> Sat Feb 03 2018 13:19:40</t>
  </si>
  <si>
    <t xml:space="preserve"> Bitcoin dropped and so did registrations for this year's @WSOP Should've cashed you greedy degenerates #moremoneymoreproblems</t>
  </si>
  <si>
    <t xml:space="preserve"> Sat Feb 03 2018 13:20:13</t>
  </si>
  <si>
    <t xml:space="preserve"> #FLOGmall, #Blockchain #Bitcoin #BTC #Ethereum #ETH #ICO excellent team everything is transparent </t>
  </si>
  <si>
    <t xml:space="preserve"> kopytcev</t>
  </si>
  <si>
    <t xml:space="preserve"> Sat Feb 03 2018 13:20:17</t>
  </si>
  <si>
    <t xml:space="preserve"> 8:19am the journey to get another 8k in bitcoin begins</t>
  </si>
  <si>
    <t xml:space="preserve"> christiannahurt</t>
  </si>
  <si>
    <t xml:space="preserve"> Florida, USA</t>
  </si>
  <si>
    <t xml:space="preserve"> Sat Feb 03 2018 13:20:39</t>
  </si>
  <si>
    <t xml:space="preserve"> @mBTCPizpie Can't wait to send my car out to be a taxi/Uber and have it come back with more Bitcoin!</t>
  </si>
  <si>
    <t xml:space="preserve"> Sat Feb 03 2018 13:20:43</t>
  </si>
  <si>
    <t xml:space="preserve"> #bitcoin go to the moon 20000$ buy guys</t>
  </si>
  <si>
    <t xml:space="preserve"> iamroyalross</t>
  </si>
  <si>
    <t xml:space="preserve"> Sat Feb 03 2018 13:21:22</t>
  </si>
  <si>
    <t xml:space="preserve"> @CNBCi Can you guys PLEASE stop calling all cryptocurrencies Bitcoin? There are over 1500 cryptos right now.</t>
  </si>
  <si>
    <t xml:space="preserve"> decentralizeTV</t>
  </si>
  <si>
    <t xml:space="preserve"> Cryptosphere</t>
  </si>
  <si>
    <t xml:space="preserve"> Sat Feb 03 2018 13:21:27</t>
  </si>
  <si>
    <t xml:space="preserve"> Cryptocurrency: #Bitcoin Price USD: 8979.15 Price BTC: 1.0 24h Volume USD: 8804650000.0 Percent change 24h: 7.71</t>
  </si>
  <si>
    <t xml:space="preserve"> Sat Feb 03 2018 13:21:33</t>
  </si>
  <si>
    <t xml:space="preserve"> Please listen to me. Buy Bitcoin in two months.</t>
  </si>
  <si>
    <t xml:space="preserve"> TheYologator</t>
  </si>
  <si>
    <t xml:space="preserve"> ASU, AZ</t>
  </si>
  <si>
    <t xml:space="preserve"> Sat Feb 03 2018 13:21:46</t>
  </si>
  <si>
    <t xml:space="preserve"> Dear Bitcoin holders. Panic at below 6, bulls above 12. I have spoken. Nothing else to say. The End.</t>
  </si>
  <si>
    <t xml:space="preserve"> 28Bangkok</t>
  </si>
  <si>
    <t xml:space="preserve"> Bangkok, Thailand</t>
  </si>
  <si>
    <t xml:space="preserve"> Sat Feb 03 2018 13:21:56</t>
  </si>
  <si>
    <t xml:space="preserve"> How To Be a Bitcoin Thought Leader...</t>
  </si>
  <si>
    <t xml:space="preserve"> FinanceRadr</t>
  </si>
  <si>
    <t xml:space="preserve"> Sat Feb 03 2018 13:22:21</t>
  </si>
  <si>
    <t xml:space="preserve"> @TIME Buy bitcoin for 100$....</t>
  </si>
  <si>
    <t xml:space="preserve"> rastijohnear</t>
  </si>
  <si>
    <t xml:space="preserve"> Planeta Zem</t>
  </si>
  <si>
    <t xml:space="preserve"> Sat Feb 03 2018 13:22:28</t>
  </si>
  <si>
    <t xml:space="preserve"> @RobinhoodApp $xvg next bitcoin please</t>
  </si>
  <si>
    <t xml:space="preserve"> Manhld1</t>
  </si>
  <si>
    <t xml:space="preserve"> vi</t>
  </si>
  <si>
    <t xml:space="preserve"> Sat Feb 03 2018 13:22:31</t>
  </si>
  <si>
    <t xml:space="preserve"> @OnlineMagazin He's just reading her the Bitcoin price numbers.</t>
  </si>
  <si>
    <t xml:space="preserve"> Konabuga</t>
  </si>
  <si>
    <t xml:space="preserve"> Sat Feb 03 2018 13:22:34</t>
  </si>
  <si>
    <t xml:space="preserve"> I made a 4 dollar profit off bitcoin ask me anything</t>
  </si>
  <si>
    <t xml:space="preserve"> YUNGR0SHI</t>
  </si>
  <si>
    <t xml:space="preserve"> bohemian grove</t>
  </si>
  <si>
    <t xml:space="preserve"> Sat Feb 03 2018 13:23:22</t>
  </si>
  <si>
    <t xml:space="preserve"> Yo.  Lemme know when you feel like a sellout for parting with your #bitcoin for flea market pricing.</t>
  </si>
  <si>
    <t xml:space="preserve"> Sat Feb 03 2018 13:23:35</t>
  </si>
  <si>
    <t xml:space="preserve"> @Crypto_Bitlord a btc tatoo is something you have to make fun of :D worse than wearing a bitcoin t-shirt haha</t>
  </si>
  <si>
    <t xml:space="preserve"> 7eeeven</t>
  </si>
  <si>
    <t xml:space="preserve"> Sat Feb 03 2018 13:24:00</t>
  </si>
  <si>
    <t xml:space="preserve"> @nonnecessariame pikpoint == bitcoin </t>
  </si>
  <si>
    <t xml:space="preserve"> evilripper</t>
  </si>
  <si>
    <t xml:space="preserve"> rimini</t>
  </si>
  <si>
    <t xml:space="preserve"> Sat Feb 03 2018 13:24:06</t>
  </si>
  <si>
    <t xml:space="preserve"> @garrytan Love#stockmarket research like this! #bitcoin</t>
  </si>
  <si>
    <t xml:space="preserve"> chaalz</t>
  </si>
  <si>
    <t xml:space="preserve"> Lansdowne, VA</t>
  </si>
  <si>
    <t xml:space="preserve"> Sat Feb 03 2018 13:24:08</t>
  </si>
  <si>
    <t xml:space="preserve"> @sashandiggers @Bitcoin CSW is Satoshi, we are all Satoshi... (seriously, CSW is Satoshi)</t>
  </si>
  <si>
    <t xml:space="preserve"> DrBeLaSoLis</t>
  </si>
  <si>
    <t xml:space="preserve"> Argelius II</t>
  </si>
  <si>
    <t xml:space="preserve"> Sat Feb 03 2018 13:24:14</t>
  </si>
  <si>
    <t xml:space="preserve"> Bitcoin has the most people who take it the most seriously and that is why it wins.</t>
  </si>
  <si>
    <t xml:space="preserve"> itsybtc</t>
  </si>
  <si>
    <t xml:space="preserve"> The water spout</t>
  </si>
  <si>
    <t xml:space="preserve"> Sat Feb 03 2018 13:24:26</t>
  </si>
  <si>
    <t xml:space="preserve"> These Bitcoin swings are so predictable.</t>
  </si>
  <si>
    <t xml:space="preserve"> Sat Feb 03 2018 13:24:28</t>
  </si>
  <si>
    <t xml:space="preserve"> BTG got really hot right now! #bitcoin #ripple #altcoin</t>
  </si>
  <si>
    <t xml:space="preserve"> Sat Feb 03 2018 13:24:29</t>
  </si>
  <si>
    <t xml:space="preserve"> All the bulls will join again once bitcoin reaches 9k, $neo $btc $ltc $eth</t>
  </si>
  <si>
    <t xml:space="preserve"> CryptoIsrael</t>
  </si>
  <si>
    <t xml:space="preserve"> Las Vegas, NV</t>
  </si>
  <si>
    <t xml:space="preserve"> Sat Feb 03 2018 13:24:35</t>
  </si>
  <si>
    <t xml:space="preserve"> @TheEliteMartial I think Bitcoin is gonna die out soon.</t>
  </si>
  <si>
    <t xml:space="preserve"> UtdRobbiee</t>
  </si>
  <si>
    <t xml:space="preserve"> Wales, United Kingdom</t>
  </si>
  <si>
    <t xml:space="preserve"> Sat Feb 03 2018 13:24:52</t>
  </si>
  <si>
    <t xml:space="preserve"> @Bitcoin what</t>
  </si>
  <si>
    <t xml:space="preserve"> ReaganFajardo</t>
  </si>
  <si>
    <t xml:space="preserve"> Sat Feb 03 2018 13:25:22</t>
  </si>
  <si>
    <t xml:space="preserve"> @alexstamos Proposal: we call currencies like bitcoin math money.</t>
  </si>
  <si>
    <t xml:space="preserve"> Marcos_El_Malo</t>
  </si>
  <si>
    <t xml:space="preserve"> San Miguel de Allende</t>
  </si>
  <si>
    <t xml:space="preserve"> Sat Feb 03 2018 13:25:23</t>
  </si>
  <si>
    <t xml:space="preserve"> @coys100   should invest will be as valuable as bitcoin soon</t>
  </si>
  <si>
    <t xml:space="preserve"> MiyaJackson8</t>
  </si>
  <si>
    <t xml:space="preserve"> Sat Feb 03 2018 13:25:25</t>
  </si>
  <si>
    <t xml:space="preserve"> Bitcoin Dives As Cryptocurrency's Top Market Is Still Very Cheap Bitcoin Mining #Bitcoin</t>
  </si>
  <si>
    <t xml:space="preserve"> Sat Feb 03 2018 13:25:31</t>
  </si>
  <si>
    <t xml:space="preserve"> @Bitcoin 12 reasons Bitcoin Cash is Gash:   1 - 12: Roger Ver and his snakey tactics.   #BitcoinGash</t>
  </si>
  <si>
    <t xml:space="preserve"> tradertommy88</t>
  </si>
  <si>
    <t xml:space="preserve"> Sat Feb 03 2018 13:26:04</t>
  </si>
  <si>
    <t xml:space="preserve"> Adbank( $ADB) will be listed on Kucoin #cryptocurrency #blockchain #bitcoin #crypto #btc #ico #eth #xrp #trading #CryptoNews</t>
  </si>
  <si>
    <t xml:space="preserve"> CryptoBleep</t>
  </si>
  <si>
    <t xml:space="preserve"> Sat Feb 03 2018 13:26:37</t>
  </si>
  <si>
    <t xml:space="preserve"> #Bitcoin now $9,035.00 USD.</t>
  </si>
  <si>
    <t xml:space="preserve"> thestockmench</t>
  </si>
  <si>
    <t xml:space="preserve"> Sat Feb 03 2018 13:27:12</t>
  </si>
  <si>
    <t xml:space="preserve"> @Bitcoin You wish</t>
  </si>
  <si>
    <t xml:space="preserve"> mnetsa</t>
  </si>
  <si>
    <t xml:space="preserve"> DMVA</t>
  </si>
  <si>
    <t xml:space="preserve"> Sat Feb 03 2018 13:27:26</t>
  </si>
  <si>
    <t xml:space="preserve"> Do you check the market price of #bitcoin every day?</t>
  </si>
  <si>
    <t xml:space="preserve"> Sat Feb 03 2018 13:27:37</t>
  </si>
  <si>
    <t xml:space="preserve"> @chris_sutton73 @btsportfootball Get that BITCOIN AFF</t>
  </si>
  <si>
    <t xml:space="preserve"> charliemillar20</t>
  </si>
  <si>
    <t xml:space="preserve"> Motherwell, Scotland</t>
  </si>
  <si>
    <t xml:space="preserve"> Sat Feb 03 2018 13:28:21</t>
  </si>
  <si>
    <t xml:space="preserve"> Retweet if you agree that Bitcoin is the new gold #bitcoins #bitcoinisgold #bitcoinworld #bitcoinnews #bitcoin</t>
  </si>
  <si>
    <t xml:space="preserve"> Sat Feb 03 2018 13:28:32</t>
  </si>
  <si>
    <t xml:space="preserve"> @CryptoChoe Can bitcoin further go down from here??@choe</t>
  </si>
  <si>
    <t xml:space="preserve"> bin_quresh</t>
  </si>
  <si>
    <t xml:space="preserve"> Sat Feb 03 2018 13:28:34</t>
  </si>
  <si>
    <t xml:space="preserve"> Yes I think that bitcoin will become great again #crypto #cryptocurrency #btc #bitcoin #eth #cryptopump #cryptonews #blockchain</t>
  </si>
  <si>
    <t xml:space="preserve"> CryptoPump10</t>
  </si>
  <si>
    <t xml:space="preserve"> Sat Feb 03 2018 13:29:00</t>
  </si>
  <si>
    <t xml:space="preserve"> @Bitcoin Scammmm</t>
  </si>
  <si>
    <t xml:space="preserve"> tweet31843189</t>
  </si>
  <si>
    <t xml:space="preserve"> Sat Feb 03 2018 13:29:23</t>
  </si>
  <si>
    <t xml:space="preserve"> @robert68607267 @coindesk it will certainly not.Bitcoin is another level,not comparable to alts. It is traded like gold.</t>
  </si>
  <si>
    <t xml:space="preserve"> imanokakumei</t>
  </si>
  <si>
    <t xml:space="preserve"> Shibuya-ku, Tokyo</t>
  </si>
  <si>
    <t xml:space="preserve"> Sat Feb 03 2018 13:29:24</t>
  </si>
  <si>
    <t xml:space="preserve"> You really bought into the bitcoin meme?</t>
  </si>
  <si>
    <t xml:space="preserve"> A55J4CK50N</t>
  </si>
  <si>
    <t xml:space="preserve"> Sat Feb 03 2018 13:29:30</t>
  </si>
  <si>
    <t xml:space="preserve"> Bitcoin will fall below $5000 before mid Feb</t>
  </si>
  <si>
    <t xml:space="preserve"> AM_MAARU</t>
  </si>
  <si>
    <t xml:space="preserve"> KENYA</t>
  </si>
  <si>
    <t xml:space="preserve"> Sat Feb 03 2018 13:30:02</t>
  </si>
  <si>
    <t xml:space="preserve"> Bitcoin:$8992.3 Ethereum:$952.641 Bitcoin Cash:$1220.28 Litecoin:$142.191 Ripple:$0.910786 IOTA:$1.88248</t>
  </si>
  <si>
    <t xml:space="preserve"> Sat Feb 03 2018 13:30:05</t>
  </si>
  <si>
    <t xml:space="preserve"> @HamzahKingKhan @Manpreazy Easy now tell me how you plan on easily selling the bitcoin you bought</t>
  </si>
  <si>
    <t xml:space="preserve"> ttfn2018</t>
  </si>
  <si>
    <t xml:space="preserve"> Sat Feb 03 2018 13:30:06</t>
  </si>
  <si>
    <t xml:space="preserve"> #Bitcoin The Current Bitcoin Price is 0.00011074 BTC for $1 USD #GoldCoinJar</t>
  </si>
  <si>
    <t xml:space="preserve"> Sat Feb 03 2018 13:30:08</t>
  </si>
  <si>
    <t xml:space="preserve"> Can someone please take those bitcoin under 5k for February lay in 2.6/7x range. #freegifts #pleaseandthankyou</t>
  </si>
  <si>
    <t xml:space="preserve"> aussieruled</t>
  </si>
  <si>
    <t xml:space="preserve"> Sat Feb 03 2018 13:30:13</t>
  </si>
  <si>
    <t xml:space="preserve"> @Bitcoin Fu and chance your nick to bcash!!</t>
  </si>
  <si>
    <t xml:space="preserve"> Hodlmasteri</t>
  </si>
  <si>
    <t xml:space="preserve"> fi</t>
  </si>
  <si>
    <t xml:space="preserve"> Sat Feb 03 2018 13:30:23</t>
  </si>
  <si>
    <t xml:space="preserve"> Good weekend to start your Bitcoin taxes. They were harder then I expected!</t>
  </si>
  <si>
    <t xml:space="preserve"> StefanHayden</t>
  </si>
  <si>
    <t xml:space="preserve"> NYC via NJ</t>
  </si>
  <si>
    <t xml:space="preserve"> Sat Feb 03 2018 13:30:30</t>
  </si>
  <si>
    <t xml:space="preserve"> In March 2018 plans Bitcoin Atom AS Toolkit Release. #BitcoinAtom</t>
  </si>
  <si>
    <t xml:space="preserve"> altcoinsINF</t>
  </si>
  <si>
    <t xml:space="preserve"> Czech Republic</t>
  </si>
  <si>
    <t xml:space="preserve"> Sat Feb 03 2018 13:30:36</t>
  </si>
  <si>
    <t xml:space="preserve"> Can you explain bitcoin to me?  I just dont get it. -my neighbor at breakfast</t>
  </si>
  <si>
    <t xml:space="preserve"> cirrusdriver</t>
  </si>
  <si>
    <t xml:space="preserve"> Do your job!</t>
  </si>
  <si>
    <t xml:space="preserve"> Sat Feb 03 2018 13:30:57</t>
  </si>
  <si>
    <t xml:space="preserve"> @Crypto_Gossiper @javisobr @CalvinAyre this name is already taken by Bitcoin Core church.</t>
  </si>
  <si>
    <t xml:space="preserve"> hashdeus</t>
  </si>
  <si>
    <t xml:space="preserve"> pl</t>
  </si>
  <si>
    <t xml:space="preserve"> Sat Feb 03 2018 13:31:08</t>
  </si>
  <si>
    <t xml:space="preserve"> @CryptoChoe Bitcoin is about to break out from its FIRST BULL TRIANGLE since its dip to $7600. </t>
  </si>
  <si>
    <t xml:space="preserve"> Landm_Marius</t>
  </si>
  <si>
    <t xml:space="preserve"> Global Citizen</t>
  </si>
  <si>
    <t xml:space="preserve"> Sat Feb 03 2018 13:31:13</t>
  </si>
  <si>
    <t xml:space="preserve"> Hello humans, #Bitcoin is currently around $9024.76 as of Sat Feb  3 07:31:09 CST 2018</t>
  </si>
  <si>
    <t xml:space="preserve"> Sat Feb 03 2018 13:31:14</t>
  </si>
  <si>
    <t xml:space="preserve"> I should've bought Bitcoin stock when it was at 8k yesterday</t>
  </si>
  <si>
    <t xml:space="preserve"> TroobAdore</t>
  </si>
  <si>
    <t xml:space="preserve"> Dojo</t>
  </si>
  <si>
    <t xml:space="preserve"> Sat Feb 03 2018 13:31:55</t>
  </si>
  <si>
    <t xml:space="preserve"> Bitcoin will disappear. get your ass get back of Bitcoin Cash(BCH) R$ 685,60</t>
  </si>
  <si>
    <t xml:space="preserve"> VitalzAutism</t>
  </si>
  <si>
    <t xml:space="preserve"> shut</t>
  </si>
  <si>
    <t xml:space="preserve"> Sat Feb 03 2018 13:31:56</t>
  </si>
  <si>
    <t xml:space="preserve"> Welcome back to the green zone #cryptocurrency #bitcoin #Ethereum #Bytecoin</t>
  </si>
  <si>
    <t xml:space="preserve"> Sat Feb 03 2018 13:31:57</t>
  </si>
  <si>
    <t xml:space="preserve"> Don't be scared banks, i'm ONLY a new type of asset, we can be friends  - #Bitcoin</t>
  </si>
  <si>
    <t xml:space="preserve"> BTCSocialist</t>
  </si>
  <si>
    <t xml:space="preserve"> Sat Feb 03 2018 13:32:10</t>
  </si>
  <si>
    <t xml:space="preserve"> One positive thing about this correction - the BCH shills shut up. Even they are praying for Bitcoin to rebound.   #$BCH #$BTC</t>
  </si>
  <si>
    <t xml:space="preserve"> BitcoinAdvocate</t>
  </si>
  <si>
    <t xml:space="preserve"> Sat Feb 03 2018 13:32:15</t>
  </si>
  <si>
    <t xml:space="preserve"> Announcing the Tru Reputation Protocol - the future of Digital Reputation #Ethereum #Blockchain #IPFS #Bitcoin #Web3</t>
  </si>
  <si>
    <t xml:space="preserve"> elena201232</t>
  </si>
  <si>
    <t xml:space="preserve"> Sat Feb 03 2018 13:32:22</t>
  </si>
  <si>
    <t xml:space="preserve"> Bitcoin is tryna give us another chance to afford it, Lets all grab this chance!!!</t>
  </si>
  <si>
    <t xml:space="preserve"> tywo_</t>
  </si>
  <si>
    <t xml:space="preserve"> Sat Feb 03 2018 13:32:48</t>
  </si>
  <si>
    <t xml:space="preserve"> Please where is Bitto/Bitcoin.....only observing #BBNaija</t>
  </si>
  <si>
    <t xml:space="preserve"> i_am_dagos</t>
  </si>
  <si>
    <t xml:space="preserve"> Abeokuta</t>
  </si>
  <si>
    <t xml:space="preserve"> Sat Feb 03 2018 13:32:53</t>
  </si>
  <si>
    <t xml:space="preserve"> @BTCNewsUpdates @BitcoinCashFund What is the Bitcoin Cash Fund wallet address?</t>
  </si>
  <si>
    <t xml:space="preserve"> BitcoinEnquirer</t>
  </si>
  <si>
    <t xml:space="preserve"> Yggdrasill</t>
  </si>
  <si>
    <t xml:space="preserve"> Sat Feb 03 2018 13:33:17</t>
  </si>
  <si>
    <t xml:space="preserve"> BITCOIN 9107 switch to UPTREND  TARGET higher ~~~ &gt; 9364</t>
  </si>
  <si>
    <t xml:space="preserve"> petergo99037185</t>
  </si>
  <si>
    <t xml:space="preserve"> Sebring, Florida</t>
  </si>
  <si>
    <t xml:space="preserve"> Sat Feb 03 2018 13:33:23</t>
  </si>
  <si>
    <t xml:space="preserve"> #bitconnect goes 1% up and heyyyyyy heyyyyyy heyyyyyy anthem starts playing in air   #Bitcoin #crypto #cryptocurrency</t>
  </si>
  <si>
    <t xml:space="preserve"> SarcasticPappu</t>
  </si>
  <si>
    <t xml:space="preserve"> Sat Feb 03 2018 13:33:53</t>
  </si>
  <si>
    <t xml:space="preserve"> It is time to invest now in bitcoin while the price is very low! #BitcoinRevolution</t>
  </si>
  <si>
    <t xml:space="preserve"> NoelMata29</t>
  </si>
  <si>
    <t xml:space="preserve"> Bukidnon, Philippines 2018</t>
  </si>
  <si>
    <t xml:space="preserve"> Sat Feb 03 2018 13:34:02</t>
  </si>
  <si>
    <t xml:space="preserve"> #bitcoin back over the $9k mark! #cryptocrash #Binance</t>
  </si>
  <si>
    <t xml:space="preserve"> cryptocoinews</t>
  </si>
  <si>
    <t xml:space="preserve"> Sat Feb 03 2018 13:34:50</t>
  </si>
  <si>
    <t xml:space="preserve"> Invest... invest... invest now in bitcoin!</t>
  </si>
  <si>
    <t xml:space="preserve"> Sat Feb 03 2018 13:35:00</t>
  </si>
  <si>
    <t xml:space="preserve"> CryptoCompare Bitcoin price changed +1.21% to $9163.26 #bitcoin</t>
  </si>
  <si>
    <t xml:space="preserve"> Sat Feb 03 2018 13:35:32</t>
  </si>
  <si>
    <t xml:space="preserve"> India has a big share of the cryptocurrency market, accounting for about 10 percent of all bitcoin transactions Via @livetradingnews</t>
  </si>
  <si>
    <t xml:space="preserve"> LanaMahmoudAN</t>
  </si>
  <si>
    <t xml:space="preserve"> Amman</t>
  </si>
  <si>
    <t xml:space="preserve"> Sat Feb 03 2018 13:35:59</t>
  </si>
  <si>
    <t xml:space="preserve"> @Unocoin @YouTube #xrp #trx #bitcoin # altCoin #litecoin #xvg #india Soon #india will regularate #cryptocurrency</t>
  </si>
  <si>
    <t xml:space="preserve"> jamjamwala333</t>
  </si>
  <si>
    <t xml:space="preserve"> Hyderabad, India</t>
  </si>
  <si>
    <t xml:space="preserve"> Sat Feb 03 2018 13:36:03</t>
  </si>
  <si>
    <t xml:space="preserve"> @globalbiz21st Bitcoin can further go down from here BrO?</t>
  </si>
  <si>
    <t xml:space="preserve"> Sat Feb 03 2018 13:36:13</t>
  </si>
  <si>
    <t xml:space="preserve"> @RampCapitalLLC Need triangle rotating 007 license tag side 1) BitCoin 2) Dow 31K 3) Bear2018</t>
  </si>
  <si>
    <t xml:space="preserve"> randadtrade</t>
  </si>
  <si>
    <t xml:space="preserve"> gulf breeze,florida</t>
  </si>
  <si>
    <t xml:space="preserve"> Sat Feb 03 2018 13:36:44</t>
  </si>
  <si>
    <t xml:space="preserve"> It didn't take a Bitcoin ban to cause the crash - banning Bitcoin propaganda sufficed.</t>
  </si>
  <si>
    <t xml:space="preserve"> aleksj</t>
  </si>
  <si>
    <t xml:space="preserve"> New York City, USA</t>
  </si>
  <si>
    <t xml:space="preserve"> Sat Feb 03 2018 13:36:47</t>
  </si>
  <si>
    <t xml:space="preserve"> @MarinaOLoughlin Oh.   Damn.  I thought for a moment I might have had a glimmer of understanding as to what bitcoin is.</t>
  </si>
  <si>
    <t xml:space="preserve"> the_a_stevenson</t>
  </si>
  <si>
    <t xml:space="preserve"> NW England</t>
  </si>
  <si>
    <t xml:space="preserve"> Sat Feb 03 2018 13:37:38</t>
  </si>
  <si>
    <t xml:space="preserve"> CS2034b and DH2144b Assignment 2 for winter 2019</t>
  </si>
  <si>
    <t xml:space="preserve"> dservos5</t>
  </si>
  <si>
    <t xml:space="preserve"> Canada</t>
  </si>
  <si>
    <t xml:space="preserve"> Sat Feb 03 2018 13:37:48</t>
  </si>
  <si>
    <t xml:space="preserve"> cs2034b</t>
  </si>
  <si>
    <t xml:space="preserve"> Sat Feb 03 2018 13:37:49</t>
  </si>
  <si>
    <t xml:space="preserve"> This text should be in your assignment.</t>
  </si>
  <si>
    <t xml:space="preserve"> dh2144b</t>
  </si>
  <si>
    <t xml:space="preserve"> Sat Feb 03 2018 13:38:05</t>
  </si>
  <si>
    <t xml:space="preserve"> @verge Seems like the verge hates #Bitcoin ............</t>
  </si>
  <si>
    <t xml:space="preserve"> Sat Feb 03 2018 13:38:09</t>
  </si>
  <si>
    <t xml:space="preserve"> A year ago today, 1 bitcoin was worth $1,000  It's all about perspective.</t>
  </si>
  <si>
    <t xml:space="preserve"> AnonOnAMoose</t>
  </si>
  <si>
    <t xml:space="preserve"> Zion</t>
  </si>
  <si>
    <t xml:space="preserve"> Sat Feb 03 2018 13:38:14</t>
  </si>
  <si>
    <t xml:space="preserve"> how do I stop the bitcoin ads</t>
  </si>
  <si>
    <t xml:space="preserve"> vertiroo</t>
  </si>
  <si>
    <t xml:space="preserve"> Gay Street, Baltimore</t>
  </si>
  <si>
    <t xml:space="preserve"> Sat Feb 03 2018 13:38:25</t>
  </si>
  <si>
    <t xml:space="preserve"> $BTC : I smell a little run for bitcoin today, if bulls can manage to take a little bit of control back.</t>
  </si>
  <si>
    <t xml:space="preserve"> crypto_dre</t>
  </si>
  <si>
    <t xml:space="preserve"> En route to the moon</t>
  </si>
  <si>
    <t xml:space="preserve"> Sat Feb 03 2018 13:38:59</t>
  </si>
  <si>
    <t xml:space="preserve"> I got into crypto while bitcoin was almost 17k. This has been quite a ride.</t>
  </si>
  <si>
    <t xml:space="preserve"> ThisCryptoStuff</t>
  </si>
  <si>
    <t xml:space="preserve"> Sat Feb 03 2018 13:39:23</t>
  </si>
  <si>
    <t xml:space="preserve"> @oerockets or just leave it in Bitcoin? Moooooon</t>
  </si>
  <si>
    <t xml:space="preserve"> Kiigriibirdwork</t>
  </si>
  <si>
    <t xml:space="preserve"> Sat Feb 03 2018 13:39:28</t>
  </si>
  <si>
    <t xml:space="preserve"> No, this is the next big thing! I swear to god, investing in Bitcoin is going to get us out of debt and make us rich, Natsuhi!</t>
  </si>
  <si>
    <t xml:space="preserve"> oocremi</t>
  </si>
  <si>
    <t xml:space="preserve"> Sat Feb 03 2018 13:39:30</t>
  </si>
  <si>
    <t xml:space="preserve"> @Pacoiin $ dta is good buy !! I want to put in ny 2 bitcoin in altcoin please advice</t>
  </si>
  <si>
    <t xml:space="preserve"> parikshit_talks</t>
  </si>
  <si>
    <t xml:space="preserve"> Sat Feb 03 2018 13:39:38</t>
  </si>
  <si>
    <t xml:space="preserve"> Easy ass Bitcoin bounce lmaooo </t>
  </si>
  <si>
    <t xml:space="preserve"> __Rajah</t>
  </si>
  <si>
    <t xml:space="preserve"> Sat Feb 03 2018 13:40:06</t>
  </si>
  <si>
    <t xml:space="preserve"> Bitcoin </t>
  </si>
  <si>
    <t xml:space="preserve"> dare_kki</t>
  </si>
  <si>
    <t xml:space="preserve"> ko</t>
  </si>
  <si>
    <t xml:space="preserve"> Sat Feb 03 2018 13:40:11</t>
  </si>
  <si>
    <t xml:space="preserve"> Yo memo so inflated, it's the new bitcoin.   #BlockchainLife #YoMemoJokes</t>
  </si>
  <si>
    <t xml:space="preserve"> TaiRagan</t>
  </si>
  <si>
    <t xml:space="preserve"> Sat Feb 03 2018 13:40:48</t>
  </si>
  <si>
    <t xml:space="preserve"> This bitcoin market never closes. I cant sleep anymore</t>
  </si>
  <si>
    <t xml:space="preserve"> realbadmonkey</t>
  </si>
  <si>
    <t xml:space="preserve"> Texas, USA</t>
  </si>
  <si>
    <t xml:space="preserve"> Sat Feb 03 2018 13:40:50</t>
  </si>
  <si>
    <t xml:space="preserve"> Bitcoin in a way to $10000</t>
  </si>
  <si>
    <t xml:space="preserve"> CryptoUpdate247</t>
  </si>
  <si>
    <t xml:space="preserve"> Sat Feb 03 2018 13:41:01</t>
  </si>
  <si>
    <t xml:space="preserve"> 1 Bitcoin = 7450 Euro</t>
  </si>
  <si>
    <t xml:space="preserve"> Sat Feb 03 2018 13:41:04</t>
  </si>
  <si>
    <t xml:space="preserve"> @Bitcoin help please send  me little eth  0x8e83d0348279faa3bbacf99b09c43b2ffe8b2dd0   needs a new home</t>
  </si>
  <si>
    <t xml:space="preserve"> juliett94391516</t>
  </si>
  <si>
    <t xml:space="preserve"> Sat Feb 03 2018 13:41:10</t>
  </si>
  <si>
    <t xml:space="preserve"> @Malliard I think Bitcoin to be abit unstable...</t>
  </si>
  <si>
    <t xml:space="preserve"> themorrymethod</t>
  </si>
  <si>
    <t xml:space="preserve"> Bowmanville, Canada</t>
  </si>
  <si>
    <t xml:space="preserve"> Sat Feb 03 2018 13:41:12</t>
  </si>
  <si>
    <t xml:space="preserve"> Bitcoin percentage of market cap: 34.56 % #BPOMC #Bitcoin #Altcoin #Blockchain #Cryptocurrency #Dominance</t>
  </si>
  <si>
    <t xml:space="preserve"> Sat Feb 03 2018 13:41:14</t>
  </si>
  <si>
    <t xml:space="preserve"> Bitcoin has been on a run since 3 AM EST. Its going to break 9500 soon.</t>
  </si>
  <si>
    <t xml:space="preserve"> NoWayJJose</t>
  </si>
  <si>
    <t xml:space="preserve"> Bit Boston</t>
  </si>
  <si>
    <t xml:space="preserve"> Sat Feb 03 2018 13:41:55</t>
  </si>
  <si>
    <t xml:space="preserve"> I added a vital subject. - Regulators have truly inspiring words to withdraw or when bitcoin - prix de la machine minire</t>
  </si>
  <si>
    <t xml:space="preserve"> Sat Feb 03 2018 13:42:11</t>
  </si>
  <si>
    <t xml:space="preserve"> Had no idea people used their credit cards to buy bitcoin. Why would I do that?</t>
  </si>
  <si>
    <t xml:space="preserve"> JamMorro</t>
  </si>
  <si>
    <t xml:space="preserve"> Jamaica</t>
  </si>
  <si>
    <t xml:space="preserve"> Sat Feb 03 2018 13:42:35</t>
  </si>
  <si>
    <t xml:space="preserve"> Whats bitcoin?</t>
  </si>
  <si>
    <t xml:space="preserve"> jazzmina__</t>
  </si>
  <si>
    <t xml:space="preserve"> PA</t>
  </si>
  <si>
    <t xml:space="preserve"> Sat Feb 03 2018 13:42:50</t>
  </si>
  <si>
    <t xml:space="preserve"> @connellmcshane Question: How much did drop of Bitcoin cause sell off by investing fund managers?</t>
  </si>
  <si>
    <t xml:space="preserve"> JudyB28</t>
  </si>
  <si>
    <t xml:space="preserve"> Southwestern Ohio conservative</t>
  </si>
  <si>
    <t xml:space="preserve"> Sat Feb 03 2018 13:43:16</t>
  </si>
  <si>
    <t xml:space="preserve"> @selenakyle best I can tell 102% of the bay area now works at a bitcoin startup</t>
  </si>
  <si>
    <t xml:space="preserve"> dakami</t>
  </si>
  <si>
    <t xml:space="preserve"> Chief Scientist, whiteops.com</t>
  </si>
  <si>
    <t xml:space="preserve"> Sat Feb 03 2018 13:43:28</t>
  </si>
  <si>
    <t xml:space="preserve"> #ICanAlwaysUseAnother Currency besides bitcoin</t>
  </si>
  <si>
    <t xml:space="preserve"> Toonyyx666</t>
  </si>
  <si>
    <t xml:space="preserve"> Massachusetts, USA</t>
  </si>
  <si>
    <t xml:space="preserve"> Sat Feb 03 2018 13:43:44</t>
  </si>
  <si>
    <t xml:space="preserve"> A nice green #crypto morning. #Bullish #btc #bitcoin</t>
  </si>
  <si>
    <t xml:space="preserve"> GordyandRay</t>
  </si>
  <si>
    <t xml:space="preserve"> Seattle, WA</t>
  </si>
  <si>
    <t xml:space="preserve"> Sat Feb 03 2018 13:43:58</t>
  </si>
  <si>
    <t xml:space="preserve"> What investment can I do online apart from Blogging or  Bitcoin or Online Betting.  Serious mind comments only.</t>
  </si>
  <si>
    <t xml:space="preserve"> donvman_TECH</t>
  </si>
  <si>
    <t xml:space="preserve"> #WorldWide</t>
  </si>
  <si>
    <t xml:space="preserve"> Sat Feb 03 2018 13:44:58</t>
  </si>
  <si>
    <t xml:space="preserve"> @mikeeeylaaa Bitcoin</t>
  </si>
  <si>
    <t xml:space="preserve"> LloydTuazonTowh</t>
  </si>
  <si>
    <t xml:space="preserve"> Santa Rosa, Central Luzon</t>
  </si>
  <si>
    <t xml:space="preserve"> Sat Feb 03 2018 13:45:00</t>
  </si>
  <si>
    <t xml:space="preserve"> CryptoCompare Bitcoin price changed +1.19% to $9272.29 #bitcoin</t>
  </si>
  <si>
    <t xml:space="preserve"> Sat Feb 03 2018 13:45:02</t>
  </si>
  <si>
    <t xml:space="preserve"> There are currently 11,416 unconfirmed Bitcoin transactions. #bitcoin #btc $BTC</t>
  </si>
  <si>
    <t xml:space="preserve"> Sat Feb 03 2018 13:45:04</t>
  </si>
  <si>
    <t xml:space="preserve"> @altcointhoreau Keep selling your bitcoin</t>
  </si>
  <si>
    <t xml:space="preserve"> OOSleith</t>
  </si>
  <si>
    <t xml:space="preserve"> Nova Scotia, Canada</t>
  </si>
  <si>
    <t xml:space="preserve"> Sat Feb 03 2018 13:45:17</t>
  </si>
  <si>
    <t xml:space="preserve"> Dead cat bounce or reversal? Hmmm #bitcoin</t>
  </si>
  <si>
    <t xml:space="preserve"> Wearewewill</t>
  </si>
  <si>
    <t xml:space="preserve"> Sat Feb 03 2018 13:45:23</t>
  </si>
  <si>
    <t xml:space="preserve"> @zerohedge ye, we all know Trump is to be blamed for the coming financial crash... #cryptos will save many deaths though. go #Bitcoin!</t>
  </si>
  <si>
    <t xml:space="preserve"> Mikosoph</t>
  </si>
  <si>
    <t xml:space="preserve"> Sat Feb 03 2018 13:46:28</t>
  </si>
  <si>
    <t xml:space="preserve"> The best part of hodling crypto during crashes is how relatable all the memes become #bitcoin #dogecoin #ripple</t>
  </si>
  <si>
    <t xml:space="preserve"> StreetCarJake</t>
  </si>
  <si>
    <t xml:space="preserve"> Sat Feb 03 2018 13:46:34</t>
  </si>
  <si>
    <t xml:space="preserve"> Hahaha so #bitcoin is ready to soar it seems let's be ready to sell as soon as it reaches 17k can  be smarter than banks for sure</t>
  </si>
  <si>
    <t xml:space="preserve"> Sid18672054</t>
  </si>
  <si>
    <t xml:space="preserve"> Sat Feb 03 2018 13:46:41</t>
  </si>
  <si>
    <t xml:space="preserve"> Do I have to understand bitcoin?</t>
  </si>
  <si>
    <t xml:space="preserve"> CholeCam</t>
  </si>
  <si>
    <t xml:space="preserve"> Sat Feb 03 2018 13:46:48</t>
  </si>
  <si>
    <t xml:space="preserve"> @DepressedDarth You need to talk about starwars and bitcoin...nothing else</t>
  </si>
  <si>
    <t xml:space="preserve"> Sat Feb 03 2018 13:47:11</t>
  </si>
  <si>
    <t xml:space="preserve"> Bitcoin panic selloff crash 530 and Lower</t>
  </si>
  <si>
    <t xml:space="preserve"> Sat Feb 03 2018 13:47:27</t>
  </si>
  <si>
    <t xml:space="preserve"> You misspelled counterfeit scams of bitcoin @Bitcoin @cryptonewsretw @BTCTN</t>
  </si>
  <si>
    <t xml:space="preserve"> Alex_YYZ</t>
  </si>
  <si>
    <t xml:space="preserve"> Toronto, Ontario</t>
  </si>
  <si>
    <t xml:space="preserve"> Sat Feb 03 2018 13:47:40</t>
  </si>
  <si>
    <t xml:space="preserve"> 1 BITCOIN = $9,197</t>
  </si>
  <si>
    <t xml:space="preserve"> Sat Feb 03 2018 13:47:42</t>
  </si>
  <si>
    <t xml:space="preserve"> Optimal tx fee: 65 satoshi per byte.  BTC : $9074 / 7281 / 6425 @ Block 507435.  Market Cap: 152.38B USD. #Bitcoin #Finance</t>
  </si>
  <si>
    <t xml:space="preserve"> Sat Feb 03 2018 13:48:00</t>
  </si>
  <si>
    <t xml:space="preserve"> I hate bitcoin miners stealing all the gpus</t>
  </si>
  <si>
    <t xml:space="preserve"> ksg_za</t>
  </si>
  <si>
    <t xml:space="preserve"> where ever i want to be</t>
  </si>
  <si>
    <t xml:space="preserve"> Sat Feb 03 2018 13:48:25</t>
  </si>
  <si>
    <t xml:space="preserve"> Troubleshooting Bitcoin Gold and Bitcoin Candy Expected Soon #Bitcoin</t>
  </si>
  <si>
    <t xml:space="preserve"> Sat Feb 03 2018 13:48:29</t>
  </si>
  <si>
    <t xml:space="preserve"> The bounce back is Real   #crypto #bitcoin #rich #invest #blockchain #freedom #wealth</t>
  </si>
  <si>
    <t xml:space="preserve"> TrinnyTrYnT</t>
  </si>
  <si>
    <t xml:space="preserve"> somewhere living my life</t>
  </si>
  <si>
    <t xml:space="preserve"> Sat Feb 03 2018 13:48:40</t>
  </si>
  <si>
    <t xml:space="preserve"> Bitcoin prices went up slightly.  24hrs range: $8,123.62  $9,090.00</t>
  </si>
  <si>
    <t xml:space="preserve"> owlg</t>
  </si>
  <si>
    <t xml:space="preserve"> Sat Feb 03 2018 13:48:48</t>
  </si>
  <si>
    <t xml:space="preserve"> ..#mining with our #Pools #Fastcoin #Emerald #GameCredits #VERGE  #Bitbar #Zetacoin #PRUX #TAGCOIN #Bitcoin #Belacoin #BTC</t>
  </si>
  <si>
    <t xml:space="preserve"> MasterminingNet</t>
  </si>
  <si>
    <t xml:space="preserve"> Sat Feb 03 2018 13:49:01</t>
  </si>
  <si>
    <t xml:space="preserve"> $#BTCUSD: #BitCoin (9207.00) 1mTrending+ (2.5%), bars:16, 3NearHi, 3mMv:+4, 16:3Accel+, tf:0111111, FirmTrnd-:+100%, 5LoDays:55%</t>
  </si>
  <si>
    <t xml:space="preserve"> Sat Feb 03 2018 13:49:16</t>
  </si>
  <si>
    <t xml:space="preserve"> @DavorCoin @Cryp_investor I sold some Dav last night at 10:30 to bitcoin and the next day at 9:00 it still didnt go through.</t>
  </si>
  <si>
    <t xml:space="preserve"> JanieDuVall</t>
  </si>
  <si>
    <t xml:space="preserve"> Sat Feb 03 2018 13:49:17</t>
  </si>
  <si>
    <t xml:space="preserve"> Close the door behind you. #Bitcoin  #whatarip #bcash #monero #verge #ripple #stellar #neo #Digibyte #ethereum #crypto #trading</t>
  </si>
  <si>
    <t xml:space="preserve"> ChartDavidson</t>
  </si>
  <si>
    <t xml:space="preserve"> Parts Unknown</t>
  </si>
  <si>
    <t xml:space="preserve"> Sat Feb 03 2018 13:50:10</t>
  </si>
  <si>
    <t xml:space="preserve"> @CryptoChoe Since your bearish that means new highs for Bitcoin Great! Your the signal so crypto can go higher lol</t>
  </si>
  <si>
    <t xml:space="preserve"> rodolfomunoz2</t>
  </si>
  <si>
    <t xml:space="preserve"> Sat Feb 03 2018 13:50:16</t>
  </si>
  <si>
    <t xml:space="preserve"> @Bitcoin Unfollowed</t>
  </si>
  <si>
    <t xml:space="preserve"> theehodoor</t>
  </si>
  <si>
    <t xml:space="preserve"> Sat Feb 03 2018 13:50:22</t>
  </si>
  <si>
    <t xml:space="preserve"> @angelysaras_AAA Bitcoin</t>
  </si>
  <si>
    <t xml:space="preserve"> EssienToSeguro</t>
  </si>
  <si>
    <t xml:space="preserve"> Sat Feb 03 2018 13:50:27</t>
  </si>
  <si>
    <t xml:space="preserve"> If your brand new idea is immediately accepted by many, it's probably not as new as you thought it was #quoteoftheday #homunculus #bitcoin</t>
  </si>
  <si>
    <t xml:space="preserve"> tweeeteinstein</t>
  </si>
  <si>
    <t xml:space="preserve"> Columbus, Ohio, US</t>
  </si>
  <si>
    <t xml:space="preserve"> Sat Feb 03 2018 13:50:36</t>
  </si>
  <si>
    <t xml:space="preserve"> Finally bitcoin broke nine this is going be a good month</t>
  </si>
  <si>
    <t xml:space="preserve"> crypto_carter</t>
  </si>
  <si>
    <t xml:space="preserve"> Oklahoma</t>
  </si>
  <si>
    <t xml:space="preserve"> Sat Feb 03 2018 13:51:05</t>
  </si>
  <si>
    <t xml:space="preserve"> @rachelb2010 Your temperature is like bitcoin over the past 2 months lol</t>
  </si>
  <si>
    <t xml:space="preserve"> NYRambler</t>
  </si>
  <si>
    <t xml:space="preserve"> Brooklyn, NY</t>
  </si>
  <si>
    <t xml:space="preserve"> Sat Feb 03 2018 13:51:21</t>
  </si>
  <si>
    <t xml:space="preserve"> @Bitcoin we thought its about #bitcoin $btc and not $bch #isntit</t>
  </si>
  <si>
    <t xml:space="preserve"> TheFutureOfDigi</t>
  </si>
  <si>
    <t xml:space="preserve"> USA</t>
  </si>
  <si>
    <t xml:space="preserve"> Sat Feb 03 2018 13:51:23</t>
  </si>
  <si>
    <t xml:space="preserve"> @flyingheadofbtc @daytradernik Sir, I want to work for Bitcoin. Where do i send my resume? Thank you in advance</t>
  </si>
  <si>
    <t xml:space="preserve"> CGBuzzb</t>
  </si>
  <si>
    <t xml:space="preserve"> Sat Feb 03 2018 13:51:34</t>
  </si>
  <si>
    <t xml:space="preserve"> The recovery continues   #Bitcoin</t>
  </si>
  <si>
    <t xml:space="preserve"> Zulubus</t>
  </si>
  <si>
    <t xml:space="preserve"> Sat Feb 03 2018 13:51:56</t>
  </si>
  <si>
    <t xml:space="preserve"> Join this when bitcoin</t>
  </si>
  <si>
    <t xml:space="preserve"> Sat Feb 03 2018 13:52:10</t>
  </si>
  <si>
    <t xml:space="preserve"> Someone buy my bitcoin @ $9,000  @BitQuickco</t>
  </si>
  <si>
    <t xml:space="preserve"> hotrodder99</t>
  </si>
  <si>
    <t xml:space="preserve"> Sat Feb 03 2018 13:52:11</t>
  </si>
  <si>
    <t xml:space="preserve"> Please stop investing in Bitcoin so I can afford a new graphics card please</t>
  </si>
  <si>
    <t xml:space="preserve"> strcz</t>
  </si>
  <si>
    <t xml:space="preserve"> New England</t>
  </si>
  <si>
    <t xml:space="preserve"> Sat Feb 03 2018 13:52:15</t>
  </si>
  <si>
    <t xml:space="preserve"> @coindesk And the next article will say bitcoin makes massive recovery amd no mention of xrp</t>
  </si>
  <si>
    <t xml:space="preserve"> Brucelaing5</t>
  </si>
  <si>
    <t xml:space="preserve"> Sat Feb 03 2018 13:52:45</t>
  </si>
  <si>
    <t xml:space="preserve"> @djdunclive @Nouriel Bitcoin is no ponzi, there is a way out, you can now hash your coin and make it grow right inside your wallet.</t>
  </si>
  <si>
    <t xml:space="preserve"> Sat Feb 03 2018 13:53:03</t>
  </si>
  <si>
    <t xml:space="preserve"> @thegrugq @matthew_d_green @alfiedotwtf $0.10 for Bitcoin ATM...</t>
  </si>
  <si>
    <t xml:space="preserve"> mmeijeri</t>
  </si>
  <si>
    <t xml:space="preserve"> Leiden, Netherlands</t>
  </si>
  <si>
    <t xml:space="preserve"> Sat Feb 03 2018 13:53:38</t>
  </si>
  <si>
    <t xml:space="preserve"> @SlideCoin bitcoin is good</t>
  </si>
  <si>
    <t xml:space="preserve"> Shivkum66013418</t>
  </si>
  <si>
    <t xml:space="preserve"> Sat Feb 03 2018 13:53:54</t>
  </si>
  <si>
    <t xml:space="preserve"> Once a #Bitcoin is worth less than the space it takes up on my hard drive, I'm all in.</t>
  </si>
  <si>
    <t xml:space="preserve"> rjonesx</t>
  </si>
  <si>
    <t xml:space="preserve"> Cary, NC</t>
  </si>
  <si>
    <t xml:space="preserve"> Sat Feb 03 2018 13:54:00</t>
  </si>
  <si>
    <t xml:space="preserve"> Keep in mind #Bitcoin went from $2000 to $20k in a matter of a few months, so a serious correction is in order before the next #crypto runup</t>
  </si>
  <si>
    <t xml:space="preserve"> IBuyBlockchain</t>
  </si>
  <si>
    <t xml:space="preserve"> Orlando, FL</t>
  </si>
  <si>
    <t xml:space="preserve"> Sat Feb 03 2018 13:54:24</t>
  </si>
  <si>
    <t xml:space="preserve"> @ronnieo147 @Eurosport_UK Bitcoin mate....</t>
  </si>
  <si>
    <t xml:space="preserve"> swissbanker78</t>
  </si>
  <si>
    <t xml:space="preserve"> Basel City</t>
  </si>
  <si>
    <t xml:space="preserve"> Sat Feb 03 2018 13:54:57</t>
  </si>
  <si>
    <t xml:space="preserve"> @bullishgentlemn Miners are Bitcoin too. More miners = increased difficulty = less profit.</t>
  </si>
  <si>
    <t xml:space="preserve"> OldPaSink</t>
  </si>
  <si>
    <t xml:space="preserve"> Sat Feb 03 2018 13:55:01</t>
  </si>
  <si>
    <t xml:space="preserve"> @WiseManPumps Bitcoin adress: 18exsJrjdzSassKC516ff74g1TWodKViQw Eth adress: 0x56b1156004c39e7430f0d04475a8de7f5995409c Would love to get it</t>
  </si>
  <si>
    <t xml:space="preserve"> Daniel_D_johnse</t>
  </si>
  <si>
    <t xml:space="preserve"> Sat Feb 03 2018 13:55:07</t>
  </si>
  <si>
    <t xml:space="preserve"> Buy bitcoin, contact me  if interested #BTC #cryptotrading #crytocurrency</t>
  </si>
  <si>
    <t xml:space="preserve"> Sat Feb 03 2018 13:55:10</t>
  </si>
  <si>
    <t xml:space="preserve"> @SlayAvenue @Independent But Bitcoin was supposed to be the bank slayer, why are you still blaming banks?</t>
  </si>
  <si>
    <t xml:space="preserve"> DjukaMatauri</t>
  </si>
  <si>
    <t xml:space="preserve"> Polokwane, ZA</t>
  </si>
  <si>
    <t xml:space="preserve"> Sat Feb 03 2018 13:55:17</t>
  </si>
  <si>
    <t xml:space="preserve"> @BabakGolriz But is there any hope for Bitcoin?</t>
  </si>
  <si>
    <t xml:space="preserve"> zahidiqbal786</t>
  </si>
  <si>
    <t xml:space="preserve"> Manchester </t>
  </si>
  <si>
    <t xml:space="preserve"> Sat Feb 03 2018 13:55:31</t>
  </si>
  <si>
    <t xml:space="preserve"> Need to buy some bitcoin</t>
  </si>
  <si>
    <t xml:space="preserve"> melvthehodler</t>
  </si>
  <si>
    <t xml:space="preserve"> Sat Feb 03 2018 13:55:38</t>
  </si>
  <si>
    <t xml:space="preserve"> @MarkYusko IMO rebounce looks like a wave 4 of wave c down. Therefore one more dip coming. #bitcoin</t>
  </si>
  <si>
    <t xml:space="preserve"> uschwerd</t>
  </si>
  <si>
    <t xml:space="preserve"> Mnchen</t>
  </si>
  <si>
    <t xml:space="preserve"> Sat Feb 03 2018 13:55:46</t>
  </si>
  <si>
    <t xml:space="preserve"> @MarkYusko Are you talking about bitcoin?</t>
  </si>
  <si>
    <t xml:space="preserve"> mleonard2009</t>
  </si>
  <si>
    <t xml:space="preserve"> Sat Feb 03 2018 13:56:25</t>
  </si>
  <si>
    <t xml:space="preserve"> I am interested in #xrp #trx #bitcoin ?</t>
  </si>
  <si>
    <t xml:space="preserve"> Sat Feb 03 2018 13:56:30</t>
  </si>
  <si>
    <t xml:space="preserve"> The government can't stop Bitcoin </t>
  </si>
  <si>
    <t xml:space="preserve"> Sat Feb 03 2018 13:56:45</t>
  </si>
  <si>
    <t xml:space="preserve"> ok so, thats 600 GB on disk to put bitcoin transactions in a graph.   #neo4j #FOSDEM2018</t>
  </si>
  <si>
    <t xml:space="preserve"> wadael</t>
  </si>
  <si>
    <t xml:space="preserve"> Sat Feb 03 2018 13:57:05</t>
  </si>
  <si>
    <t xml:space="preserve"> @cryptolandz @Nouriel @MichaelKitces Free ebook on how to hash your bitcoin right inside your blockchain wallet.</t>
  </si>
  <si>
    <t xml:space="preserve"> Sat Feb 03 2018 13:57:32</t>
  </si>
  <si>
    <t xml:space="preserve"> Looking forward to the day we view 4 digit #bitcoin the way we view 3 digit #bitcoin today. A long forgotten memory</t>
  </si>
  <si>
    <t xml:space="preserve"> snitch_god</t>
  </si>
  <si>
    <t xml:space="preserve"> Sat Feb 03 2018 13:57:34</t>
  </si>
  <si>
    <t xml:space="preserve"> #LearnSomething Bitcoin as an investment? @aantonop explains. #Hodl The central bankers will do the rest.</t>
  </si>
  <si>
    <t xml:space="preserve"> KryptoKonsumer</t>
  </si>
  <si>
    <t xml:space="preserve"> FEMA Region 3</t>
  </si>
  <si>
    <t xml:space="preserve"> Sat Feb 03 2018 13:57:43</t>
  </si>
  <si>
    <t xml:space="preserve"> I see /r/Bitcoin is demonstrating their lack of investment knowledge yet again.</t>
  </si>
  <si>
    <t xml:space="preserve"> Worthless_Bums</t>
  </si>
  <si>
    <t xml:space="preserve"> Sat Feb 03 2018 13:59:10</t>
  </si>
  <si>
    <t xml:space="preserve"> @Mars_Murrays Lower $BTC just makes the #AltSpring that much more pumpy to build me a bigger #Bitcoin pile.</t>
  </si>
  <si>
    <t xml:space="preserve"> CoinBoy420</t>
  </si>
  <si>
    <t xml:space="preserve"> Sat Feb 03 2018 13:59:11</t>
  </si>
  <si>
    <t xml:space="preserve"> @holylightman @dukeleto @BTCHush i just tried a 'L' pk from a bitcoin wallet and balance is 0?? @dukeleto</t>
  </si>
  <si>
    <t xml:space="preserve"> cooper_5e</t>
  </si>
  <si>
    <t xml:space="preserve"> bc1qls5gky4znmumd4zdemlwttegcrvpdv3jz5jg3e</t>
  </si>
  <si>
    <t xml:space="preserve"> Sat Feb 03 2018 13:59:12</t>
  </si>
  <si>
    <t xml:space="preserve"> Who do you have more disdain for? #crypto #bitcoin</t>
  </si>
  <si>
    <t xml:space="preserve"> Sat Feb 03 2018 13:59:15</t>
  </si>
  <si>
    <t xml:space="preserve"> some stoch exaustion on 4h chart. daily chart looking very good, we could see #bitcoin break 10k in 2-3 attempt maybe</t>
  </si>
  <si>
    <t xml:space="preserve"> criptopaul</t>
  </si>
  <si>
    <t xml:space="preserve"> Sat Feb 03 2018 13:59:20</t>
  </si>
  <si>
    <t xml:space="preserve"> @bitterclinger4e I would rather become a homeless bum than buy bitcoin</t>
  </si>
  <si>
    <t xml:space="preserve"> steve_jorbz</t>
  </si>
  <si>
    <t xml:space="preserve"> Sat Feb 03 2018 13:59:47</t>
  </si>
  <si>
    <t xml:space="preserve"> @Entrevistamento Dr. Bitcoin</t>
  </si>
  <si>
    <t xml:space="preserve"> RobsonSenpai</t>
  </si>
  <si>
    <t xml:space="preserve"> Curitiba, Paran, Brasil :)</t>
  </si>
  <si>
    <t xml:space="preserve"> Sat Feb 03 2018 13:59:55</t>
  </si>
  <si>
    <t xml:space="preserve"> @theonevortex Bitcoin, like life, is a 24/7 ongoing event</t>
  </si>
  <si>
    <t xml:space="preserve"> meekers999</t>
  </si>
  <si>
    <t xml:space="preserve"> Sat Feb 03 2018 14:00:00</t>
  </si>
  <si>
    <t xml:space="preserve"> @ #1, Bitcoin with unit price of $9,208.89, market cap of $155,104,984,332 (34.53%), and 24 hr vol. of $8,631,150,000 (31.21%)</t>
  </si>
  <si>
    <t xml:space="preserve"> Sat Feb 03 2018 14:00:02</t>
  </si>
  <si>
    <t xml:space="preserve"> Average Bitcoin market price is: USD 9,252.34, EUR 7,440.55</t>
  </si>
  <si>
    <t xml:space="preserve"> Current BTC Dominance: 34.53% #Bitcoin #Altcoin #Cryptocurrency</t>
  </si>
  <si>
    <t xml:space="preserve"> Bitcoin:$9209.09 Ethereum:$972.376 Bitcoin Cash:$1251.59 Litecoin:$145.196 Ripple:$0.940616 IOTA:$1.91887</t>
  </si>
  <si>
    <t xml:space="preserve"> The average price of Bitcoin across all exchanges is 9,209.09 USD</t>
  </si>
  <si>
    <t xml:space="preserve"> Sat Feb 03 2018 14:00:06</t>
  </si>
  <si>
    <t xml:space="preserve"> Feb 03, 2018 06:00AM #Bitcoin Price: USD 8724.25 | EUR 7036.41 | JPY 934064.38</t>
  </si>
  <si>
    <t xml:space="preserve"> Sat Feb 03 2018 14:00:13</t>
  </si>
  <si>
    <t xml:space="preserve"> Top 6 BTC/USD Exchange Orderbooks: Resistance til $9500:$24.1M; Support til $9000:$18.6M $BTC $BTCUSD #bitcoin #orderbook #markets #crypto</t>
  </si>
  <si>
    <t xml:space="preserve"> Sat Feb 03 2018 14:00:18</t>
  </si>
  <si>
    <t xml:space="preserve"> This is the best company for your investment! #FLOGmall #Blockchain #Bitcoin #BTC #Ethereum #ETH #ICO</t>
  </si>
  <si>
    <t xml:space="preserve"> Nikolai19897</t>
  </si>
  <si>
    <t xml:space="preserve"> Sat Feb 03 2018 14:00:30</t>
  </si>
  <si>
    <t xml:space="preserve"> 3-day technical analysis on REQ (Request Network) is 10x, HUGE on Binance! #altcoins #req #bitcoin #xvg #verge #rdd #btc #xrp #ripple #eth</t>
  </si>
  <si>
    <t xml:space="preserve"> mariamarianasto</t>
  </si>
  <si>
    <t xml:space="preserve"> Sat Feb 03 2018 14:00:31</t>
  </si>
  <si>
    <t xml:space="preserve"> BTC hourly update $9284.07    |    +0.0226% $BTC #BTCUSD #Bitcoin</t>
  </si>
  <si>
    <t xml:space="preserve"> Sat Feb 03 2018 14:00:38</t>
  </si>
  <si>
    <t xml:space="preserve"> Current price of Bitcoin is $9260.01 via Chain</t>
  </si>
  <si>
    <t xml:space="preserve"> leonardosabreu</t>
  </si>
  <si>
    <t xml:space="preserve"> Brazil</t>
  </si>
  <si>
    <t xml:space="preserve"> Sat Feb 03 2018 14:00:58</t>
  </si>
  <si>
    <t xml:space="preserve"> Market is GREEN right now. #Crypto  #Bitcoin  #altcoin</t>
  </si>
  <si>
    <t xml:space="preserve"> kumarsbera</t>
  </si>
  <si>
    <t xml:space="preserve"> West Bengal. India</t>
  </si>
  <si>
    <t xml:space="preserve"> Sat Feb 03 2018 14:01:01</t>
  </si>
  <si>
    <t xml:space="preserve"> Current price of Bitcoin is $9260.01</t>
  </si>
  <si>
    <t xml:space="preserve"> Sat Feb 03 2018 14:01:02</t>
  </si>
  <si>
    <t xml:space="preserve"> Top 6 BTC/USD Exchange Orderbooks: Resistance til $9000:$20.6M; Support til $8400:$27.2M $BTC $BTCUSD #bitcoin #orderbook #cryptocurrency</t>
  </si>
  <si>
    <t xml:space="preserve"> Sat Feb 03 2018 14:01:11</t>
  </si>
  <si>
    <t xml:space="preserve"> MartinA13693552</t>
  </si>
  <si>
    <t xml:space="preserve"> Sat Feb 03 2018 14:01:17</t>
  </si>
  <si>
    <t xml:space="preserve"> To join the company! The team works  very good #FLOGmall #Blockchain #Bitcoin #BTC #Ethereum #ETH #ICO</t>
  </si>
  <si>
    <t xml:space="preserve"> SvetaBesleeva</t>
  </si>
  <si>
    <t xml:space="preserve"> Current price of #Bitcoin is $9260.01</t>
  </si>
  <si>
    <t xml:space="preserve"> Sat Feb 03 2018 14:01:30</t>
  </si>
  <si>
    <t xml:space="preserve"> Sat Feb 03 2018 14:01:32</t>
  </si>
  <si>
    <t xml:space="preserve"> Today's Bitcoin Price 9260.01 USD via Chain</t>
  </si>
  <si>
    <t xml:space="preserve"> tiagogpedrosa</t>
  </si>
  <si>
    <t xml:space="preserve"> Sat Feb 03 2018 14:01:35</t>
  </si>
  <si>
    <t xml:space="preserve"> Current price of Bitcoin is $9260.01 Like if thats good for you and retweet if thats not good for you #bitcoin #btc #bitcoinprice</t>
  </si>
  <si>
    <t xml:space="preserve"> Sat Feb 03 2018 14:01:40</t>
  </si>
  <si>
    <t xml:space="preserve"> @ArbiTraCoin_ Why is it the bitcoin I transfered to my wallet hasnt appeared yet? Round 3 is just few hours before it starts.</t>
  </si>
  <si>
    <t xml:space="preserve"> thebatman9999</t>
  </si>
  <si>
    <t xml:space="preserve"> Sat Feb 03 2018 14:02:09</t>
  </si>
  <si>
    <t xml:space="preserve"> @Seapeekay does it show ur bitcoin amount</t>
  </si>
  <si>
    <t xml:space="preserve"> niteari</t>
  </si>
  <si>
    <t xml:space="preserve"> 19/03/16  h, m, j, a, k, </t>
  </si>
  <si>
    <t xml:space="preserve"> Sat Feb 03 2018 14:02:15</t>
  </si>
  <si>
    <t xml:space="preserve"> Current #bitcoin price: $9260.01 USD</t>
  </si>
  <si>
    <t xml:space="preserve"> Crypto_Gravy</t>
  </si>
  <si>
    <t xml:space="preserve"> Sat Feb 03 2018 14:02:17</t>
  </si>
  <si>
    <t xml:space="preserve"> Current price of #Bitcoin is $9260.01 via Chain</t>
  </si>
  <si>
    <t xml:space="preserve"> KoehnGarrett</t>
  </si>
  <si>
    <t xml:space="preserve"> San Francisco, CA</t>
  </si>
  <si>
    <t xml:space="preserve"> Sat Feb 03 2018 14:03:02</t>
  </si>
  <si>
    <t xml:space="preserve"> Bitcoin 9260.01 $</t>
  </si>
  <si>
    <t xml:space="preserve"> Sat Feb 03 2018 14:03:04</t>
  </si>
  <si>
    <t xml:space="preserve"> #Bitcoin $1 USD is currently worth 0.00010889 BTC! #GoldCoinJar</t>
  </si>
  <si>
    <t xml:space="preserve"> Sat Feb 03 2018 14:03:08</t>
  </si>
  <si>
    <t xml:space="preserve"> BrandJournals</t>
  </si>
  <si>
    <t xml:space="preserve"> Redondo Beach, CA</t>
  </si>
  <si>
    <t xml:space="preserve"> Sat Feb 03 2018 14:03:14</t>
  </si>
  <si>
    <t xml:space="preserve"> Current price of Bitcoin is $9260.01.</t>
  </si>
  <si>
    <t xml:space="preserve"> Sat Feb 03 2018 14:03:15</t>
  </si>
  <si>
    <t xml:space="preserve"> @cirrusdriver They're not accepting Bitcoin at Summit Diner, just yet</t>
  </si>
  <si>
    <t xml:space="preserve"> chessNwine</t>
  </si>
  <si>
    <t xml:space="preserve"> MarketChess.com</t>
  </si>
  <si>
    <t xml:space="preserve"> Sat Feb 03 2018 14:03:17</t>
  </si>
  <si>
    <t xml:space="preserve"> Current price of Bitcoin is $9260.01 #bitcoin #BTC</t>
  </si>
  <si>
    <t xml:space="preserve"> Sat Feb 03 2018 14:03:23</t>
  </si>
  <si>
    <t xml:space="preserve"> @WorldCryptoNet So do I. #btc #bitcoin the point is the long run... ;)</t>
  </si>
  <si>
    <t xml:space="preserve"> Onisero</t>
  </si>
  <si>
    <t xml:space="preserve"> Spain</t>
  </si>
  <si>
    <t xml:space="preserve"> Sat Feb 03 2018 14:03:48</t>
  </si>
  <si>
    <t xml:space="preserve"> @TheRippleTrader @NickWalshBlog @coindesk @CharlieShrem He has been to bitcoin college</t>
  </si>
  <si>
    <t xml:space="preserve"> Timocauberg</t>
  </si>
  <si>
    <t xml:space="preserve"> Amsterdam, Nederland</t>
  </si>
  <si>
    <t xml:space="preserve"> Sat Feb 03 2018 14:04:00</t>
  </si>
  <si>
    <t xml:space="preserve"> @engrugger9 How can I throw him a couple of pennies without having to split a Bitcoin?</t>
  </si>
  <si>
    <t xml:space="preserve"> chavalinski</t>
  </si>
  <si>
    <t xml:space="preserve"> Sat Feb 03 2018 14:04:08</t>
  </si>
  <si>
    <t xml:space="preserve"> @Humaniq If you're not in you're out. If you missed Bitcoin, don't miss #Humaniq...that'll be a fatal double</t>
  </si>
  <si>
    <t xml:space="preserve"> ChrisJumbo</t>
  </si>
  <si>
    <t xml:space="preserve"> Lekki-Lagos</t>
  </si>
  <si>
    <t xml:space="preserve"> Sat Feb 03 2018 14:04:17</t>
  </si>
  <si>
    <t xml:space="preserve"> 9AM EST price of $BTC today is $9260.01! #dailycoinprices #btc #bitcoin</t>
  </si>
  <si>
    <t xml:space="preserve"> dailycoinprices</t>
  </si>
  <si>
    <t xml:space="preserve"> Sat Feb 03 2018 14:05:07</t>
  </si>
  <si>
    <t xml:space="preserve"> People forget :   Bitcoin is a humanitarian project.   Banking the unbanked.   Think of how much good that will do</t>
  </si>
  <si>
    <t xml:space="preserve"> G_Andrews4</t>
  </si>
  <si>
    <t xml:space="preserve"> Sat Feb 03 2018 14:05:17</t>
  </si>
  <si>
    <t xml:space="preserve"> @dannymcshane_ BITCOIN AFF</t>
  </si>
  <si>
    <t xml:space="preserve"> Sat Feb 03 2018 14:05:20</t>
  </si>
  <si>
    <t xml:space="preserve"> @KellyMorganSmit You must have huge short position in #Bitcoin Futures huh...?</t>
  </si>
  <si>
    <t xml:space="preserve"> MarkYusko</t>
  </si>
  <si>
    <t xml:space="preserve"> Chapel Hill, NC</t>
  </si>
  <si>
    <t xml:space="preserve"> Sat Feb 03 2018 14:05:33</t>
  </si>
  <si>
    <t xml:space="preserve"> When the cat's away, the mouse will play.  Another Saturday rally in bitcoin when the futures are closed. $BTC</t>
  </si>
  <si>
    <t xml:space="preserve"> spiralcal</t>
  </si>
  <si>
    <t xml:space="preserve"> Sat Feb 03 2018 14:05:38</t>
  </si>
  <si>
    <t xml:space="preserve"> Jack Rodwell pretends he bought Bitcoin</t>
  </si>
  <si>
    <t xml:space="preserve"> AMlinaku</t>
  </si>
  <si>
    <t xml:space="preserve"> Wearside/Leeds</t>
  </si>
  <si>
    <t xml:space="preserve"> Sat Feb 03 2018 14:05:43</t>
  </si>
  <si>
    <t xml:space="preserve"> Top 6 BTC/USD Exchange Orderbooks: Resistance til $9100:$22.6M; Support til $8500:$21.2M $BTC $BTCUSD #bitcoin #orderbook #cryptocurrency</t>
  </si>
  <si>
    <t xml:space="preserve"> Sat Feb 03 2018 14:05:50</t>
  </si>
  <si>
    <t xml:space="preserve"> 96%: amount of bitcoin owned by just 4% of addresses (containing 2.9 million BTC).</t>
  </si>
  <si>
    <t xml:space="preserve"> richusalam</t>
  </si>
  <si>
    <t xml:space="preserve"> BitNation</t>
  </si>
  <si>
    <t xml:space="preserve"> Sat Feb 03 2018 14:05:53</t>
  </si>
  <si>
    <t xml:space="preserve"> Lots of impatient and amateur investors in Crypto. #bitcoin #ethereum @VinnyLingham</t>
  </si>
  <si>
    <t xml:space="preserve"> Bananoe1</t>
  </si>
  <si>
    <t xml:space="preserve"> Sat Feb 03 2018 14:06:16</t>
  </si>
  <si>
    <t xml:space="preserve"> .@GoldmanSachs, have you guys heard about bitcoin?</t>
  </si>
  <si>
    <t xml:space="preserve"> ZoeJDolan</t>
  </si>
  <si>
    <t xml:space="preserve"> Los Angeles &amp; New York</t>
  </si>
  <si>
    <t xml:space="preserve"> Sat Feb 03 2018 14:06:21</t>
  </si>
  <si>
    <t xml:space="preserve"> @apokerplayer He also just got banned on 2p2 again for trolling the Bitcoin thread</t>
  </si>
  <si>
    <t xml:space="preserve"> jstanz30</t>
  </si>
  <si>
    <t xml:space="preserve"> Sat Feb 03 2018 14:06:25</t>
  </si>
  <si>
    <t xml:space="preserve"> are we supposed to feel better at $9200?? #bitcoin</t>
  </si>
  <si>
    <t xml:space="preserve"> BitcoinHawker</t>
  </si>
  <si>
    <t xml:space="preserve"> rektcitybro</t>
  </si>
  <si>
    <t xml:space="preserve"> Sat Feb 03 2018 14:06:35</t>
  </si>
  <si>
    <t xml:space="preserve"> Just Bought #XLM #ADA #TRX and Hodling #XVG lets see how long these #Greens lasts.   #Binance  #VergeCoin #Vergecurrency #btc #bitcoin</t>
  </si>
  <si>
    <t xml:space="preserve"> water_boy_23</t>
  </si>
  <si>
    <t xml:space="preserve"> Sat Feb 03 2018 14:06:39</t>
  </si>
  <si>
    <t xml:space="preserve"> M: You thought you'd buy #bitcoin and never have to face adversity again? T: Yep M: Well, you're in for a treat.</t>
  </si>
  <si>
    <t xml:space="preserve"> BalouGold</t>
  </si>
  <si>
    <t xml:space="preserve"> Sat Feb 03 2018 14:07:04</t>
  </si>
  <si>
    <t xml:space="preserve"> #Bitcoin 1 Bitcoin is currently worth $9185.11 USD! #GoldCoinJar</t>
  </si>
  <si>
    <t xml:space="preserve"> Sat Feb 03 2018 14:07:24</t>
  </si>
  <si>
    <t xml:space="preserve"> Bitcoin nice bounce</t>
  </si>
  <si>
    <t xml:space="preserve"> jkck8</t>
  </si>
  <si>
    <t xml:space="preserve"> Sat Feb 03 2018 14:07:56</t>
  </si>
  <si>
    <t xml:space="preserve"> @StockTradeTO Good that you stayed away from this. So many people got burned in Bitcoin mania.</t>
  </si>
  <si>
    <t xml:space="preserve"> AmitPGrewal</t>
  </si>
  <si>
    <t xml:space="preserve"> Sat Feb 03 2018 14:08:20</t>
  </si>
  <si>
    <t xml:space="preserve"> Cryptocurrency: #Bitcoin Price USD: 9202.81 Price BTC: 1.0 24h Volume USD: 8524490000.0 Percent change 24h: 8.36</t>
  </si>
  <si>
    <t xml:space="preserve"> Sat Feb 03 2018 14:08:21</t>
  </si>
  <si>
    <t xml:space="preserve"> @Extrachelle Blame bitcoin miners</t>
  </si>
  <si>
    <t xml:space="preserve"> 7zeroo</t>
  </si>
  <si>
    <t xml:space="preserve"> Sat Feb 03 2018 14:09:11</t>
  </si>
  <si>
    <t xml:space="preserve"> i need bitcoin over 11k &amp; the eagles w/ a ring by Monday tyvm</t>
  </si>
  <si>
    <t xml:space="preserve"> CloutCrypt06</t>
  </si>
  <si>
    <t xml:space="preserve"> Sat Feb 03 2018 14:09:13</t>
  </si>
  <si>
    <t xml:space="preserve"> go suck a #bitcoin</t>
  </si>
  <si>
    <t xml:space="preserve"> art_courier</t>
  </si>
  <si>
    <t xml:space="preserve"> Sat Feb 03 2018 14:09:28</t>
  </si>
  <si>
    <t xml:space="preserve"> The #Globalists are at it again, America. They're trying to artificially lower the value of bitcoin.</t>
  </si>
  <si>
    <t xml:space="preserve"> LuckiiHunter</t>
  </si>
  <si>
    <t xml:space="preserve"> Sat Feb 03 2018 14:09:40</t>
  </si>
  <si>
    <t xml:space="preserve"> @Bitcoin 1 reason it isnt:   1: your opinion doesn't dictate reality.</t>
  </si>
  <si>
    <t xml:space="preserve"> destractions</t>
  </si>
  <si>
    <t xml:space="preserve"> Victoria BC Canada</t>
  </si>
  <si>
    <t xml:space="preserve"> Sat Feb 03 2018 14:10:03</t>
  </si>
  <si>
    <t xml:space="preserve"> @cryptonews2471 Follow @Hashtags_Trends for the latest news &amp; #trading trends about #bitcoin &amp; #crypto world.</t>
  </si>
  <si>
    <t xml:space="preserve"> @JingWiiOfficial @bitcoinprivate @Coin_Shark @CoinomiWallet can you share a bitcoin with me and help me get started in cryptocurrency</t>
  </si>
  <si>
    <t xml:space="preserve"> joespriggs85</t>
  </si>
  <si>
    <t xml:space="preserve"> Sat Feb 03 2018 14:10:04</t>
  </si>
  <si>
    <t xml:space="preserve"> Bitcoin BTC Current Price: $9208.89 1 Hour: 2.25 % | 24 Hours: 8.76 % | 7 Days: -18.31 % #btc #bitcoin</t>
  </si>
  <si>
    <t xml:space="preserve"> Sat Feb 03 2018 14:10:05</t>
  </si>
  <si>
    <t xml:space="preserve"> @juliens666 Follow @Hashtags_Trends for the latest news &amp; #trading trends about #bitcoin &amp; #crypto world.</t>
  </si>
  <si>
    <t xml:space="preserve"> Sat Feb 03 2018 14:10:12</t>
  </si>
  <si>
    <t xml:space="preserve"> @theantnest @CeunenBjorn @PWasensteiner Yes they taught me that at Bitcoin troll school. I was there with Roger Ver.</t>
  </si>
  <si>
    <t xml:space="preserve"> Sat Feb 03 2018 14:10:16</t>
  </si>
  <si>
    <t xml:space="preserve"> @chessNwine (30874 follows) @cirrusdriver They're not accepting Bitcoin at Summit Diner, just yet</t>
  </si>
  <si>
    <t xml:space="preserve"> Bitcoin is the Beanie Babies of this decade</t>
  </si>
  <si>
    <t xml:space="preserve"> fShowerThoughts</t>
  </si>
  <si>
    <t xml:space="preserve"> Sat Feb 03 2018 14:10:24</t>
  </si>
  <si>
    <t xml:space="preserve"> @MrVo0do0 Look at the bitcoin bear market of 2014 - 2015, into 2016. It might take a year or two. Or more or less.</t>
  </si>
  <si>
    <t xml:space="preserve"> Ragnarly</t>
  </si>
  <si>
    <t xml:space="preserve"> Laguna Beach, CA</t>
  </si>
  <si>
    <t xml:space="preserve"> Sat Feb 03 2018 14:10:33</t>
  </si>
  <si>
    <t xml:space="preserve"> Im a big fan of #Bitcoin. Regulation of money supply needs to be depoliticized. - Al Gore #quote</t>
  </si>
  <si>
    <t xml:space="preserve"> Sat Feb 03 2018 14:10:38</t>
  </si>
  <si>
    <t xml:space="preserve"> @guardian Not when you've got $7,000,000 in forgotten bitcoin its not.</t>
  </si>
  <si>
    <t xml:space="preserve"> mkn1ght</t>
  </si>
  <si>
    <t xml:space="preserve"> Sat Feb 03 2018 14:11:25</t>
  </si>
  <si>
    <t xml:space="preserve"> Worlds biggest Bitcoin exchange security under scrutiny in Indonesian island of Bali #news #bitcoin</t>
  </si>
  <si>
    <t xml:space="preserve"> Sat Feb 03 2018 14:11:46</t>
  </si>
  <si>
    <t xml:space="preserve"> @rebeccabardess Could bitcoin crash but others stabilize?</t>
  </si>
  <si>
    <t xml:space="preserve"> edwonkette</t>
  </si>
  <si>
    <t xml:space="preserve"> Arlington, VA</t>
  </si>
  <si>
    <t xml:space="preserve"> Sat Feb 03 2018 14:12:11</t>
  </si>
  <si>
    <t xml:space="preserve"> @guardian he made millions with bitcoin</t>
  </si>
  <si>
    <t xml:space="preserve"> OccupyFakten</t>
  </si>
  <si>
    <t xml:space="preserve"> Frankfurt am Main, Hessen</t>
  </si>
  <si>
    <t xml:space="preserve"> Sat Feb 03 2018 14:12:12</t>
  </si>
  <si>
    <t xml:space="preserve"> @UID_ Do you need a little blockchain sauce for your $corn, good sir ? #bitcoin</t>
  </si>
  <si>
    <t xml:space="preserve"> Sat Feb 03 2018 14:12:31</t>
  </si>
  <si>
    <t xml:space="preserve"> @cryptoSqueeze I genuinely feel sorry for the dumbasses who are too ignorant to educate themselves on how bitcoin and cryptocurrencies work.</t>
  </si>
  <si>
    <t xml:space="preserve"> OLXO_YU</t>
  </si>
  <si>
    <t xml:space="preserve"> Sat Feb 03 2018 14:12:35</t>
  </si>
  <si>
    <t xml:space="preserve"> @Ragnarly You said brb buying bitcoin 17 hrs later... I was just worried </t>
  </si>
  <si>
    <t xml:space="preserve"> MrVo0do0</t>
  </si>
  <si>
    <t xml:space="preserve"> MIlkyway</t>
  </si>
  <si>
    <t xml:space="preserve"> Sat Feb 03 2018 14:12:51</t>
  </si>
  <si>
    <t xml:space="preserve"> @Crypto_Bitlord When was the last time you used Bitcoin or any other cryptocurrency as it was originally intended, as a currency?</t>
  </si>
  <si>
    <t xml:space="preserve"> RexNofeet</t>
  </si>
  <si>
    <t xml:space="preserve"> Sat Feb 03 2018 14:12:52</t>
  </si>
  <si>
    <t xml:space="preserve"> @BITMAINtech I thought you guys only accepted Bitcoin Cash</t>
  </si>
  <si>
    <t xml:space="preserve"> OnWindowly</t>
  </si>
  <si>
    <t xml:space="preserve"> Sat Feb 03 2018 14:13:01</t>
  </si>
  <si>
    <t xml:space="preserve"> @steversus @fimbim @officialmcafee @brave @steemit @Bitcoin Please and thank you!</t>
  </si>
  <si>
    <t xml:space="preserve"> curtis_peel</t>
  </si>
  <si>
    <t xml:space="preserve"> Checkin my #Bitcoin while I'm in the Taipei airport  Satisfied with my -$150 return</t>
  </si>
  <si>
    <t xml:space="preserve"> DesignerNomad</t>
  </si>
  <si>
    <t xml:space="preserve"> Los Angeles, USA</t>
  </si>
  <si>
    <t xml:space="preserve"> Sat Feb 03 2018 14:13:03</t>
  </si>
  <si>
    <t xml:space="preserve"> #Bitcoin is back! </t>
  </si>
  <si>
    <t xml:space="preserve"> rendravolt</t>
  </si>
  <si>
    <t xml:space="preserve"> Hell</t>
  </si>
  <si>
    <t xml:space="preserve"> Sat Feb 03 2018 14:13:17</t>
  </si>
  <si>
    <t xml:space="preserve"> My moods are now officially correlated with the price of bitcoin.</t>
  </si>
  <si>
    <t xml:space="preserve"> t3rrywr1st</t>
  </si>
  <si>
    <t xml:space="preserve"> Sat Feb 03 2018 14:13:36</t>
  </si>
  <si>
    <t xml:space="preserve"> @richiela @BittrexExchange Any news on the upcoming zclassic fork to bitcoin private, will it be supported on bittrex? @bitcoinprivate</t>
  </si>
  <si>
    <t xml:space="preserve"> Nostrom46850995</t>
  </si>
  <si>
    <t xml:space="preserve"> Nuneaton, England</t>
  </si>
  <si>
    <t xml:space="preserve"> Sat Feb 03 2018 14:13:40</t>
  </si>
  <si>
    <t xml:space="preserve"> @nmed1 There went their bitcoin dreams.</t>
  </si>
  <si>
    <t xml:space="preserve"> ShannonPoe</t>
  </si>
  <si>
    <t xml:space="preserve"> Virginia, USA</t>
  </si>
  <si>
    <t xml:space="preserve"> Sat Feb 03 2018 14:13:42</t>
  </si>
  <si>
    <t xml:space="preserve"> I feel bad for all the Millennials that bought into bitcoin at 20,000. I really do</t>
  </si>
  <si>
    <t xml:space="preserve"> MartinisNCognac</t>
  </si>
  <si>
    <t xml:space="preserve"> Weirton, WV</t>
  </si>
  <si>
    <t xml:space="preserve"> Sat Feb 03 2018 14:13:46</t>
  </si>
  <si>
    <t xml:space="preserve"> I honestly believe whatever happens to global markets Monday will determine if $btc breaks bullish   #bitcoin</t>
  </si>
  <si>
    <t xml:space="preserve"> VladdTeppes</t>
  </si>
  <si>
    <t xml:space="preserve"> Louisville, KY</t>
  </si>
  <si>
    <t xml:space="preserve"> Sat Feb 03 2018 14:14:00</t>
  </si>
  <si>
    <t xml:space="preserve"> CryptoCompare Bitcoin price changed +1.07% to $9371.17 #bitcoin</t>
  </si>
  <si>
    <t xml:space="preserve"> Sat Feb 03 2018 14:14:07</t>
  </si>
  <si>
    <t xml:space="preserve"> @La__Cuen @Codiox So its less Bitcoin vs Bolivar and more US$ via Bitcoin?</t>
  </si>
  <si>
    <t xml:space="preserve"> ea_taxhelp</t>
  </si>
  <si>
    <t xml:space="preserve"> Sat Feb 03 2018 14:14:16</t>
  </si>
  <si>
    <t xml:space="preserve"> The window is closing for buying sub 10k #bitcoin.</t>
  </si>
  <si>
    <t xml:space="preserve"> CephasSerhat</t>
  </si>
  <si>
    <t xml:space="preserve"> Greater Tokyo Area, Japan</t>
  </si>
  <si>
    <t xml:space="preserve"> Sat Feb 03 2018 14:14:35</t>
  </si>
  <si>
    <t xml:space="preserve"> You can earn btc without any investment #bitcoins #wealthy #investing #trade #Trader #moneyonline #Bitcoin #crypto</t>
  </si>
  <si>
    <t xml:space="preserve"> JamesMi72519816</t>
  </si>
  <si>
    <t xml:space="preserve"> Sat Feb 03 2018 14:14:41</t>
  </si>
  <si>
    <t xml:space="preserve"> @missgiftomon Bitcoin is down now o. Buy.</t>
  </si>
  <si>
    <t xml:space="preserve"> ronaldnzimora</t>
  </si>
  <si>
    <t xml:space="preserve"> Sat Feb 03 2018 14:14:46</t>
  </si>
  <si>
    <t xml:space="preserve"> Opinion on the #Tether #tetherscam #USDT #bitcoin #BTCUSD #BTC</t>
  </si>
  <si>
    <t xml:space="preserve"> FintanJL</t>
  </si>
  <si>
    <t xml:space="preserve"> Dubai, United Arab Emirates</t>
  </si>
  <si>
    <t xml:space="preserve"> Sat Feb 03 2018 14:14:47</t>
  </si>
  <si>
    <t xml:space="preserve"> @alistairmilne @nbalajiv Excuse me. Bitcoin *is* the regulation.</t>
  </si>
  <si>
    <t xml:space="preserve"> Sat Feb 03 2018 14:15:02</t>
  </si>
  <si>
    <t xml:space="preserve"> The current price of Bitcoin is $9192.88. The current price of BCash is $1245.46, or 0.13504 BTC</t>
  </si>
  <si>
    <t xml:space="preserve"> Sat Feb 03 2018 14:15:12</t>
  </si>
  <si>
    <t xml:space="preserve"> Seems a green weekend at cryptocurrency market. #bitcoin</t>
  </si>
  <si>
    <t xml:space="preserve"> dnrz33</t>
  </si>
  <si>
    <t xml:space="preserve"> Sat Feb 03 2018 14:15:13</t>
  </si>
  <si>
    <t xml:space="preserve"> @Fardeen045 @Indiapnb Cryptos like Bitcoin could help</t>
  </si>
  <si>
    <t xml:space="preserve"> onttwiter</t>
  </si>
  <si>
    <t xml:space="preserve"> Here</t>
  </si>
  <si>
    <t xml:space="preserve"> Sat Feb 03 2018 14:15:30</t>
  </si>
  <si>
    <t xml:space="preserve"> Bitcoin jet got power fuel ready to ride $10,000 #bitcoin #crypto #hodl</t>
  </si>
  <si>
    <t xml:space="preserve"> Sat Feb 03 2018 14:15:43</t>
  </si>
  <si>
    <t xml:space="preserve"> @PhilakoneCrypto Please wake up.. Bitcoin is going up now, Can we buy? I need you advise.. :(</t>
  </si>
  <si>
    <t xml:space="preserve"> eurysagun</t>
  </si>
  <si>
    <t xml:space="preserve"> Sat Feb 03 2018 14:15:52</t>
  </si>
  <si>
    <t xml:space="preserve"> Bitcoin currently at $9400 come on one final push to $10000 to disband all this FUD nonsense #TeamBitcoin</t>
  </si>
  <si>
    <t xml:space="preserve"> GenieDons</t>
  </si>
  <si>
    <t xml:space="preserve"> Central Area District</t>
  </si>
  <si>
    <t xml:space="preserve"> Sat Feb 03 2018 14:17:01</t>
  </si>
  <si>
    <t xml:space="preserve"> @Tim_H @celloandbehold bitcoin</t>
  </si>
  <si>
    <t xml:space="preserve"> quinn_town</t>
  </si>
  <si>
    <t xml:space="preserve"> Occupied Abenake Land</t>
  </si>
  <si>
    <t xml:space="preserve"> Bitcoin, love on first sight.</t>
  </si>
  <si>
    <t xml:space="preserve"> Green all over! Did the South Korean gov announced a Kimchi chocolate coin #ICO? #Cryptocurrencies #bitcoin</t>
  </si>
  <si>
    <t xml:space="preserve"> zumadam</t>
  </si>
  <si>
    <t xml:space="preserve"> Sat Feb 03 2018 14:17:04</t>
  </si>
  <si>
    <t xml:space="preserve"> Bitcoin Cash BCH Current Price: $1245.46 1 Hour: 1.96 % | 24 Hours: 10.33 % | 7 Days: -22.98 % #bch #bitcoin cash</t>
  </si>
  <si>
    <t xml:space="preserve"> Sat Feb 03 2018 14:17:29</t>
  </si>
  <si>
    <t xml:space="preserve"> @officialmcafee Whats your prediction from here, when do we get $100,000 for bitcoin.?</t>
  </si>
  <si>
    <t xml:space="preserve"> freemuslimminds</t>
  </si>
  <si>
    <t xml:space="preserve"> Sat Feb 03 2018 14:17:36</t>
  </si>
  <si>
    <t xml:space="preserve"> LOOKING GOOD THIS MORNING GUYS $BTC $ETH $LTC LONG AND STRONG #Bitcoin #Ethereum #Litecoin</t>
  </si>
  <si>
    <t xml:space="preserve"> DCDOWORK</t>
  </si>
  <si>
    <t xml:space="preserve"> New Jersey, USA</t>
  </si>
  <si>
    <t xml:space="preserve"> @Blockch09940168 make sure you have the latest version of the Bitcoin app on your Nano S</t>
  </si>
  <si>
    <t xml:space="preserve"> LedgerHQ</t>
  </si>
  <si>
    <t xml:space="preserve"> Paris, Vierzon, San Francisco</t>
  </si>
  <si>
    <t xml:space="preserve"> Sat Feb 03 2018 14:17:43</t>
  </si>
  <si>
    <t xml:space="preserve"> @Seapeekay i follow one bitcoin instagram account just for fun and everyone there is freaking out over the drop</t>
  </si>
  <si>
    <t xml:space="preserve"> bemoregaydotcom</t>
  </si>
  <si>
    <t xml:space="preserve"> Sat Feb 03 2018 14:18:19</t>
  </si>
  <si>
    <t xml:space="preserve"> invest in bitcoin  make gains   market crashes  cash out, break even  Wow, it really is a store of value!</t>
  </si>
  <si>
    <t xml:space="preserve"> ScooterPutin</t>
  </si>
  <si>
    <t xml:space="preserve"> Sat Feb 03 2018 14:18:41</t>
  </si>
  <si>
    <t xml:space="preserve"> Looks like people realizing $BTC under $10,000 is a damn STEAL ! #Bitcoin</t>
  </si>
  <si>
    <t xml:space="preserve"> @RealTimeCrypto That would put bitcoin about $80,000 :D</t>
  </si>
  <si>
    <t xml:space="preserve"> GenKnau5</t>
  </si>
  <si>
    <t xml:space="preserve"> sv</t>
  </si>
  <si>
    <t xml:space="preserve"> Sat Feb 03 2018 14:18:49</t>
  </si>
  <si>
    <t xml:space="preserve"> 10K bitcoin by Monday will be perfect</t>
  </si>
  <si>
    <t xml:space="preserve"> funny_bonz</t>
  </si>
  <si>
    <t xml:space="preserve"> Ghana</t>
  </si>
  <si>
    <t xml:space="preserve"> Sat Feb 03 2018 14:19:07</t>
  </si>
  <si>
    <t xml:space="preserve"> @BitfuryGeorge Bitcoin going to zero.</t>
  </si>
  <si>
    <t xml:space="preserve"> vitalsguy</t>
  </si>
  <si>
    <t xml:space="preserve"> Sat Feb 03 2018 14:19:15</t>
  </si>
  <si>
    <t xml:space="preserve"> Top 6 BTC/USD Exchange Orderbooks: Resistance til $9100:$27.1M; Support til $8500:$15.0M $BTC $BTCUSD #bitcoin #orderbook #news #finance</t>
  </si>
  <si>
    <t xml:space="preserve"> Sat Feb 03 2018 14:19:27</t>
  </si>
  <si>
    <t xml:space="preserve"> Bitcoin will regulate the regulators.</t>
  </si>
  <si>
    <t xml:space="preserve"> Sat Feb 03 2018 14:19:38</t>
  </si>
  <si>
    <t xml:space="preserve"> Is it time to FOMO yet? $BTC #Bitcoin</t>
  </si>
  <si>
    <t xml:space="preserve"> TheCryptoRuler</t>
  </si>
  <si>
    <t xml:space="preserve"> Sat Feb 03 2018 14:19:45</t>
  </si>
  <si>
    <t xml:space="preserve"> @Bitcoin 1 reson it's not - $bcash</t>
  </si>
  <si>
    <t xml:space="preserve"> FStanchev</t>
  </si>
  <si>
    <t xml:space="preserve"> Bulgaria</t>
  </si>
  <si>
    <t xml:space="preserve"> Sat Feb 03 2018 14:19:52</t>
  </si>
  <si>
    <t xml:space="preserve"> Amazing community at #WBCSummit in #Moscow ! #thrive #ico #ethereum #bitcoin</t>
  </si>
  <si>
    <t xml:space="preserve"> cassell1983</t>
  </si>
  <si>
    <t xml:space="preserve"> Sat Feb 03 2018 14:20:01</t>
  </si>
  <si>
    <t xml:space="preserve"> BTC-GAME AskRate: 0.00029621 #Bittrex  #GAME $GAME #GameCredits #altcoin #bitcoin #cryptocurrency   FOLLOW for PROFIT</t>
  </si>
  <si>
    <t xml:space="preserve"> $10k $BTC tomorrow   #bitcoin</t>
  </si>
  <si>
    <t xml:space="preserve"> CryptoNewbieee</t>
  </si>
  <si>
    <t xml:space="preserve"> Sat Feb 03 2018 14:20:28</t>
  </si>
  <si>
    <t xml:space="preserve"> All the way to $10k again  #bitcoin #cryptocurrency</t>
  </si>
  <si>
    <t xml:space="preserve"> musthakkb</t>
  </si>
  <si>
    <t xml:space="preserve"> Sat Feb 03 2018 14:20:37</t>
  </si>
  <si>
    <t xml:space="preserve"> @chiragkb5 @CoinMarketCap @koinexindia @zebpay @Coinsecure I bought more bitcoin</t>
  </si>
  <si>
    <t xml:space="preserve"> salveakshay11</t>
  </si>
  <si>
    <t xml:space="preserve"> seawood navi Mumbai</t>
  </si>
  <si>
    <t xml:space="preserve"> Sat Feb 03 2018 14:21:01</t>
  </si>
  <si>
    <t xml:space="preserve"> Does anyone know a way I can turn likes from celebrities into cold hard bitcoin?</t>
  </si>
  <si>
    <t xml:space="preserve"> JamesMcCormack</t>
  </si>
  <si>
    <t xml:space="preserve"> The North.</t>
  </si>
  <si>
    <t xml:space="preserve"> Sat Feb 03 2018 14:21:28</t>
  </si>
  <si>
    <t xml:space="preserve"> @officialmcafee Can i buy bitcoin now? :)</t>
  </si>
  <si>
    <t xml:space="preserve"> Playwithpetrix</t>
  </si>
  <si>
    <t xml:space="preserve"> Sat Feb 03 2018 14:21:36</t>
  </si>
  <si>
    <t xml:space="preserve"> @chrislhayes The stock market is just like a bitcoin: Gambling on expectations without any fundations.</t>
  </si>
  <si>
    <t xml:space="preserve"> leftwingcyclist</t>
  </si>
  <si>
    <t xml:space="preserve"> Tegelen, The Netherlands</t>
  </si>
  <si>
    <t xml:space="preserve"> Sat Feb 03 2018 14:21:59</t>
  </si>
  <si>
    <t xml:space="preserve"> The only crucial date for the bitcoin and crypto market is February 6....any other FUD is baseless..</t>
  </si>
  <si>
    <t xml:space="preserve"> Christianani1</t>
  </si>
  <si>
    <t xml:space="preserve"> Sat Feb 03 2018 14:22:11</t>
  </si>
  <si>
    <t xml:space="preserve"> 1 Bitcoin = 7532 Euro</t>
  </si>
  <si>
    <t xml:space="preserve"> Sat Feb 03 2018 14:22:16</t>
  </si>
  <si>
    <t xml:space="preserve"> @vapidcontent The virgin Bitcoin tattoo at the ATH vs the Chad Link tattoo at 45 cents</t>
  </si>
  <si>
    <t xml:space="preserve"> dave_wooderson</t>
  </si>
  <si>
    <t xml:space="preserve"> Sat Feb 03 2018 14:22:20</t>
  </si>
  <si>
    <t xml:space="preserve"> Just Put A Lil Sum In Bitcoin</t>
  </si>
  <si>
    <t xml:space="preserve"> Stupidcashzay</t>
  </si>
  <si>
    <t xml:space="preserve"> Sat Feb 03 2018 14:22:23</t>
  </si>
  <si>
    <t xml:space="preserve"> Bitcoin crashes to little over 6500 per coin.   46% decrease in value in less than 24 hours.   Where's all the armchair traders at now?</t>
  </si>
  <si>
    <t xml:space="preserve"> ShanePearce</t>
  </si>
  <si>
    <t xml:space="preserve"> Belfast, Northern Ireland</t>
  </si>
  <si>
    <t xml:space="preserve"> Sat Feb 03 2018 14:22:55</t>
  </si>
  <si>
    <t xml:space="preserve"> @AMillennialDog 1st is brexit 2 is bitcoin i've looked at the brexit crash too many times not to recognise it</t>
  </si>
  <si>
    <t xml:space="preserve"> SinonLynx</t>
  </si>
  <si>
    <t xml:space="preserve"> Probably not Antartica. I will never respect the Sun.</t>
  </si>
  <si>
    <t xml:space="preserve"> Sat Feb 03 2018 14:23:39</t>
  </si>
  <si>
    <t xml:space="preserve"> Bitcoin cash will fade into oblivion for one simple reason: it's not called Bitcoin.</t>
  </si>
  <si>
    <t xml:space="preserve"> gcsfred</t>
  </si>
  <si>
    <t xml:space="preserve"> Ottawa,Canada</t>
  </si>
  <si>
    <t xml:space="preserve"> Sat Feb 03 2018 14:23:49</t>
  </si>
  <si>
    <t xml:space="preserve"> Buy bitcoin as low as $9000 @BitQuickco</t>
  </si>
  <si>
    <t xml:space="preserve"> Sat Feb 03 2018 14:23:58</t>
  </si>
  <si>
    <t xml:space="preserve"> Anyone else wake up at 5 to think of #southpark episodes? #bitcoin #soundcloudrappers</t>
  </si>
  <si>
    <t xml:space="preserve"> itsrealShadyG</t>
  </si>
  <si>
    <t xml:space="preserve"> Sat Feb 03 2018 14:24:02</t>
  </si>
  <si>
    <t xml:space="preserve"> @officialmcafee @freemuslimminds What about Bitcoin White (BTW)</t>
  </si>
  <si>
    <t xml:space="preserve"> denniarems</t>
  </si>
  <si>
    <t xml:space="preserve"> 0x93D5578dA9a3ADeB9d1f1c8E966bb26677534eB6</t>
  </si>
  <si>
    <t xml:space="preserve"> Sat Feb 03 2018 14:24:34</t>
  </si>
  <si>
    <t xml:space="preserve"> @officialmcafee can I borrow some #bitcoin? I want to buy some tacos. Thanks.</t>
  </si>
  <si>
    <t xml:space="preserve"> YTKTURKEY</t>
  </si>
  <si>
    <t xml:space="preserve"> Turkey</t>
  </si>
  <si>
    <t xml:space="preserve"> Sat Feb 03 2018 14:24:54</t>
  </si>
  <si>
    <t xml:space="preserve"> 2017-Trump, Las vegas shooting, Bitcoin, Hurricanes, Solar Eclipse  2018- Shower rat.</t>
  </si>
  <si>
    <t xml:space="preserve"> EvanFoerster</t>
  </si>
  <si>
    <t xml:space="preserve"> Georgia, USA</t>
  </si>
  <si>
    <t xml:space="preserve"> Sat Feb 03 2018 14:25:04</t>
  </si>
  <si>
    <t xml:space="preserve"> Have a blessed morning remember seek and you will find ask and it shall be given on to you.. #Bitcoin #Cryptocurrency #blessed</t>
  </si>
  <si>
    <t xml:space="preserve"> OrvilleCoinbase</t>
  </si>
  <si>
    <t xml:space="preserve"> Sat Feb 03 2018 14:25:21</t>
  </si>
  <si>
    <t xml:space="preserve"> Ethereum Price Forecast: ETH/USD Making Progress But Not Out of Woods Yet #Bitcoin #BTC #ETH #LTC #BCH</t>
  </si>
  <si>
    <t xml:space="preserve"> Sat Feb 03 2018 14:25:43</t>
  </si>
  <si>
    <t xml:space="preserve"> @CaronaBrasil please update your Bitcoin app to the latest version on your Nano S (through the Ledger Manager)</t>
  </si>
  <si>
    <t xml:space="preserve"> Sat Feb 03 2018 14:25:45</t>
  </si>
  <si>
    <t xml:space="preserve"> Are you buying the dip? What do you think the high of #bitcoin will be in 2018? #cryptocurrency #blockchain #omicrex</t>
  </si>
  <si>
    <t xml:space="preserve"> Omicrex_Crypto</t>
  </si>
  <si>
    <t xml:space="preserve"> @officialmcafee Do you think Ether will take over Bitcoin?</t>
  </si>
  <si>
    <t xml:space="preserve"> BowSpot</t>
  </si>
  <si>
    <t xml:space="preserve"> Sat Feb 03 2018 14:25:46</t>
  </si>
  <si>
    <t xml:space="preserve"> Bitcoin &amp; Cryptocurrency Issues!  January 2018 alone: loss of value of 46% &amp; now, $100bn wiped yesterday.   Make Una Receive sense!</t>
  </si>
  <si>
    <t xml:space="preserve"> NzekweGerald</t>
  </si>
  <si>
    <t xml:space="preserve"> Sat Feb 03 2018 14:25:52</t>
  </si>
  <si>
    <t xml:space="preserve"> @Cointelegraph Bitcoin is nice. #Theta is betta ;)</t>
  </si>
  <si>
    <t xml:space="preserve"> cryptogirl2000</t>
  </si>
  <si>
    <t xml:space="preserve"> blockchain</t>
  </si>
  <si>
    <t xml:space="preserve"> Sat Feb 03 2018 14:26:06</t>
  </si>
  <si>
    <t xml:space="preserve"> JP Morgan and Citi decide to decline Bitcoin purchases on their credit cards.  Who thought that should be ok in the first place?</t>
  </si>
  <si>
    <t xml:space="preserve"> MartyGlover</t>
  </si>
  <si>
    <t xml:space="preserve"> Boston, MA</t>
  </si>
  <si>
    <t xml:space="preserve"> Sat Feb 03 2018 14:26:14</t>
  </si>
  <si>
    <t xml:space="preserve"> #BinaryFest #BinaryOptions #Forex #Bitcoin #MakeMoney, Forex Trading Signals...</t>
  </si>
  <si>
    <t xml:space="preserve"> binary_fest</t>
  </si>
  <si>
    <t xml:space="preserve"> Sat Feb 03 2018 14:27:01</t>
  </si>
  <si>
    <t xml:space="preserve"> @OTC_Bitcoin @typhades Please don't buy back into bitcoin any time  soon.</t>
  </si>
  <si>
    <t xml:space="preserve"> ArawakCay</t>
  </si>
  <si>
    <t xml:space="preserve"> Sat Feb 03 2018 14:27:10</t>
  </si>
  <si>
    <t xml:space="preserve"> @NiceHashMining i see sky so blue bitcoin too and i said to myself what a wonderfull world~</t>
  </si>
  <si>
    <t xml:space="preserve"> Jabar_billy</t>
  </si>
  <si>
    <t xml:space="preserve"> Tuban, Jawa Timur, Indonesia</t>
  </si>
  <si>
    <t xml:space="preserve"> Sat Feb 03 2018 14:27:20</t>
  </si>
  <si>
    <t xml:space="preserve"> #Kepler #ICO Project start soon #Keplerico #ethereum #Bitcoin</t>
  </si>
  <si>
    <t xml:space="preserve"> Tanjim2018</t>
  </si>
  <si>
    <t xml:space="preserve"> Sat Feb 03 2018 14:27:46</t>
  </si>
  <si>
    <t xml:space="preserve"> What's up in Bitcoin?</t>
  </si>
  <si>
    <t xml:space="preserve"> Mediplushomehea</t>
  </si>
  <si>
    <t xml:space="preserve"> Sat Feb 03 2018 14:27:54</t>
  </si>
  <si>
    <t xml:space="preserve"> The wave of buying on digital currencies is a start..!! #Ripple #Bittrex #bitcoin #ethereum</t>
  </si>
  <si>
    <t xml:space="preserve"> Sat Feb 03 2018 14:28:11</t>
  </si>
  <si>
    <t xml:space="preserve"> Me and a team of useless nerds are robbing banks to raise the price of Bitcoin.</t>
  </si>
  <si>
    <t xml:space="preserve"> mitchysuch</t>
  </si>
  <si>
    <t xml:space="preserve"> lansing Mi</t>
  </si>
  <si>
    <t xml:space="preserve"> Sat Feb 03 2018 14:28:27</t>
  </si>
  <si>
    <t xml:space="preserve"> @RainDogDance please update the Bitcoin app to the latest version on your Nano S (using the Ledger Manager)</t>
  </si>
  <si>
    <t xml:space="preserve"> Sat Feb 03 2018 14:29:16</t>
  </si>
  <si>
    <t xml:space="preserve"> In horizon 3, the word bitcoin as a license plate is considered profanity. Your devs probably use it. @ForzaMotorsport just saying..</t>
  </si>
  <si>
    <t xml:space="preserve"> papacthulu</t>
  </si>
  <si>
    <t xml:space="preserve"> Conway NH</t>
  </si>
  <si>
    <t xml:space="preserve"> Sat Feb 03 2018 14:29:36</t>
  </si>
  <si>
    <t xml:space="preserve"> @OxfordCrypto I have followed, shared this tweet, Here is my bitcoin wallet address ;   15PUbswTXCUe42DkWnUbdxTKB3RadHwjXA</t>
  </si>
  <si>
    <t xml:space="preserve"> Boxoffice_Tolly</t>
  </si>
  <si>
    <t xml:space="preserve"> Sat Feb 03 2018 14:29:49</t>
  </si>
  <si>
    <t xml:space="preserve"> fragger is a bitcoin rich guy tbh</t>
  </si>
  <si>
    <t xml:space="preserve"> DanSaturn</t>
  </si>
  <si>
    <t xml:space="preserve"> Rhys</t>
  </si>
  <si>
    <t xml:space="preserve"> #Bitcoin flash crash bitcoin sell bitcoin buy altcoin and real btc</t>
  </si>
  <si>
    <t xml:space="preserve"> Sat Feb 03 2018 14:30:01</t>
  </si>
  <si>
    <t xml:space="preserve"> Now is probably a good time to get into Bitcoin. You can still catch the falling knife.</t>
  </si>
  <si>
    <t xml:space="preserve"> blacktarmac</t>
  </si>
  <si>
    <t xml:space="preserve"> Vienna, Austria</t>
  </si>
  <si>
    <t xml:space="preserve"> Sat Feb 03 2018 14:30:02</t>
  </si>
  <si>
    <t xml:space="preserve"> Bitcoin:$9320.15 Ethereum:$980.562 Bitcoin Cash:$1265.9 Litecoin:$147.618 Ripple:$0.954427 IOTA:$1.95818</t>
  </si>
  <si>
    <t xml:space="preserve"> Sat Feb 03 2018 14:30:05</t>
  </si>
  <si>
    <t xml:space="preserve"> The worst evils which mankind has ever had to endure were inflicted by bad governments. - Ludwig von Mises #bitcoin</t>
  </si>
  <si>
    <t xml:space="preserve"> Sat Feb 03 2018 14:30:06</t>
  </si>
  <si>
    <t xml:space="preserve"> Once we understand the fundamentals which make Bitcoin work, we can more accurately perceive what the impacts of development decisions are.</t>
  </si>
  <si>
    <t xml:space="preserve"> Vemundzo</t>
  </si>
  <si>
    <t xml:space="preserve"> Sat Feb 03 2018 14:30:07</t>
  </si>
  <si>
    <t xml:space="preserve"> #BTC Bitcoin 50,000 Vertcoin +1,000 we in the GREEN #LTC #Vertbase $VTC</t>
  </si>
  <si>
    <t xml:space="preserve"> FantasmaBlanco9</t>
  </si>
  <si>
    <t xml:space="preserve"> Sat Feb 03 2018 14:30:23</t>
  </si>
  <si>
    <t xml:space="preserve"> @lrvdberg @Bitcoin #resisntentecensura = Bitcoin</t>
  </si>
  <si>
    <t xml:space="preserve"> miltonlealneto</t>
  </si>
  <si>
    <t xml:space="preserve"> Sat Feb 03 2018 14:30:27</t>
  </si>
  <si>
    <t xml:space="preserve"> $DNAX, $BTCS, $SING, $BLKCF and $PRELF getting all kinds of love in the #blockchain and #bitcoin space</t>
  </si>
  <si>
    <t xml:space="preserve"> TFTCS</t>
  </si>
  <si>
    <t xml:space="preserve"> The War Room</t>
  </si>
  <si>
    <t xml:space="preserve"> Sat Feb 03 2018 14:30:59</t>
  </si>
  <si>
    <t xml:space="preserve"> I see a trend in objects with a give name of Tim in my following trends, let's go fishing!   @ofnumbers your boi is back ;) #bitcoin</t>
  </si>
  <si>
    <t xml:space="preserve"> Sat Feb 03 2018 14:31:12</t>
  </si>
  <si>
    <t xml:space="preserve"> @officialmcafee hey, would you help a crypto-believer poor student by donating a bitcoin or fraction of it?</t>
  </si>
  <si>
    <t xml:space="preserve"> Shekhar_cb</t>
  </si>
  <si>
    <t xml:space="preserve"> Pune, India</t>
  </si>
  <si>
    <t xml:space="preserve"> Sat Feb 03 2018 14:31:13</t>
  </si>
  <si>
    <t xml:space="preserve"> Hello humans, #Bitcoin is currently around $9320.15 as of Sat Feb  3 08:31:09 CST 2018</t>
  </si>
  <si>
    <t xml:space="preserve"> Sat Feb 03 2018 14:31:22</t>
  </si>
  <si>
    <t xml:space="preserve"> One day Im going to buy some #bitcoin</t>
  </si>
  <si>
    <t xml:space="preserve"> MoneyMariah407</t>
  </si>
  <si>
    <t xml:space="preserve"> Sat Feb 03 2018 14:31:27</t>
  </si>
  <si>
    <t xml:space="preserve"> this is a suckers rally #crypto #bitcoin #ethereum</t>
  </si>
  <si>
    <t xml:space="preserve"> nightingwhale</t>
  </si>
  <si>
    <t xml:space="preserve"> satoshi wonderland</t>
  </si>
  <si>
    <t xml:space="preserve"> Sat Feb 03 2018 14:31:47</t>
  </si>
  <si>
    <t xml:space="preserve"> @GenesisMining i have bitcoin hashrate on genisis mining can i tranfere to litecoin or ETH ... etc ?</t>
  </si>
  <si>
    <t xml:space="preserve"> WildT_shirt</t>
  </si>
  <si>
    <t xml:space="preserve"> Morocco</t>
  </si>
  <si>
    <t xml:space="preserve"> Sat Feb 03 2018 14:32:09</t>
  </si>
  <si>
    <t xml:space="preserve"> @officialmcafee Is it that we are waiting on lightning network or whats up with bitcoin price at the moment?</t>
  </si>
  <si>
    <t xml:space="preserve"> Rebelnfinity</t>
  </si>
  <si>
    <t xml:space="preserve"> Sat Feb 03 2018 14:32:11</t>
  </si>
  <si>
    <t xml:space="preserve"> @CryptoCobain @CoinImperator League = Bitcoin Cash Dota = Bitcoin</t>
  </si>
  <si>
    <t xml:space="preserve"> cryptochris5000</t>
  </si>
  <si>
    <t xml:space="preserve"> Sat Feb 03 2018 14:32:14</t>
  </si>
  <si>
    <t xml:space="preserve"> 'this is a sucker's rally' #crypto #ethereum #bitcoin</t>
  </si>
  <si>
    <t xml:space="preserve"> Sat Feb 03 2018 14:32:16</t>
  </si>
  <si>
    <t xml:space="preserve"> Losing 74% of your crypto portfolio in 3 weeks is fun  #HODL #Bitcoin #bitcoincrash</t>
  </si>
  <si>
    <t xml:space="preserve"> MrCWealth</t>
  </si>
  <si>
    <t xml:space="preserve"> Pasco, WA</t>
  </si>
  <si>
    <t xml:space="preserve"> Sat Feb 03 2018 14:32:17</t>
  </si>
  <si>
    <t xml:space="preserve"> #BinaryFest #BinaryOptions #Forex #Bitcoin #MakeMoney, New Options Trade Ideas from Skip Raschke - Webinar Recap...</t>
  </si>
  <si>
    <t xml:space="preserve"> Sat Feb 03 2018 14:32:29</t>
  </si>
  <si>
    <t xml:space="preserve"> @officialmcafee @freemuslimminds Just like 2017, everybody was saying 'oh yeah, Bitcoin will hit $5,000 by Christmas.' Then what happened...</t>
  </si>
  <si>
    <t xml:space="preserve"> KyleSherrington</t>
  </si>
  <si>
    <t xml:space="preserve"> Edmonton Alberta</t>
  </si>
  <si>
    <t xml:space="preserve"> Sat Feb 03 2018 14:33:07</t>
  </si>
  <si>
    <t xml:space="preserve"> #Bitcoin Hodl is a future STAY off Bitcoin</t>
  </si>
  <si>
    <t xml:space="preserve"> Sat Feb 03 2018 14:33:30</t>
  </si>
  <si>
    <t xml:space="preserve"> how is the money #Bitcoin</t>
  </si>
  <si>
    <t xml:space="preserve"> promo4forex</t>
  </si>
  <si>
    <t xml:space="preserve"> Sat Feb 03 2018 14:33:52</t>
  </si>
  <si>
    <t xml:space="preserve"> @JulianJordan Bitcoin</t>
  </si>
  <si>
    <t xml:space="preserve"> ericaltm</t>
  </si>
  <si>
    <t xml:space="preserve"> Sat Feb 03 2018 14:33:58</t>
  </si>
  <si>
    <t xml:space="preserve"> @ericaltm Bitcoin 30k</t>
  </si>
  <si>
    <t xml:space="preserve"> fribster64</t>
  </si>
  <si>
    <t xml:space="preserve"> Kitchen</t>
  </si>
  <si>
    <t xml:space="preserve"> Sat Feb 03 2018 14:34:12</t>
  </si>
  <si>
    <t xml:space="preserve"> #bitcoin TL;DT (Too Long; Didn't Trade) $btc</t>
  </si>
  <si>
    <t xml:space="preserve"> sdfs1346</t>
  </si>
  <si>
    <t xml:space="preserve"> Yugoslavia</t>
  </si>
  <si>
    <t xml:space="preserve"> Sat Feb 03 2018 14:34:15</t>
  </si>
  <si>
    <t xml:space="preserve"> #Bitcoin has pushed above resistance. If it can stay there, price could keep going up . Yay!</t>
  </si>
  <si>
    <t xml:space="preserve"> RichardHeartWin</t>
  </si>
  <si>
    <t xml:space="preserve"> Sat Feb 03 2018 14:35:04</t>
  </si>
  <si>
    <t xml:space="preserve"> THE MOST INNOVATIVE AND LUCRATIVE WAY TO EARN BITCOIN JOIN BITCLUB NETWORK!!</t>
  </si>
  <si>
    <t xml:space="preserve"> Sat Feb 03 2018 14:35:10</t>
  </si>
  <si>
    <t xml:space="preserve"> I'll give you $10 for that Bitcoin in the window</t>
  </si>
  <si>
    <t xml:space="preserve"> GonzoHacker</t>
  </si>
  <si>
    <t xml:space="preserve"> Sat Feb 03 2018 14:35:12</t>
  </si>
  <si>
    <t xml:space="preserve"> End of 2017 was the awakening of the world to Bitcoin, 2018 will be the year of adoption and application of Bitcoin</t>
  </si>
  <si>
    <t xml:space="preserve"> Yorbins_Crypto</t>
  </si>
  <si>
    <t xml:space="preserve"> Sat Feb 03 2018 14:35:14</t>
  </si>
  <si>
    <t xml:space="preserve"> self taught trader aka you made 30p through bitcoin</t>
  </si>
  <si>
    <t xml:space="preserve"> thelifeoftge</t>
  </si>
  <si>
    <t xml:space="preserve"> Sat Feb 03 2018 14:35:55</t>
  </si>
  <si>
    <t xml:space="preserve"> FOMO is just heating up the engines before WARP mode   #bitcoin</t>
  </si>
  <si>
    <t xml:space="preserve"> ElkimXOC</t>
  </si>
  <si>
    <t xml:space="preserve"> Olomouc, esk republika</t>
  </si>
  <si>
    <t xml:space="preserve"> Sat Feb 03 2018 14:35:58</t>
  </si>
  <si>
    <t xml:space="preserve"> @TraxNYC Do you have any Bitcoin pendants?</t>
  </si>
  <si>
    <t xml:space="preserve"> Everlife</t>
  </si>
  <si>
    <t xml:space="preserve"> Fredericksburg, VA</t>
  </si>
  <si>
    <t xml:space="preserve"> Sat Feb 03 2018 14:35:59</t>
  </si>
  <si>
    <t xml:space="preserve"> Bitcoin downside target $btc</t>
  </si>
  <si>
    <t xml:space="preserve"> cockblockchain</t>
  </si>
  <si>
    <t xml:space="preserve"> Floriduh</t>
  </si>
  <si>
    <t xml:space="preserve"> Sat Feb 03 2018 14:36:17</t>
  </si>
  <si>
    <t xml:space="preserve"> @steversus @fimbim @officialmcafee @brave @steemit @Bitcoin I'd like to know what all these icons represent under the 3.0 column...</t>
  </si>
  <si>
    <t xml:space="preserve"> j_alorda</t>
  </si>
  <si>
    <t xml:space="preserve"> Austin, TX</t>
  </si>
  <si>
    <t xml:space="preserve"> Sat Feb 03 2018 14:36:32</t>
  </si>
  <si>
    <t xml:space="preserve"> @aelfblockchain  I felt aelf will become next to bitcoin</t>
  </si>
  <si>
    <t xml:space="preserve"> puerto_gracia</t>
  </si>
  <si>
    <t xml:space="preserve"> Sat Feb 03 2018 14:37:03</t>
  </si>
  <si>
    <t xml:space="preserve"> when bitcoin corrects by 85%, im putting my lifesavings into it. thatll prob be in 2020</t>
  </si>
  <si>
    <t xml:space="preserve"> Zujabes</t>
  </si>
  <si>
    <t xml:space="preserve"> MD</t>
  </si>
  <si>
    <t xml:space="preserve"> Sat Feb 03 2018 14:37:06</t>
  </si>
  <si>
    <t xml:space="preserve"> #Bitcoin $1 USD is currently worth 0.00010766 BTC! #GoldCoinJar</t>
  </si>
  <si>
    <t xml:space="preserve"> Sat Feb 03 2018 14:38:19</t>
  </si>
  <si>
    <t xml:space="preserve"> @rwxyne gotta use the bitcoin for sumthn man</t>
  </si>
  <si>
    <t xml:space="preserve"> iCarethNot</t>
  </si>
  <si>
    <t xml:space="preserve"> with bae.</t>
  </si>
  <si>
    <t xml:space="preserve"> Sat Feb 03 2018 14:38:20</t>
  </si>
  <si>
    <t xml:space="preserve"> @DanDarkPill bitcoin go down - Me, 2003</t>
  </si>
  <si>
    <t xml:space="preserve"> rustlebonez</t>
  </si>
  <si>
    <t xml:space="preserve"> Sat Feb 03 2018 14:38:26</t>
  </si>
  <si>
    <t xml:space="preserve"> Come on old girl pick your fat ass up and break $9,400 resistance !! $btc #bitcoin #altcoins #moon</t>
  </si>
  <si>
    <t xml:space="preserve"> PreForker</t>
  </si>
  <si>
    <t xml:space="preserve"> Sat Feb 03 2018 14:38:51</t>
  </si>
  <si>
    <t xml:space="preserve"> @MagicalTux Cool. Hey whats up with the 650,000 bitcoin you lost out of curiosity?</t>
  </si>
  <si>
    <t xml:space="preserve"> BenedictSlaney</t>
  </si>
  <si>
    <t xml:space="preserve"> Auckland, New Zealand</t>
  </si>
  <si>
    <t xml:space="preserve"> Sat Feb 03 2018 14:39:06</t>
  </si>
  <si>
    <t xml:space="preserve"> Yo memo is so worthless no ones gonna pay a single Bitcoin for it   #YoMemoJokes</t>
  </si>
  <si>
    <t xml:space="preserve"> MinetteNelson</t>
  </si>
  <si>
    <t xml:space="preserve"> Earth while it lasts</t>
  </si>
  <si>
    <t xml:space="preserve"> Sat Feb 03 2018 14:39:16</t>
  </si>
  <si>
    <t xml:space="preserve"> @LedgerHQ As mentioned in the PDF, that only mitigates the risk in the Bitcoin app. What do we do with the other apps?</t>
  </si>
  <si>
    <t xml:space="preserve"> LubinaBonita</t>
  </si>
  <si>
    <t xml:space="preserve"> Argentina</t>
  </si>
  <si>
    <t xml:space="preserve"> Sat Feb 03 2018 14:39:38</t>
  </si>
  <si>
    <t xml:space="preserve"> Pre-sale whitelist is ending in 2 days, be sure to check it before it ends @WeareThrivelabs  #thrive #ico #ethereum #bitcoin</t>
  </si>
  <si>
    <t xml:space="preserve"> melobebulu</t>
  </si>
  <si>
    <t xml:space="preserve"> Lunar Orbit</t>
  </si>
  <si>
    <t xml:space="preserve"> Sat Feb 03 2018 14:39:42</t>
  </si>
  <si>
    <t xml:space="preserve"> @DanDarkPill Lmfao. Wow hes like a Bitcoin oracle.</t>
  </si>
  <si>
    <t xml:space="preserve"> EyeChozenOne</t>
  </si>
  <si>
    <t xml:space="preserve"> Sat Feb 03 2018 14:39:47</t>
  </si>
  <si>
    <t xml:space="preserve"> Im back home and #bitcoin is out of the woods for now ^.^   Good stuff.  #btc $btc</t>
  </si>
  <si>
    <t xml:space="preserve"> BTCHamm3r</t>
  </si>
  <si>
    <t xml:space="preserve"> NL</t>
  </si>
  <si>
    <t xml:space="preserve"> Sat Feb 03 2018 14:39:48</t>
  </si>
  <si>
    <t xml:space="preserve"> @betangel Looks like Bitcoin markets affects horses too</t>
  </si>
  <si>
    <t xml:space="preserve"> myluckyfriday13</t>
  </si>
  <si>
    <t xml:space="preserve"> Sat Feb 03 2018 14:39:57</t>
  </si>
  <si>
    <t xml:space="preserve"> @rockerest I just wanna know how much Bitcoin you sold?</t>
  </si>
  <si>
    <t xml:space="preserve"> Duma_Mthombeni</t>
  </si>
  <si>
    <t xml:space="preserve"> Sat Feb 03 2018 14:40:04</t>
  </si>
  <si>
    <t xml:space="preserve"> I have faith in bitcoin with LN and smart contracts</t>
  </si>
  <si>
    <t xml:space="preserve"> FistFullofCoin</t>
  </si>
  <si>
    <t xml:space="preserve"> Sat Feb 03 2018 14:40:16</t>
  </si>
  <si>
    <t xml:space="preserve"> @latenitevibe (60964 follows) RT @CryptoXanax: Crypto and bitcoin has changed my life for the better so heres a random .1 btc giveaway,...</t>
  </si>
  <si>
    <t xml:space="preserve"> Sat Feb 03 2018 14:40:37</t>
  </si>
  <si>
    <t xml:space="preserve"> @DanDarkPill in b4 everyone knows he's the new Oracle of Bitcoin. Sorry @VinnyLingham</t>
  </si>
  <si>
    <t xml:space="preserve"> Cryptodotuser</t>
  </si>
  <si>
    <t xml:space="preserve"> Sat Feb 03 2018 14:40:48</t>
  </si>
  <si>
    <t xml:space="preserve"> Volume. I would like to see more volume here. Show me your FOMO. $btc #bitcoin</t>
  </si>
  <si>
    <t xml:space="preserve"> BitcoinBarons</t>
  </si>
  <si>
    <t xml:space="preserve"> Sat Feb 03 2018 14:40:56</t>
  </si>
  <si>
    <t xml:space="preserve"> I am Ethereum. The noise is Bitcoin.</t>
  </si>
  <si>
    <t xml:space="preserve"> wctoc</t>
  </si>
  <si>
    <t xml:space="preserve"> Anaheim, CA</t>
  </si>
  <si>
    <t xml:space="preserve"> Sat Feb 03 2018 14:41:17</t>
  </si>
  <si>
    <t xml:space="preserve"> Let's make #savcash together #bitcoin #siacoin #binance @siasunjay</t>
  </si>
  <si>
    <t xml:space="preserve"> OnikeSC</t>
  </si>
  <si>
    <t xml:space="preserve"> Sat Feb 03 2018 14:41:19</t>
  </si>
  <si>
    <t xml:space="preserve"> @JHUBB Bitcoin for olds</t>
  </si>
  <si>
    <t xml:space="preserve"> theanimalarrg</t>
  </si>
  <si>
    <t xml:space="preserve"> Sat Feb 03 2018 14:41:37</t>
  </si>
  <si>
    <t xml:space="preserve"> @Bigballjvol If youre #madbro  you should have bought #bitcoin like the rest of the #idiots and non #fam #bros are.</t>
  </si>
  <si>
    <t xml:space="preserve"> CryptoFamilyGuy</t>
  </si>
  <si>
    <t xml:space="preserve"> Rhode Island, USA</t>
  </si>
  <si>
    <t xml:space="preserve"> Sat Feb 03 2018 14:41:40</t>
  </si>
  <si>
    <t xml:space="preserve"> @CryptoObelisk @Abu9ala7 @CryptoYoda1338 U would walk away when Bitcoin was 0.08 and went op x20 lmao</t>
  </si>
  <si>
    <t xml:space="preserve"> Cryptobullz1</t>
  </si>
  <si>
    <t xml:space="preserve"> Sat Feb 03 2018 14:41:50</t>
  </si>
  <si>
    <t xml:space="preserve"> @ValaAfshar @TheCryptoBuLL @CNBC Market cap is 4x that of #Bitcoin. Wow! So Much potential in $BTC. Not even close to a bubble</t>
  </si>
  <si>
    <t xml:space="preserve"> ionlytweetlol</t>
  </si>
  <si>
    <t xml:space="preserve"> Sat Feb 03 2018 14:41:55</t>
  </si>
  <si>
    <t xml:space="preserve"> Man I added a new open source P2P e-cash system called Bitcoin. It's completely decentralized, with themselves</t>
  </si>
  <si>
    <t xml:space="preserve"> Sat Feb 03 2018 14:42:08</t>
  </si>
  <si>
    <t xml:space="preserve"> Bitcoin is begin to raise up again! From $8,500 to $9,300 in about 7 hours. Yeay!</t>
  </si>
  <si>
    <t xml:space="preserve"> Maximarcell</t>
  </si>
  <si>
    <t xml:space="preserve"> Jakarta - Indonesia</t>
  </si>
  <si>
    <t xml:space="preserve"> Sat Feb 03 2018 14:42:13</t>
  </si>
  <si>
    <t xml:space="preserve"> @PA_CryptoCharts looking good #bitcoin</t>
  </si>
  <si>
    <t xml:space="preserve"> ShenWukong</t>
  </si>
  <si>
    <t xml:space="preserve"> Sat Feb 03 2018 14:42:15</t>
  </si>
  <si>
    <t xml:space="preserve"> @blockchaintalk2 Use @BitQuickco  to buy bitcoin using cash.</t>
  </si>
  <si>
    <t xml:space="preserve"> Sat Feb 03 2018 14:42:41</t>
  </si>
  <si>
    <t xml:space="preserve"> #Bitcoin is going back up today. #letsride</t>
  </si>
  <si>
    <t xml:space="preserve"> trainmuzik</t>
  </si>
  <si>
    <t xml:space="preserve"> Tennessee, USA</t>
  </si>
  <si>
    <t xml:space="preserve"> Sat Feb 03 2018 14:42:58</t>
  </si>
  <si>
    <t xml:space="preserve"> There are about 7.4 billion people on #Earth. Only 21 million #bitcoin will be released. #HODL</t>
  </si>
  <si>
    <t xml:space="preserve"> ChrisRalphie</t>
  </si>
  <si>
    <t xml:space="preserve"> NYC, NY</t>
  </si>
  <si>
    <t xml:space="preserve"> Sat Feb 03 2018 14:43:03</t>
  </si>
  <si>
    <t xml:space="preserve"> Overheard at Pret: dont do bitcoin, you cant make money, it only started last year</t>
  </si>
  <si>
    <t xml:space="preserve"> TobyMPhillips</t>
  </si>
  <si>
    <t xml:space="preserve"> Oxford</t>
  </si>
  <si>
    <t xml:space="preserve"> Sat Feb 03 2018 14:43:38</t>
  </si>
  <si>
    <t xml:space="preserve"> Bitcoin has reached it's highest point since February 1st!!! #BTC</t>
  </si>
  <si>
    <t xml:space="preserve"> CryptoJobby</t>
  </si>
  <si>
    <t xml:space="preserve"> Sat Feb 03 2018 14:44:02</t>
  </si>
  <si>
    <t xml:space="preserve"> After the Super Bowl #bitcoin will skyrocket!</t>
  </si>
  <si>
    <t xml:space="preserve"> Sat Feb 03 2018 14:44:13</t>
  </si>
  <si>
    <t xml:space="preserve"> If you purchased #bitcoin and #ripple this morning like I suggested you can sell now and thank me for the advise as you made a profit!</t>
  </si>
  <si>
    <t xml:space="preserve"> randywhorton</t>
  </si>
  <si>
    <t xml:space="preserve"> Kingdom of Saudi Arabia</t>
  </si>
  <si>
    <t xml:space="preserve"> Sat Feb 03 2018 14:44:21</t>
  </si>
  <si>
    <t xml:space="preserve"> I think this #bear trend was too soft in comparion to the rise. My gut tells me we will drop a little more #crypto #bitcoin</t>
  </si>
  <si>
    <t xml:space="preserve"> bitcoinkleb</t>
  </si>
  <si>
    <t xml:space="preserve"> Montral, Qubec</t>
  </si>
  <si>
    <t xml:space="preserve"> Sat Feb 03 2018 14:44:29</t>
  </si>
  <si>
    <t xml:space="preserve"> @Naan_Binary_ @archfyr Still better investment than bitcoin</t>
  </si>
  <si>
    <t xml:space="preserve"> aPebbleInTheSky</t>
  </si>
  <si>
    <t xml:space="preserve"> Barsoom</t>
  </si>
  <si>
    <t xml:space="preserve"> Sat Feb 03 2018 14:45:02</t>
  </si>
  <si>
    <t xml:space="preserve"> There are currently 11,221 unconfirmed Bitcoin transactions. #bitcoin #btc $BTC</t>
  </si>
  <si>
    <t xml:space="preserve"> Sat Feb 03 2018 14:45:09</t>
  </si>
  <si>
    <t xml:space="preserve"> Please follow 'BTCpx' to keep updated on the latest Bitcoin price #BTC #BTCUSD $BTC</t>
  </si>
  <si>
    <t xml:space="preserve"> Sat Feb 03 2018 14:46:10</t>
  </si>
  <si>
    <t xml:space="preserve"> @Bitcoin How about 12 reasons @Bitcoin is not the real #Bitcoin twitter handle. You guys are ridiculous.</t>
  </si>
  <si>
    <t xml:space="preserve"> dylanjharris</t>
  </si>
  <si>
    <t xml:space="preserve"> Newport, WA</t>
  </si>
  <si>
    <t xml:space="preserve"> Sat Feb 03 2018 14:46:11</t>
  </si>
  <si>
    <t xml:space="preserve"> Current price of Bitcoin is $9029.81 #Bitcoin #Bithound</t>
  </si>
  <si>
    <t xml:space="preserve"> Sat Feb 03 2018 14:46:14</t>
  </si>
  <si>
    <t xml:space="preserve"> @Huobi_Pro Thats funny, because several reports say bitcoin has fallen of a cliff w/no bottom in sight! Therefore bitcoin=</t>
  </si>
  <si>
    <t xml:space="preserve"> Wes72971</t>
  </si>
  <si>
    <t xml:space="preserve"> Sat Feb 03 2018 14:46:25</t>
  </si>
  <si>
    <t xml:space="preserve"> #Daneel #TokenSale very nice project and good opportunity to invest in,all wishes to the team #AI #ICO #Bitcoin #investors #Ethereum</t>
  </si>
  <si>
    <t xml:space="preserve"> neil81_neil</t>
  </si>
  <si>
    <t xml:space="preserve"> Sat Feb 03 2018 14:46:33</t>
  </si>
  <si>
    <t xml:space="preserve"> The Bitcoin and immortality...same difference. Welcome to the New World</t>
  </si>
  <si>
    <t xml:space="preserve"> BCBG_Nova</t>
  </si>
  <si>
    <t xml:space="preserve"> Sat Feb 03 2018 14:46:45</t>
  </si>
  <si>
    <t xml:space="preserve"> Crypto Rich and Paranoid: Threats Prompt Radical Security in #Bitcoin Land. #cryptocurrency #whalescommunity</t>
  </si>
  <si>
    <t xml:space="preserve"> Sat Feb 03 2018 14:46:46</t>
  </si>
  <si>
    <t xml:space="preserve"> Optimal tx fee: 70 satoshi per byte.  BTC : $9336 / 7493 / 6610 @ Block 507441.  Market Cap: 152.38B USD. #Follow #Bitcoin</t>
  </si>
  <si>
    <t xml:space="preserve"> Sat Feb 03 2018 14:46:52</t>
  </si>
  <si>
    <t xml:space="preserve"> Just started bitcoin farming. Not sure how much water you are supposed to feed them every day.</t>
  </si>
  <si>
    <t xml:space="preserve"> JoeyShoots</t>
  </si>
  <si>
    <t xml:space="preserve"> The Bowery</t>
  </si>
  <si>
    <t xml:space="preserve"> Sat Feb 03 2018 14:46:55</t>
  </si>
  <si>
    <t xml:space="preserve"> On the 1st of March, the dollar price of 1 #Bitcoin $BTC will be</t>
  </si>
  <si>
    <t xml:space="preserve"> Cryptomatsu</t>
  </si>
  <si>
    <t xml:space="preserve"> A cryptocurrencies oden near you.</t>
  </si>
  <si>
    <t xml:space="preserve"> Sat Feb 03 2018 14:46:57</t>
  </si>
  <si>
    <t xml:space="preserve"> @Zackjgra Get bitcoin and beyblades confused don't you</t>
  </si>
  <si>
    <t xml:space="preserve"> Harry_Ellis98</t>
  </si>
  <si>
    <t xml:space="preserve"> Sat Feb 03 2018 14:47:32</t>
  </si>
  <si>
    <t xml:space="preserve"> Rumors of a cease and desist order from Texas for @DavorCoin?! Fud or real deal? #DAVORCOIN  #FUD #bitcoin</t>
  </si>
  <si>
    <t xml:space="preserve"> TattooedBit</t>
  </si>
  <si>
    <t xml:space="preserve"> Sat Feb 03 2018 14:47:33</t>
  </si>
  <si>
    <t xml:space="preserve"> When panic sellers are out, the path of least resistance is north.  #BTC #bitcoin</t>
  </si>
  <si>
    <t xml:space="preserve"> BitCoinRh</t>
  </si>
  <si>
    <t xml:space="preserve"> Store of Value Coin</t>
  </si>
  <si>
    <t xml:space="preserve"> Sat Feb 03 2018 14:47:42</t>
  </si>
  <si>
    <t xml:space="preserve"> @CryptoChoe Correction: None of them wanted bitcoin that is.</t>
  </si>
  <si>
    <t xml:space="preserve"> JosephJJoshi</t>
  </si>
  <si>
    <t xml:space="preserve"> Sat Feb 03 2018 14:47:45</t>
  </si>
  <si>
    <t xml:space="preserve"> @QYResearch_GL You will be crashing more if you waste $5000 this fake report.  Buy Bitcoin instead.</t>
  </si>
  <si>
    <t xml:space="preserve"> MrBisharsh</t>
  </si>
  <si>
    <t xml:space="preserve"> Midlands UK</t>
  </si>
  <si>
    <t xml:space="preserve"> Sat Feb 03 2018 14:48:43</t>
  </si>
  <si>
    <t xml:space="preserve"> @DougPolkPoker How much bitcoin do you think those #Boobs cost ?   #KatyPerry @katyperry   </t>
  </si>
  <si>
    <t xml:space="preserve"> persianAT</t>
  </si>
  <si>
    <t xml:space="preserve"> 7000 KM away from home.</t>
  </si>
  <si>
    <t xml:space="preserve"> Sat Feb 03 2018 14:48:47</t>
  </si>
  <si>
    <t xml:space="preserve"> Joke: Bitcoin prices are volatile   Woke: Yu-Gi-Oh card prices are volatile</t>
  </si>
  <si>
    <t xml:space="preserve"> Crekkan</t>
  </si>
  <si>
    <t xml:space="preserve"> United Kingdom, England</t>
  </si>
  <si>
    <t xml:space="preserve"> Sat Feb 03 2018 14:49:59</t>
  </si>
  <si>
    <t xml:space="preserve"> @BitPaySupport @BitPay why cant i see a normal bitcoin address when trying to pay @Newegg</t>
  </si>
  <si>
    <t xml:space="preserve"> CryptoHolmes</t>
  </si>
  <si>
    <t xml:space="preserve"> Sat Feb 03 2018 14:50:01</t>
  </si>
  <si>
    <t xml:space="preserve"> #cryptocurrencies Bitcoin 9400</t>
  </si>
  <si>
    <t xml:space="preserve"> alexdudchenko</t>
  </si>
  <si>
    <t xml:space="preserve"> Sat Feb 03 2018 14:50:16</t>
  </si>
  <si>
    <t xml:space="preserve"> @Bitcoin I thought I was following the real bitcoin. Not some shady alt coin that nobody likes.</t>
  </si>
  <si>
    <t xml:space="preserve"> Maya39993188</t>
  </si>
  <si>
    <t xml:space="preserve"> Sat Feb 03 2018 14:50:56</t>
  </si>
  <si>
    <t xml:space="preserve"> I hope yall who invested in bitcoin realize theres nothing to back it up with.</t>
  </si>
  <si>
    <t xml:space="preserve"> Bracasso</t>
  </si>
  <si>
    <t xml:space="preserve"> Sat Feb 03 2018 14:51:27</t>
  </si>
  <si>
    <t xml:space="preserve"> @realJohnHampson Does it look like time to buy Bitcoin now?</t>
  </si>
  <si>
    <t xml:space="preserve"> GlendaMcRose</t>
  </si>
  <si>
    <t xml:space="preserve"> New York</t>
  </si>
  <si>
    <t xml:space="preserve"> Sat Feb 03 2018 14:51:39</t>
  </si>
  <si>
    <t xml:space="preserve"> @CryptoCoinsNews Go Litecoin! The silver to Bitcoin!</t>
  </si>
  <si>
    <t xml:space="preserve"> paalsky</t>
  </si>
  <si>
    <t xml:space="preserve"> Sat Feb 03 2018 14:51:58</t>
  </si>
  <si>
    <t xml:space="preserve"> @QuickBASIC_ @Bitcoin #Bitcoin = Bitcoin and #BitcoinCash = BitcoinCash and #DogeCoin = DogeCoin... must I go on?? Unbelievable ...</t>
  </si>
  <si>
    <t xml:space="preserve"> MichaelBluMusic</t>
  </si>
  <si>
    <t xml:space="preserve"> Sat Feb 03 2018 14:52:15</t>
  </si>
  <si>
    <t xml:space="preserve"> Bitcoin $BTC | $9,374</t>
  </si>
  <si>
    <t xml:space="preserve"> Sat Feb 03 2018 14:52:27</t>
  </si>
  <si>
    <t xml:space="preserve"> @Crypt0e_OG Sounds too good to be true ;)! I'm curious...  Would take a Bitcoin pls.  3FEkC9dhSwma6XaxnzUgmvGGtvoXv7Hyes</t>
  </si>
  <si>
    <t xml:space="preserve"> Sphen6</t>
  </si>
  <si>
    <t xml:space="preserve"> Sat Feb 03 2018 14:52:35</t>
  </si>
  <si>
    <t xml:space="preserve"> @alistairmilne @leashless Bitcoin or  Blockchain?</t>
  </si>
  <si>
    <t xml:space="preserve"> ChriVasINTL</t>
  </si>
  <si>
    <t xml:space="preserve"> 3807'07.12N, 2347'17.69E</t>
  </si>
  <si>
    <t xml:space="preserve"> Sat Feb 03 2018 14:52:53</t>
  </si>
  <si>
    <t xml:space="preserve"> @Fantasy_GP How many BitCoin is that?</t>
  </si>
  <si>
    <t xml:space="preserve"> RStripsComic</t>
  </si>
  <si>
    <t xml:space="preserve"> Sat Feb 03 2018 14:53:04</t>
  </si>
  <si>
    <t xml:space="preserve"> @michaelhoffman If you can work CRISPR in, I would totally fund that bitcoin IPO</t>
  </si>
  <si>
    <t xml:space="preserve"> mahonylab</t>
  </si>
  <si>
    <t xml:space="preserve"> Penn State University</t>
  </si>
  <si>
    <t xml:space="preserve"> Sat Feb 03 2018 14:53:17</t>
  </si>
  <si>
    <t xml:space="preserve"> I hope everyone was able to buy some crypto while it was on sale! Its go time! #bitcoin</t>
  </si>
  <si>
    <t xml:space="preserve"> DROBtheNASTY</t>
  </si>
  <si>
    <t xml:space="preserve"> St Petersburg, FL</t>
  </si>
  <si>
    <t xml:space="preserve"> Sat Feb 03 2018 14:53:22</t>
  </si>
  <si>
    <t xml:space="preserve"> @CryptOrca And I lost 1 Bitcoin by clicking on the link  </t>
  </si>
  <si>
    <t xml:space="preserve"> LegoCrypto</t>
  </si>
  <si>
    <t xml:space="preserve"> Sat Feb 03 2018 14:53:29</t>
  </si>
  <si>
    <t xml:space="preserve"> @EconguyRosie The quicker Bitcoin replaces fiat currency the sooner GDP and productivity will increase.</t>
  </si>
  <si>
    <t xml:space="preserve"> xcsler</t>
  </si>
  <si>
    <t xml:space="preserve"> Sat Feb 03 2018 14:54:25</t>
  </si>
  <si>
    <t xml:space="preserve"> @paulkrugman Me? I ALWAYS thought Bitcoin was a tool of Keyser Sze.</t>
  </si>
  <si>
    <t xml:space="preserve"> Lawrence_n_DC</t>
  </si>
  <si>
    <t xml:space="preserve"> Sat Feb 03 2018 14:54:42</t>
  </si>
  <si>
    <t xml:space="preserve"> Bitcoin braces for worst week since 2013</t>
  </si>
  <si>
    <t xml:space="preserve"> Ion_Banal</t>
  </si>
  <si>
    <t xml:space="preserve"> Sat Feb 03 2018 14:54:49</t>
  </si>
  <si>
    <t xml:space="preserve"> Logic and simplicity are 2 concepts Bitcoin Core supporters fail to grasp...and they fail epically.</t>
  </si>
  <si>
    <t xml:space="preserve"> JasonGaylord10</t>
  </si>
  <si>
    <t xml:space="preserve"> @paulkrugman ITIS  NO  BUBBLE     NOMINELL   BITCOIN   WORTH  ISS  450$</t>
  </si>
  <si>
    <t xml:space="preserve"> 0DGMETHHAZE666</t>
  </si>
  <si>
    <t xml:space="preserve"> Schweiz</t>
  </si>
  <si>
    <t xml:space="preserve"> Sat Feb 03 2018 14:55:09</t>
  </si>
  <si>
    <t xml:space="preserve"> @Carsten71071425 @BCHftw @ArminVanBitcoin Isn't LN a kind of blockchain bypass network mounted over the Bitcoin's Blockchain?</t>
  </si>
  <si>
    <t xml:space="preserve"> PerazaGonzalo</t>
  </si>
  <si>
    <t xml:space="preserve"> Sat Feb 03 2018 14:55:12</t>
  </si>
  <si>
    <t xml:space="preserve"> Here's to all the newcomers that didn't jump off this rollercoaster.  You have passed your first test.  #bitcoin</t>
  </si>
  <si>
    <t xml:space="preserve"> ArminVanBitcoin</t>
  </si>
  <si>
    <t xml:space="preserve"> Sat Feb 03 2018 14:55:13</t>
  </si>
  <si>
    <t xml:space="preserve"> Cryptocurrency: #Bitcoin Price USD: 9345.59 Price BTC: 1.0 24h Volume USD: 8192620000.0 Percent change 24h: 7.17</t>
  </si>
  <si>
    <t xml:space="preserve"> Sat Feb 03 2018 14:55:55</t>
  </si>
  <si>
    <t xml:space="preserve"> I had a feeling bitcoin was going to spike right back up</t>
  </si>
  <si>
    <t xml:space="preserve"> kevinOblock</t>
  </si>
  <si>
    <t xml:space="preserve"> Sat Feb 03 2018 14:55:57</t>
  </si>
  <si>
    <t xml:space="preserve"> NORMAL  WORTH  OFA   BITCOIN  200-450$   NOW   8000  OF  20.000    1   COIN        I  USED  TO  ORDER  IN  DARKNET  ILLEGAL  DRUGZ</t>
  </si>
  <si>
    <t xml:space="preserve"> Sat Feb 03 2018 14:56:11</t>
  </si>
  <si>
    <t xml:space="preserve"> I will be tweeting about #Bitcoin and  #Altcoins in English and Turkish</t>
  </si>
  <si>
    <t xml:space="preserve"> masterlucc</t>
  </si>
  <si>
    <t xml:space="preserve"> Sat Feb 03 2018 14:56:25</t>
  </si>
  <si>
    <t xml:space="preserve"> A 9y.o., an aspiring piano player, was sure we were talking about Bethoven, not bitcoin.</t>
  </si>
  <si>
    <t xml:space="preserve"> ifesdjeen</t>
  </si>
  <si>
    <t xml:space="preserve"> Mnchen / Lugano</t>
  </si>
  <si>
    <t xml:space="preserve"> Sat Feb 03 2018 14:56:35</t>
  </si>
  <si>
    <t xml:space="preserve"> @KayBlake111 @rory_macdonald @officialmcafee For my own entertainment, what makes bitcoin cash useless, and bitcoin useful.</t>
  </si>
  <si>
    <t xml:space="preserve"> ashton</t>
  </si>
  <si>
    <t xml:space="preserve"> Santa Monica, CA</t>
  </si>
  <si>
    <t xml:space="preserve"> Sat Feb 03 2018 14:56:49</t>
  </si>
  <si>
    <t xml:space="preserve"> Ayyy bitcoin with da pump againnn</t>
  </si>
  <si>
    <t xml:space="preserve"> BrunoProfits</t>
  </si>
  <si>
    <t xml:space="preserve"> Sat Feb 03 2018 14:56:50</t>
  </si>
  <si>
    <t xml:space="preserve"> What are the Windsor #crypto kings up to today? #bitcoin $btc</t>
  </si>
  <si>
    <t xml:space="preserve"> ShivamShukla90</t>
  </si>
  <si>
    <t xml:space="preserve"> Sat Feb 03 2018 14:57:03</t>
  </si>
  <si>
    <t xml:space="preserve"> The #BitcoinPizza would be worth US$93,201,500.00 right now (up 8.1% in the last 24 hours): #Bitcoin</t>
  </si>
  <si>
    <t xml:space="preserve"> TheBitcoinPizza</t>
  </si>
  <si>
    <t xml:space="preserve"> Sat Feb 03 2018 14:57:08</t>
  </si>
  <si>
    <t xml:space="preserve"> PumaPay - pay anywhere with bitcoin, it is very convenient! This is the future! #Crypto #Blockchain #ICO #Profit #Crowdfunding #PumaPay</t>
  </si>
  <si>
    <t xml:space="preserve"> somovp</t>
  </si>
  <si>
    <t xml:space="preserve"> 0xF756DFA0Fb46B5e7A155171E0Bd8</t>
  </si>
  <si>
    <t xml:space="preserve"> Sat Feb 03 2018 14:57:13</t>
  </si>
  <si>
    <t xml:space="preserve"> @ronnierodeo33 @vergecurrency @justinvendetta Do you see Satoshi Nakamoto on Bitcoin?????????</t>
  </si>
  <si>
    <t xml:space="preserve"> BatigolPat</t>
  </si>
  <si>
    <t xml:space="preserve"> Sat Feb 03 2018 14:57:31</t>
  </si>
  <si>
    <t xml:space="preserve"> @BTCNewsUpdates It's like the same story of fake satoshi now Bcash wants to be the original BITCOIN</t>
  </si>
  <si>
    <t xml:space="preserve"> CryptoPiGG</t>
  </si>
  <si>
    <t xml:space="preserve"> Sat Feb 03 2018 14:57:43</t>
  </si>
  <si>
    <t xml:space="preserve"> @Cointelegraph Hey..... Hodl on... It's serious...!!! #Bitcoin</t>
  </si>
  <si>
    <t xml:space="preserve"> ashdhir_puja</t>
  </si>
  <si>
    <t xml:space="preserve"> Bhopal, India </t>
  </si>
  <si>
    <t xml:space="preserve"> Sat Feb 03 2018 14:58:53</t>
  </si>
  <si>
    <t xml:space="preserve"> $btc a moment of silence for the rookies whom sold their bitcoin at $8,000.00</t>
  </si>
  <si>
    <t xml:space="preserve"> Crypto_Wizardz</t>
  </si>
  <si>
    <t xml:space="preserve"> Sat Feb 03 2018 14:58:58</t>
  </si>
  <si>
    <t xml:space="preserve"> ppl dont talk bout crashing stock market like they talk bout bitcoin lol.... Ppl who got bitcoin last January still up thousands....</t>
  </si>
  <si>
    <t xml:space="preserve"> TheLivingHeru</t>
  </si>
  <si>
    <t xml:space="preserve"> Voodoo City(New Artleanz)</t>
  </si>
  <si>
    <t xml:space="preserve"> Sat Feb 03 2018 14:59:31</t>
  </si>
  <si>
    <t xml:space="preserve"> @HeatherFantoche - Hey how much is 1 bitcoin worth or cost ??</t>
  </si>
  <si>
    <t xml:space="preserve"> x_deplorable</t>
  </si>
  <si>
    <t xml:space="preserve"> Voted Perot in 92  - Michigan</t>
  </si>
  <si>
    <t xml:space="preserve"> Sat Feb 03 2018 14:59:39</t>
  </si>
  <si>
    <t xml:space="preserve"> @paulkrugman Well Wily E. Coyote was, like @POTUS, a super genius. The backers of bitcoin were not so rational as he.</t>
  </si>
  <si>
    <t xml:space="preserve"> sadknicksfan314</t>
  </si>
  <si>
    <t xml:space="preserve"> Sat Feb 03 2018 14:59:44</t>
  </si>
  <si>
    <t xml:space="preserve"> I'll be away from my desk for a little while. You're on your own #BitCoin traders.</t>
  </si>
  <si>
    <t xml:space="preserve"> 3Xtraders</t>
  </si>
  <si>
    <t xml:space="preserve"> Chicago burbs</t>
  </si>
  <si>
    <t xml:space="preserve"> Sat Feb 03 2018 14:59:51</t>
  </si>
  <si>
    <t xml:space="preserve"> @CharlieShrem Why dont you buy bitcoin golf balls, Im sure youll connect.</t>
  </si>
  <si>
    <t xml:space="preserve"> hydrocryptogen</t>
  </si>
  <si>
    <t xml:space="preserve"> Salishan</t>
  </si>
  <si>
    <t xml:space="preserve"> Sat Feb 03 2018 15:00:00</t>
  </si>
  <si>
    <t xml:space="preserve"> You can buy 2216 Big Macs with 1 Bitcoin </t>
  </si>
  <si>
    <t xml:space="preserve"> howmanybigmacs</t>
  </si>
  <si>
    <t xml:space="preserve"> @ #1, Bitcoin with unit price of $9,348.28, market cap of $157,453,425,926 (34.58%), and 24 hr vol. of $8,131,910,000 (31.54%)</t>
  </si>
  <si>
    <t xml:space="preserve"> Sat Feb 03 2018 15:00:02</t>
  </si>
  <si>
    <t xml:space="preserve"> Current BTC Dominance: 34.58% #Bitcoin #Altcoin #Cryptocurrency</t>
  </si>
  <si>
    <t xml:space="preserve"> Bitcoin:$9341.28 Ethereum:$982.927 Bitcoin Cash:$1265.06 Litecoin:$148.386 Ripple:$0.952644 IOTA:$1.98101</t>
  </si>
  <si>
    <t xml:space="preserve"> Average Bitcoin market price is: USD 9,367.40, EUR 7,534.21</t>
  </si>
  <si>
    <t xml:space="preserve"> The average price of Bitcoin across all exchanges is 9,341.28 USD</t>
  </si>
  <si>
    <t xml:space="preserve"> Sat Feb 03 2018 15:00:05</t>
  </si>
  <si>
    <t xml:space="preserve"> Feb 03, 2018 07:00AM #Bitcoin Price: USD 8759.41 | EUR 7065.58 | JPY 937691.23</t>
  </si>
  <si>
    <t xml:space="preserve"> Sat Feb 03 2018 15:00:14</t>
  </si>
  <si>
    <t xml:space="preserve"> @steve_hanke Hey grandpa, time's up. Bitcoin is still up 8000% since your prediction. And we're coming for the banking system next</t>
  </si>
  <si>
    <t xml:space="preserve"> CryptoFrog_</t>
  </si>
  <si>
    <t xml:space="preserve"> Sat Feb 03 2018 15:00:21</t>
  </si>
  <si>
    <t xml:space="preserve"> What are you currently #trading? #stockmarket #forex #pennystocks #options #binary #bitcoin ?</t>
  </si>
  <si>
    <t xml:space="preserve"> introvertwander</t>
  </si>
  <si>
    <t xml:space="preserve"> Sat Feb 03 2018 15:00:28</t>
  </si>
  <si>
    <t xml:space="preserve"> We welcome all Investors who want to multiply their hard earned money. Our system is very reliable and profitable. #BasicForex #Bitcoin #Buy</t>
  </si>
  <si>
    <t xml:space="preserve"> phillip_carnell</t>
  </si>
  <si>
    <t xml:space="preserve"> Sat Feb 03 2018 15:00:31</t>
  </si>
  <si>
    <t xml:space="preserve"> BTC hourly update $9388.13    |    +0.0112% $BTC #BTCUSD #Bitcoin</t>
  </si>
  <si>
    <t xml:space="preserve"> Sat Feb 03 2018 15:00:44</t>
  </si>
  <si>
    <t xml:space="preserve"> Current price of Bitcoin is $9370.50.</t>
  </si>
  <si>
    <t xml:space="preserve"> Sat Feb 03 2018 15:00:52</t>
  </si>
  <si>
    <t xml:space="preserve"> Why are systems based on Indicators not good? Because they TRY to predict the prices. FX News Trader doesn't try, it knows. #Bitcoin</t>
  </si>
  <si>
    <t xml:space="preserve"> rmetcalfe021</t>
  </si>
  <si>
    <t xml:space="preserve"> Sydney, New South Wales</t>
  </si>
  <si>
    <t xml:space="preserve"> Sat Feb 03 2018 15:00:57</t>
  </si>
  <si>
    <t xml:space="preserve"> Current price of $Bitcoin is $9370.50 via #Chain</t>
  </si>
  <si>
    <t xml:space="preserve"> InvestEsoteric</t>
  </si>
  <si>
    <t xml:space="preserve"> Sat Feb 03 2018 15:01:10</t>
  </si>
  <si>
    <t xml:space="preserve"> Current price of Bitcoin is $9370.50 $btc #bitcoin</t>
  </si>
  <si>
    <t xml:space="preserve"> Sat Feb 03 2018 15:01:18</t>
  </si>
  <si>
    <t xml:space="preserve"> @BitcoinCom   For new comers bitcoin-com , bitcoin-cash  and  this  account  is  SCAM , beware </t>
  </si>
  <si>
    <t xml:space="preserve"> joabedomar</t>
  </si>
  <si>
    <t xml:space="preserve"> Sat Feb 03 2018 15:01:23</t>
  </si>
  <si>
    <t xml:space="preserve"> Want to buy Bitcoin? Current price is $9370.50 #bitcoin</t>
  </si>
  <si>
    <t xml:space="preserve"> NorseTechnology</t>
  </si>
  <si>
    <t xml:space="preserve"> HQ: Dallas/FT Worth Area</t>
  </si>
  <si>
    <t xml:space="preserve"> Current price of Bitcoin is $9370.50 @Chain</t>
  </si>
  <si>
    <t xml:space="preserve"> iamashleyalove</t>
  </si>
  <si>
    <t xml:space="preserve"> New Orleans, LA</t>
  </si>
  <si>
    <t xml:space="preserve"> Sat Feb 03 2018 15:01:24</t>
  </si>
  <si>
    <t xml:space="preserve"> Current price of Bitcoin is $9370.50</t>
  </si>
  <si>
    <t xml:space="preserve"> Lux_Gamer12</t>
  </si>
  <si>
    <t xml:space="preserve"> Sat Feb 03 2018 15:01:25</t>
  </si>
  <si>
    <t xml:space="preserve"> twmksatech</t>
  </si>
  <si>
    <t xml:space="preserve"> Per</t>
  </si>
  <si>
    <t xml:space="preserve"> Sat Feb 03 2018 15:01:30</t>
  </si>
  <si>
    <t xml:space="preserve"> angelkasp7</t>
  </si>
  <si>
    <t xml:space="preserve"> Hayward, CA</t>
  </si>
  <si>
    <t xml:space="preserve"> Sat Feb 03 2018 15:01:34</t>
  </si>
  <si>
    <t xml:space="preserve"> RedneckRebuttal</t>
  </si>
  <si>
    <t xml:space="preserve"> Sat Feb 03 2018 15:01:45</t>
  </si>
  <si>
    <t xml:space="preserve"> 1 Bitcoin = 7619 Euro</t>
  </si>
  <si>
    <t xml:space="preserve"> Sat Feb 03 2018 15:02:04</t>
  </si>
  <si>
    <t xml:space="preserve"> @paulkrugman And so goes a Bitcoin bubble. The definition of futile, chasing after the wind, in this case chasing after air, the Bitcoin</t>
  </si>
  <si>
    <t xml:space="preserve"> BiggsElder</t>
  </si>
  <si>
    <t xml:space="preserve"> Sat Feb 03 2018 15:02:11</t>
  </si>
  <si>
    <t xml:space="preserve"> SureShot!!! buy $BDG now at 15 cent for 300-400% gain within 1 month @bitdegree_org @BITDegree #bitcoins #bitcoin #altcoin </t>
  </si>
  <si>
    <t xml:space="preserve"> SinghNitn</t>
  </si>
  <si>
    <t xml:space="preserve"> Kharadi, Haveli</t>
  </si>
  <si>
    <t xml:space="preserve"> Sat Feb 03 2018 15:02:15</t>
  </si>
  <si>
    <t xml:space="preserve"> 1 Bitcoin = 9370.50$ #gunluk #Bitcoin $BTC</t>
  </si>
  <si>
    <t xml:space="preserve"> bituccar</t>
  </si>
  <si>
    <t xml:space="preserve"> stanbul, Trkiye</t>
  </si>
  <si>
    <t xml:space="preserve"> @barrysilbert The 1000 investors that own 40% of all bitcoin will decide if it was the bottom. Not a poll on twitter</t>
  </si>
  <si>
    <t xml:space="preserve"> BchainBrother</t>
  </si>
  <si>
    <t xml:space="preserve"> CointonDotCom</t>
  </si>
  <si>
    <t xml:space="preserve"> Sat Feb 03 2018 15:03:00</t>
  </si>
  <si>
    <t xml:space="preserve"> CryptoCompare Bitcoin price changed +1.07% to $9471.78 #bitcoin</t>
  </si>
  <si>
    <t xml:space="preserve"> Sat Feb 03 2018 15:03:07</t>
  </si>
  <si>
    <t xml:space="preserve"> IsRealDEEP</t>
  </si>
  <si>
    <t xml:space="preserve"> Sat Feb 03 2018 15:03:08</t>
  </si>
  <si>
    <t xml:space="preserve"> Current price of Bitcoin is $9370.50 via Chain</t>
  </si>
  <si>
    <t xml:space="preserve"> BlockchainGripe</t>
  </si>
  <si>
    <t xml:space="preserve"> Sat Feb 03 2018 15:03:11</t>
  </si>
  <si>
    <t xml:space="preserve"> I have told you all. Sell your BitCoin .. its about to lose another %75 or more.  Bye bye.</t>
  </si>
  <si>
    <t xml:space="preserve"> Alper26ten</t>
  </si>
  <si>
    <t xml:space="preserve"> Space</t>
  </si>
  <si>
    <t xml:space="preserve"> Sat Feb 03 2018 15:03:15</t>
  </si>
  <si>
    <t xml:space="preserve"> Current price of Bitcoin is $9370.50 #bitcoin #in #fb</t>
  </si>
  <si>
    <t xml:space="preserve"> ChrisDeome</t>
  </si>
  <si>
    <t xml:space="preserve"> Sat Feb 03 2018 15:03:17</t>
  </si>
  <si>
    <t xml:space="preserve"> Bitcoin historic reversal selloff crash panic reversal ,fuel for stronger selloff . It can see below 530</t>
  </si>
  <si>
    <t xml:space="preserve"> Sat Feb 03 2018 15:03:20</t>
  </si>
  <si>
    <t xml:space="preserve"> hazelvizion</t>
  </si>
  <si>
    <t xml:space="preserve"> Private Browsing Mode</t>
  </si>
  <si>
    <t xml:space="preserve"> Sat Feb 03 2018 15:03:24</t>
  </si>
  <si>
    <t xml:space="preserve"> Current price of Bitcoin is $9370.50 Like if thats good for you and retweet if thats not good for you #bitcoin #btc #bitcoinprice</t>
  </si>
  <si>
    <t xml:space="preserve"> Sat Feb 03 2018 15:03:25</t>
  </si>
  <si>
    <t xml:space="preserve"> Alex_Kusters</t>
  </si>
  <si>
    <t xml:space="preserve"> Wisconsin, USA</t>
  </si>
  <si>
    <t xml:space="preserve"> Sat Feb 03 2018 15:03:28</t>
  </si>
  <si>
    <t xml:space="preserve"> It bitcoin crosses 10k then we have breakout 100%... Fingers crossed...#bitcoin #btc #sc #dta #dgb #ltc #xrp</t>
  </si>
  <si>
    <t xml:space="preserve"> cryptoverapura</t>
  </si>
  <si>
    <t xml:space="preserve"> Sat Feb 03 2018 15:04:06</t>
  </si>
  <si>
    <t xml:space="preserve"> Sat Feb 03 2018 15:04:08</t>
  </si>
  <si>
    <t xml:space="preserve"> Current price of #Bitcoin is $9370.50 @Chain</t>
  </si>
  <si>
    <t xml:space="preserve"> alexruggieri_</t>
  </si>
  <si>
    <t xml:space="preserve"> Gravina in Puglia (BA)</t>
  </si>
  <si>
    <t xml:space="preserve"> Sat Feb 03 2018 15:04:11</t>
  </si>
  <si>
    <t xml:space="preserve"> AustBitcoins</t>
  </si>
  <si>
    <t xml:space="preserve"> Sat Feb 03 2018 15:04:14</t>
  </si>
  <si>
    <t xml:space="preserve"> Current price of #Bitcoin is $9370.50</t>
  </si>
  <si>
    <t xml:space="preserve"> Sat Feb 03 2018 15:04:15</t>
  </si>
  <si>
    <t xml:space="preserve"> Current price of #Bitcoin is $9370.50 via Chain #BTCUSD #cryptocurrencies #blockchain</t>
  </si>
  <si>
    <t xml:space="preserve"> JordanSvedman</t>
  </si>
  <si>
    <t xml:space="preserve"> Sat Feb 03 2018 15:04:17</t>
  </si>
  <si>
    <t xml:space="preserve"> AlyciaCZ</t>
  </si>
  <si>
    <t xml:space="preserve"> In a Glass Box</t>
  </si>
  <si>
    <t xml:space="preserve"> Sat Feb 03 2018 15:04:20</t>
  </si>
  <si>
    <t xml:space="preserve"> Are bitcoin and bitmoji the same thing? Asking for a friend...</t>
  </si>
  <si>
    <t xml:space="preserve"> Mads_hill15</t>
  </si>
  <si>
    <t xml:space="preserve"> Sat Feb 03 2018 15:04:30</t>
  </si>
  <si>
    <t xml:space="preserve"> Current price of Bitcoin is $9370.50 February 3, 2018 at 08:59AM</t>
  </si>
  <si>
    <t xml:space="preserve"> blkmoneyDOTcom</t>
  </si>
  <si>
    <t xml:space="preserve"> Memphis, TN</t>
  </si>
  <si>
    <t xml:space="preserve"> Sat Feb 03 2018 15:04:35</t>
  </si>
  <si>
    <t xml:space="preserve"> I can see the headline bitcoin billionaire curates alternate reality for son, streams online</t>
  </si>
  <si>
    <t xml:space="preserve"> tatum_dooley</t>
  </si>
  <si>
    <t xml:space="preserve"> Sat Feb 03 2018 15:04:55</t>
  </si>
  <si>
    <t xml:space="preserve"> @TheMattCrooks The Bitcoin Bubble brought dark times.</t>
  </si>
  <si>
    <t xml:space="preserve"> LilTooFar</t>
  </si>
  <si>
    <t xml:space="preserve"> Sat Feb 03 2018 15:04:58</t>
  </si>
  <si>
    <t xml:space="preserve"> #BITCOIN $4999 before #NEWFINANCIALYEAR. CMP 9500$</t>
  </si>
  <si>
    <t xml:space="preserve"> rsnresearch</t>
  </si>
  <si>
    <t xml:space="preserve"> Sat Feb 03 2018 15:05:06</t>
  </si>
  <si>
    <t xml:space="preserve"> The coins with strong fundamentals will always rebound if they merely got dragged down along with bitcoin.</t>
  </si>
  <si>
    <t xml:space="preserve"> kl60199572</t>
  </si>
  <si>
    <t xml:space="preserve"> Sat Feb 03 2018 15:05:13</t>
  </si>
  <si>
    <t xml:space="preserve"> Kundalinibrat</t>
  </si>
  <si>
    <t xml:space="preserve"> west hollywood california</t>
  </si>
  <si>
    <t xml:space="preserve"> Sat Feb 03 2018 15:05:14</t>
  </si>
  <si>
    <t xml:space="preserve"> @mashable Futuristic. Im pretty sure Morpheus had these years ago in the matrix  home of the bitcoin</t>
  </si>
  <si>
    <t xml:space="preserve"> jermainlaforce</t>
  </si>
  <si>
    <t xml:space="preserve"> Depends on VPN</t>
  </si>
  <si>
    <t xml:space="preserve"> Sat Feb 03 2018 15:05:28</t>
  </si>
  <si>
    <t xml:space="preserve"> SureShot!!! buy $BAR (Titanium) now at 1.3$ for 300-400% gain within 1 month @TBISINC #bitcoins #bitcoin #altcoin </t>
  </si>
  <si>
    <t xml:space="preserve"> @a3456gf Your right. Bought filthy Bitcoin cash  $BCH @ $260-300 and dumped for $2800 into mining ... you may shut up now</t>
  </si>
  <si>
    <t xml:space="preserve"> JLLOYD30TRADER</t>
  </si>
  <si>
    <t xml:space="preserve"> Sat Feb 03 2018 15:05:44</t>
  </si>
  <si>
    <t xml:space="preserve"> SnagGrinds</t>
  </si>
  <si>
    <t xml:space="preserve"> Gt: Gro</t>
  </si>
  <si>
    <t xml:space="preserve"> Sat Feb 03 2018 15:05:49</t>
  </si>
  <si>
    <t xml:space="preserve"> @Cryptopathic gamer white kids getting cucked again lol.  first by Trump  now by Bitcoin</t>
  </si>
  <si>
    <t xml:space="preserve"> BeerdHead</t>
  </si>
  <si>
    <t xml:space="preserve"> SWPA</t>
  </si>
  <si>
    <t xml:space="preserve"> Sat Feb 03 2018 15:05:58</t>
  </si>
  <si>
    <t xml:space="preserve"> Wow what a difference a day makes! It looks like the Bulls are charging. Will we see 10K today? #bitcoin #cryptocurrency</t>
  </si>
  <si>
    <t xml:space="preserve"> FitSean</t>
  </si>
  <si>
    <t xml:space="preserve"> Somewhere Outer Space...</t>
  </si>
  <si>
    <t xml:space="preserve"> Sat Feb 03 2018 15:06:07</t>
  </si>
  <si>
    <t xml:space="preserve"> @CryptOrca Bitcoin will be worth more than 1 Million USD in 2025  - Crypto Dwight Schrute*  *this is not financial advice</t>
  </si>
  <si>
    <t xml:space="preserve"> Crypto_Dwight</t>
  </si>
  <si>
    <t xml:space="preserve"> Sat Feb 03 2018 15:06:19</t>
  </si>
  <si>
    <t xml:space="preserve"> @CryptOrca And the real bubbles start to pop... Don't worry, Bitcoin is a safe haven asset to wait out the blood bath... Lol</t>
  </si>
  <si>
    <t xml:space="preserve"> Piffer55</t>
  </si>
  <si>
    <t xml:space="preserve"> T: 44.338559,-78.305248</t>
  </si>
  <si>
    <t xml:space="preserve"> Sat Feb 03 2018 15:06:28</t>
  </si>
  <si>
    <t xml:space="preserve"> @JenRoberts Is this... true? Seems wonderful bonkers RT @BryceElder: Okay, so Bitcoin.</t>
  </si>
  <si>
    <t xml:space="preserve"> adrianartn</t>
  </si>
  <si>
    <t xml:space="preserve"> Sat Feb 03 2018 15:06:32</t>
  </si>
  <si>
    <t xml:space="preserve"> @RealSophiaRobot Looks cool but question, I figured you have a inside scoop on the Bitcoin thing how about you give us some details?</t>
  </si>
  <si>
    <t xml:space="preserve"> deontamoney</t>
  </si>
  <si>
    <t xml:space="preserve"> Im On A Spaceship In Space</t>
  </si>
  <si>
    <t xml:space="preserve"> Sat Feb 03 2018 15:06:39</t>
  </si>
  <si>
    <t xml:space="preserve"> @Rich_Downing @howroute @paulkrugman There's a difference between blockchaintechnology and Bitcoin.</t>
  </si>
  <si>
    <t xml:space="preserve"> Juliette_Vand</t>
  </si>
  <si>
    <t xml:space="preserve"> Sat Feb 03 2018 15:06:41</t>
  </si>
  <si>
    <t xml:space="preserve"> @MokiAwa Na. I didnt realize there was a list until after I posted this. But, you can buy Bitcoin on Squarecash now too.</t>
  </si>
  <si>
    <t xml:space="preserve"> Flea</t>
  </si>
  <si>
    <t xml:space="preserve"> Sat Feb 03 2018 15:07:06</t>
  </si>
  <si>
    <t xml:space="preserve"> @crypto_rand I love this story! #bitcoin is king!</t>
  </si>
  <si>
    <t xml:space="preserve"> efficientperson</t>
  </si>
  <si>
    <t xml:space="preserve"> Sat Feb 03 2018 15:07:08</t>
  </si>
  <si>
    <t xml:space="preserve"> The people are getting mortgages to buy bitcoin claimIMHOhas never been corroborated in any way either.</t>
  </si>
  <si>
    <t xml:space="preserve"> jameswester</t>
  </si>
  <si>
    <t xml:space="preserve"> DFW, TX</t>
  </si>
  <si>
    <t xml:space="preserve"> Sat Feb 03 2018 15:07:11</t>
  </si>
  <si>
    <t xml:space="preserve"> @a3456gf @pierre_rochard Oh.. Bitcoin.  Hard to find evidence that its failing.</t>
  </si>
  <si>
    <t xml:space="preserve"> BitHuman01</t>
  </si>
  <si>
    <t xml:space="preserve"> Sat Feb 03 2018 15:07:24</t>
  </si>
  <si>
    <t xml:space="preserve"> Nice to see some green today on the charts. Hope everyone bought when blood was in the streets. #HODL $BTC $ETH #Bitcoin</t>
  </si>
  <si>
    <t xml:space="preserve"> tradenostix</t>
  </si>
  <si>
    <t xml:space="preserve"> Sat Feb 03 2018 15:07:35</t>
  </si>
  <si>
    <t xml:space="preserve"> @Bitcoin just hit 9.5k !!!  i guess 7.5k was the bottom #xrp #ripple #xrpthestandard</t>
  </si>
  <si>
    <t xml:space="preserve"> XRPshark</t>
  </si>
  <si>
    <t xml:space="preserve"> houstontx</t>
  </si>
  <si>
    <t xml:space="preserve"> Sat Feb 03 2018 15:07:39</t>
  </si>
  <si>
    <t xml:space="preserve"> @Bitcoin @StellarOrg Stellar lumens is the future .</t>
  </si>
  <si>
    <t xml:space="preserve"> RalVdal</t>
  </si>
  <si>
    <t xml:space="preserve"> Sat Feb 03 2018 15:07:55</t>
  </si>
  <si>
    <t xml:space="preserve"> Sat Feb 03 2018 15:08:03</t>
  </si>
  <si>
    <t xml:space="preserve"> @verretor Because people never experienced financial freedom and independence pre-bitcoin</t>
  </si>
  <si>
    <t xml:space="preserve"> iamjosephyoung</t>
  </si>
  <si>
    <t xml:space="preserve"> Hong Kong</t>
  </si>
  <si>
    <t xml:space="preserve"> Sat Feb 03 2018 15:08:05</t>
  </si>
  <si>
    <t xml:space="preserve"> Loving this rebound!!! #trx #tron #bitcoin #litecoin #ltc #Ethereum #Waltonchain #cryptorich</t>
  </si>
  <si>
    <t xml:space="preserve"> elvia_alva1</t>
  </si>
  <si>
    <t xml:space="preserve"> Sat Feb 03 2018 15:08:29</t>
  </si>
  <si>
    <t xml:space="preserve"> Bitcoin : Instant transactions, no account freezes, no wire transfer fees, no balances, worldwide access, always open. #bitcoinsnews</t>
  </si>
  <si>
    <t xml:space="preserve"> Sat Feb 03 2018 15:08:31</t>
  </si>
  <si>
    <t xml:space="preserve"> Don't go up and down like a bitcoin.</t>
  </si>
  <si>
    <t xml:space="preserve"> Soularaura</t>
  </si>
  <si>
    <t xml:space="preserve"> Sat Feb 03 2018 15:08:43</t>
  </si>
  <si>
    <t xml:space="preserve"> Hope you bought the dip, welcome to crypto  #cryptocrash #HODLgang #bitcoincrash #bitcoin</t>
  </si>
  <si>
    <t xml:space="preserve"> BitcoinOverdose</t>
  </si>
  <si>
    <t xml:space="preserve"> Sat Feb 03 2018 15:08:49</t>
  </si>
  <si>
    <t xml:space="preserve"> @gavinandresen Hey Gavin check out this awesome new project called Bitcoin Cash, I think it has the potential to be the real Bitcoin!  </t>
  </si>
  <si>
    <t xml:space="preserve"> Sat Feb 03 2018 15:09:16</t>
  </si>
  <si>
    <t xml:space="preserve"> 10k party soon again? Poor me some mf whiskey! $btc #btc #bitcoin</t>
  </si>
  <si>
    <t xml:space="preserve"> Sat Feb 03 2018 15:09:22</t>
  </si>
  <si>
    <t xml:space="preserve"> HODL #bitcoin #cryptocurrency retweet</t>
  </si>
  <si>
    <t xml:space="preserve"> @ReformedBroker Does that account for the estimated 2-3 Million lost Bitcoin? That would skew those numbers.</t>
  </si>
  <si>
    <t xml:space="preserve"> Jeffrey_Levy</t>
  </si>
  <si>
    <t xml:space="preserve"> Lehigh Valley PA/NJ</t>
  </si>
  <si>
    <t xml:space="preserve"> Sat Feb 03 2018 15:09:28</t>
  </si>
  <si>
    <t xml:space="preserve"> Is #bitcoin heating up?  Now $9,433.00 USD.</t>
  </si>
  <si>
    <t xml:space="preserve"> Sat Feb 03 2018 15:09:30</t>
  </si>
  <si>
    <t xml:space="preserve"> 1-2 sat/B fee transactions are getting included in #Bitcoin blocks now. Consolidate your dust while you can.</t>
  </si>
  <si>
    <t xml:space="preserve"> Onvononoff</t>
  </si>
  <si>
    <t xml:space="preserve"> @</t>
  </si>
  <si>
    <t xml:space="preserve"> Sat Feb 03 2018 15:09:37</t>
  </si>
  <si>
    <t xml:space="preserve"> Bitcoin at 9500, Ethereum at 1000. Now up 25% and 35% from their respective lows. #BTC #ETH</t>
  </si>
  <si>
    <t xml:space="preserve"> HybridInvest</t>
  </si>
  <si>
    <t xml:space="preserve"> Bombay, India</t>
  </si>
  <si>
    <t xml:space="preserve"> Sat Feb 03 2018 15:09:59</t>
  </si>
  <si>
    <t xml:space="preserve"> @CTr8der @HashManJP @OTC_Bitcoin Do you see tons of Koreans investing and Bitcoin reaching ATH after reopening exchanges on Korea this week?</t>
  </si>
  <si>
    <t xml:space="preserve"> david2051ve</t>
  </si>
  <si>
    <t xml:space="preserve"> Venezuela</t>
  </si>
  <si>
    <t xml:space="preserve"> Sat Feb 03 2018 15:10:02</t>
  </si>
  <si>
    <t xml:space="preserve"> @ManjeetRege Follow @Hashtags_Trends for the latest news &amp; #trading trends about #bitcoin &amp; #crypto world.</t>
  </si>
  <si>
    <t xml:space="preserve"> Sat Feb 03 2018 15:10:04</t>
  </si>
  <si>
    <t xml:space="preserve"> Bitcoin BTC Current Price: $9348.28 1 Hour: 1.6 % | 24 Hours: 7.01 % | 7 Days: -17.29 % #btc #bitcoin</t>
  </si>
  <si>
    <t xml:space="preserve"> Sat Feb 03 2018 15:10:05</t>
  </si>
  <si>
    <t xml:space="preserve"> #Bitcoin Latest Bitcoin Price: $9413.11 USD for 1 BTC #GoldCoinJar</t>
  </si>
  <si>
    <t xml:space="preserve"> Sat Feb 03 2018 15:10:06</t>
  </si>
  <si>
    <t xml:space="preserve"> #Bitcoin $1 USD is currently worth 0.00010627 BTC! #GoldCoinJar</t>
  </si>
  <si>
    <t xml:space="preserve"> Sat Feb 03 2018 15:10:07</t>
  </si>
  <si>
    <t xml:space="preserve"> @CryptoCoinsNews Bitcoin and Litecoin go together like chocolate and peanut butter!</t>
  </si>
  <si>
    <t xml:space="preserve"> Sat Feb 03 2018 15:10:08</t>
  </si>
  <si>
    <t xml:space="preserve"> @ChrisSvorcik Follow @Hashtags_Trends for the latest news &amp; #trading trends about #bitcoin &amp; #crypto world.</t>
  </si>
  <si>
    <t xml:space="preserve"> Sat Feb 03 2018 15:10:11</t>
  </si>
  <si>
    <t xml:space="preserve"> Current price of Bitcoin is $9260.01 #Bitcoin #Bithound</t>
  </si>
  <si>
    <t xml:space="preserve"> Sat Feb 03 2018 15:10:12</t>
  </si>
  <si>
    <t xml:space="preserve"> @KS62200699 Follow @Hashtags_Trends for the latest news &amp; #trading trends about #bitcoin &amp; #crypto world.</t>
  </si>
  <si>
    <t xml:space="preserve"> Sat Feb 03 2018 15:10:14</t>
  </si>
  <si>
    <t xml:space="preserve"> @Sanemavcil Follow @Hashtags_Trends for the latest news &amp; #trading trends about #bitcoin &amp; #crypto world.</t>
  </si>
  <si>
    <t xml:space="preserve"> Sat Feb 03 2018 15:10:33</t>
  </si>
  <si>
    <t xml:space="preserve"> The utility made possible by #Bitcoin will far exceed the cost of electricity. Therefore, not having Bitcoin would be a net waste.-Satoshi</t>
  </si>
  <si>
    <t xml:space="preserve"> Sat Feb 03 2018 15:10:40</t>
  </si>
  <si>
    <t xml:space="preserve"> U MUSST  SEEN  BITCOIN  A  YEAR   ORSO AGO  WASS  400$      HYPED   TILL  NEAR  20.000$    ISSNO   REAL  LOSS  ON  9000$  NOW</t>
  </si>
  <si>
    <t xml:space="preserve"> Sat Feb 03 2018 15:10:44</t>
  </si>
  <si>
    <t xml:space="preserve"> @BTCTN So that even China may think of legalizing it . Bitcoin to the moon!</t>
  </si>
  <si>
    <t xml:space="preserve"> ___crypto</t>
  </si>
  <si>
    <t xml:space="preserve"> Sat Feb 03 2018 15:11:18</t>
  </si>
  <si>
    <t xml:space="preserve"> @olivierjanss Bitcoin is math. Math is speech. Bitcoin is a first amendment right.</t>
  </si>
  <si>
    <t xml:space="preserve"> spqrusa</t>
  </si>
  <si>
    <t xml:space="preserve"> Sat Feb 03 2018 15:12:15</t>
  </si>
  <si>
    <t xml:space="preserve"> @paulkrugman Talk to us in a year, @paulkrugman, when #bitcoin is back up at the $18k range. Then well see whos laughing at who.</t>
  </si>
  <si>
    <t xml:space="preserve"> MarkGess</t>
  </si>
  <si>
    <t xml:space="preserve"> Atlanta , GA</t>
  </si>
  <si>
    <t xml:space="preserve"> Sat Feb 03 2018 15:12:33</t>
  </si>
  <si>
    <t xml:space="preserve"> @RallyQT Lol I call bitcoin the God-Father. Whatever it does, the others follow suite.</t>
  </si>
  <si>
    <t xml:space="preserve"> khewitt15</t>
  </si>
  <si>
    <t xml:space="preserve"> Sat Feb 03 2018 15:12:37</t>
  </si>
  <si>
    <t xml:space="preserve"> @observer Its not the Bitcoin currency thats shadyits the aggressive peddlers of Bitcoin to the uninformed that are shady.</t>
  </si>
  <si>
    <t xml:space="preserve"> TheWallStBull</t>
  </si>
  <si>
    <t xml:space="preserve"> Sat Feb 03 2018 15:12:57</t>
  </si>
  <si>
    <t xml:space="preserve"> @CNNMoney @RealDealRetire Invest in bitcoin doh!!!! LOL</t>
  </si>
  <si>
    <t xml:space="preserve"> josegalf</t>
  </si>
  <si>
    <t xml:space="preserve"> Sat Feb 03 2018 15:13:00</t>
  </si>
  <si>
    <t xml:space="preserve"> @CashApp are you guys gonna add more coins to the app or just bitcoin?</t>
  </si>
  <si>
    <t xml:space="preserve"> YooooImEvan</t>
  </si>
  <si>
    <t xml:space="preserve"> IN</t>
  </si>
  <si>
    <t xml:space="preserve"> Sat Feb 03 2018 15:13:10</t>
  </si>
  <si>
    <t xml:space="preserve"> Cant wait for #xrp to leave #bitcoin behind</t>
  </si>
  <si>
    <t xml:space="preserve"> LibyanMrHodl</t>
  </si>
  <si>
    <t xml:space="preserve"> Sat Feb 03 2018 15:13:41</t>
  </si>
  <si>
    <t xml:space="preserve"> @ReformedBroker Add to that all the lost Bitcoin, and the exchange wallets</t>
  </si>
  <si>
    <t xml:space="preserve"> BTCBullBroker</t>
  </si>
  <si>
    <t xml:space="preserve"> Earth Core</t>
  </si>
  <si>
    <t xml:space="preserve"> Sat Feb 03 2018 15:14:25</t>
  </si>
  <si>
    <t xml:space="preserve"> @tef_ebooks have you considered investing in bitcoin?</t>
  </si>
  <si>
    <t xml:space="preserve"> aidanskinner</t>
  </si>
  <si>
    <t xml:space="preserve"> Glasgow, topical paradise</t>
  </si>
  <si>
    <t xml:space="preserve"> Sat Feb 03 2018 15:15:01</t>
  </si>
  <si>
    <t xml:space="preserve"> The current price of Bitcoin is $9415.37. The current price of BCash is $1274.52, or 0.134945 BTC</t>
  </si>
  <si>
    <t xml:space="preserve"> Sat Feb 03 2018 15:15:32</t>
  </si>
  <si>
    <t xml:space="preserve"> @peterisfunny @billmaher when i'm a bitcoin hundredaire you guys will be soooo jealous...</t>
  </si>
  <si>
    <t xml:space="preserve"> Mr_Ted_Nuisance</t>
  </si>
  <si>
    <t xml:space="preserve"> e</t>
  </si>
  <si>
    <t xml:space="preserve"> Sat Feb 03 2018 15:15:36</t>
  </si>
  <si>
    <t xml:space="preserve"> @MrBeastYT  rip bitcoin.</t>
  </si>
  <si>
    <t xml:space="preserve"> Ryankia2</t>
  </si>
  <si>
    <t xml:space="preserve"> Don't fall for tricks</t>
  </si>
  <si>
    <t xml:space="preserve"> Sat Feb 03 2018 15:15:40</t>
  </si>
  <si>
    <t xml:space="preserve"> Bitcoin eating that $9,500 wall!!! Go go! Next wall at 10k</t>
  </si>
  <si>
    <t xml:space="preserve"> CryptoBonitaa</t>
  </si>
  <si>
    <t xml:space="preserve"> Sat Feb 03 2018 15:15:49</t>
  </si>
  <si>
    <t xml:space="preserve"> @officialjaden Bitcoin Price Way Down Low. coming back tho man</t>
  </si>
  <si>
    <t xml:space="preserve"> Sat Feb 03 2018 15:16:04</t>
  </si>
  <si>
    <t xml:space="preserve"> @chigrl Install Bitcoin mining rigs at compressor stations to keep them warm. Duh!</t>
  </si>
  <si>
    <t xml:space="preserve"> yycschmooze</t>
  </si>
  <si>
    <t xml:space="preserve"> Calgary, Canada</t>
  </si>
  <si>
    <t xml:space="preserve"> Sat Feb 03 2018 15:16:18</t>
  </si>
  <si>
    <t xml:space="preserve"> Ok you got me, #Bitcoin .. if that $9500 resistance is broken during the next hour I'm bullish!</t>
  </si>
  <si>
    <t xml:space="preserve"> cryptobserv</t>
  </si>
  <si>
    <t xml:space="preserve"> Sat Feb 03 2018 15:16:19</t>
  </si>
  <si>
    <t xml:space="preserve"> @steve_hanke A hahahaha hahahaha guy who calls bitcoin speculative when it at 50 dollars now feels vindicated when drops to 8k.</t>
  </si>
  <si>
    <t xml:space="preserve"> Redman757590</t>
  </si>
  <si>
    <t xml:space="preserve"> West but not west coast</t>
  </si>
  <si>
    <t xml:space="preserve"> Sat Feb 03 2018 15:16:37</t>
  </si>
  <si>
    <t xml:space="preserve"> @Nouriel Bitcoin is not bubble, and still very cheap.</t>
  </si>
  <si>
    <t xml:space="preserve"> yupusei</t>
  </si>
  <si>
    <t xml:space="preserve"> Sat Feb 03 2018 15:16:47</t>
  </si>
  <si>
    <t xml:space="preserve"> I had a dream. And guess what $crypto twitter, we are all rich again in the near future (&lt;1 years time). $btc #bitcoin $alts</t>
  </si>
  <si>
    <t xml:space="preserve"> CryptoWander</t>
  </si>
  <si>
    <t xml:space="preserve"> CryptoLandia</t>
  </si>
  <si>
    <t xml:space="preserve"> Sat Feb 03 2018 15:17:02</t>
  </si>
  <si>
    <t xml:space="preserve"> @TheEconomist The proper term is BitCoin.</t>
  </si>
  <si>
    <t xml:space="preserve"> BSTUBBLEFIEL</t>
  </si>
  <si>
    <t xml:space="preserve"> April 13, 2014.Age 55.</t>
  </si>
  <si>
    <t xml:space="preserve"> Sat Feb 03 2018 15:17:05</t>
  </si>
  <si>
    <t xml:space="preserve"> Bitcoin Cash BCH Current Price: $1274.37 1 Hour: 1.97 % | 24 Hours: 8.54 % | 7 Days: -21.38 % #bch #bitcoin cash</t>
  </si>
  <si>
    <t xml:space="preserve"> Sat Feb 03 2018 15:17:53</t>
  </si>
  <si>
    <t xml:space="preserve"> bitcoin is lowkey fun.</t>
  </si>
  <si>
    <t xml:space="preserve"> BrainDeadBilly</t>
  </si>
  <si>
    <t xml:space="preserve"> Unova</t>
  </si>
  <si>
    <t xml:space="preserve"> Sat Feb 03 2018 15:17:58</t>
  </si>
  <si>
    <t xml:space="preserve"> @RiceeChrispies this is cooler than bitcoin..... </t>
  </si>
  <si>
    <t xml:space="preserve"> Shadical</t>
  </si>
  <si>
    <t xml:space="preserve"> Sat Feb 03 2018 15:18:05</t>
  </si>
  <si>
    <t xml:space="preserve"> @tryxrb @CalvinAyre No incentive to run node same as iota bitcoin is not about tech</t>
  </si>
  <si>
    <t xml:space="preserve"> pakciknakamoto</t>
  </si>
  <si>
    <t xml:space="preserve"> Dunia Melayu</t>
  </si>
  <si>
    <t xml:space="preserve"> msa</t>
  </si>
  <si>
    <t xml:space="preserve"> Sat Feb 03 2018 15:18:06</t>
  </si>
  <si>
    <t xml:space="preserve"> #wanchain 's price at exchange listing after #tokenswap  #Tokensale #ico $wan #wanchain #bitcoin #CryptoCurrency #exchange</t>
  </si>
  <si>
    <t xml:space="preserve"> Krypto_Marv</t>
  </si>
  <si>
    <t xml:space="preserve"> Deutschland</t>
  </si>
  <si>
    <t xml:space="preserve"> Sat Feb 03 2018 15:18:14</t>
  </si>
  <si>
    <t xml:space="preserve"> @ the airport and theres a 35 yr old new yorker talking about how he just got out of bitcoin lol</t>
  </si>
  <si>
    <t xml:space="preserve"> zumbiezuza</t>
  </si>
  <si>
    <t xml:space="preserve"> south florida // manhattan </t>
  </si>
  <si>
    <t xml:space="preserve"> Sat Feb 03 2018 15:18:21</t>
  </si>
  <si>
    <t xml:space="preserve"> @kucoincom @medical_chain Hey @kucoincom when are you gonna allow Bitcoin Diamond deposits ???</t>
  </si>
  <si>
    <t xml:space="preserve"> Blockch09940168</t>
  </si>
  <si>
    <t xml:space="preserve"> Sat Feb 03 2018 15:18:29</t>
  </si>
  <si>
    <t xml:space="preserve"> Bitcoin: 7582 EUR</t>
  </si>
  <si>
    <t xml:space="preserve"> deutsch365</t>
  </si>
  <si>
    <t xml:space="preserve"> Nordrhein-Westfalen, Deutschland</t>
  </si>
  <si>
    <t xml:space="preserve"> Sat Feb 03 2018 15:19:04</t>
  </si>
  <si>
    <t xml:space="preserve"> @HalongMining Ship first your bitcoin miners..</t>
  </si>
  <si>
    <t xml:space="preserve"> AliFifaBJK</t>
  </si>
  <si>
    <t xml:space="preserve"> Sat Feb 03 2018 15:19:11</t>
  </si>
  <si>
    <t xml:space="preserve"> Send me bitcoin! 1FQAfHoryeZBay1F3UXULLMTbHSmPvuoJC look forward to it</t>
  </si>
  <si>
    <t xml:space="preserve"> Mr_K2003</t>
  </si>
  <si>
    <t xml:space="preserve"> Sat Feb 03 2018 15:19:17</t>
  </si>
  <si>
    <t xml:space="preserve"> *reading that the Bitcoin is not liquid* duh its a COIN</t>
  </si>
  <si>
    <t xml:space="preserve"> MUMSIEesq</t>
  </si>
  <si>
    <t xml:space="preserve"> Sat Feb 03 2018 15:19:26</t>
  </si>
  <si>
    <t xml:space="preserve"> Wel, I don't know about you guys but I made a lot back last night. #bitcoin</t>
  </si>
  <si>
    <t xml:space="preserve"> jenshow</t>
  </si>
  <si>
    <t xml:space="preserve"> nashville</t>
  </si>
  <si>
    <t xml:space="preserve"> Sat Feb 03 2018 15:19:33</t>
  </si>
  <si>
    <t xml:space="preserve"> @scotty321 Take it from us veterans of bitcoin who have been in the space for years... There are far more reasons why bcash is NOT Bitcoin!</t>
  </si>
  <si>
    <t xml:space="preserve"> Sat Feb 03 2018 15:19:41</t>
  </si>
  <si>
    <t xml:space="preserve"> @BTCTN @mikerelentless Bitcoin cash is a hard fork Alt Coin. People just want it to have the reputation and perceived value of real Bitcoin.</t>
  </si>
  <si>
    <t xml:space="preserve"> mwsUnited</t>
  </si>
  <si>
    <t xml:space="preserve"> Sat Feb 03 2018 15:19:47</t>
  </si>
  <si>
    <t xml:space="preserve"> @realDonaldTrump Do you like bitcoin</t>
  </si>
  <si>
    <t xml:space="preserve"> catpoopburglar</t>
  </si>
  <si>
    <t xml:space="preserve"> Singapore</t>
  </si>
  <si>
    <t xml:space="preserve"> Sat Feb 03 2018 15:19:48</t>
  </si>
  <si>
    <t xml:space="preserve"> @jnorthcottCBC Bitcoin is just a bit of the coin it once was. #CBCNN</t>
  </si>
  <si>
    <t xml:space="preserve"> MenBlackTShirts</t>
  </si>
  <si>
    <t xml:space="preserve"> Charlottetown</t>
  </si>
  <si>
    <t xml:space="preserve"> Sat Feb 03 2018 15:19:49</t>
  </si>
  <si>
    <t xml:space="preserve"> @bitshares Hell Yeah, $BURST sitting on a Solid C  right in between Bitcoin and Cash  WE GON GET DAT C+ NEXT</t>
  </si>
  <si>
    <t xml:space="preserve"> Sat Feb 03 2018 15:19:56</t>
  </si>
  <si>
    <t xml:space="preserve"> *reading that the Bitcoin is not very liquid* duh its a COIN</t>
  </si>
  <si>
    <t xml:space="preserve"> Sat Feb 03 2018 15:20:04</t>
  </si>
  <si>
    <t xml:space="preserve"> To the moon!  #LiteCoin #bitcoin</t>
  </si>
  <si>
    <t xml:space="preserve"> Arnaldoha3</t>
  </si>
  <si>
    <t xml:space="preserve"> Sat Feb 03 2018 15:20:25</t>
  </si>
  <si>
    <t xml:space="preserve"> Bitcoin rival Ripple making it gets available.</t>
  </si>
  <si>
    <t xml:space="preserve"> Sat Feb 03 2018 15:21:28</t>
  </si>
  <si>
    <t xml:space="preserve"> Banks losing that grip on the world finance and they are panicking. #bitcoin #takeover</t>
  </si>
  <si>
    <t xml:space="preserve"> Spitfire_988</t>
  </si>
  <si>
    <t xml:space="preserve"> Miami, Florida</t>
  </si>
  <si>
    <t xml:space="preserve"> Sat Feb 03 2018 15:21:31</t>
  </si>
  <si>
    <t xml:space="preserve"> What is this new obsession with eating only steaks and deadlifting?   And why is it somehow connected to bitcoin???!</t>
  </si>
  <si>
    <t xml:space="preserve"> goonersanti</t>
  </si>
  <si>
    <t xml:space="preserve"> Sat Feb 03 2018 15:21:37</t>
  </si>
  <si>
    <t xml:space="preserve"> Fml some bitcoin company offered me a job :)))))) thank u</t>
  </si>
  <si>
    <t xml:space="preserve"> judyxnguyen</t>
  </si>
  <si>
    <t xml:space="preserve"> Sat Feb 03 2018 15:21:58</t>
  </si>
  <si>
    <t xml:space="preserve"> @msuiche Just waiting for bitcoin typosquatting forks</t>
  </si>
  <si>
    <t xml:space="preserve"> k_y0p</t>
  </si>
  <si>
    <t xml:space="preserve"> Je tweete donc je follow.</t>
  </si>
  <si>
    <t xml:space="preserve"> Sat Feb 03 2018 15:22:15</t>
  </si>
  <si>
    <t xml:space="preserve"> Wait I thought the #bitcoin bubble popped?! Why isn't $0  like Dutch Tulips?</t>
  </si>
  <si>
    <t xml:space="preserve"> npriymachenko</t>
  </si>
  <si>
    <t xml:space="preserve"> Sat Feb 03 2018 15:22:32</t>
  </si>
  <si>
    <t xml:space="preserve"> @YahooFinance @davidnelsoncfa Get the F**k out of bitcoin and get into gold man c'mon </t>
  </si>
  <si>
    <t xml:space="preserve"> Ntandoluzuko</t>
  </si>
  <si>
    <t xml:space="preserve"> In The Rock Near The Father</t>
  </si>
  <si>
    <t xml:space="preserve"> Sat Feb 03 2018 15:22:34</t>
  </si>
  <si>
    <t xml:space="preserve"> @BitHuman01 @pierre_rochard If Bitcoin is a ponzi, then all money is a ponzi.  No, the difference is actual economic activity.</t>
  </si>
  <si>
    <t xml:space="preserve"> a3456gf</t>
  </si>
  <si>
    <t xml:space="preserve"> Planet Earth</t>
  </si>
  <si>
    <t xml:space="preserve"> Sat Feb 03 2018 15:22:35</t>
  </si>
  <si>
    <t xml:space="preserve"> @IAmTimBaker @Spacekatgal BTW how are Mr. Genius's bitcoin positions doing?</t>
  </si>
  <si>
    <t xml:space="preserve"> jerry1250</t>
  </si>
  <si>
    <t xml:space="preserve"> Sat Feb 03 2018 15:22:49</t>
  </si>
  <si>
    <t xml:space="preserve"> The price of #bitcoin has decreased to the values of November last year... #cryptonews</t>
  </si>
  <si>
    <t xml:space="preserve"> CryptonomosICO</t>
  </si>
  <si>
    <t xml:space="preserve"> Sat Feb 03 2018 15:22:52</t>
  </si>
  <si>
    <t xml:space="preserve"> The year is 2050:   Sean Kingston is our first Jamacin president  Cyber bullying is punishable bt death penalty  Gas costs 0.34 bitcoin</t>
  </si>
  <si>
    <t xml:space="preserve"> joe_prillaman</t>
  </si>
  <si>
    <t xml:space="preserve"> Akron, OH</t>
  </si>
  <si>
    <t xml:space="preserve"> Sat Feb 03 2018 15:22:57</t>
  </si>
  <si>
    <t xml:space="preserve"> Don't look at #bitcoin as just another product... It's not.</t>
  </si>
  <si>
    <t xml:space="preserve"> cameronpbarden</t>
  </si>
  <si>
    <t xml:space="preserve"> Burlington, VT</t>
  </si>
  <si>
    <t xml:space="preserve"> Sat Feb 03 2018 15:22:58</t>
  </si>
  <si>
    <t xml:space="preserve"> I dont understand Bitcoin and I am happy that I dont.</t>
  </si>
  <si>
    <t xml:space="preserve"> LeboMokwena</t>
  </si>
  <si>
    <t xml:space="preserve"> Kwa-Ndonga Ziyaduma</t>
  </si>
  <si>
    <t xml:space="preserve"> Sat Feb 03 2018 15:23:02</t>
  </si>
  <si>
    <t xml:space="preserve"> Good Morning America Train pass today #Bitcoin</t>
  </si>
  <si>
    <t xml:space="preserve"> Sat Feb 03 2018 15:23:23</t>
  </si>
  <si>
    <t xml:space="preserve"> @JustStillness @MindTendencies I'll be paying with LED light if that's your currency.  You're not getting my Bitcoin.</t>
  </si>
  <si>
    <t xml:space="preserve"> abstract1dea</t>
  </si>
  <si>
    <t xml:space="preserve"> Sat Feb 03 2018 15:23:49</t>
  </si>
  <si>
    <t xml:space="preserve"> @tomiwa_xy More like I have extra. Bitcoin is a one time thing.   But the Agric stuff is annually</t>
  </si>
  <si>
    <t xml:space="preserve"> walejobbs</t>
  </si>
  <si>
    <t xml:space="preserve"> Sat Feb 03 2018 15:24:10</t>
  </si>
  <si>
    <t xml:space="preserve"> @kallewoof Bitcoin is also on beta software. And people trusting real value o it. And much more. Bitcoin gonna change everything, not LN.</t>
  </si>
  <si>
    <t xml:space="preserve"> criptomaniaweb</t>
  </si>
  <si>
    <t xml:space="preserve"> Sat Feb 03 2018 15:24:15</t>
  </si>
  <si>
    <t xml:space="preserve"> An opportunity to buy and sell goods and services with cryptocurrency in one place. #FLOGmall #Blockchain #Bitcoin #BTC #Ethereum #ETH #ICO</t>
  </si>
  <si>
    <t xml:space="preserve"> karyljoyydzos</t>
  </si>
  <si>
    <t xml:space="preserve"> USA, Hawaii</t>
  </si>
  <si>
    <t xml:space="preserve"> Sat Feb 03 2018 15:24:58</t>
  </si>
  <si>
    <t xml:space="preserve"> @paulkrugman When Bitcoin destroy the dollar I'm gonna read all your messages.   It's gonna be fun </t>
  </si>
  <si>
    <t xml:space="preserve"> Null9</t>
  </si>
  <si>
    <t xml:space="preserve"> Dune</t>
  </si>
  <si>
    <t xml:space="preserve"> Sat Feb 03 2018 15:25:05</t>
  </si>
  <si>
    <t xml:space="preserve"> What if North Korea is behind Bitcoin?</t>
  </si>
  <si>
    <t xml:space="preserve"> therealrulez</t>
  </si>
  <si>
    <t xml:space="preserve"> Sat Feb 03 2018 15:25:12</t>
  </si>
  <si>
    <t xml:space="preserve"> @possum_skulls Famitory &amp; Fourlung official bitcoin mommies of the Olympic games</t>
  </si>
  <si>
    <t xml:space="preserve"> Famitory</t>
  </si>
  <si>
    <t xml:space="preserve"> canada</t>
  </si>
  <si>
    <t xml:space="preserve"> Sat Feb 03 2018 15:25:33</t>
  </si>
  <si>
    <t xml:space="preserve"> I believe bitcoin future contract makers prepared a good dip and buying chance for future as they alreadt contracted last ATH around 19K</t>
  </si>
  <si>
    <t xml:space="preserve"> Sat Feb 03 2018 15:25:41</t>
  </si>
  <si>
    <t xml:space="preserve"> @CryptoGodFatha @CryptoGodFatho Can I get my 5,000 Bitcoin back? lol</t>
  </si>
  <si>
    <t xml:space="preserve"> JohnWickXIV</t>
  </si>
  <si>
    <t xml:space="preserve"> None of your business</t>
  </si>
  <si>
    <t xml:space="preserve"> Sat Feb 03 2018 15:25:46</t>
  </si>
  <si>
    <t xml:space="preserve"> @ArminVanBitcoin #vertcoin #bitcoin #litecoin here we go 2018</t>
  </si>
  <si>
    <t xml:space="preserve"> Philly_Bhoy</t>
  </si>
  <si>
    <t xml:space="preserve"> Sat Feb 03 2018 15:26:00</t>
  </si>
  <si>
    <t xml:space="preserve"> CryptoCompare Bitcoin price changed -1.24% to $9354.61 #bitcoin</t>
  </si>
  <si>
    <t xml:space="preserve"> Sat Feb 03 2018 15:26:05</t>
  </si>
  <si>
    <t xml:space="preserve"> @CNBC the guy just cut off Ran, poor journalism! a month is not a year. bitcoin is a store of value and a medium of exchange.</t>
  </si>
  <si>
    <t xml:space="preserve"> chrisavignon</t>
  </si>
  <si>
    <t xml:space="preserve"> wanted to hear Laura kipnis then had to endure an antic bit about Bitcoin jfc</t>
  </si>
  <si>
    <t xml:space="preserve"> GoldsmithLeo</t>
  </si>
  <si>
    <t xml:space="preserve"> Sat Feb 03 2018 15:26:22</t>
  </si>
  <si>
    <t xml:space="preserve"> @GerberKawasaki Hope Ali is Bitcoin</t>
  </si>
  <si>
    <t xml:space="preserve"> Blindside007</t>
  </si>
  <si>
    <t xml:space="preserve"> Rancho Palos Verdes</t>
  </si>
  <si>
    <t xml:space="preserve"> Sat Feb 03 2018 15:26:23</t>
  </si>
  <si>
    <t xml:space="preserve"> #Ilovebitcoin because traditional banks love hearing about #bitcoin</t>
  </si>
  <si>
    <t xml:space="preserve"> Sat Feb 03 2018 15:26:25</t>
  </si>
  <si>
    <t xml:space="preserve"> YOU NEVER KNOW WHOS SWIMMING NAKED UNTIL THE TIDE GOES OUT #tonyrobbins #Bitcoin #crypto #HODL</t>
  </si>
  <si>
    <t xml:space="preserve"> khzwsthe</t>
  </si>
  <si>
    <t xml:space="preserve"> Sat Feb 03 2018 15:26:41</t>
  </si>
  <si>
    <t xml:space="preserve"> @zooko Yes, Monero and Bitcoin are the most expensive our there.</t>
  </si>
  <si>
    <t xml:space="preserve"> dionyziz</t>
  </si>
  <si>
    <t xml:space="preserve"> Athens</t>
  </si>
  <si>
    <t xml:space="preserve"> Sat Feb 03 2018 15:26:49</t>
  </si>
  <si>
    <t xml:space="preserve"> Just purchased $1 of bitcoin on cash app lol</t>
  </si>
  <si>
    <t xml:space="preserve"> BigMoze52</t>
  </si>
  <si>
    <t xml:space="preserve"> Sat Feb 03 2018 15:26:57</t>
  </si>
  <si>
    <t xml:space="preserve"> @jameswester There is a company selling bitcoin IRAs.</t>
  </si>
  <si>
    <t xml:space="preserve"> rakeshlobster</t>
  </si>
  <si>
    <t xml:space="preserve"> Sat Feb 03 2018 15:27:16</t>
  </si>
  <si>
    <t xml:space="preserve"> $SC at mouth watering price  so just grab it now at just 3 cent for 100% return with in a week. @SiaTechHQ #bitcoin</t>
  </si>
  <si>
    <t xml:space="preserve"> Sat Feb 03 2018 15:27:32</t>
  </si>
  <si>
    <t xml:space="preserve"> @anondran i would sell my kidney to buy bitcoin at 250k in 2023 !!</t>
  </si>
  <si>
    <t xml:space="preserve"> CryptoPeepnd</t>
  </si>
  <si>
    <t xml:space="preserve"> Sat Feb 03 2018 15:27:50</t>
  </si>
  <si>
    <t xml:space="preserve"> $btc #bitcoin $eth @modex_tech #cryptocurrency #app #store</t>
  </si>
  <si>
    <t xml:space="preserve"> cryptoALBundy</t>
  </si>
  <si>
    <t xml:space="preserve"> Plasma</t>
  </si>
  <si>
    <t xml:space="preserve"> Sat Feb 03 2018 15:27:54</t>
  </si>
  <si>
    <t xml:space="preserve"> Join @flogmall  #FLOGmall, #Blockchain #Bitcoin #BTC #Ethereum #ETH #ICO</t>
  </si>
  <si>
    <t xml:space="preserve"> rusartzoom</t>
  </si>
  <si>
    <t xml:space="preserve"> Sat Feb 03 2018 15:27:56</t>
  </si>
  <si>
    <t xml:space="preserve"> oh good, bitcoin is back down below 10k USD</t>
  </si>
  <si>
    <t xml:space="preserve"> Volatar</t>
  </si>
  <si>
    <t xml:space="preserve"> Probably somewhere in space</t>
  </si>
  <si>
    <t xml:space="preserve"> Sat Feb 03 2018 15:28:00</t>
  </si>
  <si>
    <t xml:space="preserve"> my laptop is full of bitcoin gifs :)))</t>
  </si>
  <si>
    <t xml:space="preserve"> rachelIeanngo</t>
  </si>
  <si>
    <t xml:space="preserve"> Sat Feb 03 2018 15:28:18</t>
  </si>
  <si>
    <t xml:space="preserve"> @techguilherme @DigiByteCoin I have a mate who lost a couple of 100k on that scam coin because he sold his bitcoin for it</t>
  </si>
  <si>
    <t xml:space="preserve"> Jamie74778133</t>
  </si>
  <si>
    <t xml:space="preserve"> Sat Feb 03 2018 15:29:19</t>
  </si>
  <si>
    <t xml:space="preserve"> Bitcoin Bouta Shoot Up...</t>
  </si>
  <si>
    <t xml:space="preserve"> CornellM504</t>
  </si>
  <si>
    <t xml:space="preserve"> New Orleans, Colorado</t>
  </si>
  <si>
    <t xml:space="preserve"> Sat Feb 03 2018 15:29:22</t>
  </si>
  <si>
    <t xml:space="preserve"> what to mine? cryptocurrency mining profitability comparisons versus Bitcoin mining</t>
  </si>
  <si>
    <t xml:space="preserve"> savvy_888</t>
  </si>
  <si>
    <t xml:space="preserve"> th</t>
  </si>
  <si>
    <t xml:space="preserve"> Sat Feb 03 2018 15:29:24</t>
  </si>
  <si>
    <t xml:space="preserve"> I was really hoping to get that .02 bitcoin dang it!@PhilakoneCrypto</t>
  </si>
  <si>
    <t xml:space="preserve"> sloth44857</t>
  </si>
  <si>
    <t xml:space="preserve"> Sat Feb 03 2018 15:29:25</t>
  </si>
  <si>
    <t xml:space="preserve"> @resilience_me &gt; In 2008, Craig Wright published the Bitcoin whitepapaer  Did you use proof-of-power to determine Craig is Satoshi?</t>
  </si>
  <si>
    <t xml:space="preserve"> PooSham_</t>
  </si>
  <si>
    <t xml:space="preserve"> Sat Feb 03 2018 15:29:48</t>
  </si>
  <si>
    <t xml:space="preserve"> What drives me nuts #1. Financial advisors who say Bitcoin is a portfolio diversifier. 3/8</t>
  </si>
  <si>
    <t xml:space="preserve"> EpsilonTheory</t>
  </si>
  <si>
    <t xml:space="preserve"> Sat Feb 03 2018 15:30:02</t>
  </si>
  <si>
    <t xml:space="preserve"> Bitcoin:$9404.25 Ethereum:$977.854 Bitcoin Cash:$1271.22 Litecoin:$150.763 Ripple:$0.960072 IOTA:$1.9841</t>
  </si>
  <si>
    <t xml:space="preserve"> Sat Feb 03 2018 15:30:13</t>
  </si>
  <si>
    <t xml:space="preserve"> You can't understand bitcoin correctly and still believe it to be a speculative asset.</t>
  </si>
  <si>
    <t xml:space="preserve"> BlockchainNet</t>
  </si>
  <si>
    <t xml:space="preserve"> Sat Feb 03 2018 15:30:45</t>
  </si>
  <si>
    <t xml:space="preserve"> @a3456gf @pierre_rochard Saving and not spending Bitcoin is an economic activity.</t>
  </si>
  <si>
    <t xml:space="preserve"> Sat Feb 03 2018 15:30:47</t>
  </si>
  <si>
    <t xml:space="preserve"> Which would you rather have? #garlicoin #garlic #bitcoin #bitcoincrash</t>
  </si>
  <si>
    <t xml:space="preserve"> skyler47221</t>
  </si>
  <si>
    <t xml:space="preserve"> Sat Feb 03 2018 15:30:50</t>
  </si>
  <si>
    <t xml:space="preserve"> @Skimp3 @djillusion__ @venmo You cant buy bitcoin on Venmo tho</t>
  </si>
  <si>
    <t xml:space="preserve"> chriscashstro</t>
  </si>
  <si>
    <t xml:space="preserve"> T: 28.683232,-81.181189</t>
  </si>
  <si>
    <t xml:space="preserve"> Sat Feb 03 2018 15:30:57</t>
  </si>
  <si>
    <t xml:space="preserve"> @Visa @sterl_shep3 Buy bitcoin $btc</t>
  </si>
  <si>
    <t xml:space="preserve"> laughingmantwit</t>
  </si>
  <si>
    <t xml:space="preserve"> Sat Feb 03 2018 15:31:04</t>
  </si>
  <si>
    <t xml:space="preserve"> @EpsilonTheory Bitcoin is so interesting as a monetary phenomenon, I can't stop watching and sort of rooting for it. But not an investor</t>
  </si>
  <si>
    <t xml:space="preserve"> PabloBoza</t>
  </si>
  <si>
    <t xml:space="preserve"> Lima, Peru</t>
  </si>
  <si>
    <t xml:space="preserve"> Sat Feb 03 2018 15:31:12</t>
  </si>
  <si>
    <t xml:space="preserve"> Hello humans, #Bitcoin is currently around $9357.36 as of Sat Feb  3 09:31:08 CST 2018</t>
  </si>
  <si>
    <t xml:space="preserve"> i personally thinc investment in bitcoin will bring the second coming that much quiker lol</t>
  </si>
  <si>
    <t xml:space="preserve"> casuhnova</t>
  </si>
  <si>
    <t xml:space="preserve"> somewhere in the ie.</t>
  </si>
  <si>
    <t xml:space="preserve"> Sat Feb 03 2018 15:31:13</t>
  </si>
  <si>
    <t xml:space="preserve"> @Bitcoin I am getting tire of seeing this</t>
  </si>
  <si>
    <t xml:space="preserve"> byrontsilva</t>
  </si>
  <si>
    <t xml:space="preserve"> Sat Feb 03 2018 15:31:23</t>
  </si>
  <si>
    <t xml:space="preserve"> They already earned without having any bitcoin in hand. They earned quickly and prepare for the futur ATH.</t>
  </si>
  <si>
    <t xml:space="preserve"> Sat Feb 03 2018 15:31:24</t>
  </si>
  <si>
    <t xml:space="preserve"> i came this great Old Country Buffet with only the shoes on my feet &amp; a single bitcoin</t>
  </si>
  <si>
    <t xml:space="preserve"> Jheri_Seinfeld</t>
  </si>
  <si>
    <t xml:space="preserve"> Party City</t>
  </si>
  <si>
    <t xml:space="preserve"> Sat Feb 03 2018 15:31:33</t>
  </si>
  <si>
    <t xml:space="preserve"> @robertoblake Bitcoin bounced off the .618 Fibonacci level during it's low yesterday. We are near the bottom of this retracement. :)</t>
  </si>
  <si>
    <t xml:space="preserve"> Krojak</t>
  </si>
  <si>
    <t xml:space="preserve"> Niagara Falls, Ontario</t>
  </si>
  <si>
    <t xml:space="preserve"> Sat Feb 03 2018 15:31:49</t>
  </si>
  <si>
    <t xml:space="preserve"> What drives me nuts #3. Financial advisors who give price targets and dates for Bitcoin. Just stop. 7/8</t>
  </si>
  <si>
    <t xml:space="preserve"> Sat Feb 03 2018 15:32:04</t>
  </si>
  <si>
    <t xml:space="preserve"> The recovery?   #bitcoin</t>
  </si>
  <si>
    <t xml:space="preserve"> Sat Feb 03 2018 15:32:09</t>
  </si>
  <si>
    <t xml:space="preserve"> @ReutersBiz What Ever Jamie Dimon, Morgan Staney Bid For Russia's Nevsky Center, I'll raise it by 1 #bitcoin ;) $JPM #SaturdayMorning</t>
  </si>
  <si>
    <t xml:space="preserve"> PutinsMyPapi</t>
  </si>
  <si>
    <t xml:space="preserve"> NYC, Amsterdam, London</t>
  </si>
  <si>
    <t xml:space="preserve"> Sat Feb 03 2018 15:32:40</t>
  </si>
  <si>
    <t xml:space="preserve"> @ARYNEWSOFFICIAL I wish an anonymous philanthropist would make a donation to me! ##bitcoin #crypto</t>
  </si>
  <si>
    <t xml:space="preserve"> DummiesBitcoin</t>
  </si>
  <si>
    <t xml:space="preserve"> Sat Feb 03 2018 15:32:43</t>
  </si>
  <si>
    <t xml:space="preserve"> @Merc_Official_ Any idea on  if there is an issue with the bitcoin payments? its been pending on mine for a while?</t>
  </si>
  <si>
    <t xml:space="preserve"> MikeBerne</t>
  </si>
  <si>
    <t xml:space="preserve"> The Realms of Insanity</t>
  </si>
  <si>
    <t xml:space="preserve"> Sat Feb 03 2018 15:33:02</t>
  </si>
  <si>
    <t xml:space="preserve"> @PeterLBrandt Bitcoin will never need a taxpayer bailout to stay afloat.</t>
  </si>
  <si>
    <t xml:space="preserve"> Badoot</t>
  </si>
  <si>
    <t xml:space="preserve"> Portland, OR</t>
  </si>
  <si>
    <t xml:space="preserve"> Sat Feb 03 2018 15:33:03</t>
  </si>
  <si>
    <t xml:space="preserve"> @bitshares anything that gives bitcoin a C is not worth mentioning ... sorry, i do like bitshares !</t>
  </si>
  <si>
    <t xml:space="preserve"> Crypt0Trading</t>
  </si>
  <si>
    <t xml:space="preserve"> Crypt0land</t>
  </si>
  <si>
    <t xml:space="preserve"> Sat Feb 03 2018 15:33:06</t>
  </si>
  <si>
    <t xml:space="preserve"> @amtvmedia Seems like Bitcoin may be a scam as well</t>
  </si>
  <si>
    <t xml:space="preserve"> GinyDaPig</t>
  </si>
  <si>
    <t xml:space="preserve"> Sat Feb 03 2018 15:33:16</t>
  </si>
  <si>
    <t xml:space="preserve"> In bitcoin history there is big price losts and big gains later. I say this drop prepares the bitcoin for new and bigger ath in the future.</t>
  </si>
  <si>
    <t xml:space="preserve"> Sat Feb 03 2018 15:33:26</t>
  </si>
  <si>
    <t xml:space="preserve"> @RichardHeartWin Tell us Richard what you did with your bitcoin, did you hold? did you sell and buy back cheaper?  do tell</t>
  </si>
  <si>
    <t xml:space="preserve"> NotYerAvgBrony</t>
  </si>
  <si>
    <t xml:space="preserve"> Detroit, MI</t>
  </si>
  <si>
    <t xml:space="preserve"> Sat Feb 03 2018 15:33:30</t>
  </si>
  <si>
    <t xml:space="preserve"> @WallStreetRekt nasdaq dot-com bubble took years, bitcoin is doing all that in 2 months</t>
  </si>
  <si>
    <t xml:space="preserve"> pmullr</t>
  </si>
  <si>
    <t xml:space="preserve"> Sat Feb 03 2018 15:33:44</t>
  </si>
  <si>
    <t xml:space="preserve"> Capitulation around 5k ? WDYT #bitcoin</t>
  </si>
  <si>
    <t xml:space="preserve"> cryptolastic</t>
  </si>
  <si>
    <t xml:space="preserve"> Sat Feb 03 2018 15:33:46</t>
  </si>
  <si>
    <t xml:space="preserve"> @daretorant @aantonop @saifedean The bitcoin standard, where you get that? Ive a preorder on amazon for April earliest??</t>
  </si>
  <si>
    <t xml:space="preserve"> Dunnestar</t>
  </si>
  <si>
    <t xml:space="preserve"> Wakefield, UK</t>
  </si>
  <si>
    <t xml:space="preserve"> Sat Feb 03 2018 15:33:51</t>
  </si>
  <si>
    <t xml:space="preserve"> @PeterLBrandt You got that right Peter. Bitcoin isnt the bubble, its the pin</t>
  </si>
  <si>
    <t xml:space="preserve"> cryptosuri</t>
  </si>
  <si>
    <t xml:space="preserve"> Sat Feb 03 2018 15:33:53</t>
  </si>
  <si>
    <t xml:space="preserve"> @RampCapitalLLC Still way too high for that clip. Roll it when Bitcoin hits $1,000.</t>
  </si>
  <si>
    <t xml:space="preserve"> ocdstockjockey</t>
  </si>
  <si>
    <t xml:space="preserve"> Sat Feb 03 2018 15:33:55</t>
  </si>
  <si>
    <t xml:space="preserve"> @crypto_sarah9 Will btc bitcoin hit $5000</t>
  </si>
  <si>
    <t xml:space="preserve"> rsconversions</t>
  </si>
  <si>
    <t xml:space="preserve"> Shipley west yorkshire</t>
  </si>
  <si>
    <t xml:space="preserve"> Sat Feb 03 2018 15:34:05</t>
  </si>
  <si>
    <t xml:space="preserve"> Bitcoin is pogs</t>
  </si>
  <si>
    <t xml:space="preserve"> OtherMikeMiller</t>
  </si>
  <si>
    <t xml:space="preserve"> Sat Feb 03 2018 15:34:12</t>
  </si>
  <si>
    <t xml:space="preserve"> @GGFrosteV9 screw bitcoin Im investing in flamethrowers!</t>
  </si>
  <si>
    <t xml:space="preserve"> Ultra151x</t>
  </si>
  <si>
    <t xml:space="preserve"> Sat Feb 03 2018 15:34:13</t>
  </si>
  <si>
    <t xml:space="preserve"> What happened to 6k bitcoin? You're fans losing out Bc you Don't know wtf you're talking about @DougKass</t>
  </si>
  <si>
    <t xml:space="preserve"> mdmattdeangelo</t>
  </si>
  <si>
    <t xml:space="preserve"> Sat Feb 03 2018 15:34:42</t>
  </si>
  <si>
    <t xml:space="preserve"> Bitcoin at $1 Million by 2020: McAfee Doubles Down on Bullish Bet #crypto #hodl #BitcoinTalk</t>
  </si>
  <si>
    <t xml:space="preserve"> btchodler</t>
  </si>
  <si>
    <t xml:space="preserve"> Sat Feb 03 2018 15:34:50</t>
  </si>
  <si>
    <t xml:space="preserve"> Bitconnect is Facing its Second Class Action Lawsuit  #trx #tron #btc #bitcoin #cryptocoin #crypto #eth #etherum #ripple #xrp #altcoins</t>
  </si>
  <si>
    <t xml:space="preserve"> Sat Feb 03 2018 15:35:28</t>
  </si>
  <si>
    <t xml:space="preserve"> Every informed person needs to know about Bitcoin because it's one of the world</t>
  </si>
  <si>
    <t xml:space="preserve"> Sat Feb 03 2018 15:36:15</t>
  </si>
  <si>
    <t xml:space="preserve"> @BoostTM @seokings111 Thanks for the free bitcoin giveaway, its not everyday someone does something this generous #BoostTM</t>
  </si>
  <si>
    <t xml:space="preserve"> fumani_glen</t>
  </si>
  <si>
    <t xml:space="preserve"> Sat Feb 03 2018 15:36:25</t>
  </si>
  <si>
    <t xml:space="preserve"> Bitcoin Mining Comes To New York As Lawmakers Approve Power Allocation.</t>
  </si>
  <si>
    <t xml:space="preserve"> theyadavdeep</t>
  </si>
  <si>
    <t xml:space="preserve"> Etawah,  Uttar Pradesh , India</t>
  </si>
  <si>
    <t xml:space="preserve"> Sat Feb 03 2018 15:36:29</t>
  </si>
  <si>
    <t xml:space="preserve"> 1 BITCOIN = $9,337</t>
  </si>
  <si>
    <t xml:space="preserve"> Sat Feb 03 2018 15:36:49</t>
  </si>
  <si>
    <t xml:space="preserve"> @misterdna @Carsten71071425 @DanDarkPill arrived mocking bitcoin day traders, now a fully fledged bitmex degen.</t>
  </si>
  <si>
    <t xml:space="preserve"> WYZDM</t>
  </si>
  <si>
    <t xml:space="preserve"> Sat Feb 03 2018 15:37:40</t>
  </si>
  <si>
    <t xml:space="preserve"> @BTCDJS I ask my grandma and she told me that I have to buy Bitcoin</t>
  </si>
  <si>
    <t xml:space="preserve"> Daagle23</t>
  </si>
  <si>
    <t xml:space="preserve"> Conductor Track</t>
  </si>
  <si>
    <t xml:space="preserve"> Sat Feb 03 2018 15:38:01</t>
  </si>
  <si>
    <t xml:space="preserve"> #SteveRichFXCorp RT @introvertwander: What are you currently #trading? #stockmarket #forex #pennystocks #options #binary #bitcoin ?</t>
  </si>
  <si>
    <t xml:space="preserve"> RichFXMLiveFX</t>
  </si>
  <si>
    <t xml:space="preserve"> Sat Feb 03 2018 15:38:10</t>
  </si>
  <si>
    <t xml:space="preserve"> Don't think we're out of the woods yet... #btc #bitcoin</t>
  </si>
  <si>
    <t xml:space="preserve"> TalkChainPod</t>
  </si>
  <si>
    <t xml:space="preserve"> Sat Feb 03 2018 15:38:11</t>
  </si>
  <si>
    <t xml:space="preserve"> Having 2 different banks and getting money from one account to the next is enough hassle for me to want to use bitcoin</t>
  </si>
  <si>
    <t xml:space="preserve"> Dalllas9</t>
  </si>
  <si>
    <t xml:space="preserve"> Sat Feb 03 2018 15:38:14</t>
  </si>
  <si>
    <t xml:space="preserve"> @javiobregon5 But can you spend bitcoin $ </t>
  </si>
  <si>
    <t xml:space="preserve"> tgonza67</t>
  </si>
  <si>
    <t xml:space="preserve"> @CryptoDe_Niro @crypto2themoon @binance_2017 Its called bitcoin, the whole reason the crypto sphere exists and the coin all coins trade.</t>
  </si>
  <si>
    <t xml:space="preserve"> vin_thetown</t>
  </si>
  <si>
    <t xml:space="preserve"> Sat Feb 03 2018 15:38:19</t>
  </si>
  <si>
    <t xml:space="preserve"> @PeterSchiff We can say the same thing about you when it comes to your comments about Bitcoin.</t>
  </si>
  <si>
    <t xml:space="preserve"> k_staszewski</t>
  </si>
  <si>
    <t xml:space="preserve"> Warsaw</t>
  </si>
  <si>
    <t xml:space="preserve"> Sat Feb 03 2018 15:38:25</t>
  </si>
  <si>
    <t xml:space="preserve"> Somebody wanna educate me on how bitcoin works? Im interested </t>
  </si>
  <si>
    <t xml:space="preserve"> _suaveMYflattop</t>
  </si>
  <si>
    <t xml:space="preserve"> Sat Feb 03 2018 15:38:34</t>
  </si>
  <si>
    <t xml:space="preserve"> Investment bank is the backbone of economic and financial system. #ico #comingsoon #bitcoin #altcoins #etn #eth #blockchain #bittrex #btc</t>
  </si>
  <si>
    <t xml:space="preserve"> vishrajv</t>
  </si>
  <si>
    <t xml:space="preserve"> Warsaw, Poland</t>
  </si>
  <si>
    <t xml:space="preserve"> Sat Feb 03 2018 15:38:44</t>
  </si>
  <si>
    <t xml:space="preserve"> To all haters which would have loved to see bitcoin below 8k. #blockchaintechnology will never die Mr. #Zuckerberg</t>
  </si>
  <si>
    <t xml:space="preserve"> Takmah</t>
  </si>
  <si>
    <t xml:space="preserve"> Svizzera, Zurigo</t>
  </si>
  <si>
    <t xml:space="preserve"> Sat Feb 03 2018 15:38:47</t>
  </si>
  <si>
    <t xml:space="preserve"> is greys anatomy really having an episode about bitcoin</t>
  </si>
  <si>
    <t xml:space="preserve"> alakeshwari</t>
  </si>
  <si>
    <t xml:space="preserve"> Sat Feb 03 2018 15:39:13</t>
  </si>
  <si>
    <t xml:space="preserve"> @iamjosephyoung @Cointelegraph Do you have your own podcast? Or a YouTube channel? That'd be nice. #cryptocurrency #Crypto #bitcoin</t>
  </si>
  <si>
    <t xml:space="preserve"> paultower</t>
  </si>
  <si>
    <t xml:space="preserve"> California</t>
  </si>
  <si>
    <t xml:space="preserve"> Sat Feb 03 2018 15:39:22</t>
  </si>
  <si>
    <t xml:space="preserve"> Quit McDonalds this morning. We back boys! #bitcoin</t>
  </si>
  <si>
    <t xml:space="preserve"> PhilCrypto77</t>
  </si>
  <si>
    <t xml:space="preserve"> Sat Feb 03 2018 15:40:18</t>
  </si>
  <si>
    <t xml:space="preserve"> New support level for bitcoin could be 9k $btc</t>
  </si>
  <si>
    <t xml:space="preserve"> @ermeozden Bitcoin var</t>
  </si>
  <si>
    <t xml:space="preserve"> erhnslmz</t>
  </si>
  <si>
    <t xml:space="preserve"> Alanya, Trkiye</t>
  </si>
  <si>
    <t xml:space="preserve"> Sat Feb 03 2018 15:40:25</t>
  </si>
  <si>
    <t xml:space="preserve"> @PeterLBrandt bitcoin is the better way :-)  We've got this from here</t>
  </si>
  <si>
    <t xml:space="preserve"> RedRhinoBTC</t>
  </si>
  <si>
    <t xml:space="preserve"> Sat Feb 03 2018 15:40:29</t>
  </si>
  <si>
    <t xml:space="preserve"> @ReformedBroker Makes for a great Italian Job sequel #bitcoin</t>
  </si>
  <si>
    <t xml:space="preserve"> CountingCrowds</t>
  </si>
  <si>
    <t xml:space="preserve"> Hartford, Connecticut</t>
  </si>
  <si>
    <t xml:space="preserve"> Sat Feb 03 2018 15:40:40</t>
  </si>
  <si>
    <t xml:space="preserve"> @motherboard @pierre_rochard Please don't link Bitcoin to all-meat diet, that's ridiculous.</t>
  </si>
  <si>
    <t xml:space="preserve"> sssssupercereal</t>
  </si>
  <si>
    <t xml:space="preserve"> Sat Feb 03 2018 15:41:04</t>
  </si>
  <si>
    <t xml:space="preserve"> #Bitcoin The Current Bitcoin Price is 0.00010727 BTC for $1 USD #GoldCoinJar</t>
  </si>
  <si>
    <t xml:space="preserve"> Sat Feb 03 2018 15:41:10</t>
  </si>
  <si>
    <t xml:space="preserve"> Will Bitcoin ever be below $4000 again? #bitcoin</t>
  </si>
  <si>
    <t xml:space="preserve"> AlanKirshner</t>
  </si>
  <si>
    <t xml:space="preserve"> Sat Feb 03 2018 15:41:17</t>
  </si>
  <si>
    <t xml:space="preserve"> Bitcoin percentage of market cap: 34.6 % #BPOMC #Bitcoin #Altcoin #Blockchain #Cryptocurrency #Dominance</t>
  </si>
  <si>
    <t xml:space="preserve"> Sat Feb 03 2018 15:41:22</t>
  </si>
  <si>
    <t xml:space="preserve"> @anondran Bitcoin already dropped by 50% from ATH. The bubble has burst. Stock up!</t>
  </si>
  <si>
    <t xml:space="preserve"> crittercreek</t>
  </si>
  <si>
    <t xml:space="preserve"> Current Life USA</t>
  </si>
  <si>
    <t xml:space="preserve"> @latencykoon Bitcoin only really uptrend when it is above the $ 13100 price range. At present, the risk remains latent.</t>
  </si>
  <si>
    <t xml:space="preserve"> fxprovn</t>
  </si>
  <si>
    <t xml:space="preserve"> London United Kingdom</t>
  </si>
  <si>
    <t xml:space="preserve"> Sat Feb 03 2018 15:41:51</t>
  </si>
  <si>
    <t xml:space="preserve"> @Cointelegraph ..... just a matter of time...!!! #Bitcoin</t>
  </si>
  <si>
    <t xml:space="preserve"> Sat Feb 03 2018 15:41:55</t>
  </si>
  <si>
    <t xml:space="preserve"> What is poverty Is this once and we'll randomly select Bitcoin value:</t>
  </si>
  <si>
    <t xml:space="preserve"> Sat Feb 03 2018 15:42:06</t>
  </si>
  <si>
    <t xml:space="preserve"> Cryptocurrency: #Bitcoin Price USD: 9272.33 Price BTC: 1.0 24h Volume USD: 8164830000.0 Percent change 24h: 4.85</t>
  </si>
  <si>
    <t xml:space="preserve"> Sat Feb 03 2018 15:42:13</t>
  </si>
  <si>
    <t xml:space="preserve"> Everyones going on about investing in bitcoin. Killie are 20/1 to win the Scottish Cup #nobrainer #superkillie</t>
  </si>
  <si>
    <t xml:space="preserve"> grant_wallace</t>
  </si>
  <si>
    <t xml:space="preserve"> D-horn y'all</t>
  </si>
  <si>
    <t xml:space="preserve"> Sat Feb 03 2018 15:42:27</t>
  </si>
  <si>
    <t xml:space="preserve"> Optimal tx fee: 85 satoshi per byte.  BTC : $9403 / 7545 / 6658 @ Block 507444.  Market Cap: 152.38B USD. #Follow #Bitcoin</t>
  </si>
  <si>
    <t xml:space="preserve"> Sat Feb 03 2018 15:42:50</t>
  </si>
  <si>
    <t xml:space="preserve"> @cryptocryan @real_vijay @PeterLBrandt It's that barbarous relic that is required to mine bitcoin.</t>
  </si>
  <si>
    <t xml:space="preserve"> wabalabadubdub4</t>
  </si>
  <si>
    <t xml:space="preserve"> Sat Feb 03 2018 15:42:58</t>
  </si>
  <si>
    <t xml:space="preserve"> Those bitcoin commercials on snap gives me black mirror vibes</t>
  </si>
  <si>
    <t xml:space="preserve"> Ant95four</t>
  </si>
  <si>
    <t xml:space="preserve"> Hollywood, FL  Tampa, FL</t>
  </si>
  <si>
    <t xml:space="preserve"> Sat Feb 03 2018 15:43:20</t>
  </si>
  <si>
    <t xml:space="preserve"> #Bitcoin does not erase borders. It ignores them.</t>
  </si>
  <si>
    <t xml:space="preserve"> ObiWanKenoBit</t>
  </si>
  <si>
    <t xml:space="preserve"> Sat Feb 03 2018 15:43:25</t>
  </si>
  <si>
    <t xml:space="preserve"> Bitflyer Launches Its New Cryptocurrency Exchange to Use Bitcoin Data</t>
  </si>
  <si>
    <t xml:space="preserve"> Sat Feb 03 2018 15:43:34</t>
  </si>
  <si>
    <t xml:space="preserve"> By injecting small amounts of Bitcoin into central banks scientists were able to completely destroy the tumors</t>
  </si>
  <si>
    <t xml:space="preserve"> GENIC0N</t>
  </si>
  <si>
    <t xml:space="preserve"> THE INTERNET OF MONEY</t>
  </si>
  <si>
    <t xml:space="preserve"> Sat Feb 03 2018 15:43:35</t>
  </si>
  <si>
    <t xml:space="preserve"> Oh, cool. Bitcoin mining captchas. This is fine. Totally fine.</t>
  </si>
  <si>
    <t xml:space="preserve"> lendamico</t>
  </si>
  <si>
    <t xml:space="preserve"> Trillmington, DE</t>
  </si>
  <si>
    <t xml:space="preserve"> Sat Feb 03 2018 15:43:53</t>
  </si>
  <si>
    <t xml:space="preserve"> @Austin_Hankwitz Ill be honest I still dont understand bitcoin</t>
  </si>
  <si>
    <t xml:space="preserve"> ben_schneier</t>
  </si>
  <si>
    <t xml:space="preserve"> Sat Feb 03 2018 15:44:14</t>
  </si>
  <si>
    <t xml:space="preserve"> @OTC_Bitcoin You've turned into the BITCOIN FUD Manager...  time to let you go...  Bitcoin is ready to take off..  TA is solid!</t>
  </si>
  <si>
    <t xml:space="preserve"> DCSportsRule</t>
  </si>
  <si>
    <t xml:space="preserve"> @DiaryofaMadeMan Can you look at AML Bitcoin?</t>
  </si>
  <si>
    <t xml:space="preserve"> coachivankovich</t>
  </si>
  <si>
    <t xml:space="preserve"> Sat Feb 03 2018 15:44:38</t>
  </si>
  <si>
    <t xml:space="preserve"> @binance_2017  Hi when will Bitcoin Diamond maintenance finish</t>
  </si>
  <si>
    <t xml:space="preserve"> MinhVuo43999033</t>
  </si>
  <si>
    <t xml:space="preserve"> Perth, Western Australia</t>
  </si>
  <si>
    <t xml:space="preserve"> Sat Feb 03 2018 15:44:55</t>
  </si>
  <si>
    <t xml:space="preserve"> @Sandrathedon Wtf is a bitcoin lol</t>
  </si>
  <si>
    <t xml:space="preserve"> a7xfangirl</t>
  </si>
  <si>
    <t xml:space="preserve"> Houston</t>
  </si>
  <si>
    <t xml:space="preserve"> Sat Feb 03 2018 15:45:02</t>
  </si>
  <si>
    <t xml:space="preserve"> There are currently 14,072 unconfirmed Bitcoin transactions. #bitcoin #btc $BTC</t>
  </si>
  <si>
    <t xml:space="preserve"> Sat Feb 03 2018 15:45:13</t>
  </si>
  <si>
    <t xml:space="preserve"> @JuliusGoat I accept Bitcoin &amp; tapioca pudding</t>
  </si>
  <si>
    <t xml:space="preserve"> Dreamweasel</t>
  </si>
  <si>
    <t xml:space="preserve"> Sat Feb 03 2018 15:45:59</t>
  </si>
  <si>
    <t xml:space="preserve"> Lol reading through #bitcoin tweets.  I'm no noob. I don't sell at losses.</t>
  </si>
  <si>
    <t xml:space="preserve"> Lemieux_26</t>
  </si>
  <si>
    <t xml:space="preserve"> North Buckhead, Atlanta</t>
  </si>
  <si>
    <t xml:space="preserve"> Sat Feb 03 2018 15:46:11</t>
  </si>
  <si>
    <t xml:space="preserve"> Bitcoin needed... I need bitcoin</t>
  </si>
  <si>
    <t xml:space="preserve"> Sat Feb 03 2018 15:46:20</t>
  </si>
  <si>
    <t xml:space="preserve"> @ThomasBrice2017 The bitcoin comment!!! Losing him also made JT have to play more penalty kill minutes! Kulemin is missed greatly!!</t>
  </si>
  <si>
    <t xml:space="preserve"> IslanderFansNYI</t>
  </si>
  <si>
    <t xml:space="preserve"> Sat Feb 03 2018 15:46:34</t>
  </si>
  <si>
    <t xml:space="preserve"> #Blockchain is the tech. #Bitcoin is merely the first mainstream manifestation of its potential #quotes #bitcoinquotes #bitcointrading</t>
  </si>
  <si>
    <t xml:space="preserve"> Sat Feb 03 2018 15:46:45</t>
  </si>
  <si>
    <t xml:space="preserve"> @NoHoesMo @cIoutgoggIe His last album Get Bitcoin or Die Typing</t>
  </si>
  <si>
    <t xml:space="preserve"> yetifetus</t>
  </si>
  <si>
    <t xml:space="preserve"> Afir Imzourhene                                                                                     , Algeria</t>
  </si>
  <si>
    <t xml:space="preserve"> Sat Feb 03 2018 15:47:07</t>
  </si>
  <si>
    <t xml:space="preserve"> @rolflobker @PCryptoEscobar @checkerdog87 @BitmexRekt Lol well.. it's not 5 million Bitcoin.</t>
  </si>
  <si>
    <t xml:space="preserve"> BrianBuchetto</t>
  </si>
  <si>
    <t xml:space="preserve"> New Haven, CT</t>
  </si>
  <si>
    <t xml:space="preserve"> FOMO time is very close for those who say $BTC is dead.  Added some $SYS , $DGB and $STRAT   #bitcoin #syscoin #DGB #Stratis</t>
  </si>
  <si>
    <t xml:space="preserve"> erdmkrby</t>
  </si>
  <si>
    <t xml:space="preserve"> Ankara</t>
  </si>
  <si>
    <t xml:space="preserve"> Sat Feb 03 2018 15:47:20</t>
  </si>
  <si>
    <t xml:space="preserve"> Take note that BitPay is currently charging about $5.00 transaction fees for processing Bitcoin transactions that take ages to confirm.</t>
  </si>
  <si>
    <t xml:space="preserve"> TheLitecoinFeed</t>
  </si>
  <si>
    <t xml:space="preserve"> Sat Feb 03 2018 15:47:43</t>
  </si>
  <si>
    <t xml:space="preserve"> bitcoin is now available at a discounted price.  what some people see as a failure other see as opportunity.</t>
  </si>
  <si>
    <t xml:space="preserve"> analyticsnerd</t>
  </si>
  <si>
    <t xml:space="preserve"> Sat Feb 03 2018 15:47:46</t>
  </si>
  <si>
    <t xml:space="preserve"> What's the exchange rate of Bitcoin to Schrute Buck?</t>
  </si>
  <si>
    <t xml:space="preserve"> AltGr_Q</t>
  </si>
  <si>
    <t xml:space="preserve"> Surrounded by Brandenburg</t>
  </si>
  <si>
    <t xml:space="preserve"> Sat Feb 03 2018 15:47:48</t>
  </si>
  <si>
    <t xml:space="preserve"> @rashi_kakkar Bitcoin dropped from 18k to 8k in a month. Bitcoin also met an accident. :p</t>
  </si>
  <si>
    <t xml:space="preserve"> gohanvsrohan</t>
  </si>
  <si>
    <t xml:space="preserve"> New Delhi, India</t>
  </si>
  <si>
    <t xml:space="preserve"> Sat Feb 03 2018 15:48:00</t>
  </si>
  <si>
    <t xml:space="preserve"> @AMLBitcoin I also think bitcoin is nothing but a scam.  Talk about there is no there, there.</t>
  </si>
  <si>
    <t xml:space="preserve"> Mollestitude6</t>
  </si>
  <si>
    <t xml:space="preserve"> Sat Feb 03 2018 15:48:06</t>
  </si>
  <si>
    <t xml:space="preserve"> @vakeraj @CashApp Just need them to support Bitcoin Cash.</t>
  </si>
  <si>
    <t xml:space="preserve"> jmiles407</t>
  </si>
  <si>
    <t xml:space="preserve"> Sat Feb 03 2018 15:48:15</t>
  </si>
  <si>
    <t xml:space="preserve"> Dear #Bitcoin,  I was starting my burger flipper job at McDonalds on Monday.  Should I show up or not? Please give me some clue!!!</t>
  </si>
  <si>
    <t xml:space="preserve"> _tornado7</t>
  </si>
  <si>
    <t xml:space="preserve"> Crypto Castle </t>
  </si>
  <si>
    <t xml:space="preserve"> Sat Feb 03 2018 15:48:17</t>
  </si>
  <si>
    <t xml:space="preserve"> Seems like we are going back up from here. Marketcap is rising really steady now! #crypto #marketcap #bitcoin #altcoins #hodl</t>
  </si>
  <si>
    <t xml:space="preserve"> Nivadest</t>
  </si>
  <si>
    <t xml:space="preserve"> Sat Feb 03 2018 15:48:22</t>
  </si>
  <si>
    <t xml:space="preserve"> Send me BTC:  my adress: 1JRDXJCgqYUKRUNrorY3VGV8xuyUMfRsPY  #cryptocurrency #Crypto #bitcoin #BTC</t>
  </si>
  <si>
    <t xml:space="preserve"> atravessare</t>
  </si>
  <si>
    <t xml:space="preserve"> gaia everywhere here</t>
  </si>
  <si>
    <t xml:space="preserve"> Sat Feb 03 2018 15:48:27</t>
  </si>
  <si>
    <t xml:space="preserve"> @Naan_Binary_ Imagine being this philosophically invested in cryptocurrency and still thinking Bitcoin is the best one</t>
  </si>
  <si>
    <t xml:space="preserve"> PreciousBFluids</t>
  </si>
  <si>
    <t xml:space="preserve"> Taprobane</t>
  </si>
  <si>
    <t xml:space="preserve"> Sat Feb 03 2018 15:48:36</t>
  </si>
  <si>
    <t xml:space="preserve"> #bitcoin is under 10k USD, pos coins should go up as it was before :) #satoshi #hodl $may $lana $aerm $dvrs $bitb $elite $xios $buzz $emb</t>
  </si>
  <si>
    <t xml:space="preserve"> PosAltcoinsClub</t>
  </si>
  <si>
    <t xml:space="preserve"> Sat Feb 03 2018 15:48:42</t>
  </si>
  <si>
    <t xml:space="preserve"> @sanchiworld @eromis11 How much is bitcoin now?</t>
  </si>
  <si>
    <t xml:space="preserve"> M2kelly</t>
  </si>
  <si>
    <t xml:space="preserve"> Nigeria, Africa, Earth.</t>
  </si>
  <si>
    <t xml:space="preserve"> Sat Feb 03 2018 15:49:03</t>
  </si>
  <si>
    <t xml:space="preserve"> @maxkeiser @iamjosephyoung Yesterday was a shakeout day! Shakeout the weak hands and lets know who the real bitcoin believers are</t>
  </si>
  <si>
    <t xml:space="preserve"> MarufLawal</t>
  </si>
  <si>
    <t xml:space="preserve"> In Your Brain.</t>
  </si>
  <si>
    <t xml:space="preserve"> Sat Feb 03 2018 15:49:21</t>
  </si>
  <si>
    <t xml:space="preserve"> @AranKirostok @Avencri @BuxbiArts was it a bitcoin payment? :D</t>
  </si>
  <si>
    <t xml:space="preserve"> Behemuffin</t>
  </si>
  <si>
    <t xml:space="preserve"> Sat Feb 03 2018 15:50:10</t>
  </si>
  <si>
    <t xml:space="preserve"> @IdealParadigm @cryptoSqueeze A 2% drop in Dow is a ridiculous comparison to the collapse of bitcoin!</t>
  </si>
  <si>
    <t xml:space="preserve"> Mihalbig</t>
  </si>
  <si>
    <t xml:space="preserve"> Dubai</t>
  </si>
  <si>
    <t xml:space="preserve"> Sat Feb 03 2018 15:50:15</t>
  </si>
  <si>
    <t xml:space="preserve"> Bitcoin have lost $38bl in market cap this week. Global stocks have lost $1.8tn in market cap this week.</t>
  </si>
  <si>
    <t xml:space="preserve"> chicojax</t>
  </si>
  <si>
    <t xml:space="preserve"> Artisanopolis</t>
  </si>
  <si>
    <t xml:space="preserve"> Sat Feb 03 2018 15:50:19</t>
  </si>
  <si>
    <t xml:space="preserve"> I do wonder whether the crash in bitcoin &amp; mkt correction are somehow related, maybe in that there's a general reduction in risk appetite...</t>
  </si>
  <si>
    <t xml:space="preserve"> HedgeArt</t>
  </si>
  <si>
    <t xml:space="preserve"> @paulkrugman Krugman you are a brilliant economist but I suspect you have not researched Bitcoin.</t>
  </si>
  <si>
    <t xml:space="preserve"> chrisITguy</t>
  </si>
  <si>
    <t xml:space="preserve"> Sat Feb 03 2018 15:50:45</t>
  </si>
  <si>
    <t xml:space="preserve"> @axios @WSJ Damn.  Stop with this MSM truthiness. Its killing my bitcoin portfolio</t>
  </si>
  <si>
    <t xml:space="preserve"> Sat Feb 03 2018 15:50:49</t>
  </si>
  <si>
    <t xml:space="preserve"> On what Alt coin would you invest more between Cardano (ADA) or Power Ledger (POWR)? #cryptocurrency #Crypto #bitcoin #CryptocurrencyNews</t>
  </si>
  <si>
    <t xml:space="preserve"> Patrickuuuu</t>
  </si>
  <si>
    <t xml:space="preserve"> Sat Feb 03 2018 15:50:57</t>
  </si>
  <si>
    <t xml:space="preserve"> another proof that bcash is the real bitcoin is that it moves same way as bitcoin does.</t>
  </si>
  <si>
    <t xml:space="preserve"> Basiliumz</t>
  </si>
  <si>
    <t xml:space="preserve"> all over the world</t>
  </si>
  <si>
    <t xml:space="preserve"> Sat Feb 03 2018 15:51:11</t>
  </si>
  <si>
    <t xml:space="preserve"> Glad I didnt recommend #crypto #bitcoin to any new people before the crash. </t>
  </si>
  <si>
    <t xml:space="preserve"> m3th4mp</t>
  </si>
  <si>
    <t xml:space="preserve"> Sat Feb 03 2018 15:51:28</t>
  </si>
  <si>
    <t xml:space="preserve"> Good morning to everyone and everything including bitcoin.</t>
  </si>
  <si>
    <t xml:space="preserve"> D_4_N_</t>
  </si>
  <si>
    <t xml:space="preserve"> Orange County, CA</t>
  </si>
  <si>
    <t xml:space="preserve"> Sat Feb 03 2018 15:51:39</t>
  </si>
  <si>
    <t xml:space="preserve"> It's come to a point where I pray that Bitcoin falls so that people can finally ditch their graphics cards and make GPU prices fall</t>
  </si>
  <si>
    <t xml:space="preserve"> mamidretomoe</t>
  </si>
  <si>
    <t xml:space="preserve"> Sat Feb 03 2018 15:51:53</t>
  </si>
  <si>
    <t xml:space="preserve"> Sat Feb 03 2018 15:51:58</t>
  </si>
  <si>
    <t xml:space="preserve"> #crypto #bitcoin roses are red, violets are blue, criptos are green and im happy like u :) #ToTheMoon</t>
  </si>
  <si>
    <t xml:space="preserve"> ales_gaber</t>
  </si>
  <si>
    <t xml:space="preserve"> Sat Feb 03 2018 15:52:09</t>
  </si>
  <si>
    <t xml:space="preserve"> There has to be a pimp somewhere who was sending hoes via bitcoin and forgot he had funds in his wallet lol</t>
  </si>
  <si>
    <t xml:space="preserve"> trademarktaz</t>
  </si>
  <si>
    <t xml:space="preserve"> Ann Arbor, MI</t>
  </si>
  <si>
    <t xml:space="preserve"> Sat Feb 03 2018 15:52:12</t>
  </si>
  <si>
    <t xml:space="preserve"> Current price of Bitcoin is $9370.50 #Bitcoin #Bithound</t>
  </si>
  <si>
    <t xml:space="preserve"> Sat Feb 03 2018 15:52:15</t>
  </si>
  <si>
    <t xml:space="preserve"> Like every time I see Bitcoin prices go up, I get pissed</t>
  </si>
  <si>
    <t xml:space="preserve"> Sat Feb 03 2018 15:52:23</t>
  </si>
  <si>
    <t xml:space="preserve"> @Chris_Liss I know you like Bitcoin. Buy Ada and dbix along with your Bitcoin.</t>
  </si>
  <si>
    <t xml:space="preserve"> GuyCreal</t>
  </si>
  <si>
    <t xml:space="preserve"> Ohio, USA</t>
  </si>
  <si>
    <t xml:space="preserve"> Sat Feb 03 2018 15:52:51</t>
  </si>
  <si>
    <t xml:space="preserve"> Bitcoin price &gt; Finding a Valentine  #cryptocurrency</t>
  </si>
  <si>
    <t xml:space="preserve"> NetChicksNPhil</t>
  </si>
  <si>
    <t xml:space="preserve"> Sat Feb 03 2018 15:53:00</t>
  </si>
  <si>
    <t xml:space="preserve"> CryptoCompare Bitcoin price changed -1.21% to $9241.75 #bitcoin</t>
  </si>
  <si>
    <t xml:space="preserve"> Sat Feb 03 2018 15:53:01</t>
  </si>
  <si>
    <t xml:space="preserve"> $#BTCUSD: #BitCoin (9188.27) 3mAccelBandTrap- (1xAvg), hi:9353.07, lo:9205.21, bars:9, 6:1Accel-, tf:0111010, FirmTrnd-:+100%</t>
  </si>
  <si>
    <t xml:space="preserve"> Sat Feb 03 2018 15:53:04</t>
  </si>
  <si>
    <t xml:space="preserve"> @TheEconomist CAN YOU LEAVE ME ALONE ABOUT BITCOIN?</t>
  </si>
  <si>
    <t xml:space="preserve"> vkmackyntoich</t>
  </si>
  <si>
    <t xml:space="preserve"> atlanta, ga</t>
  </si>
  <si>
    <t xml:space="preserve"> Sat Feb 03 2018 15:53:08</t>
  </si>
  <si>
    <t xml:space="preserve"> Has bitcoin finally bounced back? $btc $eth #cryptocurrency</t>
  </si>
  <si>
    <t xml:space="preserve"> LeadingTheBull</t>
  </si>
  <si>
    <t xml:space="preserve"> Sat Feb 03 2018 15:53:36</t>
  </si>
  <si>
    <t xml:space="preserve"> $BTC rising back after major dip in the last few days! #bitcoin #cryptocurrency</t>
  </si>
  <si>
    <t xml:space="preserve"> TheAshtonWu_</t>
  </si>
  <si>
    <t xml:space="preserve"> Sat Feb 03 2018 15:53:43</t>
  </si>
  <si>
    <t xml:space="preserve"> Great technical workshop for bitcoin by @miketwenty1 @ATL_Blockchain</t>
  </si>
  <si>
    <t xml:space="preserve"> priteshpatel15</t>
  </si>
  <si>
    <t xml:space="preserve"> Sat Feb 03 2018 15:53:45</t>
  </si>
  <si>
    <t xml:space="preserve"> @paulkrugman By 2020 or so, it will become clear that Bitcoins impact on the economy has been no greater than the fax machine's</t>
  </si>
  <si>
    <t xml:space="preserve"> DilemmaBeats</t>
  </si>
  <si>
    <t xml:space="preserve"> Detroit</t>
  </si>
  <si>
    <t xml:space="preserve"> Sat Feb 03 2018 15:54:36</t>
  </si>
  <si>
    <t xml:space="preserve"> Guys Has any of you invested in bitcoin or in different cryptocurrencies  I need help</t>
  </si>
  <si>
    <t xml:space="preserve"> vividmaniac</t>
  </si>
  <si>
    <t xml:space="preserve"> game of thrones addict</t>
  </si>
  <si>
    <t xml:space="preserve"> Sat Feb 03 2018 15:54:38</t>
  </si>
  <si>
    <t xml:space="preserve"> With this tweet I hereby invent the term: Bitcoin is a COMMORENCY. $btc $eth $xmr $dash $ICX $xrp $mana $wabi</t>
  </si>
  <si>
    <t xml:space="preserve"> Crypto_Musico</t>
  </si>
  <si>
    <t xml:space="preserve"> Sat Feb 03 2018 15:55:16</t>
  </si>
  <si>
    <t xml:space="preserve"> Where will #trx bounce? Or find support? $trx #tron #cryptocurrency #bitcoin</t>
  </si>
  <si>
    <t xml:space="preserve"> dkcryptoinvest</t>
  </si>
  <si>
    <t xml:space="preserve"> Sat Feb 03 2018 15:55:35</t>
  </si>
  <si>
    <t xml:space="preserve"> if you want a high return, bitcoin got you</t>
  </si>
  <si>
    <t xml:space="preserve"> Tony_Trillions</t>
  </si>
  <si>
    <t xml:space="preserve"> Nairobi , Kenya</t>
  </si>
  <si>
    <t xml:space="preserve"> Sat Feb 03 2018 15:55:42</t>
  </si>
  <si>
    <t xml:space="preserve"> @HalongMining Biggest scammers I've ever seen lmao DELIVER AT LEAST ONE BATCH OF BITCOIN MINERS FIRST</t>
  </si>
  <si>
    <t xml:space="preserve"> nothing2s33here</t>
  </si>
  <si>
    <t xml:space="preserve"> Sat Feb 03 2018 15:55:55</t>
  </si>
  <si>
    <t xml:space="preserve"> @nanu1685 @StevenHeinrich_ Let us not forget.. Almost half of all Bitcoin is held by 1k people. Hold. Why? Fear early on driving prices.</t>
  </si>
  <si>
    <t xml:space="preserve"> digitalocd</t>
  </si>
  <si>
    <t xml:space="preserve"> Sat Feb 03 2018 15:56:25</t>
  </si>
  <si>
    <t xml:space="preserve"> @Incapsula_com Bitcoin is a big bubble. E-currency serves a useful purpose, but the money invested in Bitcoin is ludicrous!</t>
  </si>
  <si>
    <t xml:space="preserve"> char_connie</t>
  </si>
  <si>
    <t xml:space="preserve"> Sat Feb 03 2018 15:57:05</t>
  </si>
  <si>
    <t xml:space="preserve"> @Socal_crypto He's just trying to sell his GoldCard bs. The dollar is collapsing, bitcoin has no value, only GOLD is real money bla bla bla</t>
  </si>
  <si>
    <t xml:space="preserve"> adriankhoch</t>
  </si>
  <si>
    <t xml:space="preserve"> Kuala Lumpur City</t>
  </si>
  <si>
    <t xml:space="preserve"> Sat Feb 03 2018 15:57:15</t>
  </si>
  <si>
    <t xml:space="preserve"> @coindesk Did you not see what happened to BITCOIN and the rest of the market.</t>
  </si>
  <si>
    <t xml:space="preserve"> MElkassih</t>
  </si>
  <si>
    <t xml:space="preserve"> How many bitcorns do you own? How many bitcorns do you fear? @Chase @jpmorgan @BankofAmerica  #cryptocurrency #bitcoin #btc #eth</t>
  </si>
  <si>
    <t xml:space="preserve"> Shill_Addin</t>
  </si>
  <si>
    <t xml:space="preserve"> Agrabah</t>
  </si>
  <si>
    <t xml:space="preserve"> Sat Feb 03 2018 15:57:30</t>
  </si>
  <si>
    <t xml:space="preserve"> There is alot of reasons that make bitcoin greater.</t>
  </si>
  <si>
    <t xml:space="preserve"> Sat Feb 03 2018 15:57:39</t>
  </si>
  <si>
    <t xml:space="preserve"> @LeightonVW prof. who have you backed for the 6N? and have you bought any bitcoin?</t>
  </si>
  <si>
    <t xml:space="preserve"> DrunkJuncker</t>
  </si>
  <si>
    <t xml:space="preserve"> Luxembourg/Brussels</t>
  </si>
  <si>
    <t xml:space="preserve"> Sat Feb 03 2018 15:57:47</t>
  </si>
  <si>
    <t xml:space="preserve"> @adam3us @StopAndDecrypt Why do i have to use lighting network when i can use eth or bitcoin cash?</t>
  </si>
  <si>
    <t xml:space="preserve"> Dinh_Villa</t>
  </si>
  <si>
    <t xml:space="preserve"> H Ni, Vit Nam</t>
  </si>
  <si>
    <t xml:space="preserve"> Sat Feb 03 2018 15:57:48</t>
  </si>
  <si>
    <t xml:space="preserve"> @Dadecountybenji Id figure lmao look at bitcoin.... just wait till it goes low af and buy ..</t>
  </si>
  <si>
    <t xml:space="preserve"> Alex_D39</t>
  </si>
  <si>
    <t xml:space="preserve"> MA </t>
  </si>
  <si>
    <t xml:space="preserve"> Sat Feb 03 2018 15:58:13</t>
  </si>
  <si>
    <t xml:space="preserve"> @CryptoYoda1338 This isn't bitcoin...money flowing to the safest asset, us equities. Dow 30000</t>
  </si>
  <si>
    <t xml:space="preserve"> RareEarthInvest</t>
  </si>
  <si>
    <t xml:space="preserve"> Sat Feb 03 2018 15:58:43</t>
  </si>
  <si>
    <t xml:space="preserve"> @NolteNC He sounds rather butthurt about Bitcoin rising in the first place.</t>
  </si>
  <si>
    <t xml:space="preserve"> Wisakijak</t>
  </si>
  <si>
    <t xml:space="preserve"> Missouri, USA</t>
  </si>
  <si>
    <t xml:space="preserve"> Sat Feb 03 2018 15:58:44</t>
  </si>
  <si>
    <t xml:space="preserve"> @lendamico Didnt Bitcoin die this week?</t>
  </si>
  <si>
    <t xml:space="preserve"> BKRMKR</t>
  </si>
  <si>
    <t xml:space="preserve"> Wisconsin</t>
  </si>
  <si>
    <t xml:space="preserve"> Sat Feb 03 2018 15:58:48</t>
  </si>
  <si>
    <t xml:space="preserve"> Sat Feb 03 2018 15:59:10</t>
  </si>
  <si>
    <t xml:space="preserve"> @paulkrugman I knew it was a Ponzi when Bitcoin was neither a commodity or a service.</t>
  </si>
  <si>
    <t xml:space="preserve"> PatrickALatta3</t>
  </si>
  <si>
    <t xml:space="preserve"> Sat Feb 03 2018 15:59:19</t>
  </si>
  <si>
    <t xml:space="preserve"> People must stop attributing bitcoin to the millennial generation. Technology knows no age, logic knows no age.</t>
  </si>
  <si>
    <t xml:space="preserve"> coinjunky</t>
  </si>
  <si>
    <t xml:space="preserve"> Here, Now</t>
  </si>
  <si>
    <t xml:space="preserve"> Sat Feb 03 2018 15:59:38</t>
  </si>
  <si>
    <t xml:space="preserve"> @DrunkJuncker Havent backed anyone in the rugby yet. Havent bought or sold Bitcoin.</t>
  </si>
  <si>
    <t xml:space="preserve"> LeightonVW</t>
  </si>
  <si>
    <t xml:space="preserve"> Merthyr Tydfil. Lark Ascending</t>
  </si>
  <si>
    <t xml:space="preserve"> Sat Feb 03 2018 15:59:52</t>
  </si>
  <si>
    <t xml:space="preserve"> i'm getting you a nice box of Bitcoin shaped chocolate for valentines day</t>
  </si>
  <si>
    <t xml:space="preserve"> Zorknogg</t>
  </si>
  <si>
    <t xml:space="preserve"> Madison, WI</t>
  </si>
  <si>
    <t xml:space="preserve"> Sat Feb 03 2018 15:59:57</t>
  </si>
  <si>
    <t xml:space="preserve"> @Andy_Hoffman_CG #EndTheFed and @realDonaldTrump would be greatest President ever.  #bitcoin</t>
  </si>
  <si>
    <t xml:space="preserve"> rbtkhn</t>
  </si>
  <si>
    <t xml:space="preserve"> Sat Feb 03 2018 15:59:58</t>
  </si>
  <si>
    <t xml:space="preserve"> @UKHomeopathyReg Domestos is very cheap to buy.. If you dilute it down there's more money in it than #Bitcoin</t>
  </si>
  <si>
    <t xml:space="preserve"> Larus_Argentus</t>
  </si>
  <si>
    <t xml:space="preserve"> Asteroid of awfulness</t>
  </si>
  <si>
    <t xml:space="preserve"> Sat Feb 03 2018 16:00:00</t>
  </si>
  <si>
    <t xml:space="preserve"> @ #1, Bitcoin with unit price of $9,212.29, market cap of $155,163,171,632 (34.84%), and 24 hr vol. of $8,029,860,000 (31.54%)</t>
  </si>
  <si>
    <t xml:space="preserve"> Sat Feb 03 2018 16:00:01</t>
  </si>
  <si>
    <t xml:space="preserve"> Current BTC Dominance: 34.84% #Bitcoin #Altcoin #Cryptocurrency</t>
  </si>
  <si>
    <t xml:space="preserve"> Average Bitcoin market price is: USD 9,200.46, EUR 7,417.59</t>
  </si>
  <si>
    <t xml:space="preserve"> Sat Feb 03 2018 16:00:02</t>
  </si>
  <si>
    <t xml:space="preserve"> BTC-XZC AskRate: 0.00652686 #Bittrex  #XZC $XZC #ZCoin #altcoin #crypto #bitcoin   FOLLOW for PROFIT</t>
  </si>
  <si>
    <t xml:space="preserve"> The average price of Bitcoin across all exchanges is 9,261.82 USD</t>
  </si>
  <si>
    <t xml:space="preserve"> Bitcoin:$9212.29 Ethereum:$957.606 Bitcoin Cash:$1255.13 Litecoin:$145.142 Ripple:$0.921423 IOTA:$1.93173</t>
  </si>
  <si>
    <t xml:space="preserve"> Sat Feb 03 2018 16:00:07</t>
  </si>
  <si>
    <t xml:space="preserve"> Feb 03, 2018 08:00AM #Bitcoin Price: USD 8788.51 | EUR 7093.98 | JPY 942262.91</t>
  </si>
  <si>
    <t xml:space="preserve"> @NatoshiSto @maxkeiser Just make sure you know what Bitcoin is.</t>
  </si>
  <si>
    <t xml:space="preserve"> simonbettison</t>
  </si>
  <si>
    <t xml:space="preserve"> Sat Feb 03 2018 16:00:13</t>
  </si>
  <si>
    <t xml:space="preserve"> Top 6 BTC/USD Exchange Orderbooks: Resistance til $9500:$20.6M; Support til $8900:$27.0M $BTC $BTCUSD #bitcoin #orderbook #news #markets</t>
  </si>
  <si>
    <t xml:space="preserve"> Sat Feb 03 2018 16:00:14</t>
  </si>
  <si>
    <t xml:space="preserve"> Current price of #Bitcoin is $9208.11</t>
  </si>
  <si>
    <t xml:space="preserve"> dj_alexgold</t>
  </si>
  <si>
    <t xml:space="preserve"> Sat Feb 03 2018 16:00:21</t>
  </si>
  <si>
    <t xml:space="preserve"> Good morning, Friends! #motivation #money #follow #bitcoin #music</t>
  </si>
  <si>
    <t xml:space="preserve"> 2ujocom</t>
  </si>
  <si>
    <t xml:space="preserve"> Sat Feb 03 2018 16:00:31</t>
  </si>
  <si>
    <t xml:space="preserve"> BTC hourly update $9217.72    |    -0.0182% $BTC #BTCUSD #Bitcoin</t>
  </si>
  <si>
    <t xml:space="preserve"> Sat Feb 03 2018 16:00:34</t>
  </si>
  <si>
    <t xml:space="preserve"> Cant decide if everything happening with bitcoin is funny or sad. But Im leaning towards funny.</t>
  </si>
  <si>
    <t xml:space="preserve"> itskristalb</t>
  </si>
  <si>
    <t xml:space="preserve"> Sat Feb 03 2018 16:00:50</t>
  </si>
  <si>
    <t xml:space="preserve"> Current price of Bitcoin is $9208.11 Like if thats good for you and retweet if thats not good for you #bitcoin #btc #bitcoinprice</t>
  </si>
  <si>
    <t xml:space="preserve"> Sat Feb 03 2018 16:00:51</t>
  </si>
  <si>
    <t xml:space="preserve"> In Cryptocurrencies - Bitcoin has more market value than `Netflix and 21st Century Fox` COMBINED!</t>
  </si>
  <si>
    <t xml:space="preserve"> damo_baker1</t>
  </si>
  <si>
    <t xml:space="preserve"> Sat Feb 03 2018 16:01:09</t>
  </si>
  <si>
    <t xml:space="preserve"> Rockefellers vow to destroy Bitcoin and Alts! The govt works for us, not vice versa. It has all gotten so misconstrued.</t>
  </si>
  <si>
    <t xml:space="preserve"> Kenneth91145089</t>
  </si>
  <si>
    <t xml:space="preserve"> Sat Feb 03 2018 16:01:14</t>
  </si>
  <si>
    <t xml:space="preserve"> Current price of Bitcoin is $9208.11 #btc #bitcoin #cryptocurrency #cryptocurrencynews #crypto #cryptonews</t>
  </si>
  <si>
    <t xml:space="preserve"> jellyjame</t>
  </si>
  <si>
    <t xml:space="preserve"> Sat Feb 03 2018 16:01:15</t>
  </si>
  <si>
    <t xml:space="preserve"> It seems like the Bitcoin Bubble has crashed even before we all expected.</t>
  </si>
  <si>
    <t xml:space="preserve"> danilospin</t>
  </si>
  <si>
    <t xml:space="preserve"> Maastricht, The Netherlands</t>
  </si>
  <si>
    <t xml:space="preserve"> Sat Feb 03 2018 16:01:32</t>
  </si>
  <si>
    <t xml:space="preserve"> @TheBlazeKeith Im the guy who sold my bitcoin at $19,000.</t>
  </si>
  <si>
    <t xml:space="preserve"> JustinSowles</t>
  </si>
  <si>
    <t xml:space="preserve"> Sat Feb 03 2018 16:01:33</t>
  </si>
  <si>
    <t xml:space="preserve"> I still dont know what the hell bitcoin is</t>
  </si>
  <si>
    <t xml:space="preserve"> theivywright</t>
  </si>
  <si>
    <t xml:space="preserve"> In bed</t>
  </si>
  <si>
    <t xml:space="preserve"> Sat Feb 03 2018 16:01:37</t>
  </si>
  <si>
    <t xml:space="preserve"> Current price of Bitcoin is $9208.11 via Chain</t>
  </si>
  <si>
    <t xml:space="preserve"> PeopleEngineer</t>
  </si>
  <si>
    <t xml:space="preserve"> @LeightonVW id recommend ireland and bitcoin at around 8k with a 40k target</t>
  </si>
  <si>
    <t xml:space="preserve"> Sat Feb 03 2018 16:01:43</t>
  </si>
  <si>
    <t xml:space="preserve"> Blockchain, Bitcoin, cryptocurrency and all the things we think we know, but are probably faking #Bitcoinmovement</t>
  </si>
  <si>
    <t xml:space="preserve"> Sat Feb 03 2018 16:01:45</t>
  </si>
  <si>
    <t xml:space="preserve"> @cryptolandz @followscryptos @Nouriel @MichaelKitces Please buy more bitcoin.</t>
  </si>
  <si>
    <t xml:space="preserve"> NoFuncDemo</t>
  </si>
  <si>
    <t xml:space="preserve"> Pennsylvania</t>
  </si>
  <si>
    <t xml:space="preserve"> Sat Feb 03 2018 16:02:20</t>
  </si>
  <si>
    <t xml:space="preserve"> fabeeoo</t>
  </si>
  <si>
    <t xml:space="preserve"> madrid - chicago</t>
  </si>
  <si>
    <t xml:space="preserve"> Sat Feb 03 2018 16:02:41</t>
  </si>
  <si>
    <t xml:space="preserve"> @steve_hanke Just like this #Bitcoin dump is a much anticipated market correction. Funny how that works both ways...</t>
  </si>
  <si>
    <t xml:space="preserve"> nstreit408</t>
  </si>
  <si>
    <t xml:space="preserve"> Sat Feb 03 2018 16:02:46</t>
  </si>
  <si>
    <t xml:space="preserve"> will write yelp reviews for bitcoin</t>
  </si>
  <si>
    <t xml:space="preserve"> buddhatree</t>
  </si>
  <si>
    <t xml:space="preserve"> Pasadena, CA</t>
  </si>
  <si>
    <t xml:space="preserve"> Sat Feb 03 2018 16:02:47</t>
  </si>
  <si>
    <t xml:space="preserve"> @crypto_b0ne @steve_hanke Bitcoin is another ponzi scheme</t>
  </si>
  <si>
    <t xml:space="preserve"> thorn_twit</t>
  </si>
  <si>
    <t xml:space="preserve"> Sat Feb 03 2018 16:03:00</t>
  </si>
  <si>
    <t xml:space="preserve"> @PhilakoneCrypto I'm waiting for the bitcoin dip and going all in to Eos</t>
  </si>
  <si>
    <t xml:space="preserve"> MuazCoin</t>
  </si>
  <si>
    <t xml:space="preserve"> Sat Feb 03 2018 16:03:10</t>
  </si>
  <si>
    <t xml:space="preserve"> @GVS_News @MoeedNj # THIS IS A FRAUDSTERS GAME TO INTRODUCE THE BITCOIN.</t>
  </si>
  <si>
    <t xml:space="preserve"> msiddique067</t>
  </si>
  <si>
    <t xml:space="preserve"> Sat Feb 03 2018 16:03:12</t>
  </si>
  <si>
    <t xml:space="preserve"> Current price of Bitcoin is $9208.11.</t>
  </si>
  <si>
    <t xml:space="preserve"> Sat Feb 03 2018 16:03:16</t>
  </si>
  <si>
    <t xml:space="preserve"> Current price of Bitcoin is $9208.11</t>
  </si>
  <si>
    <t xml:space="preserve"> Sat Feb 03 2018 16:03:23</t>
  </si>
  <si>
    <t xml:space="preserve"> Sat Feb 03 2018 16:04:05</t>
  </si>
  <si>
    <t xml:space="preserve"> Bitcoin 9208.11 $</t>
  </si>
  <si>
    <t xml:space="preserve"> Sat Feb 03 2018 16:04:14</t>
  </si>
  <si>
    <t xml:space="preserve"> Sat Feb 03 2018 16:04:15</t>
  </si>
  <si>
    <t xml:space="preserve"> Current price of Bitcoin is $9208.11 #bitcoin #btc #btcusd</t>
  </si>
  <si>
    <t xml:space="preserve"> axymak</t>
  </si>
  <si>
    <t xml:space="preserve"> Rajkot</t>
  </si>
  <si>
    <t xml:space="preserve"> Sat Feb 03 2018 16:04:16</t>
  </si>
  <si>
    <t xml:space="preserve"> @hugorug For only 3 bitcoin you can own your very own moon condo! 1/6th the gravity, 1/6th the price!</t>
  </si>
  <si>
    <t xml:space="preserve"> LenKendall</t>
  </si>
  <si>
    <t xml:space="preserve"> Silver Lake, Los Angeles</t>
  </si>
  <si>
    <t xml:space="preserve"> Sat Feb 03 2018 16:04:18</t>
  </si>
  <si>
    <t xml:space="preserve"> New word for economics:  Cryptofreude, n. The pleasure derived from watching Bitcoin deflate. (Invented by Krugman, I think).</t>
  </si>
  <si>
    <t xml:space="preserve"> RalphMus</t>
  </si>
  <si>
    <t xml:space="preserve"> Durham, UK.</t>
  </si>
  <si>
    <t xml:space="preserve"> TeCLaro</t>
  </si>
  <si>
    <t xml:space="preserve"> Chile</t>
  </si>
  <si>
    <t xml:space="preserve"> Sat Feb 03 2018 16:04:24</t>
  </si>
  <si>
    <t xml:space="preserve"> Well 40% we're completely wrong and 7% were right. #bitcoin poll</t>
  </si>
  <si>
    <t xml:space="preserve"> UKCryptos</t>
  </si>
  <si>
    <t xml:space="preserve"> England, United Kingdom</t>
  </si>
  <si>
    <t xml:space="preserve"> Sat Feb 03 2018 16:04:28</t>
  </si>
  <si>
    <t xml:space="preserve"> Yo memo so inflated that even bitcoin shorted it.   #YoMemoJokes #YoMemoJoke</t>
  </si>
  <si>
    <t xml:space="preserve"> The3_Million</t>
  </si>
  <si>
    <t xml:space="preserve"> Sat Feb 03 2018 16:04:47</t>
  </si>
  <si>
    <t xml:space="preserve"> I really wish CNBC would record a segment on how to scalp bitcoin using 5-15m sticks right now.</t>
  </si>
  <si>
    <t xml:space="preserve"> CryptoM173</t>
  </si>
  <si>
    <t xml:space="preserve"> Sat Feb 03 2018 16:05:13</t>
  </si>
  <si>
    <t xml:space="preserve"> Buying Bitcoin to lift retirement funds is not very good advice.  #haikuchallenge (lift)</t>
  </si>
  <si>
    <t xml:space="preserve"> thompson865</t>
  </si>
  <si>
    <t xml:space="preserve"> Arizona</t>
  </si>
  <si>
    <t xml:space="preserve"> Sat Feb 03 2018 16:05:17</t>
  </si>
  <si>
    <t xml:space="preserve"> yall didnt even know what a portfolio was before bitcoin lol</t>
  </si>
  <si>
    <t xml:space="preserve"> GODDAMNCHAN</t>
  </si>
  <si>
    <t xml:space="preserve"> L.A.</t>
  </si>
  <si>
    <t xml:space="preserve"> Sat Feb 03 2018 16:05:18</t>
  </si>
  <si>
    <t xml:space="preserve"> Current price of Bitcoin is $9208.11 #btc #BTCUSD</t>
  </si>
  <si>
    <t xml:space="preserve"> Sat Feb 03 2018 16:05:27</t>
  </si>
  <si>
    <t xml:space="preserve"> @maxkeiser Does it matter ? the thing is useless. #bitcoin #FeesMustFall .</t>
  </si>
  <si>
    <t xml:space="preserve"> fortruthandall</t>
  </si>
  <si>
    <t xml:space="preserve"> Sat Feb 03 2018 16:05:55</t>
  </si>
  <si>
    <t xml:space="preserve"> If Bitcoin skyrocketed that fast, then surely the value of it can plummet just as quickly if not faster.</t>
  </si>
  <si>
    <t xml:space="preserve"> papablackrose</t>
  </si>
  <si>
    <t xml:space="preserve"> Sat Feb 03 2018 16:06:14</t>
  </si>
  <si>
    <t xml:space="preserve"> @genelewisperry Bitcoin mining. Couldnt happen to a nicer blog </t>
  </si>
  <si>
    <t xml:space="preserve"> mrsozric</t>
  </si>
  <si>
    <t xml:space="preserve"> Ada, OK</t>
  </si>
  <si>
    <t xml:space="preserve"> Sat Feb 03 2018 16:06:19</t>
  </si>
  <si>
    <t xml:space="preserve"> ideally we want bitcoin to go up slowly and give enough time for us to make bank off alts</t>
  </si>
  <si>
    <t xml:space="preserve"> YoloniexNet</t>
  </si>
  <si>
    <t xml:space="preserve"> Sat Feb 03 2018 16:06:25</t>
  </si>
  <si>
    <t xml:space="preserve"> Newsflash: Bitcoin Price Gains Boost Nvidia GPU Sales</t>
  </si>
  <si>
    <t xml:space="preserve"> Sat Feb 03 2018 16:06:26</t>
  </si>
  <si>
    <t xml:space="preserve"> @HalongMining Ummm... please dont use Goku for Siacoin, hes reserved for Bitcoin, mmmkay?</t>
  </si>
  <si>
    <t xml:space="preserve"> SGBarbour</t>
  </si>
  <si>
    <t xml:space="preserve"> Lloydminster, Alberta</t>
  </si>
  <si>
    <t xml:space="preserve"> Sat Feb 03 2018 16:06:40</t>
  </si>
  <si>
    <t xml:space="preserve"> @AeromaticTV @ShyroTwt true bitcoin ruined it</t>
  </si>
  <si>
    <t xml:space="preserve"> Carbonzitt</t>
  </si>
  <si>
    <t xml:space="preserve"> Tokyo-to, Japan</t>
  </si>
  <si>
    <t xml:space="preserve"> Sat Feb 03 2018 16:06:43</t>
  </si>
  <si>
    <t xml:space="preserve"> Finance has been an industry void of innovation for a long time. Time to let us into the game.  #fintech #crypto #bitcoin</t>
  </si>
  <si>
    <t xml:space="preserve"> yunodowastaken</t>
  </si>
  <si>
    <t xml:space="preserve"> Sat Feb 03 2018 16:06:49</t>
  </si>
  <si>
    <t xml:space="preserve"> What do people think about bitcoin these days? Will it make a comeback?!</t>
  </si>
  <si>
    <t xml:space="preserve"> ILLPHIL85</t>
  </si>
  <si>
    <t xml:space="preserve"> Sat Feb 03 2018 16:07:00</t>
  </si>
  <si>
    <t xml:space="preserve"> @RiconaOfficial Bitcoin</t>
  </si>
  <si>
    <t xml:space="preserve"> Adnaner368</t>
  </si>
  <si>
    <t xml:space="preserve"> Sat Feb 03 2018 16:07:06</t>
  </si>
  <si>
    <t xml:space="preserve"> @pirikam Bitcoin is owned by Blockstream. Blockstream is a for profit organization. BTC is not truly decentralize anymore.</t>
  </si>
  <si>
    <t xml:space="preserve"> ETHtrenpreneur</t>
  </si>
  <si>
    <t xml:space="preserve"> Sat Feb 03 2018 16:07:09</t>
  </si>
  <si>
    <t xml:space="preserve"> I wish Bitcoin luck if it turns into are main currency over the weak dollar!!!</t>
  </si>
  <si>
    <t xml:space="preserve"> ScottScott1011</t>
  </si>
  <si>
    <t xml:space="preserve"> Port St Lucie, FL</t>
  </si>
  <si>
    <t xml:space="preserve"> Sat Feb 03 2018 16:07:11</t>
  </si>
  <si>
    <t xml:space="preserve"> @Egon_01 @Bitcoin Might want to do more tx's per second than doge before you start dreaming of 7 million.</t>
  </si>
  <si>
    <t xml:space="preserve"> BitcoinDynamics</t>
  </si>
  <si>
    <t xml:space="preserve"> Sat Feb 03 2018 16:07:26</t>
  </si>
  <si>
    <t xml:space="preserve"> @bitcoinprivate @CoinomiWallet Buy now @NewYorkCoinNYC currently $0.00013 grab &amp; #hodl  20xs faster than #bitcoin !!!</t>
  </si>
  <si>
    <t xml:space="preserve"> Dre_Jordan609</t>
  </si>
  <si>
    <t xml:space="preserve"> WORLD WIDE </t>
  </si>
  <si>
    <t xml:space="preserve"> Sat Feb 03 2018 16:07:45</t>
  </si>
  <si>
    <t xml:space="preserve"> Bitcoin price slowly going up! And Im all in   #bitcoin #cryptocurrency</t>
  </si>
  <si>
    <t xml:space="preserve"> Gaurav_Yeokar</t>
  </si>
  <si>
    <t xml:space="preserve"> Sat Feb 03 2018 16:07:56</t>
  </si>
  <si>
    <t xml:space="preserve"> @c6sham Why would you use 1 week chart for bitcoin? It's way to volatile.</t>
  </si>
  <si>
    <t xml:space="preserve"> Snuskulrik</t>
  </si>
  <si>
    <t xml:space="preserve"> Sverige</t>
  </si>
  <si>
    <t xml:space="preserve"> Sat Feb 03 2018 16:08:13</t>
  </si>
  <si>
    <t xml:space="preserve"> the #bitcoin bulls be fightin', but the bears are takin' it back.  time for some sunshine.  TTYL  $btc</t>
  </si>
  <si>
    <t xml:space="preserve"> CryptoMcFuckBoy</t>
  </si>
  <si>
    <t xml:space="preserve"> Sat Feb 03 2018 16:09:02</t>
  </si>
  <si>
    <t xml:space="preserve"> 2619 #altcoin #trading #bitcoin 05:51:02 what is the result of forty years underground!</t>
  </si>
  <si>
    <t xml:space="preserve"> Sat Feb 03 2018 16:09:09</t>
  </si>
  <si>
    <t xml:space="preserve"> @CryptoCoinsNews Wow very fancy! In #Bitcoin we do not need these. We have @ToneVays 's Random Number Generator. Way more robust!</t>
  </si>
  <si>
    <t xml:space="preserve"> justawordaway</t>
  </si>
  <si>
    <t xml:space="preserve"> Sat Feb 03 2018 16:09:28</t>
  </si>
  <si>
    <t xml:space="preserve"> I ll forget about bitcoin and generally speaking cryptos...1k to 20k back to 10k ...now 9k Never know when to enjoy earnings</t>
  </si>
  <si>
    <t xml:space="preserve"> IanStel</t>
  </si>
  <si>
    <t xml:space="preserve"> Sat Feb 03 2018 16:09:35</t>
  </si>
  <si>
    <t xml:space="preserve"> SUMMER SALE NOWON Selling TCC account For sale:10bit If you are interested Please contact or DM me #bitcoin #bitregion #Ethereum #DM</t>
  </si>
  <si>
    <t xml:space="preserve"> Sat Feb 03 2018 16:09:38</t>
  </si>
  <si>
    <t xml:space="preserve"> @mikerelentless Is this a parody account? Bcash was literally created out of greed,  and anger towards bitcoin lol.</t>
  </si>
  <si>
    <t xml:space="preserve"> crypto_david_</t>
  </si>
  <si>
    <t xml:space="preserve"> Sat Feb 03 2018 16:09:39</t>
  </si>
  <si>
    <t xml:space="preserve"> Join with a project that will go to Moon. Invest now! Find out details @Genie_ICO #ICO #Bitcoin #GenieICO @Genie_ICO</t>
  </si>
  <si>
    <t xml:space="preserve"> kushan294</t>
  </si>
  <si>
    <t xml:space="preserve"> 0xB29CCacC80688B66CC6051Acbb5B</t>
  </si>
  <si>
    <t xml:space="preserve"> Sat Feb 03 2018 16:09:44</t>
  </si>
  <si>
    <t xml:space="preserve"> Now that all the hype ya died down I gotta say it. Bitcoin is the veganism of the financial world.</t>
  </si>
  <si>
    <t xml:space="preserve"> ThedirtyD15</t>
  </si>
  <si>
    <t xml:space="preserve"> Edgewood, New Mexico</t>
  </si>
  <si>
    <t xml:space="preserve"> Sat Feb 03 2018 16:09:49</t>
  </si>
  <si>
    <t xml:space="preserve"> @Egon_01 @Bitcoin And just a reminder, Dogecoin was started as a literal joke.</t>
  </si>
  <si>
    <t xml:space="preserve"> Sat Feb 03 2018 16:10:02</t>
  </si>
  <si>
    <t xml:space="preserve"> @cryptocurguru Follow @Hashtags_Trends for the latest news &amp; #trading trends about #bitcoin &amp; #crypto world.</t>
  </si>
  <si>
    <t xml:space="preserve"> Sat Feb 03 2018 16:10:04</t>
  </si>
  <si>
    <t xml:space="preserve"> The last time i checked, #bitcoin is climbing up..</t>
  </si>
  <si>
    <t xml:space="preserve"> beaung</t>
  </si>
  <si>
    <t xml:space="preserve"> Singapore based Pinoy</t>
  </si>
  <si>
    <t xml:space="preserve"> Bitcoin BTC Current Price: $9212.29 1 Hour: -1.57 % | 24 Hours: 4.12 % | 7 Days: -18.67 % #btc #bitcoin</t>
  </si>
  <si>
    <t xml:space="preserve"> Sat Feb 03 2018 16:10:12</t>
  </si>
  <si>
    <t xml:space="preserve"> Sat Feb 03 2018 16:10:15</t>
  </si>
  <si>
    <t xml:space="preserve"> @PeterFrant12 Follow @Hashtags_Trends for the latest news &amp; #trading trends about #bitcoin &amp; #crypto world.</t>
  </si>
  <si>
    <t xml:space="preserve"> Sat Feb 03 2018 16:10:16</t>
  </si>
  <si>
    <t xml:space="preserve"> @AnonymTipster (11281 follows) RT @alistairmilne: Thanks to @jratcliff we have another great chart showing the adoption of Bitcoin in i...</t>
  </si>
  <si>
    <t xml:space="preserve"> Sat Feb 03 2018 16:10:24</t>
  </si>
  <si>
    <t xml:space="preserve"> Now that all they hype has died down, I gotta say it. Bitcoin is the veganism of the financial world.</t>
  </si>
  <si>
    <t xml:space="preserve"> Sat Feb 03 2018 16:10:32</t>
  </si>
  <si>
    <t xml:space="preserve"> Invested in bitcoin and made 3 cents over night  #makemoneyinmysleep</t>
  </si>
  <si>
    <t xml:space="preserve"> Reeveelee</t>
  </si>
  <si>
    <t xml:space="preserve"> Sat Feb 03 2018 16:10:46</t>
  </si>
  <si>
    <t xml:space="preserve"> And the people who bought Bitcoin for like $30 back in the day are STILL eating. Just the newcomers are taking a huuuuuge L rn</t>
  </si>
  <si>
    <t xml:space="preserve"> Since the stock market and bitcoin just crashed... wish I had more money because it is buying season.</t>
  </si>
  <si>
    <t xml:space="preserve"> michaelsienicki</t>
  </si>
  <si>
    <t xml:space="preserve"> Sat Feb 03 2018 16:10:55</t>
  </si>
  <si>
    <t xml:space="preserve"> @c3saro Bitcoin ponele!</t>
  </si>
  <si>
    <t xml:space="preserve"> DSagardoy</t>
  </si>
  <si>
    <t xml:space="preserve"> Vedia - Argentina</t>
  </si>
  <si>
    <t xml:space="preserve"> Sat Feb 03 2018 16:11:03</t>
  </si>
  <si>
    <t xml:space="preserve"> #Bitcoin Latest Bitcoin Price: $9141.2 USD for 1 BTC #GoldCoinJar</t>
  </si>
  <si>
    <t xml:space="preserve"> Sat Feb 03 2018 16:11:19</t>
  </si>
  <si>
    <t xml:space="preserve"> I wish youtube would stop trying to advertise me bloody bitcoin, I don't care and wish it never got as big as it did.</t>
  </si>
  <si>
    <t xml:space="preserve"> KhKafe</t>
  </si>
  <si>
    <t xml:space="preserve"> Sat Feb 03 2018 16:11:25</t>
  </si>
  <si>
    <t xml:space="preserve"> Bitcoins future implications on the World are not stranger than you imagine, theyre stranger than you can imagine.</t>
  </si>
  <si>
    <t xml:space="preserve"> cryptolandz</t>
  </si>
  <si>
    <t xml:space="preserve"> Sat Feb 03 2018 16:11:51</t>
  </si>
  <si>
    <t xml:space="preserve"> @pirikam ETH price will always go up. POS once used. Every ETH use will be gone forever. Bitcoin will always be 21million forever. ETH no.</t>
  </si>
  <si>
    <t xml:space="preserve"> Sat Feb 03 2018 16:11:59</t>
  </si>
  <si>
    <t xml:space="preserve"> id give you a wrestling shirt to pay off 0.00183037% of your bitcoin debt but i dont think you deserve it</t>
  </si>
  <si>
    <t xml:space="preserve"> onlinewweman</t>
  </si>
  <si>
    <t xml:space="preserve"> wwf</t>
  </si>
  <si>
    <t xml:space="preserve"> Sat Feb 03 2018 16:12:11</t>
  </si>
  <si>
    <t xml:space="preserve"> Bitcoin ban expands across credit cards - Taipei Times</t>
  </si>
  <si>
    <t xml:space="preserve"> zxyfinancial</t>
  </si>
  <si>
    <t xml:space="preserve"> Sat Feb 03 2018 16:12:51</t>
  </si>
  <si>
    <t xml:space="preserve"> Ohh jeez,  just saw an ad for bitcoin ira.  I don't even know what to say....</t>
  </si>
  <si>
    <t xml:space="preserve"> Speeders258</t>
  </si>
  <si>
    <t xml:space="preserve"> Sat Feb 03 2018 16:12:52</t>
  </si>
  <si>
    <t xml:space="preserve"> BUY LOW... SELL HIGH!! Bitcoin $25-30K Still in Play 2018</t>
  </si>
  <si>
    <t xml:space="preserve"> amtvmedia</t>
  </si>
  <si>
    <t xml:space="preserve"> Arizona, USA</t>
  </si>
  <si>
    <t xml:space="preserve"> Sat Feb 03 2018 16:13:26</t>
  </si>
  <si>
    <t xml:space="preserve"> @rockerest Because I didnt click on your page for any bitcoin related reason </t>
  </si>
  <si>
    <t xml:space="preserve"> Sean_s33nyboy</t>
  </si>
  <si>
    <t xml:space="preserve"> Sat Feb 03 2018 16:13:47</t>
  </si>
  <si>
    <t xml:space="preserve"> Bitcoin, we got a problem</t>
  </si>
  <si>
    <t xml:space="preserve"> MoMoneyCrypto</t>
  </si>
  <si>
    <t xml:space="preserve"> Sat Feb 03 2018 16:14:00</t>
  </si>
  <si>
    <t xml:space="preserve"> CryptoCompare Bitcoin price changed -1.13% to $9137.18 #bitcoin</t>
  </si>
  <si>
    <t xml:space="preserve"> Sat Feb 03 2018 16:14:05</t>
  </si>
  <si>
    <t xml:space="preserve"> is today the day i finally read an explainer about bitcoin? stay tuned</t>
  </si>
  <si>
    <t xml:space="preserve"> miaraemcdonald</t>
  </si>
  <si>
    <t xml:space="preserve"> Sat Feb 03 2018 16:14:10</t>
  </si>
  <si>
    <t xml:space="preserve"> @MrHodl Dragonmint Bitcoin miners or this other nonsense miner?</t>
  </si>
  <si>
    <t xml:space="preserve"> Sat Feb 03 2018 16:14:14</t>
  </si>
  <si>
    <t xml:space="preserve"> @kylee_ca can I pay in bitcoin?</t>
  </si>
  <si>
    <t xml:space="preserve"> MOTE_Games</t>
  </si>
  <si>
    <t xml:space="preserve"> Sat Feb 03 2018 16:14:19</t>
  </si>
  <si>
    <t xml:space="preserve"> Yo memo so stupid, it bought Bitcoin. #YoMemoJokes</t>
  </si>
  <si>
    <t xml:space="preserve"> modernangelo</t>
  </si>
  <si>
    <t xml:space="preserve"> Nebraska, USA</t>
  </si>
  <si>
    <t xml:space="preserve"> Sat Feb 03 2018 16:14:25</t>
  </si>
  <si>
    <t xml:space="preserve"> @_jillruth Where's the buy bitcoin guy</t>
  </si>
  <si>
    <t xml:space="preserve"> zx_909a</t>
  </si>
  <si>
    <t xml:space="preserve"> Sat Feb 03 2018 16:14:28</t>
  </si>
  <si>
    <t xml:space="preserve"> I don't know what bitcoin actually is, please nobody explain it to me ever, I'm dead serious.</t>
  </si>
  <si>
    <t xml:space="preserve"> IT_allthetime</t>
  </si>
  <si>
    <t xml:space="preserve"> Sat Feb 03 2018 16:14:33</t>
  </si>
  <si>
    <t xml:space="preserve"> #Bitcoin The Current Bitcoin Price is 0.00010975 BTC for $1 USD #GoldCoinJar</t>
  </si>
  <si>
    <t xml:space="preserve"> Sat Feb 03 2018 16:14:44</t>
  </si>
  <si>
    <t xml:space="preserve"> what the hell is bitcoin</t>
  </si>
  <si>
    <t xml:space="preserve"> sindarin210</t>
  </si>
  <si>
    <t xml:space="preserve"> Cambridge, England</t>
  </si>
  <si>
    <t xml:space="preserve"> Looks like we may see $btc 8k again #bitcoin</t>
  </si>
  <si>
    <t xml:space="preserve"> izreelySchenks</t>
  </si>
  <si>
    <t xml:space="preserve"> NY</t>
  </si>
  <si>
    <t xml:space="preserve"> Sat Feb 03 2018 16:15:01</t>
  </si>
  <si>
    <t xml:space="preserve"> The current price of Bitcoin is $9177.25. The current price of BCash is $1243.62, or 0.134341 BTC</t>
  </si>
  <si>
    <t xml:space="preserve"> Sat Feb 03 2018 16:15:07</t>
  </si>
  <si>
    <t xml:space="preserve"> @sindarin210 Bitcoin is more than digital money and a payment network. It's an entirely new innovation</t>
  </si>
  <si>
    <t xml:space="preserve"> Sat Feb 03 2018 16:15:14</t>
  </si>
  <si>
    <t xml:space="preserve"> @acrual A basic instinct: attack what you don't understand. They will be surprised to know Bitcoin may save their crumbling business.</t>
  </si>
  <si>
    <t xml:space="preserve"> jaimenm</t>
  </si>
  <si>
    <t xml:space="preserve"> Comunidad de Madrid, Espaa</t>
  </si>
  <si>
    <t xml:space="preserve"> Sat Feb 03 2018 16:15:20</t>
  </si>
  <si>
    <t xml:space="preserve"> @RapperViper im so rich i bought the moon - bitcoin hodler that got in at 19k</t>
  </si>
  <si>
    <t xml:space="preserve"> qwertyoruiopz</t>
  </si>
  <si>
    <t xml:space="preserve"> pyongyang</t>
  </si>
  <si>
    <t xml:space="preserve"> Sat Feb 03 2018 16:15:22</t>
  </si>
  <si>
    <t xml:space="preserve"> @CNBCFastMoney @BKBrianKelly That #bitcoin chart looked a lot like the NASDAQ circa 2000</t>
  </si>
  <si>
    <t xml:space="preserve"> scander2</t>
  </si>
  <si>
    <t xml:space="preserve"> Fargo, ND</t>
  </si>
  <si>
    <t xml:space="preserve"> Sat Feb 03 2018 16:15:46</t>
  </si>
  <si>
    <t xml:space="preserve"> @PeterLBrandt Bitcoin isnt the bubble, its the pin.</t>
  </si>
  <si>
    <t xml:space="preserve"> rafaelnoguerol</t>
  </si>
  <si>
    <t xml:space="preserve"> Blumenau, Brasil</t>
  </si>
  <si>
    <t xml:space="preserve"> Sat Feb 03 2018 16:16:25</t>
  </si>
  <si>
    <t xml:space="preserve"> @GreatPortfolio Bitcoin will go up.</t>
  </si>
  <si>
    <t xml:space="preserve"> Keet11</t>
  </si>
  <si>
    <t xml:space="preserve"> Belgi</t>
  </si>
  <si>
    <t xml:space="preserve"> Sat Feb 03 2018 16:16:30</t>
  </si>
  <si>
    <t xml:space="preserve"> Tight game to start but we run into half 7-3 vs crosstown rivals @vcu_villains #OurPerfectWedding #bitcoin #Limelight @BTCTN</t>
  </si>
  <si>
    <t xml:space="preserve"> URspidermonkeys</t>
  </si>
  <si>
    <t xml:space="preserve"> Sat Feb 03 2018 16:16:32</t>
  </si>
  <si>
    <t xml:space="preserve"> @PeterLBrandt Bitcoin isnt the bubble, its the pin. - @carsanchez19991 @PedroCerize</t>
  </si>
  <si>
    <t xml:space="preserve"> Sat Feb 03 2018 16:16:44</t>
  </si>
  <si>
    <t xml:space="preserve"> @PatWielandLIVE At this point every good comment about #crypto #DigiByte #bitcoin should be followed up with knock on wood IMO</t>
  </si>
  <si>
    <t xml:space="preserve"> stacy0510</t>
  </si>
  <si>
    <t xml:space="preserve"> Sat Feb 03 2018 16:17:04</t>
  </si>
  <si>
    <t xml:space="preserve"> Bitcoin Cash BCH Current Price: $1243.62 1 Hour: -2.03 % | 24 Hours: 4.37 % | 7 Days: -23.41 % #bch #bitcoin cash</t>
  </si>
  <si>
    <t xml:space="preserve"> Sat Feb 03 2018 16:18:07</t>
  </si>
  <si>
    <t xml:space="preserve"> I think Bitcoin is following the physics. When an object goes up In the air fall down. #Bitcoin</t>
  </si>
  <si>
    <t xml:space="preserve"> panchajanya99</t>
  </si>
  <si>
    <t xml:space="preserve"> Eluru</t>
  </si>
  <si>
    <t xml:space="preserve"> Sat Feb 03 2018 16:18:09</t>
  </si>
  <si>
    <t xml:space="preserve"> @jchristopherinc @amuse My hunch too. Remember @jchristopherinc??? 'Bitcoin might be weaponized'.</t>
  </si>
  <si>
    <t xml:space="preserve"> ansankarganesh</t>
  </si>
  <si>
    <t xml:space="preserve"> Chennai, Tamil Nadu</t>
  </si>
  <si>
    <t xml:space="preserve"> Sat Feb 03 2018 16:18:15</t>
  </si>
  <si>
    <t xml:space="preserve"> morning  bitcoin investor :</t>
  </si>
  <si>
    <t xml:space="preserve"> handwew</t>
  </si>
  <si>
    <t xml:space="preserve"> @handrew youre mom gay</t>
  </si>
  <si>
    <t xml:space="preserve"> Sat Feb 03 2018 16:18:18</t>
  </si>
  <si>
    <t xml:space="preserve"> DYING FOR SATOSHI'S BITCOIN PROFITS</t>
  </si>
  <si>
    <t xml:space="preserve"> anildasharez0ne</t>
  </si>
  <si>
    <t xml:space="preserve"> The East Bay</t>
  </si>
  <si>
    <t xml:space="preserve"> Sat Feb 03 2018 16:19:19</t>
  </si>
  <si>
    <t xml:space="preserve"> @corydays Invest in Bitcoin then</t>
  </si>
  <si>
    <t xml:space="preserve"> MLGjakeg</t>
  </si>
  <si>
    <t xml:space="preserve"> Drexel Hill, PA</t>
  </si>
  <si>
    <t xml:space="preserve"> Sat Feb 03 2018 16:19:49</t>
  </si>
  <si>
    <t xml:space="preserve"> #Cardano $ada could reasonably end the day settled at $0.53 per coin.  #cryptotrading #cryptocurrencies #Bitcoin</t>
  </si>
  <si>
    <t xml:space="preserve"> Thomas_Pepperz</t>
  </si>
  <si>
    <t xml:space="preserve"> Sat Feb 03 2018 16:20:03</t>
  </si>
  <si>
    <t xml:space="preserve"> @TheEliteMartial Y u think that? #bitcoin @Bitcoin</t>
  </si>
  <si>
    <t xml:space="preserve"> yahya_official2</t>
  </si>
  <si>
    <t xml:space="preserve"> Sat Feb 03 2018 16:20:21</t>
  </si>
  <si>
    <t xml:space="preserve"> Slept for 15 hrs.. who am I, what year is this and what is a bitcoin</t>
  </si>
  <si>
    <t xml:space="preserve"> Kailee_sheaa</t>
  </si>
  <si>
    <t xml:space="preserve"> Phoenix, AZ</t>
  </si>
  <si>
    <t xml:space="preserve"> Sat Feb 03 2018 16:20:41</t>
  </si>
  <si>
    <t xml:space="preserve"> Bitcoin looks bubblier than a bubble bath.what's the deal!#bitcoin</t>
  </si>
  <si>
    <t xml:space="preserve"> vaishalisirohia</t>
  </si>
  <si>
    <t xml:space="preserve"> Sat Feb 03 2018 16:21:13</t>
  </si>
  <si>
    <t xml:space="preserve"> Woke up today not covered in blood. Strange.   #bitcoin #cryptocurrency $btc $eth</t>
  </si>
  <si>
    <t xml:space="preserve"> TheCryptoWiz</t>
  </si>
  <si>
    <t xml:space="preserve"> Trade daily bitcoin:</t>
  </si>
  <si>
    <t xml:space="preserve"> Sat Feb 03 2018 16:21:41</t>
  </si>
  <si>
    <t xml:space="preserve"> buy the dips in an uptrend  #btc #bitcoin #cryptocurrency #cryptotrading</t>
  </si>
  <si>
    <t xml:space="preserve"> CryptoArgals</t>
  </si>
  <si>
    <t xml:space="preserve"> Sat Feb 03 2018 16:21:52</t>
  </si>
  <si>
    <t xml:space="preserve"> Youre in the #crypto game since...   #bitcoin #btc #ethereum #eth</t>
  </si>
  <si>
    <t xml:space="preserve"> VictoriaInShape</t>
  </si>
  <si>
    <t xml:space="preserve"> Sat Feb 03 2018 16:21:57</t>
  </si>
  <si>
    <t xml:space="preserve"> @Port_48 @chiefynduom #hodl can never apply to #ETH or USD because both have unlimited money/token supply, unlike #bitcoin</t>
  </si>
  <si>
    <t xml:space="preserve"> Divanov1986</t>
  </si>
  <si>
    <t xml:space="preserve"> Leaving Kazakhstan</t>
  </si>
  <si>
    <t xml:space="preserve"> Sat Feb 03 2018 16:22:09</t>
  </si>
  <si>
    <t xml:space="preserve"> #Bitcoin has edged above $USD 9,100 in what *might* be a recovery. Time will tell. $BTC #Crypto #CloudMining</t>
  </si>
  <si>
    <t xml:space="preserve"> Ledgerous</t>
  </si>
  <si>
    <t xml:space="preserve"> Sat Feb 03 2018 16:22:25</t>
  </si>
  <si>
    <t xml:space="preserve"> Wtf is a bitcoin</t>
  </si>
  <si>
    <t xml:space="preserve"> be4utifool</t>
  </si>
  <si>
    <t xml:space="preserve"> Sat Feb 03 2018 16:22:32</t>
  </si>
  <si>
    <t xml:space="preserve"> Get ready to apologise to @parabolictrav, you non-believing heretics. #bitcoin</t>
  </si>
  <si>
    <t xml:space="preserve"> steviezollo</t>
  </si>
  <si>
    <t xml:space="preserve"> Sat Feb 03 2018 16:22:40</t>
  </si>
  <si>
    <t xml:space="preserve"> Dont let the market ruin your weekend #CryptoCurrency is going to be just fine - #bitcoin</t>
  </si>
  <si>
    <t xml:space="preserve"> ProducerBTW</t>
  </si>
  <si>
    <t xml:space="preserve"> Sat Feb 03 2018 16:22:52</t>
  </si>
  <si>
    <t xml:space="preserve"> Bitcoin Rises 7.5% to $9,211; Litecoin Up 15%</t>
  </si>
  <si>
    <t xml:space="preserve"> russian_market</t>
  </si>
  <si>
    <t xml:space="preserve"> Sat Feb 03 2018 16:22:55</t>
  </si>
  <si>
    <t xml:space="preserve"> @ReformedBroker @StephanieKelton When did u stop pumping bitcoin</t>
  </si>
  <si>
    <t xml:space="preserve"> sonofabeach56</t>
  </si>
  <si>
    <t xml:space="preserve"> Sat Feb 03 2018 16:23:02</t>
  </si>
  <si>
    <t xml:space="preserve"> Ask yourself... did bitcoin hit 8k last night? Was that the predicted floor?</t>
  </si>
  <si>
    <t xml:space="preserve"> CryptoSector</t>
  </si>
  <si>
    <t xml:space="preserve"> Sat Feb 03 2018 16:23:07</t>
  </si>
  <si>
    <t xml:space="preserve"> Tried venmo requesting 20+ people with the caption help or memos burrito hoping to make a few shameless big ones.   Stick with Bitcoin.</t>
  </si>
  <si>
    <t xml:space="preserve"> KatieGilbb</t>
  </si>
  <si>
    <t xml:space="preserve"> Sat Feb 03 2018 16:23:50</t>
  </si>
  <si>
    <t xml:space="preserve"> @LuminousNebulae I'm gonna get my bitcoin I'm gonna get my bitcoin</t>
  </si>
  <si>
    <t xml:space="preserve"> Sat Feb 03 2018 16:23:51</t>
  </si>
  <si>
    <t xml:space="preserve"> Expect,,Bitcoin fall again below $9,000</t>
  </si>
  <si>
    <t xml:space="preserve"> travels007</t>
  </si>
  <si>
    <t xml:space="preserve"> South Florida </t>
  </si>
  <si>
    <t xml:space="preserve"> Sat Feb 03 2018 16:23:57</t>
  </si>
  <si>
    <t xml:space="preserve"> Yeh go ahead buy bitcoin And watch your face get ripped off - silly fish</t>
  </si>
  <si>
    <t xml:space="preserve"> nasirjones007</t>
  </si>
  <si>
    <t xml:space="preserve"> The Moon</t>
  </si>
  <si>
    <t xml:space="preserve"> Sat Feb 03 2018 16:24:08</t>
  </si>
  <si>
    <t xml:space="preserve"> If you are a beginner crypto investor, you should pay attention to this project! #FLOGmall, #Blockchain #Bitcoin #BTC #Ethereum #ETH #ICO</t>
  </si>
  <si>
    <t xml:space="preserve"> sedov_dmitrii</t>
  </si>
  <si>
    <t xml:space="preserve"> Sat Feb 03 2018 16:24:13</t>
  </si>
  <si>
    <t xml:space="preserve"> 1 Bitcoin = 1608,54 </t>
  </si>
  <si>
    <t xml:space="preserve"> fleischskandal</t>
  </si>
  <si>
    <t xml:space="preserve"> Berlin</t>
  </si>
  <si>
    <t xml:space="preserve"> Sat Feb 03 2018 16:24:16</t>
  </si>
  <si>
    <t xml:space="preserve"> To ripple or not (@ under a buck)? That is the question...  #xrp @Altcoinbuzzio #bitcoin</t>
  </si>
  <si>
    <t xml:space="preserve"> Jamesglynch23</t>
  </si>
  <si>
    <t xml:space="preserve"> Sat Feb 03 2018 16:24:21</t>
  </si>
  <si>
    <t xml:space="preserve"> @DaytradeJeffrey Bitcoin is not meant to ever be sold. The second feeling is just an indicator to add to position.</t>
  </si>
  <si>
    <t xml:space="preserve"> dkhesin123</t>
  </si>
  <si>
    <t xml:space="preserve"> Miami, FL, USA</t>
  </si>
  <si>
    <t xml:space="preserve"> Sat Feb 03 2018 16:24:33</t>
  </si>
  <si>
    <t xml:space="preserve"> The average person should pick up bitcoin, to experience the future of money #antonopoulos #bitcoin #bitcoins #freebitcoin</t>
  </si>
  <si>
    <t xml:space="preserve"> Sat Feb 03 2018 16:24:44</t>
  </si>
  <si>
    <t xml:space="preserve"> Bitcoin isnt the bubble, its the pin!</t>
  </si>
  <si>
    <t xml:space="preserve"> cryptotainer</t>
  </si>
  <si>
    <t xml:space="preserve"> Basel, Schweiz</t>
  </si>
  <si>
    <t xml:space="preserve"> Sat Feb 03 2018 16:24:52</t>
  </si>
  <si>
    <t xml:space="preserve"> @LedgerHQ  there is no monitor button on my bitcoin app why is this? As far as i can see the app is up to date</t>
  </si>
  <si>
    <t xml:space="preserve"> Theokiaebony</t>
  </si>
  <si>
    <t xml:space="preserve"> Manchester, England</t>
  </si>
  <si>
    <t xml:space="preserve"> Sat Feb 03 2018 16:24:55</t>
  </si>
  <si>
    <t xml:space="preserve"> @OpenLedgerDC Bitcoin Cash</t>
  </si>
  <si>
    <t xml:space="preserve"> KingDevon11</t>
  </si>
  <si>
    <t xml:space="preserve"> Sat Feb 03 2018 16:25:05</t>
  </si>
  <si>
    <t xml:space="preserve"> bitcoin make we life vivid</t>
  </si>
  <si>
    <t xml:space="preserve"> idoushiki</t>
  </si>
  <si>
    <t xml:space="preserve"> Sat Feb 03 2018 16:25:16</t>
  </si>
  <si>
    <t xml:space="preserve"> @DiaryofaMadeMan When are we going to build a Wakanda? #blankpanther #bitcoin #blockchain</t>
  </si>
  <si>
    <t xml:space="preserve"> richblck</t>
  </si>
  <si>
    <t xml:space="preserve"> Sat Feb 03 2018 16:25:22</t>
  </si>
  <si>
    <t xml:space="preserve"> @MarketWatch Interest rates and stocks will rise in stutter-step this year. Bitcoin? Not so much.</t>
  </si>
  <si>
    <t xml:space="preserve"> WhiskeyPusher</t>
  </si>
  <si>
    <t xml:space="preserve"> NYC</t>
  </si>
  <si>
    <t xml:space="preserve"> Sat Feb 03 2018 16:25:30</t>
  </si>
  <si>
    <t xml:space="preserve"> @rakeshlobster That still doesnt point to massive impact of bitcoin value tanking.</t>
  </si>
  <si>
    <t xml:space="preserve"> Sat Feb 03 2018 16:25:31</t>
  </si>
  <si>
    <t xml:space="preserve"> $BTCUSD Will you sell at $10000 or Not   $BTC #bitcoin $LTC $LTCUSD</t>
  </si>
  <si>
    <t xml:space="preserve"> bilal_nasraoui</t>
  </si>
  <si>
    <t xml:space="preserve"> Sat Feb 03 2018 16:25:40</t>
  </si>
  <si>
    <t xml:space="preserve"> @satoshiokamotob Can you tell us the winner of the other bitcoin give away? So we can congratulate him/her ;)</t>
  </si>
  <si>
    <t xml:space="preserve"> BrandarioBrands</t>
  </si>
  <si>
    <t xml:space="preserve"> Sat Feb 03 2018 16:26:00</t>
  </si>
  <si>
    <t xml:space="preserve"> @XRPTrump @CryptoNavid @coindesk Would be nice to compare this to a map showing where Bitcoin mining is located </t>
  </si>
  <si>
    <t xml:space="preserve"> raphiloudi</t>
  </si>
  <si>
    <t xml:space="preserve"> Sat Feb 03 2018 16:26:34</t>
  </si>
  <si>
    <t xml:space="preserve"> Bitcoin is a joke. Please</t>
  </si>
  <si>
    <t xml:space="preserve"> arielcookiee</t>
  </si>
  <si>
    <t xml:space="preserve"> to </t>
  </si>
  <si>
    <t xml:space="preserve"> Sat Feb 03 2018 16:26:44</t>
  </si>
  <si>
    <t xml:space="preserve"> Bitcoin Rises 7.5% to $9,211</t>
  </si>
  <si>
    <t xml:space="preserve"> Emil_Slazak</t>
  </si>
  <si>
    <t xml:space="preserve"> Warszawa, Polska</t>
  </si>
  <si>
    <t xml:space="preserve"> Sat Feb 03 2018 16:27:23</t>
  </si>
  <si>
    <t xml:space="preserve"> I pity the people who bought bitcoin at the rate of 1bitcoin=$16,000 #bitcoin</t>
  </si>
  <si>
    <t xml:space="preserve"> heshamkeeni</t>
  </si>
  <si>
    <t xml:space="preserve"> Sat Feb 03 2018 16:27:28</t>
  </si>
  <si>
    <t xml:space="preserve"> Cryptocurrency: Litecoin to launch LitePay and rival BitPay in days | City &amp; Business | Finance #Bitcoin #BTC #ETH #LTC #BCH</t>
  </si>
  <si>
    <t xml:space="preserve"> Sat Feb 03 2018 16:28:00</t>
  </si>
  <si>
    <t xml:space="preserve"> CryptoCompare Bitcoin price changed +1.05% to $9232.85 #bitcoin</t>
  </si>
  <si>
    <t xml:space="preserve"> Sat Feb 03 2018 16:28:08</t>
  </si>
  <si>
    <t xml:space="preserve"> Bitcoin's just getting ready to run for that $1 million mark, can't wait. One day</t>
  </si>
  <si>
    <t xml:space="preserve"> roycesmith55</t>
  </si>
  <si>
    <t xml:space="preserve"> Sat Feb 03 2018 16:28:18</t>
  </si>
  <si>
    <t xml:space="preserve"> 462 #Bitcoin mined since last tweet.    It represents $4,211,592 (At $9,116 per $BTC #BTC)   New Supply: 16,843,062   Progress: 80.21 %</t>
  </si>
  <si>
    <t xml:space="preserve"> btcsupply</t>
  </si>
  <si>
    <t xml:space="preserve"> Internet</t>
  </si>
  <si>
    <t xml:space="preserve"> Sat Feb 03 2018 16:28:26</t>
  </si>
  <si>
    <t xml:space="preserve"> @ProfesorCrypto Lets hope so! Maybe they are long because of the bearish momentum Bitcoin havent seen since 2 years.</t>
  </si>
  <si>
    <t xml:space="preserve"> Yorkyor30444439</t>
  </si>
  <si>
    <t xml:space="preserve"> Sat Feb 03 2018 16:28:59</t>
  </si>
  <si>
    <t xml:space="preserve"> Cryptocurrency: #Bitcoin Price USD: 9116.86 Price BTC: 1.0 24h Volume USD: 7773010000.0 Percent change 24h: 2.79</t>
  </si>
  <si>
    <t xml:space="preserve"> Sat Feb 03 2018 16:29:04</t>
  </si>
  <si>
    <t xml:space="preserve"> @Socal_crypto Used to respect him. But how can someone deny a force as undeniable as Bitcoin? Deal breaker.</t>
  </si>
  <si>
    <t xml:space="preserve"> saltykashew</t>
  </si>
  <si>
    <t xml:space="preserve"> Sat Feb 03 2018 16:29:06</t>
  </si>
  <si>
    <t xml:space="preserve"> @vakeraj @PeterSchiff @6ftinthemorning Just switch bitcoin with fiat and that quote is perfect.</t>
  </si>
  <si>
    <t xml:space="preserve"> betc0in</t>
  </si>
  <si>
    <t xml:space="preserve"> Sat Feb 03 2018 16:29:42</t>
  </si>
  <si>
    <t xml:space="preserve"> Anyone wanna give me one whole bitcoin?</t>
  </si>
  <si>
    <t xml:space="preserve"> derpathesherpa</t>
  </si>
  <si>
    <t xml:space="preserve"> Twitter slut, colorado</t>
  </si>
  <si>
    <t xml:space="preserve"> Sat Feb 03 2018 16:29:46</t>
  </si>
  <si>
    <t xml:space="preserve"> @Rich_Downing @paulkrugman Bitcoin is the worst piece of a technology thats just not useful.  Burning money to buy right now</t>
  </si>
  <si>
    <t xml:space="preserve"> MarkusObermeie1</t>
  </si>
  <si>
    <t xml:space="preserve"> Sat Feb 03 2018 16:30:02</t>
  </si>
  <si>
    <t xml:space="preserve"> Bitcoin:$9116.86 Ethereum:$950.085 Bitcoin Cash:$1235.59 Litecoin:$144.862 Ripple:$0.922305 IOTA:$1.93121</t>
  </si>
  <si>
    <t xml:space="preserve"> Sat Feb 03 2018 16:30:03</t>
  </si>
  <si>
    <t xml:space="preserve"> @TenoCoin Can you withdraw bitcoin?</t>
  </si>
  <si>
    <t xml:space="preserve"> popthunder</t>
  </si>
  <si>
    <t xml:space="preserve"> Sat Feb 03 2018 16:30:17</t>
  </si>
  <si>
    <t xml:space="preserve"> Any chance that Mobile Vikings will accept Bitcoin Cash, as a payment option in the near future? @mobilevikingsBE</t>
  </si>
  <si>
    <t xml:space="preserve"> DaisyJJdakota</t>
  </si>
  <si>
    <t xml:space="preserve"> Oudsbergen, Belgium</t>
  </si>
  <si>
    <t xml:space="preserve"> Sat Feb 03 2018 16:30:41</t>
  </si>
  <si>
    <t xml:space="preserve"> @dcouvering @FunnelFiasco Arent bitcoin miners using #AMD mostly? I think youre getting rich from the #AI trend :)</t>
  </si>
  <si>
    <t xml:space="preserve"> rdwrt</t>
  </si>
  <si>
    <t xml:space="preserve"> Sat Feb 03 2018 16:30:44</t>
  </si>
  <si>
    <t xml:space="preserve"> @DBAKevlar You find any bitcoin in there?</t>
  </si>
  <si>
    <t xml:space="preserve"> mmilella</t>
  </si>
  <si>
    <t xml:space="preserve"> Sat Feb 03 2018 16:31:02</t>
  </si>
  <si>
    <t xml:space="preserve"> Is it bad that a 10k red arrow hurts more than the 10k I lost in Bitcoin this month? #FPL</t>
  </si>
  <si>
    <t xml:space="preserve"> FPL_Gecko</t>
  </si>
  <si>
    <t xml:space="preserve"> Sat Feb 03 2018 16:31:13</t>
  </si>
  <si>
    <t xml:space="preserve"> Hello humans, #Bitcoin is currently around $9153.84 as of Sat Feb  3 10:31:09 CST 2018</t>
  </si>
  <si>
    <t xml:space="preserve"> Sat Feb 03 2018 16:31:25</t>
  </si>
  <si>
    <t xml:space="preserve"> Why don't you contact to me? I'm learning about bitcoin</t>
  </si>
  <si>
    <t xml:space="preserve"> marinn1994</t>
  </si>
  <si>
    <t xml:space="preserve"> Sat Feb 03 2018 16:31:55</t>
  </si>
  <si>
    <t xml:space="preserve"> I've developed a new open source P2P e-cash system called Bitcoin. It's completely decentralized, with</t>
  </si>
  <si>
    <t xml:space="preserve"> Sat Feb 03 2018 16:32:14</t>
  </si>
  <si>
    <t xml:space="preserve"> @Egon_01 @Bitcoin May be coming?</t>
  </si>
  <si>
    <t xml:space="preserve"> gandalf_norris</t>
  </si>
  <si>
    <t xml:space="preserve"> Sat Feb 03 2018 16:32:32</t>
  </si>
  <si>
    <t xml:space="preserve"> @dkhesin123 @CryptoCobain Bitcoin is most valuable because of first mover advantage and that's it - its losing ground daily</t>
  </si>
  <si>
    <t xml:space="preserve"> Sat Feb 03 2018 16:33:13</t>
  </si>
  <si>
    <t xml:space="preserve"> Bitcoin Millionaires buying more at These Levels. Fire   Sale prices... Are YOU? Buy Low... Sell High!! HODL to $100K+   #Bitcoin</t>
  </si>
  <si>
    <t xml:space="preserve"> Sat Feb 03 2018 16:33:51</t>
  </si>
  <si>
    <t xml:space="preserve"> tren up #bitcoin #altcoin #fb</t>
  </si>
  <si>
    <t xml:space="preserve"> BagongAnam</t>
  </si>
  <si>
    <t xml:space="preserve"> Kota Yogyakarta, Yogyakarta</t>
  </si>
  <si>
    <t xml:space="preserve"> Sat Feb 03 2018 16:34:01</t>
  </si>
  <si>
    <t xml:space="preserve"> @Egon_01 zOMG ..... it's   Bitcoin  Flash </t>
  </si>
  <si>
    <t xml:space="preserve"> dachrinne</t>
  </si>
  <si>
    <t xml:space="preserve"> Sat Feb 03 2018 16:34:11</t>
  </si>
  <si>
    <t xml:space="preserve"> Will Bitcoin reach $20,000 again within 1 month?</t>
  </si>
  <si>
    <t xml:space="preserve"> CryptoInvestt</t>
  </si>
  <si>
    <t xml:space="preserve"> Sat Feb 03 2018 16:34:21</t>
  </si>
  <si>
    <t xml:space="preserve"> @BitcoinEnquirer @BTCNewsUpdates Lol thats my screenshot. Proud to contribute to the real Bitcoin!</t>
  </si>
  <si>
    <t xml:space="preserve"> BCHisBitcoin</t>
  </si>
  <si>
    <t xml:space="preserve"> Qubec, Canada</t>
  </si>
  <si>
    <t xml:space="preserve"> Sat Feb 03 2018 16:34:36</t>
  </si>
  <si>
    <t xml:space="preserve"> Good to See Stocks Down -666 pts on Friday... More  will Flow into #Bitcoin</t>
  </si>
  <si>
    <t xml:space="preserve"> Sat Feb 03 2018 16:34:58</t>
  </si>
  <si>
    <t xml:space="preserve"> The #NunesMemo reminds me of #bitcoin is only powerful until you actually see it.</t>
  </si>
  <si>
    <t xml:space="preserve"> juancomedian</t>
  </si>
  <si>
    <t xml:space="preserve"> Santa Rosa CA</t>
  </si>
  <si>
    <t xml:space="preserve"> Sat Feb 03 2018 16:35:10</t>
  </si>
  <si>
    <t xml:space="preserve"> @PeterSchiff You're scared of Bitcoin @PeterSchiff, we get it.</t>
  </si>
  <si>
    <t xml:space="preserve"> luckycharmsyo</t>
  </si>
  <si>
    <t xml:space="preserve"> Sat Feb 03 2018 16:36:06</t>
  </si>
  <si>
    <t xml:space="preserve"> #BinaryFest #BinaryOptions #Forex #Bitcoin #MakeMoney, How to Make Money Online With Photographs...</t>
  </si>
  <si>
    <t xml:space="preserve"> Sat Feb 03 2018 16:36:09</t>
  </si>
  <si>
    <t xml:space="preserve"> @kucoincom @medical_chain when listed Bitcoin White?</t>
  </si>
  <si>
    <t xml:space="preserve"> teguhhandayani2</t>
  </si>
  <si>
    <t xml:space="preserve"> Sat Feb 03 2018 16:36:31</t>
  </si>
  <si>
    <t xml:space="preserve"> The current price of bitcoin is 1 bitcoin, the current price of bcash is 1 hard fork.</t>
  </si>
  <si>
    <t xml:space="preserve"> mozahzah</t>
  </si>
  <si>
    <t xml:space="preserve"> Sat Feb 03 2018 16:36:46</t>
  </si>
  <si>
    <t xml:space="preserve"> vividcoin bitcoin</t>
  </si>
  <si>
    <t xml:space="preserve"> Sat Feb 03 2018 16:37:01</t>
  </si>
  <si>
    <t xml:space="preserve"> If you want to ruin Vivaldis Four Seasons, next time you listen imagine that its about Bitcoin.</t>
  </si>
  <si>
    <t xml:space="preserve"> ibogost</t>
  </si>
  <si>
    <t xml:space="preserve"> Atlanta, GA</t>
  </si>
  <si>
    <t xml:space="preserve"> Sat Feb 03 2018 16:37:09</t>
  </si>
  <si>
    <t xml:space="preserve"> @BTCTN I never see Bitcoin core trying to explain why they are the real bitcoin... Cuz they don't need to. </t>
  </si>
  <si>
    <t xml:space="preserve"> Aztrodj82</t>
  </si>
  <si>
    <t xml:space="preserve"> Sat Feb 03 2018 16:37:17</t>
  </si>
  <si>
    <t xml:space="preserve"> Who is selling #ada #cardano 1 day before #cardanoroadmap ? #smartcontracts #btc #bitcoin #eth #ethereum</t>
  </si>
  <si>
    <t xml:space="preserve"> axlcrypto</t>
  </si>
  <si>
    <t xml:space="preserve"> Sat Feb 03 2018 16:37:32</t>
  </si>
  <si>
    <t xml:space="preserve"> @Billythechode @steem @ecc I got some fractions of a bitcoin, and a decent amount of ripple right now</t>
  </si>
  <si>
    <t xml:space="preserve"> ChuckB44</t>
  </si>
  <si>
    <t xml:space="preserve"> Sat Feb 03 2018 16:37:33</t>
  </si>
  <si>
    <t xml:space="preserve"> Krugster's NYT piece on #bitcoin $BTC (Bubble, Bubble, Fraud and Trouble) is so dumb it hurts</t>
  </si>
  <si>
    <t xml:space="preserve"> Gloeschi</t>
  </si>
  <si>
    <t xml:space="preserve"> New York / Munich</t>
  </si>
  <si>
    <t xml:space="preserve"> Sat Feb 03 2018 16:37:36</t>
  </si>
  <si>
    <t xml:space="preserve"> @JackMurphyRGR Ha the guy that predicts bitcoin to be $1,000,000</t>
  </si>
  <si>
    <t xml:space="preserve"> realA1Mikesauce</t>
  </si>
  <si>
    <t xml:space="preserve"> Sat Feb 03 2018 16:37:39</t>
  </si>
  <si>
    <t xml:space="preserve"> @cryptodailyuk @ADAcoin_ @BittrexExchange @exchange @NEWS @Bitcoin @crypto @_CryptoIQ @CharlieShrem This is great news</t>
  </si>
  <si>
    <t xml:space="preserve"> Bullypitglass1</t>
  </si>
  <si>
    <t xml:space="preserve"> Sat Feb 03 2018 16:37:48</t>
  </si>
  <si>
    <t xml:space="preserve"> Optimal tx fee: 65 satoshi per byte.  BTC : $9142 / 7335 / 6473 @ Block 507452.  Market Cap: 160B USD. #Follow #Bitcoin</t>
  </si>
  <si>
    <t xml:space="preserve"> Sat Feb 03 2018 16:37:51</t>
  </si>
  <si>
    <t xml:space="preserve"> Exodus and Gemini Say Stop Using Bitcoin   / Bitcoin Cash Forks TODAY / Bitcoin Gold Launched!</t>
  </si>
  <si>
    <t xml:space="preserve"> Bitcoin_NewsBTC</t>
  </si>
  <si>
    <t xml:space="preserve"> Sat Feb 03 2018 16:37:53</t>
  </si>
  <si>
    <t xml:space="preserve"> @PayPal Its ok PayPal I have Bitcoin.</t>
  </si>
  <si>
    <t xml:space="preserve"> frielpaul5</t>
  </si>
  <si>
    <t xml:space="preserve"> Wellesley, MAp</t>
  </si>
  <si>
    <t xml:space="preserve"> Sat Feb 03 2018 16:38:18</t>
  </si>
  <si>
    <t xml:space="preserve"> @jeffconnor12 @teedubya Well... For a scam someone must benefit right? Who's benefiting from the Bitcoin scam?</t>
  </si>
  <si>
    <t xml:space="preserve"> Pacman2110</t>
  </si>
  <si>
    <t xml:space="preserve"> Sat Feb 03 2018 16:38:21</t>
  </si>
  <si>
    <t xml:space="preserve"> @Poloniex : Could you please open BTG (Bitcoin Gold) exchange soon ? thank you !! 88))</t>
  </si>
  <si>
    <t xml:space="preserve"> TheDuckcast</t>
  </si>
  <si>
    <t xml:space="preserve"> Sat Feb 03 2018 16:38:41</t>
  </si>
  <si>
    <t xml:space="preserve"> @techguilherme @DigiByteCoin Why not just run a lightning node on the bitcoin network instead</t>
  </si>
  <si>
    <t xml:space="preserve"> Sat Feb 03 2018 16:38:58</t>
  </si>
  <si>
    <t xml:space="preserve"> Wtf is bitcoin? Seriously? I dont get it. And I even googled it. </t>
  </si>
  <si>
    <t xml:space="preserve"> krisweeaks</t>
  </si>
  <si>
    <t xml:space="preserve"> Duncan Oklahoma</t>
  </si>
  <si>
    <t xml:space="preserve"> Sat Feb 03 2018 16:39:09</t>
  </si>
  <si>
    <t xml:space="preserve"> @mymattressmoney No way man, I'm selling all my index funds and buying #Bitcoin! </t>
  </si>
  <si>
    <t xml:space="preserve"> horta1701</t>
  </si>
  <si>
    <t xml:space="preserve"> Sat Feb 03 2018 16:39:12</t>
  </si>
  <si>
    <t xml:space="preserve"> If you have a cash app that has already passed the bitcoin verified process message me</t>
  </si>
  <si>
    <t xml:space="preserve"> Magic_Orders</t>
  </si>
  <si>
    <t xml:space="preserve"> Sat Feb 03 2018 16:39:53</t>
  </si>
  <si>
    <t xml:space="preserve"> @EdKrassen Thought they were all into bitcoin these days ....</t>
  </si>
  <si>
    <t xml:space="preserve"> nochalbestiny</t>
  </si>
  <si>
    <t xml:space="preserve"> Sat Feb 03 2018 16:40:02</t>
  </si>
  <si>
    <t xml:space="preserve"> @amtvmedia Ethereum is the mirror image of Bitcoin, it is more than a coincidence.</t>
  </si>
  <si>
    <t xml:space="preserve"> TraceyMedia</t>
  </si>
  <si>
    <t xml:space="preserve"> Sat Feb 03 2018 16:40:08</t>
  </si>
  <si>
    <t xml:space="preserve"> @octoincoin Good! And return our etherium,  zcash and bitcoin., and dollars!</t>
  </si>
  <si>
    <t xml:space="preserve"> crypto_valuta</t>
  </si>
  <si>
    <t xml:space="preserve"> Sat Feb 03 2018 16:40:10</t>
  </si>
  <si>
    <t xml:space="preserve"> Because people have been requesting this:  We will also give away 0.1 $BTC to 1 person who retweets this tweet   #btc #bitcoin $NEO $LTC</t>
  </si>
  <si>
    <t xml:space="preserve"> WhaleSectrets</t>
  </si>
  <si>
    <t xml:space="preserve"> Unknown</t>
  </si>
  <si>
    <t xml:space="preserve"> Sat Feb 03 2018 16:40:12</t>
  </si>
  <si>
    <t xml:space="preserve"> Cash app take bitcoin now. Wow times are changing.</t>
  </si>
  <si>
    <t xml:space="preserve"> GvldenHindu</t>
  </si>
  <si>
    <t xml:space="preserve"> Dipset, USA</t>
  </si>
  <si>
    <t xml:space="preserve"> Sat Feb 03 2018 16:40:13</t>
  </si>
  <si>
    <t xml:space="preserve"> @paulkrugman It seems impossible for Krugman or Shiller etc to comprehend that many people into Bitcoin are really not in for the money.</t>
  </si>
  <si>
    <t xml:space="preserve"> jenzhuscott</t>
  </si>
  <si>
    <t xml:space="preserve"> On the Plane</t>
  </si>
  <si>
    <t xml:space="preserve"> Sat Feb 03 2018 16:40:16</t>
  </si>
  <si>
    <t xml:space="preserve"> @latenitevibe (60956 follows) RT @CryptoXanax: Crypto and bitcoin has changed my life for the better so heres a random .1 btc giveaway,...</t>
  </si>
  <si>
    <t xml:space="preserve"> Sat Feb 03 2018 16:40:28</t>
  </si>
  <si>
    <t xml:space="preserve"> #BinaryFest #BinaryOptions #Forex #Bitcoin #MakeMoney, Making Money Online - It's No Myth...</t>
  </si>
  <si>
    <t xml:space="preserve"> Sat Feb 03 2018 16:40:47</t>
  </si>
  <si>
    <t xml:space="preserve"> @MartiniGuyYT How r u gonna give away bitcoin lol</t>
  </si>
  <si>
    <t xml:space="preserve"> KsNekki</t>
  </si>
  <si>
    <t xml:space="preserve"> Sat Feb 03 2018 16:40:51</t>
  </si>
  <si>
    <t xml:space="preserve"> @SavunmaSanayiST Bitcoin</t>
  </si>
  <si>
    <t xml:space="preserve"> hbkhbk</t>
  </si>
  <si>
    <t xml:space="preserve"> ISTANBUL</t>
  </si>
  <si>
    <t xml:space="preserve"> Sat Feb 03 2018 16:41:00</t>
  </si>
  <si>
    <t xml:space="preserve"> my mom just asked me what a bitcoin was</t>
  </si>
  <si>
    <t xml:space="preserve"> nemesisfang</t>
  </si>
  <si>
    <t xml:space="preserve"> Sat Feb 03 2018 16:41:14</t>
  </si>
  <si>
    <t xml:space="preserve"> @daneelproject general sale is LIVE! Buy there coin and get 15% bonus. #Daneel #AI #ICO #Cryptocurrencies #bitcoin</t>
  </si>
  <si>
    <t xml:space="preserve"> amitkumar1598</t>
  </si>
  <si>
    <t xml:space="preserve"> 0x89177d0318D3935d487d9fb9d1Bc5e91E0F00dAB</t>
  </si>
  <si>
    <t xml:space="preserve"> Sat Feb 03 2018 16:41:36</t>
  </si>
  <si>
    <t xml:space="preserve"> Bitcoins price could drop to $1 the impact is already here and here to stay: #TokenEconomy.</t>
  </si>
  <si>
    <t xml:space="preserve"> Sat Feb 03 2018 16:41:55</t>
  </si>
  <si>
    <t xml:space="preserve"> New 53 Acre, $75 Million Bitcoin hedge fund (ETF). Two other in to write</t>
  </si>
  <si>
    <t xml:space="preserve"> Top 6 BTC/USD Exchange Orderbooks: Resistance til $8900:$18.1M; Support til $8300:$23.0M $BTC $BTCUSD #bitcoin #orderbook #trading #markets</t>
  </si>
  <si>
    <t xml:space="preserve"> Sat Feb 03 2018 16:42:11</t>
  </si>
  <si>
    <t xml:space="preserve"> Buy when there's blood in the streets #Bitcoin #Crypto #Ripple #Ethereum #StellarLumens</t>
  </si>
  <si>
    <t xml:space="preserve"> MwattinLeebi</t>
  </si>
  <si>
    <t xml:space="preserve"> I want to go to another planet</t>
  </si>
  <si>
    <t xml:space="preserve"> Sat Feb 03 2018 16:42:12</t>
  </si>
  <si>
    <t xml:space="preserve"> CryptoLounge247</t>
  </si>
  <si>
    <t xml:space="preserve"> @mugshawtys Bitcoin?</t>
  </si>
  <si>
    <t xml:space="preserve"> NormiePuppet</t>
  </si>
  <si>
    <t xml:space="preserve"> Bitcoin Ban Expands Across Credit Cards as Big US Banks Recoil - Bloomberg</t>
  </si>
  <si>
    <t xml:space="preserve"> Glad #bitcoin turned up a little. I was out of vaseline. #rekt</t>
  </si>
  <si>
    <t xml:space="preserve"> Mattan2112</t>
  </si>
  <si>
    <t xml:space="preserve"> Sat Feb 03 2018 16:43:11</t>
  </si>
  <si>
    <t xml:space="preserve"> Bitcoin and chill?</t>
  </si>
  <si>
    <t xml:space="preserve"> Rubencoin</t>
  </si>
  <si>
    <t xml:space="preserve"> Berne, Switzerland</t>
  </si>
  <si>
    <t xml:space="preserve"> Sat Feb 03 2018 16:43:29</t>
  </si>
  <si>
    <t xml:space="preserve"> #BinaryFest #BinaryOptions #Forex #Bitcoin #MakeMoney, Will the Bitcoin Bubble Burst? Should I Invest in Bitcoin?...</t>
  </si>
  <si>
    <t xml:space="preserve"> Sat Feb 03 2018 16:44:16</t>
  </si>
  <si>
    <t xml:space="preserve"> Whenever I hear someone say they trade bitcoin now, I immediately think that they're a pseudointellectual that's tryna cash in on a trend</t>
  </si>
  <si>
    <t xml:space="preserve"> AniksPOV</t>
  </si>
  <si>
    <t xml:space="preserve"> Sat Feb 03 2018 16:44:56</t>
  </si>
  <si>
    <t xml:space="preserve"> @a_abdulaziz_a Just Bitcoin for now!</t>
  </si>
  <si>
    <t xml:space="preserve"> CashSupport</t>
  </si>
  <si>
    <t xml:space="preserve"> Sat Feb 03 2018 16:45:02</t>
  </si>
  <si>
    <t xml:space="preserve"> There are currently 10,877 unconfirmed Bitcoin transactions. #bitcoin #btc $BTC</t>
  </si>
  <si>
    <t xml:space="preserve"> Sat Feb 03 2018 16:45:08</t>
  </si>
  <si>
    <t xml:space="preserve"> Should you buy or sell today? Check our YouTube channel! We analyze over 30 pairs, also Gold, Silver, Oil and Bitcoin! #BestExpertAdvisor</t>
  </si>
  <si>
    <t xml:space="preserve"> DanielWr_fx</t>
  </si>
  <si>
    <t xml:space="preserve"> Sat Feb 03 2018 16:45:12</t>
  </si>
  <si>
    <t xml:space="preserve"> The #LightningNetwork is centralized is the new The earth is flat. #bitcoin</t>
  </si>
  <si>
    <t xml:space="preserve"> Sat Feb 03 2018 16:45:13</t>
  </si>
  <si>
    <t xml:space="preserve"> AshleyGregorFX</t>
  </si>
  <si>
    <t xml:space="preserve"> Sat Feb 03 2018 16:45:14</t>
  </si>
  <si>
    <t xml:space="preserve"> @khotanam @asyrafbeniamin @allah The bio says donate bitcoin... youre delusional if u think account is genuine. Clearly very disrespectful</t>
  </si>
  <si>
    <t xml:space="preserve"> Pintexxz</t>
  </si>
  <si>
    <t xml:space="preserve"> Sat Feb 03 2018 16:45:15</t>
  </si>
  <si>
    <t xml:space="preserve"> When hes sad about Bitcoin &gt;</t>
  </si>
  <si>
    <t xml:space="preserve"> vaaleeriieezee</t>
  </si>
  <si>
    <t xml:space="preserve"> Sat Feb 03 2018 16:45:22</t>
  </si>
  <si>
    <t xml:space="preserve"> @pranit_sharma @dropssupreme nah supreme changed their form of transaction, u can only use bitcoin now</t>
  </si>
  <si>
    <t xml:space="preserve"> YaBoiFunnelCake</t>
  </si>
  <si>
    <t xml:space="preserve"> Sat Feb 03 2018 16:45:25</t>
  </si>
  <si>
    <t xml:space="preserve"> @BKCryptoTrader Of course they fail to mention where Bitcoin was at the beginning of 2017.</t>
  </si>
  <si>
    <t xml:space="preserve"> sixinbrian</t>
  </si>
  <si>
    <t xml:space="preserve"> Sat Feb 03 2018 16:46:05</t>
  </si>
  <si>
    <t xml:space="preserve"> Bitcoin bubble go boom.</t>
  </si>
  <si>
    <t xml:space="preserve"> EdVorst</t>
  </si>
  <si>
    <t xml:space="preserve"> Winnipeg, Treaty 1 territory</t>
  </si>
  <si>
    <t xml:space="preserve"> Sat Feb 03 2018 16:46:31</t>
  </si>
  <si>
    <t xml:space="preserve"> @herrkaschke Disstrack.mp4 (An ALLE YOUTUBER und BITCOIN MINER)</t>
  </si>
  <si>
    <t xml:space="preserve"> Blackilli</t>
  </si>
  <si>
    <t xml:space="preserve"> Bochum</t>
  </si>
  <si>
    <t xml:space="preserve"> Sat Feb 03 2018 16:46:50</t>
  </si>
  <si>
    <t xml:space="preserve"> @weeble right hold on, if you get a kinetic power source and some bitcoin mining ASICs you might be onto something</t>
  </si>
  <si>
    <t xml:space="preserve"> Sat Feb 03 2018 16:46:53</t>
  </si>
  <si>
    <t xml:space="preserve"> Top 6 BTC/USD Exchange Orderbooks: Resistance til $8900:$17.9M; Support til $8300:$21.3M $BTC $BTCUSD #bitcoin #orderbook #investing #crypto</t>
  </si>
  <si>
    <t xml:space="preserve"> Sat Feb 03 2018 16:46:57</t>
  </si>
  <si>
    <t xml:space="preserve"> Remember when Bitcoin was 19k? Those were the good days...</t>
  </si>
  <si>
    <t xml:space="preserve"> CaydenNigh</t>
  </si>
  <si>
    <t xml:space="preserve"> Sat Feb 03 2018 16:46:58</t>
  </si>
  <si>
    <t xml:space="preserve"> @eurincon79 something IA and Bitcoin related</t>
  </si>
  <si>
    <t xml:space="preserve"> LouVnzl</t>
  </si>
  <si>
    <t xml:space="preserve"> Caracas, Venezuela</t>
  </si>
  <si>
    <t xml:space="preserve"> Sat Feb 03 2018 16:47:04</t>
  </si>
  <si>
    <t xml:space="preserve"> #Bitcoin The Current Bitcoin Price is 0.00010858 BTC for $1 USD #GoldCoinJar</t>
  </si>
  <si>
    <t xml:space="preserve"> Sat Feb 03 2018 16:47:28</t>
  </si>
  <si>
    <t xml:space="preserve"> Lord comebacking #bitcoin</t>
  </si>
  <si>
    <t xml:space="preserve"> slhcne</t>
  </si>
  <si>
    <t xml:space="preserve"> stanbul</t>
  </si>
  <si>
    <t xml:space="preserve"> Sat Feb 03 2018 16:47:53</t>
  </si>
  <si>
    <t xml:space="preserve"> @paulkrugman Anyone who did not see Bitcoin for what it is (a pump-and-dump scam) is deluded, stupid or disgustingly greedy.</t>
  </si>
  <si>
    <t xml:space="preserve"> GeorgePembroke</t>
  </si>
  <si>
    <t xml:space="preserve"> Sat Feb 03 2018 16:47:58</t>
  </si>
  <si>
    <t xml:space="preserve"> Bitcoin bounce is good for now. Calling tops @ 13k in a week or so. Overall continuation of downward trend for a few weeks. $BTC</t>
  </si>
  <si>
    <t xml:space="preserve"> ReadyCrypto1</t>
  </si>
  <si>
    <t xml:space="preserve"> Dogebah System</t>
  </si>
  <si>
    <t xml:space="preserve"> Sat Feb 03 2018 16:48:21</t>
  </si>
  <si>
    <t xml:space="preserve"> @DiaryofaMadeMan 3k in bitcoin  yeah right Ian </t>
  </si>
  <si>
    <t xml:space="preserve"> DaddyCrypto1</t>
  </si>
  <si>
    <t xml:space="preserve"> Sat Feb 03 2018 16:48:44</t>
  </si>
  <si>
    <t xml:space="preserve"> @Yannimal1981 Bitcoin !</t>
  </si>
  <si>
    <t xml:space="preserve"> Presydent</t>
  </si>
  <si>
    <t xml:space="preserve"> Montreal,Qubec,Canada</t>
  </si>
  <si>
    <t xml:space="preserve"> Sat Feb 03 2018 16:48:45</t>
  </si>
  <si>
    <t xml:space="preserve"> correlation of people who bet on vaporwave and bitcoin in 2014 and have lost literally everything deservedly</t>
  </si>
  <si>
    <t xml:space="preserve"> soothsaiyan</t>
  </si>
  <si>
    <t xml:space="preserve"> Sat Feb 03 2018 16:48:46</t>
  </si>
  <si>
    <t xml:space="preserve"> @PhilakoneCrypto U seriously thinks xrp is dead, its definitely not you might as well say bitcoin is dead if you think that</t>
  </si>
  <si>
    <t xml:space="preserve"> Chris_Houlemard</t>
  </si>
  <si>
    <t xml:space="preserve"> Sat Feb 03 2018 16:49:04</t>
  </si>
  <si>
    <t xml:space="preserve"> when bitcoin hit $20k (WOW!), i hodl'd; i didnt sell a single satoshi all he way down to $8k;  my expected target for 2018 is $100k.</t>
  </si>
  <si>
    <t xml:space="preserve"> exiledsurfer</t>
  </si>
  <si>
    <t xml:space="preserve"> Austria</t>
  </si>
  <si>
    <t xml:space="preserve"> Sat Feb 03 2018 16:49:09</t>
  </si>
  <si>
    <t xml:space="preserve"> @BKRMKR Bitcoin will live forever in the hearts of the libertarian capitalist techbros.</t>
  </si>
  <si>
    <t xml:space="preserve"> @BruceStingsteen Um 5? (I have no effing clue how bitcoin works)</t>
  </si>
  <si>
    <t xml:space="preserve"> Estebomb</t>
  </si>
  <si>
    <t xml:space="preserve"> Philadelphia, PA</t>
  </si>
  <si>
    <t xml:space="preserve"> Sat Feb 03 2018 16:49:21</t>
  </si>
  <si>
    <t xml:space="preserve"> @mikerelentless Bitcoin cash = bitcoin cash and bitcoin = bitcoin. Stop wining.</t>
  </si>
  <si>
    <t xml:space="preserve"> Delta972070409</t>
  </si>
  <si>
    <t xml:space="preserve"> Sat Feb 03 2018 16:49:25</t>
  </si>
  <si>
    <t xml:space="preserve"> @jmiles407 @vakeraj @CashApp That will never happen, @jack is a bitcoin maximalist. Bcash is just another alt-coin anyways.</t>
  </si>
  <si>
    <t xml:space="preserve"> no5tar</t>
  </si>
  <si>
    <t xml:space="preserve"> Orbiting Betelgeuse</t>
  </si>
  <si>
    <t xml:space="preserve"> Sat Feb 03 2018 16:49:30</t>
  </si>
  <si>
    <t xml:space="preserve"> #ada cardano taking off with new expected gains today   #letsgo #holdyourposition #altcoin #bitcoin</t>
  </si>
  <si>
    <t xml:space="preserve"> rebeccan707</t>
  </si>
  <si>
    <t xml:space="preserve"> Sat Feb 03 2018 16:50:17</t>
  </si>
  <si>
    <t xml:space="preserve"> @coin_artist @robmyers yeah. respect to u both, part of bitcoin history. well done. (i'm a bit jealous) :-)</t>
  </si>
  <si>
    <t xml:space="preserve"> Sat Feb 03 2018 16:50:24</t>
  </si>
  <si>
    <t xml:space="preserve"> Crypto and Twitter go together like...   #CryptoTwitter  #Crypto #Bitcoin #Litecoin #Ethereum #PayWithLitecoin $BTC $LTC $ETH</t>
  </si>
  <si>
    <t xml:space="preserve"> litecoindad</t>
  </si>
  <si>
    <t xml:space="preserve"> Colorado, USA</t>
  </si>
  <si>
    <t xml:space="preserve"> Sat Feb 03 2018 16:50:30</t>
  </si>
  <si>
    <t xml:space="preserve"> @ArminVanBitcoin beauty of it is, if you don't like lightning, then don't use it. Bitcoin still Bitcoin.</t>
  </si>
  <si>
    <t xml:space="preserve"> Salwilliam</t>
  </si>
  <si>
    <t xml:space="preserve"> Hamilton, Ontario</t>
  </si>
  <si>
    <t xml:space="preserve"> Sat Feb 03 2018 16:50:52</t>
  </si>
  <si>
    <t xml:space="preserve"> @Fatherofadog @ZMadon @ArdorPlatform @lopp Everybody starts somewhere. How many daily txs on bitcoin 6-9 months after implementation? </t>
  </si>
  <si>
    <t xml:space="preserve"> _jillruth</t>
  </si>
  <si>
    <t xml:space="preserve"> Sat Feb 03 2018 16:50:53</t>
  </si>
  <si>
    <t xml:space="preserve"> @Acidutz @CryptoTutor Contain Bitcoin but never withdraw from that position?! Dude. The bloodiest day. 2/</t>
  </si>
  <si>
    <t xml:space="preserve"> CoachCrazy</t>
  </si>
  <si>
    <t xml:space="preserve"> South Jordan, UT</t>
  </si>
  <si>
    <t xml:space="preserve"> Sat Feb 03 2018 16:51:17</t>
  </si>
  <si>
    <t xml:space="preserve"> People just need to not sell their #Bitcoin too see prices surge up. #cryptocurrency . Its not only an investment, but an asset. #Altcoins</t>
  </si>
  <si>
    <t xml:space="preserve"> MindOfAquarius_</t>
  </si>
  <si>
    <t xml:space="preserve"> Gaithersburg, MD</t>
  </si>
  <si>
    <t xml:space="preserve"> Sat Feb 03 2018 16:51:22</t>
  </si>
  <si>
    <t xml:space="preserve"> @Estebomb Me neither I just like offering people payment in bitcoin to see their reaction.</t>
  </si>
  <si>
    <t xml:space="preserve"> BruceStingsteen</t>
  </si>
  <si>
    <t xml:space="preserve"> Dexter Lake Club</t>
  </si>
  <si>
    <t xml:space="preserve"> Sat Feb 03 2018 16:51:26</t>
  </si>
  <si>
    <t xml:space="preserve"> @neontaster The real occupy Wall Street was/is bitcoin.</t>
  </si>
  <si>
    <t xml:space="preserve"> _ThomasT</t>
  </si>
  <si>
    <t xml:space="preserve"> Sat Feb 03 2018 16:51:57</t>
  </si>
  <si>
    <t xml:space="preserve"> @freebitco How to start using a bitcoin savings wallet</t>
  </si>
  <si>
    <t xml:space="preserve"> monemaker82</t>
  </si>
  <si>
    <t xml:space="preserve"> Glasgow, Scotland</t>
  </si>
  <si>
    <t xml:space="preserve"> Sat Feb 03 2018 16:52:04</t>
  </si>
  <si>
    <t xml:space="preserve"> @PeterLBrandt @TuurDemeester And Bitcoin is among the most primitive...</t>
  </si>
  <si>
    <t xml:space="preserve"> skinny_Diogenes</t>
  </si>
  <si>
    <t xml:space="preserve"> space</t>
  </si>
  <si>
    <t xml:space="preserve"> Sat Feb 03 2018 16:52:05</t>
  </si>
  <si>
    <t xml:space="preserve"> @BKCryptoTrader Bitcoin mining uses less energy than all the home appliances on standby in the US and they're not doing anything.</t>
  </si>
  <si>
    <t xml:space="preserve"> snoovin</t>
  </si>
  <si>
    <t xml:space="preserve"> Sat Feb 03 2018 16:52:08</t>
  </si>
  <si>
    <t xml:space="preserve"> @SwenLink @CRYPTOBANGer If Bitcoin goes under 4500 i would sell my home to BTFD</t>
  </si>
  <si>
    <t xml:space="preserve"> ButalikViterin</t>
  </si>
  <si>
    <t xml:space="preserve"> Sat Feb 03 2018 16:52:25</t>
  </si>
  <si>
    <t xml:space="preserve"> Nasdaq Exploring Total Return Bitcoin Futures Contract Expired Today</t>
  </si>
  <si>
    <t xml:space="preserve"> Sat Feb 03 2018 16:52:38</t>
  </si>
  <si>
    <t xml:space="preserve"> My parents keep fighting over bitcoin... what is wrong with them</t>
  </si>
  <si>
    <t xml:space="preserve"> siirin</t>
  </si>
  <si>
    <t xml:space="preserve"> Sat Feb 03 2018 16:53:05</t>
  </si>
  <si>
    <t xml:space="preserve"> @Bitcoin for developers technically are the same coin just different block size and fee.   but people is sentimental.</t>
  </si>
  <si>
    <t xml:space="preserve"> rastaminer79</t>
  </si>
  <si>
    <t xml:space="preserve"> Sat Feb 03 2018 16:53:18</t>
  </si>
  <si>
    <t xml:space="preserve"> @avsa If bitcoin loses the first place, some people will  finally realize the future of blockchain is bigger than bitcoin.</t>
  </si>
  <si>
    <t xml:space="preserve"> stange_ricardo</t>
  </si>
  <si>
    <t xml:space="preserve"> Sat Feb 03 2018 16:53:26</t>
  </si>
  <si>
    <t xml:space="preserve"> #altcoin never go all in..correction not over yet..#btc #bitcoin #xrp #dta #sc #dgb #zrx #eth</t>
  </si>
  <si>
    <t xml:space="preserve"> Sat Feb 03 2018 16:53:29</t>
  </si>
  <si>
    <t xml:space="preserve"> @WillMcLeod99 I heard Putin is paying them with bitcoin, suckers.</t>
  </si>
  <si>
    <t xml:space="preserve"> merkin_muffly</t>
  </si>
  <si>
    <t xml:space="preserve"> Sat Feb 03 2018 16:53:35</t>
  </si>
  <si>
    <t xml:space="preserve"> Bitcoin isn't a bubble, all the other cryptos are</t>
  </si>
  <si>
    <t xml:space="preserve"> Siderico</t>
  </si>
  <si>
    <t xml:space="preserve"> Metal Army Records</t>
  </si>
  <si>
    <t xml:space="preserve"> Sat Feb 03 2018 16:53:52</t>
  </si>
  <si>
    <t xml:space="preserve"> @StickJookVibe What did bitcoin do to you?</t>
  </si>
  <si>
    <t xml:space="preserve"> kceel</t>
  </si>
  <si>
    <t xml:space="preserve"> Sat Feb 03 2018 16:54:15</t>
  </si>
  <si>
    <t xml:space="preserve"> @hughhewitt Do the Russians pay in dollars, rubles, or bitcoin?</t>
  </si>
  <si>
    <t xml:space="preserve"> MikeUrkov</t>
  </si>
  <si>
    <t xml:space="preserve"> Sat Feb 03 2018 16:54:24</t>
  </si>
  <si>
    <t xml:space="preserve"> @Morveus @LedgerHQ @TREZOR No, it has been only implemented for Bitcoin wallet</t>
  </si>
  <si>
    <t xml:space="preserve"> Sefbert</t>
  </si>
  <si>
    <t xml:space="preserve"> Sat Feb 03 2018 16:54:55</t>
  </si>
  <si>
    <t xml:space="preserve"> You know how people who do CrossFit always tell you that they do CrossFit? Its the same with bitcoin. - @stephbo4</t>
  </si>
  <si>
    <t xml:space="preserve"> kaylajwilliams</t>
  </si>
  <si>
    <t xml:space="preserve"> Austin, Texas</t>
  </si>
  <si>
    <t xml:space="preserve"> Sat Feb 03 2018 16:55:13</t>
  </si>
  <si>
    <t xml:space="preserve"> #Bitcoin Trustless networks are further driving a wedge between people, soon we won't need to trust any human</t>
  </si>
  <si>
    <t xml:space="preserve"> TraderOfFutures</t>
  </si>
  <si>
    <t xml:space="preserve"> Sharon, MA</t>
  </si>
  <si>
    <t xml:space="preserve"> Sat Feb 03 2018 16:55:14</t>
  </si>
  <si>
    <t xml:space="preserve"> @FCFLio you know bitcoin made it when elderly start using it :)) #heygrandma</t>
  </si>
  <si>
    <t xml:space="preserve"> thegamblingbay</t>
  </si>
  <si>
    <t xml:space="preserve"> Intertubes</t>
  </si>
  <si>
    <t xml:space="preserve"> Sat Feb 03 2018 16:55:43</t>
  </si>
  <si>
    <t xml:space="preserve"> Anything bitcoin-related to check out in Vail, Colorado?</t>
  </si>
  <si>
    <t xml:space="preserve"> francispouliot_</t>
  </si>
  <si>
    <t xml:space="preserve"> Montreal, Qc</t>
  </si>
  <si>
    <t xml:space="preserve"> Sat Feb 03 2018 16:56:02</t>
  </si>
  <si>
    <t xml:space="preserve"> I guess I'm officially broke now. No more fiat left.  ...  #bitcoin</t>
  </si>
  <si>
    <t xml:space="preserve"> Sat Feb 03 2018 16:56:03</t>
  </si>
  <si>
    <t xml:space="preserve"> @enobacon @pjf Who knows, any random hex number of the right length could be a future Bitcoin.</t>
  </si>
  <si>
    <t xml:space="preserve"> philtor</t>
  </si>
  <si>
    <t xml:space="preserve"> oregon</t>
  </si>
  <si>
    <t xml:space="preserve"> Sat Feb 03 2018 16:56:07</t>
  </si>
  <si>
    <t xml:space="preserve"> Bitcoin - Support = $9,216; Resistance = $9,472 $BTC</t>
  </si>
  <si>
    <t xml:space="preserve"> tkinder</t>
  </si>
  <si>
    <t xml:space="preserve"> Jackson, MO</t>
  </si>
  <si>
    <t xml:space="preserve"> Sat Feb 03 2018 16:56:22</t>
  </si>
  <si>
    <t xml:space="preserve"> value over 3 months: --53.51%, ($-10670.49) [Currently  $9269.515] #bitcoin</t>
  </si>
  <si>
    <t xml:space="preserve"> Sat Feb 03 2018 16:56:32</t>
  </si>
  <si>
    <t xml:space="preserve"> @EpsilonTheory Bitcoin isn't an asset, it's a speculation floating around in the ether (literally)...</t>
  </si>
  <si>
    <t xml:space="preserve"> KeynesianKlownz</t>
  </si>
  <si>
    <t xml:space="preserve"> Sat Feb 03 2018 16:56:33</t>
  </si>
  <si>
    <t xml:space="preserve"> @chrisJcsgo @ESEA Bitcoin miner</t>
  </si>
  <si>
    <t xml:space="preserve"> grah096</t>
  </si>
  <si>
    <t xml:space="preserve"> Bosnia and Herzegovina</t>
  </si>
  <si>
    <t xml:space="preserve"> Sat Feb 03 2018 16:56:59</t>
  </si>
  <si>
    <t xml:space="preserve"> @Bitcoin $btc is like MacOS  and  $bch is the copy (windows)</t>
  </si>
  <si>
    <t xml:space="preserve"> Sat Feb 03 2018 16:57:04</t>
  </si>
  <si>
    <t xml:space="preserve"> @maesitos Out of fiat. No breakfast place around that takes #bitcoin. </t>
  </si>
  <si>
    <t xml:space="preserve"> Sat Feb 03 2018 16:57:13</t>
  </si>
  <si>
    <t xml:space="preserve"> Were receiving reports @CapitalOne is rejecting Bitcoin purchases made via credit card.</t>
  </si>
  <si>
    <t xml:space="preserve"> USMiningCo</t>
  </si>
  <si>
    <t xml:space="preserve"> USA / </t>
  </si>
  <si>
    <t xml:space="preserve"> Sat Feb 03 2018 16:57:31</t>
  </si>
  <si>
    <t xml:space="preserve"> @Bitcoin So you're saying bitcoin forked off bcash?</t>
  </si>
  <si>
    <t xml:space="preserve"> adam_syl</t>
  </si>
  <si>
    <t xml:space="preserve"> Sat Feb 03 2018 16:57:35</t>
  </si>
  <si>
    <t xml:space="preserve"> @Bitcoin @BitcoinBram Try nano and many more coins..1000x better thb bitcoin cash</t>
  </si>
  <si>
    <t xml:space="preserve"> Deepak760</t>
  </si>
  <si>
    <t xml:space="preserve"> Rohini, New Delhi</t>
  </si>
  <si>
    <t xml:space="preserve"> Sat Feb 03 2018 16:57:36</t>
  </si>
  <si>
    <t xml:space="preserve"> Paul Krugman recommends not buying Bitcoin... I may have to buy Bitcoin...</t>
  </si>
  <si>
    <t xml:space="preserve"> Majort2Tom</t>
  </si>
  <si>
    <t xml:space="preserve"> Sat Feb 03 2018 16:57:50</t>
  </si>
  <si>
    <t xml:space="preserve"> @Bitcoin Try nano and many more coins..1000x better thb bitcoin cash</t>
  </si>
  <si>
    <t xml:space="preserve"> Sat Feb 03 2018 16:58:16</t>
  </si>
  <si>
    <t xml:space="preserve"> Expecting a 1-4 candle pull back on the hourly chart, and then we go higher  #Big3 #bitcoin #litecoin #Ethereum</t>
  </si>
  <si>
    <t xml:space="preserve"> aubrey_braddock</t>
  </si>
  <si>
    <t xml:space="preserve"> Miami FL</t>
  </si>
  <si>
    <t xml:space="preserve"> Sat Feb 03 2018 16:58:21</t>
  </si>
  <si>
    <t xml:space="preserve"> @derek_michel Accurately, MediBloc is more popular than Bitcoin on the Coinral exchange in Korea.</t>
  </si>
  <si>
    <t xml:space="preserve"> demekinnomimi</t>
  </si>
  <si>
    <t xml:space="preserve"> Sat Feb 03 2018 16:58:34</t>
  </si>
  <si>
    <t xml:space="preserve"> I believe the Bitcoin bottom is in. Game time...</t>
  </si>
  <si>
    <t xml:space="preserve"> SiamKidd</t>
  </si>
  <si>
    <t xml:space="preserve"> Norwich</t>
  </si>
  <si>
    <t xml:space="preserve"> Sat Feb 03 2018 16:58:39</t>
  </si>
  <si>
    <t xml:space="preserve"> Bitcoin Cash BCH is a lightning network built on the blockchain. </t>
  </si>
  <si>
    <t xml:space="preserve"> cryptodantv</t>
  </si>
  <si>
    <t xml:space="preserve"> Sat Feb 03 2018 16:58:48</t>
  </si>
  <si>
    <t xml:space="preserve"> @EllenTheNutjob @AIM_Buster In one UK pension company Hargreaves landsdown - you can buy the Swedish bitcoin fund XBT</t>
  </si>
  <si>
    <t xml:space="preserve"> rajivs83</t>
  </si>
  <si>
    <t xml:space="preserve"> Sat Feb 03 2018 16:58:55</t>
  </si>
  <si>
    <t xml:space="preserve"> @JayzTwoCents So with bitcoin dropping.. will we start seeing a price drop for GPU's?</t>
  </si>
  <si>
    <t xml:space="preserve"> SignatiGaming</t>
  </si>
  <si>
    <t xml:space="preserve"> Minnesota, USA</t>
  </si>
  <si>
    <t xml:space="preserve"> Sat Feb 03 2018 16:59:03</t>
  </si>
  <si>
    <t xml:space="preserve"> @Bitcoin bcash is not the real bitcoin.</t>
  </si>
  <si>
    <t xml:space="preserve"> JaapSegway13</t>
  </si>
  <si>
    <t xml:space="preserve"> Sat Feb 03 2018 16:59:22</t>
  </si>
  <si>
    <t xml:space="preserve"> $#BTCUSD: #BitCoin (9271.29) 3mSMA50touch- (9274.06), 12:1Accel+, tf:0110001, FirmTrnd-:+125%, ch:+8.3%, DyVol:12T:0.3x:0.7x</t>
  </si>
  <si>
    <t xml:space="preserve"> Sat Feb 03 2018 16:59:43</t>
  </si>
  <si>
    <t xml:space="preserve"> @Billbrowder @FarhanSBWali Russian Oligarch will simply state: I got into bitcoin before it was cool. Wealth Explained.</t>
  </si>
  <si>
    <t xml:space="preserve"> BramStolk</t>
  </si>
  <si>
    <t xml:space="preserve"> Vancouver, BC</t>
  </si>
  <si>
    <t xml:space="preserve"> Sat Feb 03 2018 16:59:53</t>
  </si>
  <si>
    <t xml:space="preserve"> Crypto Rich and Paranoid: Threats Prompt Radical Security in Bitcoin Land...</t>
  </si>
  <si>
    <t xml:space="preserve"> BtcEthereum</t>
  </si>
  <si>
    <t xml:space="preserve"> Cyber Space</t>
  </si>
  <si>
    <t xml:space="preserve"> Sat Feb 03 2018 16:59:55</t>
  </si>
  <si>
    <t xml:space="preserve"> @schwarz Bitcoin is the best investment because most people are going to start buying more opioids on the black market.</t>
  </si>
  <si>
    <t xml:space="preserve"> russiaghazi</t>
  </si>
  <si>
    <t xml:space="preserve"> Sat Feb 03 2018 17:00:00</t>
  </si>
  <si>
    <t xml:space="preserve"> @ #1, Bitcoin with unit price of $9,230.34, market cap of $155,468,111,935 (34.59%), and 24 hr vol. of $7,786,920,000 (31.39%)</t>
  </si>
  <si>
    <t xml:space="preserve"> CryptoCompare Bitcoin price changed +1.24% to $9347.34 #bitcoin</t>
  </si>
  <si>
    <t xml:space="preserve"> Sat Feb 03 2018 17:00:01</t>
  </si>
  <si>
    <t xml:space="preserve"> JOIN OUR CHANCOIN CITY DISCORD #ICO #BLOCKCHAIN #CRYPTOCURRENCY #CRYPTO DO YOU NOTICE THE #BTC #LTC AND #ETH SEEMI #BITCOIN DIDNT #ICO</t>
  </si>
  <si>
    <t xml:space="preserve"> #USD #bitcoin Index:   10802 satoshis = $1   #pizza: 0.0013 btc</t>
  </si>
  <si>
    <t xml:space="preserve"> agCalculator</t>
  </si>
  <si>
    <t xml:space="preserve"> World Wide</t>
  </si>
  <si>
    <t xml:space="preserve"> Current BTC Dominance: 34.66% #Bitcoin #Altcoin #Cryptocurrency</t>
  </si>
  <si>
    <t xml:space="preserve"> Sat Feb 03 2018 17:00:02</t>
  </si>
  <si>
    <t xml:space="preserve"> The average price of Bitcoin across all exchanges is 9,230.34 USD</t>
  </si>
  <si>
    <t xml:space="preserve"> Average Bitcoin market price is: USD 9,285.70, EUR 7,461.96</t>
  </si>
  <si>
    <t xml:space="preserve"> Bitcoin:$9230.34 Ethereum:$966.333 Bitcoin Cash:$1253.97 Litecoin:$147.292 Ripple:$0.930634 IOTA:$1.97937</t>
  </si>
  <si>
    <t xml:space="preserve"> Sat Feb 03 2018 17:00:06</t>
  </si>
  <si>
    <t xml:space="preserve"> Feb 03, 2018 09:00AM #Bitcoin Price: USD 8788.20 | EUR 7090.65 | JPY 944244.41</t>
  </si>
  <si>
    <t xml:space="preserve"> Sat Feb 03 2018 17:00:03</t>
  </si>
  <si>
    <t xml:space="preserve"> #Crypto-Joke of the Day: What do you call a teenage bitcoin? Zitcoin</t>
  </si>
  <si>
    <t xml:space="preserve"> Merch_Crypto</t>
  </si>
  <si>
    <t xml:space="preserve"> Sat Feb 03 2018 17:00:12</t>
  </si>
  <si>
    <t xml:space="preserve"> ForexAlyam</t>
  </si>
  <si>
    <t xml:space="preserve"> Sat Feb 03 2018 17:00:14</t>
  </si>
  <si>
    <t xml:space="preserve"> Top 6 BTC/USD Exchange Orderbooks: Resistance til $9600:$28.7M; Support til $9000:$18.1M $BTC $BTCUSD #bitcoin #orderbook #investing #crypto</t>
  </si>
  <si>
    <t xml:space="preserve"> Sat Feb 03 2018 17:00:16</t>
  </si>
  <si>
    <t xml:space="preserve"> Just realised that having moving averages like that would probably make bitcoin 6 figures haha</t>
  </si>
  <si>
    <t xml:space="preserve"> Sat Feb 03 2018 17:00:30</t>
  </si>
  <si>
    <t xml:space="preserve"> Bitcoin going up! The rest of cryptos will follow  #TRX #TRON @CryptoChoe @lifewithbastos #Bitcoin</t>
  </si>
  <si>
    <t xml:space="preserve"> thomaskinn3</t>
  </si>
  <si>
    <t xml:space="preserve"> Sat Feb 03 2018 17:00:31</t>
  </si>
  <si>
    <t xml:space="preserve"> BTC hourly update $9290.18    |    +0.0079% $BTC #BTCUSD #Bitcoin</t>
  </si>
  <si>
    <t xml:space="preserve"> Sat Feb 03 2018 17:00:58</t>
  </si>
  <si>
    <t xml:space="preserve"> The Current price of Bitcoin is $9312.68</t>
  </si>
  <si>
    <t xml:space="preserve"> AutoCheersMate</t>
  </si>
  <si>
    <t xml:space="preserve"> Sat Feb 03 2018 17:01:04</t>
  </si>
  <si>
    <t xml:space="preserve"> 12PM EST price of $BTC today is $9312.68! #dailycoinprices #btc #bitcoin</t>
  </si>
  <si>
    <t xml:space="preserve"> Bitcoin Today - 9312.68 USD #YodaJediMastar #Jedi #Yoda #Bitcoin #Change</t>
  </si>
  <si>
    <t xml:space="preserve"> YodaJediMastar</t>
  </si>
  <si>
    <t xml:space="preserve"> Dagobah</t>
  </si>
  <si>
    <t xml:space="preserve"> Sat Feb 03 2018 17:01:14</t>
  </si>
  <si>
    <t xml:space="preserve"> @ArminVanBitcoin Its funny that every attempt to attack Bitcoin has only resulted in it coming back more resilient.</t>
  </si>
  <si>
    <t xml:space="preserve"> tarzanbigcity</t>
  </si>
  <si>
    <t xml:space="preserve"> Sat Feb 03 2018 17:01:16</t>
  </si>
  <si>
    <t xml:space="preserve"> Current price of Bitcoin is $9312.68.</t>
  </si>
  <si>
    <t xml:space="preserve"> Sat Feb 03 2018 17:01:22</t>
  </si>
  <si>
    <t xml:space="preserve"> @gucci1017 @ShaneBreen Losers never #Hodl #bitcoin $btc</t>
  </si>
  <si>
    <t xml:space="preserve"> Sat Feb 03 2018 17:01:27</t>
  </si>
  <si>
    <t xml:space="preserve"> Current price of #Bitcoin is $9312.68</t>
  </si>
  <si>
    <t xml:space="preserve"> Sat Feb 03 2018 17:01:32</t>
  </si>
  <si>
    <t xml:space="preserve"> @Bitcoin Reason number 1 bcash is not bitcoin - when you consistently have to tell people its the real one, generally it mean its not.</t>
  </si>
  <si>
    <t xml:space="preserve"> CountinCrypto</t>
  </si>
  <si>
    <t xml:space="preserve"> Sat Feb 03 2018 17:01:42</t>
  </si>
  <si>
    <t xml:space="preserve"> Bitcoin 9312.68 $</t>
  </si>
  <si>
    <t xml:space="preserve"> Sat Feb 03 2018 17:01:44</t>
  </si>
  <si>
    <t xml:space="preserve"> @Annrhefn Bitcoin!!!!</t>
  </si>
  <si>
    <t xml:space="preserve"> tiger05rtc</t>
  </si>
  <si>
    <t xml:space="preserve"> Sat Feb 03 2018 17:01:48</t>
  </si>
  <si>
    <t xml:space="preserve"> Current price of Bitcoin is $9208.11 #Bitcoin #Bithound</t>
  </si>
  <si>
    <t xml:space="preserve"> Sat Feb 03 2018 17:01:54</t>
  </si>
  <si>
    <t xml:space="preserve"> Current price of Bitcoin is $9312.68</t>
  </si>
  <si>
    <t xml:space="preserve"> VintageSoda</t>
  </si>
  <si>
    <t xml:space="preserve"> Sat Feb 03 2018 17:01:55</t>
  </si>
  <si>
    <t xml:space="preserve"> What is BITCOIN?  Can I make money with Bitcoin GUARANTEED??? LeadtheWays</t>
  </si>
  <si>
    <t xml:space="preserve"> 1LeadtheWay</t>
  </si>
  <si>
    <t xml:space="preserve"> Sat Feb 03 2018 17:01:57</t>
  </si>
  <si>
    <t xml:space="preserve"> It's 2018 and y'all still investing in Bitcoin? I just spent my life's earnings on cattle.  On my FFA hustle</t>
  </si>
  <si>
    <t xml:space="preserve"> MrPokeylopee</t>
  </si>
  <si>
    <t xml:space="preserve"> Sat Feb 03 2018 17:02:00</t>
  </si>
  <si>
    <t xml:space="preserve"> Current price of Bitcoin is $9312.68 #btc #bitcoin #cryptocurrency #cryptocurrencynews #crypto #cryptonews</t>
  </si>
  <si>
    <t xml:space="preserve"> Sat Feb 03 2018 17:02:01</t>
  </si>
  <si>
    <t xml:space="preserve"> Bitcoin never fails</t>
  </si>
  <si>
    <t xml:space="preserve"> coinlovah</t>
  </si>
  <si>
    <t xml:space="preserve"> Sat Feb 03 2018 17:02:05</t>
  </si>
  <si>
    <t xml:space="preserve"> @Jake_Stapp *as of right now. Bitcoin has some issues with the tech to have mainstream adoption. Mostly price to make and mine</t>
  </si>
  <si>
    <t xml:space="preserve"> Huink7</t>
  </si>
  <si>
    <t xml:space="preserve"> Sat Feb 03 2018 17:02:23</t>
  </si>
  <si>
    <t xml:space="preserve"> RI: can you hear that sound of the ratings going up??? Its rivalling bitcoin right now!!! LSM: bitcoin is going down these days </t>
  </si>
  <si>
    <t xml:space="preserve"> jezkwon</t>
  </si>
  <si>
    <t xml:space="preserve"> ?</t>
  </si>
  <si>
    <t xml:space="preserve"> Sat Feb 03 2018 17:02:32</t>
  </si>
  <si>
    <t xml:space="preserve"> @Onlyzineb @DariusBreed @Nouriel The likelihood is that blockchain technology will have a future, not bitcoin.</t>
  </si>
  <si>
    <t xml:space="preserve"> zak_pullen</t>
  </si>
  <si>
    <t xml:space="preserve"> Sat Feb 03 2018 17:03:06</t>
  </si>
  <si>
    <t xml:space="preserve"> Sat Feb 03 2018 17:03:11</t>
  </si>
  <si>
    <t xml:space="preserve"> @Vizual_Samurai How about a visual of the bitcoin cash network?</t>
  </si>
  <si>
    <t xml:space="preserve"> EleganceEngine</t>
  </si>
  <si>
    <t xml:space="preserve"> toshi_mat004</t>
  </si>
  <si>
    <t xml:space="preserve"> Sat Feb 03 2018 17:03:13</t>
  </si>
  <si>
    <t xml:space="preserve"> Current price of #Bitcoin is $9312.68 via Chain #BTCUSD #cryptocurrencies #blockchain</t>
  </si>
  <si>
    <t xml:space="preserve"> uCryptoCurrency</t>
  </si>
  <si>
    <t xml:space="preserve"> Current price of #Bitcoin is $9312.68 via @Chain #btc #blockchain #bitcoinprice</t>
  </si>
  <si>
    <t xml:space="preserve"> CollinBlatt</t>
  </si>
  <si>
    <t xml:space="preserve"> Sat Feb 03 2018 17:03:18</t>
  </si>
  <si>
    <t xml:space="preserve"> Good morning. Current price of Bitcoin is $9312.68</t>
  </si>
  <si>
    <t xml:space="preserve"> michimatsui</t>
  </si>
  <si>
    <t xml:space="preserve"> Sat Feb 03 2018 17:03:22</t>
  </si>
  <si>
    <t xml:space="preserve"> Current price of Bitcoin is $9312.68 via Chain</t>
  </si>
  <si>
    <t xml:space="preserve"> NeuBenn</t>
  </si>
  <si>
    <t xml:space="preserve"> Sat Feb 03 2018 17:03:26</t>
  </si>
  <si>
    <t xml:space="preserve"> @The_Don_Trader Mate did you see Richs +6550 point bitcoin short? A totally awesome trade!</t>
  </si>
  <si>
    <t xml:space="preserve"> WillMaynard38</t>
  </si>
  <si>
    <t xml:space="preserve"> Essex, England</t>
  </si>
  <si>
    <t xml:space="preserve"> #xvg #verge huge gains today accumulating   #holdyourpositions #buyonthedips #altcoin #bitcoin</t>
  </si>
  <si>
    <t xml:space="preserve"> Sat Feb 03 2018 17:03:31</t>
  </si>
  <si>
    <t xml:space="preserve"> The current #Bitcoin Price is 9312.68USD.</t>
  </si>
  <si>
    <t xml:space="preserve"> CryptoNakamoto</t>
  </si>
  <si>
    <t xml:space="preserve"> Sat Feb 03 2018 17:03:50</t>
  </si>
  <si>
    <t xml:space="preserve"> Total Losses since November 2017 - 36.13811144 Bitcoin and - 34.138111678 Bitcoins cash, and - 11388.12236788 ether....How am I doing guys?</t>
  </si>
  <si>
    <t xml:space="preserve"> HikoXvi</t>
  </si>
  <si>
    <t xml:space="preserve"> Calgary Canada</t>
  </si>
  <si>
    <t xml:space="preserve"> Sat Feb 03 2018 17:04:07</t>
  </si>
  <si>
    <t xml:space="preserve"> Current price of Bitcoin is $9312.68 'Like' ? $BTC</t>
  </si>
  <si>
    <t xml:space="preserve"> Sat Feb 03 2018 17:04:11</t>
  </si>
  <si>
    <t xml:space="preserve"> @fosdem Bitcoin miner?</t>
  </si>
  <si>
    <t xml:space="preserve"> fuckyouyou2</t>
  </si>
  <si>
    <t xml:space="preserve"> Sat Feb 03 2018 17:04:16</t>
  </si>
  <si>
    <t xml:space="preserve"> Current price of #Bitcoin is $9312.68 with transactions of 160/second, #Senero is aming to reach 347222/second</t>
  </si>
  <si>
    <t xml:space="preserve"> CoinSenero</t>
  </si>
  <si>
    <t xml:space="preserve"> reddit.com/r/senero</t>
  </si>
  <si>
    <t xml:space="preserve"> Sat Feb 03 2018 17:04:33</t>
  </si>
  <si>
    <t xml:space="preserve"> @ESEA The ones you paid for with your bitcoin mining money</t>
  </si>
  <si>
    <t xml:space="preserve"> TNoodle_</t>
  </si>
  <si>
    <t xml:space="preserve"> Sat Feb 03 2018 17:04:34</t>
  </si>
  <si>
    <t xml:space="preserve"> #SRCOIN's 2nd Pre-ICO has Started!  Join with us! Last chance to get BONUS #SRCOINs! #blockchain #bitcoin #IC</t>
  </si>
  <si>
    <t xml:space="preserve"> DamithLakshitha</t>
  </si>
  <si>
    <t xml:space="preserve"> 0x6de8F6D2f7E2CD5A28cB582a94a94CE8Fd46f93c</t>
  </si>
  <si>
    <t xml:space="preserve"> Sat Feb 03 2018 17:04:40</t>
  </si>
  <si>
    <t xml:space="preserve"> Current price of Bitcoin is $9312.68 Like if thats good for you and retweet if thats not good for you #bitcoin #btc #bitcoinprice</t>
  </si>
  <si>
    <t xml:space="preserve"> Sat Feb 03 2018 17:05:09</t>
  </si>
  <si>
    <t xml:space="preserve"> #btc #bitcoin will reach to 30k by end of march 2018</t>
  </si>
  <si>
    <t xml:space="preserve"> srihariinnamuri</t>
  </si>
  <si>
    <t xml:space="preserve"> Irving, TX</t>
  </si>
  <si>
    <t xml:space="preserve"> Sat Feb 03 2018 17:05:12</t>
  </si>
  <si>
    <t xml:space="preserve"> @brucefenton Yo! Does why Bitcoin is going down on USD value... because you shaved!</t>
  </si>
  <si>
    <t xml:space="preserve"> BaBitHippo</t>
  </si>
  <si>
    <t xml:space="preserve"> Sat Feb 03 2018 17:05:34</t>
  </si>
  <si>
    <t xml:space="preserve"> @officialmcafee what's you opinion about Tether scandal? could Tether crash Bitcoin?</t>
  </si>
  <si>
    <t xml:space="preserve"> RiccardoCampaci</t>
  </si>
  <si>
    <t xml:space="preserve"> Biella, Piedmont, Italy</t>
  </si>
  <si>
    <t xml:space="preserve"> Sat Feb 03 2018 17:06:01</t>
  </si>
  <si>
    <t xml:space="preserve"> Did you know in January 2016, one Bitcoin was worth USD$350, and is now worth over USD$2,000? #business #payments</t>
  </si>
  <si>
    <t xml:space="preserve"> mywatchmen</t>
  </si>
  <si>
    <t xml:space="preserve"> Sat Feb 03 2018 17:06:07</t>
  </si>
  <si>
    <t xml:space="preserve"> People call #bitcoin a bubble for a number of reasons.   Most commonly:  1) Uneducated  2) Lazy 3) Scared</t>
  </si>
  <si>
    <t xml:space="preserve"> Crypto_Bitlord</t>
  </si>
  <si>
    <t xml:space="preserve"> Sat Feb 03 2018 17:06:08</t>
  </si>
  <si>
    <t xml:space="preserve"> @petcal55 You can get into an accident tomorrow, doesn't mean you stop driving #bitcoin</t>
  </si>
  <si>
    <t xml:space="preserve"> Sat Feb 03 2018 17:06:15</t>
  </si>
  <si>
    <t xml:space="preserve"> @brucefenton Yo, that's why Bitcoin is loosing USD value... because you shaved!</t>
  </si>
  <si>
    <t xml:space="preserve"> Sat Feb 03 2018 17:06:30</t>
  </si>
  <si>
    <t xml:space="preserve"> There is awesome project named @daricocoin. Join bounty program and help them. #ico #bounty #bitcoin #airdrop #token</t>
  </si>
  <si>
    <t xml:space="preserve"> boomedianetwork</t>
  </si>
  <si>
    <t xml:space="preserve"> Sat Feb 03 2018 17:06:33</t>
  </si>
  <si>
    <t xml:space="preserve"> SMA (14, close) Crossing above SMA (50, close) on $BTCUSD, 1h #cryptocurrency #trading #bitcoin #crypto #technicalanalysis</t>
  </si>
  <si>
    <t xml:space="preserve"> coinographio</t>
  </si>
  <si>
    <t xml:space="preserve"> Sat Feb 03 2018 17:07:24</t>
  </si>
  <si>
    <t xml:space="preserve"> Yall niggas talking about bitcoin My cryptocurrency is Microsoft Points</t>
  </si>
  <si>
    <t xml:space="preserve"> PenumbraMesa</t>
  </si>
  <si>
    <t xml:space="preserve"> Williamsburg, VA</t>
  </si>
  <si>
    <t xml:space="preserve"> Sat Feb 03 2018 17:07:28</t>
  </si>
  <si>
    <t xml:space="preserve"> @mistermegative @ruprtpumpkn *goes to check Bitcoin balance, the account is empty*  Somebody toucha ma Bitcoin</t>
  </si>
  <si>
    <t xml:space="preserve"> Tenkay23</t>
  </si>
  <si>
    <t xml:space="preserve"> Sat Feb 03 2018 17:07:29</t>
  </si>
  <si>
    <t xml:space="preserve"> @glenncrews2 @DavorCoin Bitcoin and ethereum will survive theyre not Ponzi schemes Davor is going disappear with all your money</t>
  </si>
  <si>
    <t xml:space="preserve"> Erick12276966</t>
  </si>
  <si>
    <t xml:space="preserve"> Sat Feb 03 2018 17:07:34</t>
  </si>
  <si>
    <t xml:space="preserve"> BTC &amp; ETH is start to rising again guyz. #crytpocurrency #bitcoin #Ethereum</t>
  </si>
  <si>
    <t xml:space="preserve"> Sat Feb 03 2018 17:07:35</t>
  </si>
  <si>
    <t xml:space="preserve"> Really just checked my coinbase account and someone been sending me bitcoin &amp; I didn't even know it LMAOOOOOO</t>
  </si>
  <si>
    <t xml:space="preserve"> gabrielpatee</t>
  </si>
  <si>
    <t xml:space="preserve"> Always Strive And Prosper</t>
  </si>
  <si>
    <t xml:space="preserve"> Sat Feb 03 2018 17:08:04</t>
  </si>
  <si>
    <t xml:space="preserve"> Bitcoin Target 9800 to $10,500.. volume is looking good at the moment.</t>
  </si>
  <si>
    <t xml:space="preserve"> Cryptogirlz</t>
  </si>
  <si>
    <t xml:space="preserve"> Sat Feb 03 2018 17:08:18</t>
  </si>
  <si>
    <t xml:space="preserve"> 1730GMT @AJEnglish Has the #Bitcoin bubble burst? @janedutton asks our panel on @AJInsideStory</t>
  </si>
  <si>
    <t xml:space="preserve"> CraigFerriman</t>
  </si>
  <si>
    <t xml:space="preserve"> Doha, Qatar</t>
  </si>
  <si>
    <t xml:space="preserve"> Sat Feb 03 2018 17:08:55</t>
  </si>
  <si>
    <t xml:space="preserve"> Bitcoin is such an opportunity for people to set up their future. Dont miss out on this.</t>
  </si>
  <si>
    <t xml:space="preserve"> mitch_richter</t>
  </si>
  <si>
    <t xml:space="preserve"> Sat Feb 03 2018 17:09:14</t>
  </si>
  <si>
    <t xml:space="preserve"> Correcting wrong or strange Kanji tattoo designs. 1revision0.00005bitcoin Give me DM or reply. #Japanese #Kanji #tattoo #bitcoin</t>
  </si>
  <si>
    <t xml:space="preserve"> Narikin_Susume</t>
  </si>
  <si>
    <t xml:space="preserve"> Sat Feb 03 2018 17:09:23</t>
  </si>
  <si>
    <t xml:space="preserve"> @Crypto_Bitlord Most of them probably don't know what are a bitcoin and a bubble.</t>
  </si>
  <si>
    <t xml:space="preserve"> Crypto_BK</t>
  </si>
  <si>
    <t xml:space="preserve"> Sat Feb 03 2018 17:09:42</t>
  </si>
  <si>
    <t xml:space="preserve"> @RT_com @maxkeiser @stacyherbert LONG LIVE BITCOIN !  And the BANKER KILLER POPULOUS !  GO PPT !</t>
  </si>
  <si>
    <t xml:space="preserve"> USisCorrupt</t>
  </si>
  <si>
    <t xml:space="preserve"> Sat Feb 03 2018 17:10:03</t>
  </si>
  <si>
    <t xml:space="preserve"> Sat Feb 03 2018 17:10:05</t>
  </si>
  <si>
    <t xml:space="preserve"> Bitcoin BTC Current Price: $9248.94 1 Hour: 0.11 % | 24 Hours: 4.14 % | 7 Days: -18.51 % #btc #bitcoin</t>
  </si>
  <si>
    <t xml:space="preserve"> Sat Feb 03 2018 17:10:08</t>
  </si>
  <si>
    <t xml:space="preserve"> @blockpedia_ Follow @Hashtags_Trends for the latest news &amp; #trading trends about #bitcoin &amp; #crypto world.</t>
  </si>
  <si>
    <t xml:space="preserve"> Sat Feb 03 2018 17:10:13</t>
  </si>
  <si>
    <t xml:space="preserve"> Wait, I heard there was #bitcoin backed by bananas. My advisor suggests I should go ballz deep. Yeah, sure mate. What ever you say.</t>
  </si>
  <si>
    <t xml:space="preserve"> kenny_gau</t>
  </si>
  <si>
    <t xml:space="preserve"> Sat Feb 03 2018 17:10:16</t>
  </si>
  <si>
    <t xml:space="preserve"> @coindaytrader Follow @Hashtags_Trends for the latest news &amp; #trading trends about #bitcoin &amp; #crypto world.</t>
  </si>
  <si>
    <t xml:space="preserve"> Sat Feb 03 2018 17:10:19</t>
  </si>
  <si>
    <t xml:space="preserve"> @royaltruccs my baby is a Bitcoin</t>
  </si>
  <si>
    <t xml:space="preserve"> COMETHRUGIRL</t>
  </si>
  <si>
    <t xml:space="preserve"> chicago</t>
  </si>
  <si>
    <t xml:space="preserve"> Sat Feb 03 2018 17:10:24</t>
  </si>
  <si>
    <t xml:space="preserve"> @PeterLBrandt From his tweets it seems Peters emotions has more volatility than #Bitcoin</t>
  </si>
  <si>
    <t xml:space="preserve"> Sat Feb 03 2018 17:10:42</t>
  </si>
  <si>
    <t xml:space="preserve"> Bitfortip will help more people get into #bitcoin . It's the killer #app that everyone is looking for to spread #awareness and #Adoption ;)</t>
  </si>
  <si>
    <t xml:space="preserve"> bitfortip</t>
  </si>
  <si>
    <t xml:space="preserve"> The blockchain</t>
  </si>
  <si>
    <t xml:space="preserve"> el</t>
  </si>
  <si>
    <t xml:space="preserve"> Sat Feb 03 2018 17:10:53</t>
  </si>
  <si>
    <t xml:space="preserve"> Bought me some bitcoin &amp; i let it sit</t>
  </si>
  <si>
    <t xml:space="preserve"> Jefe_Juneau</t>
  </si>
  <si>
    <t xml:space="preserve"> 24 htx</t>
  </si>
  <si>
    <t xml:space="preserve"> Sat Feb 03 2018 17:11:21</t>
  </si>
  <si>
    <t xml:space="preserve"> #Ilovebitcoin because mining bitcoin is very environmentally friendly #bitcoinmining</t>
  </si>
  <si>
    <t xml:space="preserve"> Sat Feb 03 2018 17:11:28</t>
  </si>
  <si>
    <t xml:space="preserve"> @JobesJacobe it's the new bitcoin!</t>
  </si>
  <si>
    <t xml:space="preserve"> Dan_Welter</t>
  </si>
  <si>
    <t xml:space="preserve"> Iowa</t>
  </si>
  <si>
    <t xml:space="preserve"> Sat Feb 03 2018 17:12:13</t>
  </si>
  <si>
    <t xml:space="preserve"> I lost my bitcoin is the new my mom threw out my baseball cards</t>
  </si>
  <si>
    <t xml:space="preserve"> mpv</t>
  </si>
  <si>
    <t xml:space="preserve"> Sat Feb 03 2018 17:12:19</t>
  </si>
  <si>
    <t xml:space="preserve"> @gabe_k Better returns on the graphics card than the bitcoin</t>
  </si>
  <si>
    <t xml:space="preserve"> ianbgilbert</t>
  </si>
  <si>
    <t xml:space="preserve"> Sat Feb 03 2018 17:12:20</t>
  </si>
  <si>
    <t xml:space="preserve"> My recording and distribution costs were $1, and so far I've made $2. 100% profit, baby. I'm basically a young Bitcoin.</t>
  </si>
  <si>
    <t xml:space="preserve"> oaksmokemusic</t>
  </si>
  <si>
    <t xml:space="preserve"> Oswego, NY</t>
  </si>
  <si>
    <t xml:space="preserve"> Sat Feb 03 2018 17:12:38</t>
  </si>
  <si>
    <t xml:space="preserve"> hint bitcoin sites can be confusing also hint we got it in good also hint i probably wouldnt have tweeted about it if i had won</t>
  </si>
  <si>
    <t xml:space="preserve"> internetuser228</t>
  </si>
  <si>
    <t xml:space="preserve"> Sat Feb 03 2018 17:13:28</t>
  </si>
  <si>
    <t xml:space="preserve"> @coinbase why havent I received the bitcoin cash I was apparently promised from the fork?</t>
  </si>
  <si>
    <t xml:space="preserve"> TomJLDenny</t>
  </si>
  <si>
    <t xml:space="preserve"> Sat Feb 03 2018 17:13:32</t>
  </si>
  <si>
    <t xml:space="preserve"> Can you lend me some bitcoin? Sure, let me check my fridge #IoTSecurity</t>
  </si>
  <si>
    <t xml:space="preserve"> finnstrand</t>
  </si>
  <si>
    <t xml:space="preserve"> Copenhagen</t>
  </si>
  <si>
    <t xml:space="preserve"> Sat Feb 03 2018 17:13:34</t>
  </si>
  <si>
    <t xml:space="preserve"> @kissedbythesun @realDonaldTrump You also should believe in the separation of money and state and emrace Bitcoin.</t>
  </si>
  <si>
    <t xml:space="preserve"> gthomaske</t>
  </si>
  <si>
    <t xml:space="preserve"> Sat Feb 03 2018 17:13:40</t>
  </si>
  <si>
    <t xml:space="preserve"> @PeterLBrandt You talk about these facts when Bitcoin is down 50%+ but don't mention then when it's going parabolic</t>
  </si>
  <si>
    <t xml:space="preserve"> timboutillier</t>
  </si>
  <si>
    <t xml:space="preserve"> Sat Feb 03 2018 17:13:53</t>
  </si>
  <si>
    <t xml:space="preserve"> #Profit #mining with #Fastcoin #Emerald #GameCredits #VERGE #Nyancoin #Bitbar #Zetacoin #PRUX #TAGCOIN #Bitcoin #Belacoin #BTC</t>
  </si>
  <si>
    <t xml:space="preserve"> Sat Feb 03 2018 17:13:57</t>
  </si>
  <si>
    <t xml:space="preserve"> Following the #bitcoin chart action last few days has been nothing short of exhilarating</t>
  </si>
  <si>
    <t xml:space="preserve"> WECpoker</t>
  </si>
  <si>
    <t xml:space="preserve"> Tucson, Arizona</t>
  </si>
  <si>
    <t xml:space="preserve"> Sat Feb 03 2018 17:14:14</t>
  </si>
  <si>
    <t xml:space="preserve"> Total joke now #ReadingFC   #Bitcoin got better current form than us</t>
  </si>
  <si>
    <t xml:space="preserve"> bet72</t>
  </si>
  <si>
    <t xml:space="preserve"> Warrington, UK</t>
  </si>
  <si>
    <t xml:space="preserve"> Sat Feb 03 2018 17:14:17</t>
  </si>
  <si>
    <t xml:space="preserve"> @hennigoya shall look into bitcoin? If so can you give me a heads up where?</t>
  </si>
  <si>
    <t xml:space="preserve"> dbarron90</t>
  </si>
  <si>
    <t xml:space="preserve"> Sat Feb 03 2018 17:14:50</t>
  </si>
  <si>
    <t xml:space="preserve"> @CNBCFastMoney @BKBrianKelly And you guys been telling people to sell you might as well just give them your bitcoin address</t>
  </si>
  <si>
    <t xml:space="preserve"> cryptostats2018</t>
  </si>
  <si>
    <t xml:space="preserve"> Stockton, CA</t>
  </si>
  <si>
    <t xml:space="preserve"> Sat Feb 03 2018 17:14:52</t>
  </si>
  <si>
    <t xml:space="preserve"> Watch this video to understand how Cibus will change the FOOD Industry. #Blockchain #cryotocurrency #ethereum #ICOs #bitcoin #CIBUS</t>
  </si>
  <si>
    <t xml:space="preserve"> BitcoinDiscover</t>
  </si>
  <si>
    <t xml:space="preserve"> Sat Feb 03 2018 17:14:59</t>
  </si>
  <si>
    <t xml:space="preserve"> We had bitcoin in 1977 already.</t>
  </si>
  <si>
    <t xml:space="preserve"> Sat Feb 03 2018 17:15:02</t>
  </si>
  <si>
    <t xml:space="preserve"> The current price of Bitcoin is $9304.71. The current price of BCash is $1261.24, or 0.135106 BTC</t>
  </si>
  <si>
    <t xml:space="preserve"> Sat Feb 03 2018 17:15:05</t>
  </si>
  <si>
    <t xml:space="preserve"> G20 is about regulating ICOs and KYC. Not about banning #bitcoin. $btc #cryptocurrency</t>
  </si>
  <si>
    <t xml:space="preserve"> behzadbehrouzi</t>
  </si>
  <si>
    <t xml:space="preserve"> San Francisco</t>
  </si>
  <si>
    <t xml:space="preserve"> Sat Feb 03 2018 17:15:24</t>
  </si>
  <si>
    <t xml:space="preserve"> @Bitcoin @BitcoinBram No further detail is needed. Its no to all points.</t>
  </si>
  <si>
    <t xml:space="preserve"> BitcoinLunar</t>
  </si>
  <si>
    <t xml:space="preserve"> Sat Feb 03 2018 17:15:52</t>
  </si>
  <si>
    <t xml:space="preserve"> Cryptocurrency: #Bitcoin Price USD: 9322.66 Price BTC: 1.0 24h Volume USD: 7777970000.0 Percent change 24h: 4.99</t>
  </si>
  <si>
    <t xml:space="preserve"> Sat Feb 03 2018 17:16:04</t>
  </si>
  <si>
    <t xml:space="preserve"> #Bitcoin Latest Bitcoin Price: $9328.15 USD for 1 BTC #GoldCoinJar</t>
  </si>
  <si>
    <t xml:space="preserve"> Sat Feb 03 2018 17:16:09</t>
  </si>
  <si>
    <t xml:space="preserve"> @CoinomiWallet When can the Bitcoin good be claimed on coinomiwallet</t>
  </si>
  <si>
    <t xml:space="preserve"> Wealthplus2</t>
  </si>
  <si>
    <t xml:space="preserve"> Sat Feb 03 2018 17:16:45</t>
  </si>
  <si>
    <t xml:space="preserve"> Force people onto the Lightning Network by capping the Bitcoin blocksize to 1 megabyte, simple.</t>
  </si>
  <si>
    <t xml:space="preserve"> MikeFromTheUK</t>
  </si>
  <si>
    <t xml:space="preserve"> Sat Feb 03 2018 17:16:47</t>
  </si>
  <si>
    <t xml:space="preserve"> Everyone stopped talking about bitcoin really quick?</t>
  </si>
  <si>
    <t xml:space="preserve"> kayisglad</t>
  </si>
  <si>
    <t xml:space="preserve"> Sat Feb 03 2018 17:16:48</t>
  </si>
  <si>
    <t xml:space="preserve"> @outragedhuman Bitcoin will force people to educate them self on security and IT in general. This is really a blessing</t>
  </si>
  <si>
    <t xml:space="preserve"> BTCYamakaza</t>
  </si>
  <si>
    <t xml:space="preserve"> Sat Feb 03 2018 17:17:01</t>
  </si>
  <si>
    <t xml:space="preserve"> @CoinomiWallet When can Bitcoin God be claimed on coinomi wallet</t>
  </si>
  <si>
    <t xml:space="preserve"> Sat Feb 03 2018 17:17:03</t>
  </si>
  <si>
    <t xml:space="preserve"> [i spray hairspray into my bitcoin to someone back in.</t>
  </si>
  <si>
    <t xml:space="preserve"> FAPKlN</t>
  </si>
  <si>
    <t xml:space="preserve"> Sat Feb 03 2018 17:17:05</t>
  </si>
  <si>
    <t xml:space="preserve"> Bitcoin Cash BCH Current Price: $1261.24 1 Hour: 1.56 % | 24 Hours: 5.38 % | 7 Days: -22.46 % #bch #bitcoin cash</t>
  </si>
  <si>
    <t xml:space="preserve"> Sat Feb 03 2018 17:17:27</t>
  </si>
  <si>
    <t xml:space="preserve"> @BTCTN Yassss! China will not ban bitcoin!</t>
  </si>
  <si>
    <t xml:space="preserve"> shimmerzimmer</t>
  </si>
  <si>
    <t xml:space="preserve"> Sat Feb 03 2018 17:17:32</t>
  </si>
  <si>
    <t xml:space="preserve"> Help do I sell bitcoin???</t>
  </si>
  <si>
    <t xml:space="preserve"> alanalian_</t>
  </si>
  <si>
    <t xml:space="preserve"> Temple University</t>
  </si>
  <si>
    <t xml:space="preserve"> Sat Feb 03 2018 17:17:33</t>
  </si>
  <si>
    <t xml:space="preserve"> @CashApp @CashApp well I found where you can track bitcoin in the app but its not tracking the growth of what we purchased right?</t>
  </si>
  <si>
    <t xml:space="preserve"> MrElliottBrown</t>
  </si>
  <si>
    <t xml:space="preserve"> Fort Smith</t>
  </si>
  <si>
    <t xml:space="preserve"> Sat Feb 03 2018 17:17:44</t>
  </si>
  <si>
    <t xml:space="preserve"> @edzitron a population of just over 7 billion people today. On average, this means the average person owns just under 0.003 bitcoin. lmao</t>
  </si>
  <si>
    <t xml:space="preserve"> jxc</t>
  </si>
  <si>
    <t xml:space="preserve"> Sat Feb 03 2018 17:18:33</t>
  </si>
  <si>
    <t xml:space="preserve"> Correlation between price of yeezys &amp; price of bitcoin?? </t>
  </si>
  <si>
    <t xml:space="preserve"> BillySuk</t>
  </si>
  <si>
    <t xml:space="preserve"> Sat Feb 03 2018 17:19:01</t>
  </si>
  <si>
    <t xml:space="preserve"> @bill_baruch I believe in the concept of Bitcoin but I don't believe in any logic of its trading.</t>
  </si>
  <si>
    <t xml:space="preserve"> Mister_Mxy</t>
  </si>
  <si>
    <t xml:space="preserve"> B-ville</t>
  </si>
  <si>
    <t xml:space="preserve"> Sat Feb 03 2018 17:19:02</t>
  </si>
  <si>
    <t xml:space="preserve"> @dukeleto @BTCHush @dukeleto when are u going to sync the bitcoin holders addresses?</t>
  </si>
  <si>
    <t xml:space="preserve"> Sat Feb 03 2018 17:19:24</t>
  </si>
  <si>
    <t xml:space="preserve"> @suppyerik Its crazy but its a trend that wont last so expect to see a lot of used cards on the market whenever bitcoin fails.</t>
  </si>
  <si>
    <t xml:space="preserve"> Jack_Degennaro</t>
  </si>
  <si>
    <t xml:space="preserve"> Sat Feb 03 2018 17:19:31</t>
  </si>
  <si>
    <t xml:space="preserve"> Be nice to @paulkrugman. Today's nocoiners are tomorrow's Bitcoin proponents. In a long enough timeline, everyone is a Bitcoiner.</t>
  </si>
  <si>
    <t xml:space="preserve"> ferdousbhai</t>
  </si>
  <si>
    <t xml:space="preserve"> Nomadic</t>
  </si>
  <si>
    <t xml:space="preserve"> Sat Feb 03 2018 17:19:36</t>
  </si>
  <si>
    <t xml:space="preserve"> #Bitcoin The Current Bitcoin Price is 0.00010807 BTC for $1 USD #GoldCoinJar</t>
  </si>
  <si>
    <t xml:space="preserve"> Sat Feb 03 2018 17:19:45</t>
  </si>
  <si>
    <t xml:space="preserve"> @SGTreport And at the same time, #Bitcoin rallies and cryptocurrencies start an uptrend. See the connection?</t>
  </si>
  <si>
    <t xml:space="preserve"> Sharper_Love</t>
  </si>
  <si>
    <t xml:space="preserve"> Sat Feb 03 2018 17:20:08</t>
  </si>
  <si>
    <t xml:space="preserve"> @Guruleaks1 More like the hair of Bitcoin, amirite?</t>
  </si>
  <si>
    <t xml:space="preserve"> 9ofCups_</t>
  </si>
  <si>
    <t xml:space="preserve"> Symbols not my preference</t>
  </si>
  <si>
    <t xml:space="preserve"> Sat Feb 03 2018 17:21:00</t>
  </si>
  <si>
    <t xml:space="preserve"> Hacker Steals $150,000 From Cryptocurrency ICO Participants Via Breach And Phishing Attack #Bitcoin #BTC #ETH #LTC #BCH</t>
  </si>
  <si>
    <t xml:space="preserve"> Sat Feb 03 2018 17:21:16</t>
  </si>
  <si>
    <t xml:space="preserve"> @TheKalitz 0,051 bitcoin</t>
  </si>
  <si>
    <t xml:space="preserve"> Flusher_</t>
  </si>
  <si>
    <t xml:space="preserve"> `bbcnews SSHHH, Bitcoin has been taking off again but those who rely on corpmedia to inform and educate are left in the dark UNLESS it dives</t>
  </si>
  <si>
    <t xml:space="preserve"> maggoo0</t>
  </si>
  <si>
    <t xml:space="preserve"> A little house in the outback.</t>
  </si>
  <si>
    <t xml:space="preserve"> Sat Feb 03 2018 17:21:56</t>
  </si>
  <si>
    <t xml:space="preserve"> Bitcoin Mining Rigs - To facilitate same</t>
  </si>
  <si>
    <t xml:space="preserve"> Sat Feb 03 2018 17:21:57</t>
  </si>
  <si>
    <t xml:space="preserve"> John, what do you think about BCH (BITCOIN CASH) IN THE NEXT 6 MOS.</t>
  </si>
  <si>
    <t xml:space="preserve"> hotoya</t>
  </si>
  <si>
    <t xml:space="preserve"> Sat Feb 03 2018 17:22:01</t>
  </si>
  <si>
    <t xml:space="preserve"> Yesterday #Bitcoin kissed low of  $ 7540 Now at $  9476 !!!!</t>
  </si>
  <si>
    <t xml:space="preserve"> Iamanirudhsethi</t>
  </si>
  <si>
    <t xml:space="preserve"> Gujarat, India</t>
  </si>
  <si>
    <t xml:space="preserve"> Sat Feb 03 2018 17:22:06</t>
  </si>
  <si>
    <t xml:space="preserve"> @Chase You are charging normal bank accounts super high fees to buy bitcoin with @coinbase Terrible</t>
  </si>
  <si>
    <t xml:space="preserve"> downsouth316</t>
  </si>
  <si>
    <t xml:space="preserve"> Lafayette, LA</t>
  </si>
  <si>
    <t xml:space="preserve"> Sat Feb 03 2018 17:22:10</t>
  </si>
  <si>
    <t xml:space="preserve"> Breaking News: Traders currently shorting $BTC are barred from subsequent Long profits #bitcoin</t>
  </si>
  <si>
    <t xml:space="preserve"> petertahoe</t>
  </si>
  <si>
    <t xml:space="preserve"> NYC/LA</t>
  </si>
  <si>
    <t xml:space="preserve"> Sat Feb 03 2018 17:22:22</t>
  </si>
  <si>
    <t xml:space="preserve"> @outragedhuman People learn things like 2FA because of Bitcoin. This is so much more than money.</t>
  </si>
  <si>
    <t xml:space="preserve"> Sat Feb 03 2018 17:22:39</t>
  </si>
  <si>
    <t xml:space="preserve"> Will #bitcoin $BTCUSD be at $10,000 by Monday?  #XRP #BTC #BCH #LTC #ETH #XMR #ADA #NEO #XEM #XLM #MIOTA</t>
  </si>
  <si>
    <t xml:space="preserve"> JoeManzanares</t>
  </si>
  <si>
    <t xml:space="preserve"> Denver</t>
  </si>
  <si>
    <t xml:space="preserve"> Sat Feb 03 2018 17:22:46</t>
  </si>
  <si>
    <t xml:space="preserve"> &gt; #Bitcoin liquidating shorts Yep. That'll happen if you short the 200 SMA touch.</t>
  </si>
  <si>
    <t xml:space="preserve"> RedPillTrading</t>
  </si>
  <si>
    <t xml:space="preserve"> Wonderland</t>
  </si>
  <si>
    <t xml:space="preserve"> Sat Feb 03 2018 17:23:08</t>
  </si>
  <si>
    <t xml:space="preserve"> @vinarmani  ln short there bitcoin vision is not bitcoin.</t>
  </si>
  <si>
    <t xml:space="preserve"> raphaelfranci19</t>
  </si>
  <si>
    <t xml:space="preserve"> Sat Feb 03 2018 17:23:28</t>
  </si>
  <si>
    <t xml:space="preserve"> @NeerajKA Hodl rhymes with coddle.I coddle my bitcoin by hodl-ing them (in a cold storage hardware wallet of course)</t>
  </si>
  <si>
    <t xml:space="preserve"> scottspiegel12</t>
  </si>
  <si>
    <t xml:space="preserve"> Sat Feb 03 2018 17:23:41</t>
  </si>
  <si>
    <t xml:space="preserve"> @Bitcoin Hacking satoshi wallet? Good idea</t>
  </si>
  <si>
    <t xml:space="preserve"> achmaddimyati99</t>
  </si>
  <si>
    <t xml:space="preserve"> Sat Feb 03 2018 17:23:57</t>
  </si>
  <si>
    <t xml:space="preserve"> @theonevortex Bitcoin vs BCash...anyone?</t>
  </si>
  <si>
    <t xml:space="preserve"> NatoshiSto</t>
  </si>
  <si>
    <t xml:space="preserve"> Sat Feb 03 2018 17:23:59</t>
  </si>
  <si>
    <t xml:space="preserve"> @MisterCh0c Do bitcoin fund manager</t>
  </si>
  <si>
    <t xml:space="preserve"> cam_starrett</t>
  </si>
  <si>
    <t xml:space="preserve"> Sat Feb 03 2018 17:24:04</t>
  </si>
  <si>
    <t xml:space="preserve"> @methodman As of September 2017, one bitcoin was equal to nearly $4,000 USD and $4,900 Canadian, according to the CoinDesk calculator.</t>
  </si>
  <si>
    <t xml:space="preserve"> MillerArtworks</t>
  </si>
  <si>
    <t xml:space="preserve"> Sat Feb 03 2018 17:24:15</t>
  </si>
  <si>
    <t xml:space="preserve"> @pierre_rochard I bet that he already has Bitcoin and wants it for even cheaper!</t>
  </si>
  <si>
    <t xml:space="preserve"> CryptoHack19</t>
  </si>
  <si>
    <t xml:space="preserve"> Sat Feb 03 2018 17:24:17</t>
  </si>
  <si>
    <t xml:space="preserve"> @pierre_rochard @paulkrugman Liberals hate bitcoin but theyll be the first ones asking for redistribution of it post hyperbitcoinization</t>
  </si>
  <si>
    <t xml:space="preserve"> BuyTheDipp</t>
  </si>
  <si>
    <t xml:space="preserve"> @socialtechno @fluffypony I bumped into the guy who i told to buy Bitcoin at 14k. He gave me a kiss !!</t>
  </si>
  <si>
    <t xml:space="preserve"> m_refai89</t>
  </si>
  <si>
    <t xml:space="preserve"> Sat Feb 03 2018 17:24:19</t>
  </si>
  <si>
    <t xml:space="preserve"> The current value of BTC at 03:24:08 on 04/02/2018 (AEST) is $11,349.00 AUD. #bitcoin #australia</t>
  </si>
  <si>
    <t xml:space="preserve"> Sat Feb 03 2018 17:24:21</t>
  </si>
  <si>
    <t xml:space="preserve"> The fundamentals for Bitcoin are getting better every day -- as the price is getting cheaper</t>
  </si>
  <si>
    <t xml:space="preserve"> rsky_lv</t>
  </si>
  <si>
    <t xml:space="preserve"> Same Place as You</t>
  </si>
  <si>
    <t xml:space="preserve"> Sat Feb 03 2018 17:24:31</t>
  </si>
  <si>
    <t xml:space="preserve"> @steversus @fimbim @officialmcafee @brave @steemit @Bitcoin Yes would like to know all those icons as well</t>
  </si>
  <si>
    <t xml:space="preserve"> jc_b369</t>
  </si>
  <si>
    <t xml:space="preserve"> Sat Feb 03 2018 17:24:45</t>
  </si>
  <si>
    <t xml:space="preserve"> If you have to use a separate network with a different wallet it's not #Bitcoin. In before #Lightning is the real $BTC.</t>
  </si>
  <si>
    <t xml:space="preserve"> cryptobuckk</t>
  </si>
  <si>
    <t xml:space="preserve"> the moon</t>
  </si>
  <si>
    <t xml:space="preserve"> Sat Feb 03 2018 17:25:19</t>
  </si>
  <si>
    <t xml:space="preserve"> @Crypto_Bitlord Here's what I always see:   Bitcoin is a bubble! *Has bank full of Fiat currency*.</t>
  </si>
  <si>
    <t xml:space="preserve"> buzzkil420</t>
  </si>
  <si>
    <t xml:space="preserve"> So IL</t>
  </si>
  <si>
    <t xml:space="preserve"> Sat Feb 03 2018 17:25:28</t>
  </si>
  <si>
    <t xml:space="preserve"> @bitcoinbella LOL, there's a lot of people like this Bella, please ignore them, all you have to do is buy Bitcoin below 9k and your good</t>
  </si>
  <si>
    <t xml:space="preserve"> bitcoincobra</t>
  </si>
  <si>
    <t xml:space="preserve"> Sat Feb 03 2018 17:26:04</t>
  </si>
  <si>
    <t xml:space="preserve"> @Bitcoin Seems</t>
  </si>
  <si>
    <t xml:space="preserve"> erin41437169</t>
  </si>
  <si>
    <t xml:space="preserve"> Sat Feb 03 2018 17:26:07</t>
  </si>
  <si>
    <t xml:space="preserve"> @__jvzii it's the perfect time to throw ass for bitcoin</t>
  </si>
  <si>
    <t xml:space="preserve"> _evanizer</t>
  </si>
  <si>
    <t xml:space="preserve"> Sat Feb 03 2018 17:26:10</t>
  </si>
  <si>
    <t xml:space="preserve"> looking at these bitcoin charts...and its like the cloud doesnt even matter at this point...just basics..support, resistance, volume</t>
  </si>
  <si>
    <t xml:space="preserve"> TheRealShamIAm</t>
  </si>
  <si>
    <t xml:space="preserve"> A bar near you...</t>
  </si>
  <si>
    <t xml:space="preserve"> Sat Feb 03 2018 17:26:24</t>
  </si>
  <si>
    <t xml:space="preserve"> @NeocCrypto @CryptoCobain Can you photoshop Bitcoin logo hitting him in the end like a cannonball?</t>
  </si>
  <si>
    <t xml:space="preserve"> NANOVlTA</t>
  </si>
  <si>
    <t xml:space="preserve"> Sat Feb 03 2018 17:26:46</t>
  </si>
  <si>
    <t xml:space="preserve"> Yo Memo was so overvalued, it makes bitcoin seem like a good deal. #YoMemoJokes</t>
  </si>
  <si>
    <t xml:space="preserve"> theeoldsage</t>
  </si>
  <si>
    <t xml:space="preserve"> Sat Feb 03 2018 17:26:59</t>
  </si>
  <si>
    <t xml:space="preserve"> @PeterLBrandt People put all the faith in the world on smart contracts, but #Bitcoin adopting #rootstock flies right under their radar. SMH</t>
  </si>
  <si>
    <t xml:space="preserve"> Chris88Ovoxo</t>
  </si>
  <si>
    <t xml:space="preserve"> Sacramento, CA</t>
  </si>
  <si>
    <t xml:space="preserve"> Sat Feb 03 2018 17:27:12</t>
  </si>
  <si>
    <t xml:space="preserve"> $bcpt looking to hit a $1.00 today! #btc #bitcoin #eth #ETHEREUM #ltc #litecoin #Crypto</t>
  </si>
  <si>
    <t xml:space="preserve"> Jim51031829</t>
  </si>
  <si>
    <t xml:space="preserve"> Sat Feb 03 2018 17:27:23</t>
  </si>
  <si>
    <t xml:space="preserve"> @DailySentinelGJ Will they take bitcoin or litecoin for payment? :-)</t>
  </si>
  <si>
    <t xml:space="preserve"> RCR970</t>
  </si>
  <si>
    <t xml:space="preserve"> Colorado</t>
  </si>
  <si>
    <t xml:space="preserve"> Sat Feb 03 2018 17:28:26</t>
  </si>
  <si>
    <t xml:space="preserve"> @LGWillmore @Sebaldian @paulkrugman The problem with seeing that future for bitcoin is that technology obsoletes.</t>
  </si>
  <si>
    <t xml:space="preserve"> BioTurboNick</t>
  </si>
  <si>
    <t xml:space="preserve"> Sat Feb 03 2018 17:29:24</t>
  </si>
  <si>
    <t xml:space="preserve"> @TraceMe_App here is a great app for the #crypto space #bitcoin</t>
  </si>
  <si>
    <t xml:space="preserve"> Sat Feb 03 2018 17:29:32</t>
  </si>
  <si>
    <t xml:space="preserve"> Typical in crypto should have bough Bitcoin yesterday $BTC</t>
  </si>
  <si>
    <t xml:space="preserve"> LeRatton</t>
  </si>
  <si>
    <t xml:space="preserve"> Sat Feb 03 2018 17:29:42</t>
  </si>
  <si>
    <t xml:space="preserve"> @crypto_bobby Going to gift some bitcoin to the newlyweds?</t>
  </si>
  <si>
    <t xml:space="preserve"> BrentTLittle</t>
  </si>
  <si>
    <t xml:space="preserve"> Bismarck, ND</t>
  </si>
  <si>
    <t xml:space="preserve"> Sat Feb 03 2018 17:29:49</t>
  </si>
  <si>
    <t xml:space="preserve"> @CNBCFastMoney @BKBrianKelly Bitcoin is buy more ripple.</t>
  </si>
  <si>
    <t xml:space="preserve"> SlimShadyTheM80</t>
  </si>
  <si>
    <t xml:space="preserve"> Sat Feb 03 2018 17:29:54</t>
  </si>
  <si>
    <t xml:space="preserve"> Wow. I had not checked bitcoin price since late last night and we have bounced up from a low of 7,625.25 to an intraday high of 9,443.96.</t>
  </si>
  <si>
    <t xml:space="preserve"> FXPIPTITAN</t>
  </si>
  <si>
    <t xml:space="preserve"> Sat Feb 03 2018 17:30:01</t>
  </si>
  <si>
    <t xml:space="preserve"> @NeerajKA Let's change it. Let's call it hoarding. Or hoard bitcoin. Is that better?</t>
  </si>
  <si>
    <t xml:space="preserve"> Livestradamus</t>
  </si>
  <si>
    <t xml:space="preserve"> Somewhere over the rainbow, way up high</t>
  </si>
  <si>
    <t xml:space="preserve"> Sat Feb 03 2018 17:30:02</t>
  </si>
  <si>
    <t xml:space="preserve"> @LGWillmore @Sebaldian @paulkrugman Could we see a cryptoUSD? Sure, maybe. But that would be used instead of bitcoin.</t>
  </si>
  <si>
    <t xml:space="preserve"> Sat Feb 03 2018 17:30:03</t>
  </si>
  <si>
    <t xml:space="preserve"> BITCOIN GOING CRAZY TODAY. WOOOOOOOO</t>
  </si>
  <si>
    <t xml:space="preserve"> Bitcoin:$9274.87 Ethereum:$969.453 Bitcoin Cash:$1251.24 Litecoin:$147.505 Ripple:$0.933653 IOTA:$1.98092</t>
  </si>
  <si>
    <t xml:space="preserve"> Sat Feb 03 2018 17:30:05</t>
  </si>
  <si>
    <t xml:space="preserve"> @StephenKing @SonjaPlomp And Bitcoin ?????</t>
  </si>
  <si>
    <t xml:space="preserve"> Mozes020</t>
  </si>
  <si>
    <t xml:space="preserve"> Amsterdam, The Netherlands</t>
  </si>
  <si>
    <t xml:space="preserve"> Sat Feb 03 2018 17:30:13</t>
  </si>
  <si>
    <t xml:space="preserve"> Bitcoin price is dependent on tether, which is backed by a single company. Doesn't sound like Ripple at all.</t>
  </si>
  <si>
    <t xml:space="preserve"> rdtajj</t>
  </si>
  <si>
    <t xml:space="preserve"> Sat Feb 03 2018 17:30:16</t>
  </si>
  <si>
    <t xml:space="preserve"> Happy as hell Bitcoin going back up and its all star Saturdays tonight at opyum!!!</t>
  </si>
  <si>
    <t xml:space="preserve"> iceburg313</t>
  </si>
  <si>
    <t xml:space="preserve"> DETROIT MIAMI TEXAS DMV LA PHI</t>
  </si>
  <si>
    <t xml:space="preserve"> Sat Feb 03 2018 17:30:32</t>
  </si>
  <si>
    <t xml:space="preserve"> In This Storm, Be Hopeful #cryptocurrency #bitcoin #ethereum #blockchain #ico #ai #altcoin #forex #btc #eth #crypto #altcoin #smartcontracts</t>
  </si>
  <si>
    <t xml:space="preserve"> durangoforex</t>
  </si>
  <si>
    <t xml:space="preserve"> Sat Feb 03 2018 17:30:41</t>
  </si>
  <si>
    <t xml:space="preserve"> @PeterSchiff Says Bitcoin is a bubble... Has bank full of Fiat debtor currency....  Seems legit.</t>
  </si>
  <si>
    <t xml:space="preserve"> Sat Feb 03 2018 17:30:57</t>
  </si>
  <si>
    <t xml:space="preserve"> Crypto is up, its the weekend, what more do you want? #moon #bitcoincrash #BitcoinToken #bitcoin #btc #CryptoNews #crypto</t>
  </si>
  <si>
    <t xml:space="preserve"> 2Coins1Cup</t>
  </si>
  <si>
    <t xml:space="preserve"> in the Ether</t>
  </si>
  <si>
    <t xml:space="preserve"> Sat Feb 03 2018 17:31:03</t>
  </si>
  <si>
    <t xml:space="preserve"> @reevesjw @paulkrugman Maybe you should read the Bitcoin whitepaper. Its only 8 pages.</t>
  </si>
  <si>
    <t xml:space="preserve"> ThusSpakBitcoin</t>
  </si>
  <si>
    <t xml:space="preserve"> Cork, Ireland. </t>
  </si>
  <si>
    <t xml:space="preserve"> Sat Feb 03 2018 17:31:12</t>
  </si>
  <si>
    <t xml:space="preserve"> Hello humans, #Bitcoin is currently around $9274.87 as of Sat Feb  3 11:31:08 CST 2018</t>
  </si>
  <si>
    <t xml:space="preserve"> Sat Feb 03 2018 17:31:13</t>
  </si>
  <si>
    <t xml:space="preserve"> @FXPIPTITAN Cmon mate, thats quite normal for bitcoin :)</t>
  </si>
  <si>
    <t xml:space="preserve"> lampidicsparrow</t>
  </si>
  <si>
    <t xml:space="preserve"> City of London, London</t>
  </si>
  <si>
    <t xml:space="preserve"> Sat Feb 03 2018 17:31:19</t>
  </si>
  <si>
    <t xml:space="preserve"> Here we go again. #bitcoin #cryptocurrency</t>
  </si>
  <si>
    <t xml:space="preserve"> willricketts</t>
  </si>
  <si>
    <t xml:space="preserve"> Bellingham, WA</t>
  </si>
  <si>
    <t xml:space="preserve"> Sat Feb 03 2018 17:31:26</t>
  </si>
  <si>
    <t xml:space="preserve"> Bitcoin doesn't actually exist</t>
  </si>
  <si>
    <t xml:space="preserve"> Noel_18Mahrab</t>
  </si>
  <si>
    <t xml:space="preserve"> Antarctica</t>
  </si>
  <si>
    <t xml:space="preserve"> Sat Feb 03 2018 17:31:47</t>
  </si>
  <si>
    <t xml:space="preserve"> Keep #hodl .. the fun still not their yet ... wait #cryptocurrencynews #bitcoin #HODL</t>
  </si>
  <si>
    <t xml:space="preserve"> MidaAcura</t>
  </si>
  <si>
    <t xml:space="preserve"> Sat Feb 03 2018 17:31:48</t>
  </si>
  <si>
    <t xml:space="preserve"> I just found out about the 19-year-old Bitcoin millionaire, and I'm ready to be euthanized now.</t>
  </si>
  <si>
    <t xml:space="preserve"> alexjkane</t>
  </si>
  <si>
    <t xml:space="preserve"> Galesburg, IL</t>
  </si>
  <si>
    <t xml:space="preserve"> Sat Feb 03 2018 17:31:50</t>
  </si>
  <si>
    <t xml:space="preserve"> @iamabitcorn damn i can't believe bitcoin is 50k already hells yeah</t>
  </si>
  <si>
    <t xml:space="preserve"> TehJoeCow</t>
  </si>
  <si>
    <t xml:space="preserve"> around</t>
  </si>
  <si>
    <t xml:space="preserve"> Sat Feb 03 2018 17:31:52</t>
  </si>
  <si>
    <t xml:space="preserve"> @BTCTN Exactly bitcoin got game, too the moon</t>
  </si>
  <si>
    <t xml:space="preserve"> Sat Feb 03 2018 17:32:27</t>
  </si>
  <si>
    <t xml:space="preserve"> Waiting for Bitcoin to take off so I can get a used 2014 Toyota Camry. Treat yourself.</t>
  </si>
  <si>
    <t xml:space="preserve"> thetennisphenom</t>
  </si>
  <si>
    <t xml:space="preserve"> Sat Feb 03 2018 17:33:03</t>
  </si>
  <si>
    <t xml:space="preserve"> #Bitcoin is recovering from thr flu.</t>
  </si>
  <si>
    <t xml:space="preserve"> BLOCKNINETYNINE</t>
  </si>
  <si>
    <t xml:space="preserve"> A filled-up Hollow Earth</t>
  </si>
  <si>
    <t xml:space="preserve"> Sat Feb 03 2018 17:33:07</t>
  </si>
  <si>
    <t xml:space="preserve"> @BitcoinEdu Great , like POTUS boast about the DJI up , but no jobs , who cares , #bitcoin has no use.</t>
  </si>
  <si>
    <t xml:space="preserve"> Sat Feb 03 2018 17:33:30</t>
  </si>
  <si>
    <t xml:space="preserve"> @datnofact Are you sure this is not a bitcoin address?</t>
  </si>
  <si>
    <t xml:space="preserve"> i8Adam</t>
  </si>
  <si>
    <t xml:space="preserve"> Scotland</t>
  </si>
  <si>
    <t xml:space="preserve"> Sat Feb 03 2018 17:33:46</t>
  </si>
  <si>
    <t xml:space="preserve"> It is as much a weakness as a strength, but the defining nature of bitcoin is that of a story. A story written in immutable code.</t>
  </si>
  <si>
    <t xml:space="preserve"> neilscudder</t>
  </si>
  <si>
    <t xml:space="preserve"> UTC</t>
  </si>
  <si>
    <t xml:space="preserve"> Sat Feb 03 2018 17:33:53</t>
  </si>
  <si>
    <t xml:space="preserve"> @PeterSchiff You understand that bitcoin was at 3k 6 months ago right? Or do you just refuse to open daily candlesticks.</t>
  </si>
  <si>
    <t xml:space="preserve"> mckay_haynie</t>
  </si>
  <si>
    <t xml:space="preserve"> Tempe, AZ</t>
  </si>
  <si>
    <t xml:space="preserve"> Sat Feb 03 2018 17:33:58</t>
  </si>
  <si>
    <t xml:space="preserve"> @Kilo89Echo @paulkrugman Whose burning?  We are up more than 10X since Krugman called bitcoin evil.</t>
  </si>
  <si>
    <t xml:space="preserve"> nirvanadev</t>
  </si>
  <si>
    <t xml:space="preserve"> Sat Feb 03 2018 17:34:34</t>
  </si>
  <si>
    <t xml:space="preserve"> @XHNews Bitcoin is up over 700% since last year and moving up again now. Get your facts straight #fakenews</t>
  </si>
  <si>
    <t xml:space="preserve"> Sat Feb 03 2018 17:34:38</t>
  </si>
  <si>
    <t xml:space="preserve"> @highway_62 Bitcoin cannot fail: It can only be failed.</t>
  </si>
  <si>
    <t xml:space="preserve"> JackFeerick</t>
  </si>
  <si>
    <t xml:space="preserve"> The Flower City</t>
  </si>
  <si>
    <t xml:space="preserve"> Sat Feb 03 2018 17:34:44</t>
  </si>
  <si>
    <t xml:space="preserve"> @PatrickALatta3 @paulkrugman Bitcoin is a commodity and offers many services.  You can call it a ponzi but just makes you look foolish.</t>
  </si>
  <si>
    <t xml:space="preserve"> Sat Feb 03 2018 17:35:02</t>
  </si>
  <si>
    <t xml:space="preserve"> ZEBPAY BITCOIN WALLET HOW TO BUY BITCOIN INSTANTLY ||    ?:</t>
  </si>
  <si>
    <t xml:space="preserve"> MoneyGrowth77</t>
  </si>
  <si>
    <t xml:space="preserve"> Bazpur, India</t>
  </si>
  <si>
    <t xml:space="preserve"> Sat Feb 03 2018 17:35:10</t>
  </si>
  <si>
    <t xml:space="preserve"> This is my first time seeing a bitcoin correction like this. I will be more prepared and educated for the next one</t>
  </si>
  <si>
    <t xml:space="preserve"> KingCrypto840</t>
  </si>
  <si>
    <t xml:space="preserve"> Sat Feb 03 2018 17:35:24</t>
  </si>
  <si>
    <t xml:space="preserve"> Blockchain, Bitcoin, cryptocurrency and all the things we think we know, but are probably faking | Ladders</t>
  </si>
  <si>
    <t xml:space="preserve"> Sat Feb 03 2018 17:35:33</t>
  </si>
  <si>
    <t xml:space="preserve"> Optimal tx fee: 60 satoshi per byte.  BTC : $9282 / 7448 / 6572 @ Block 507463.  Market Cap: 158.49B USD. #Bitcoin #Fintech</t>
  </si>
  <si>
    <t xml:space="preserve"> Sat Feb 03 2018 17:35:41</t>
  </si>
  <si>
    <t xml:space="preserve"> @TotalBuzzKit @ButalikViterin @pierre_rochard You can do that with bitcoin paper wallet</t>
  </si>
  <si>
    <t xml:space="preserve"> CryptoBuddha86</t>
  </si>
  <si>
    <t xml:space="preserve"> Sat Feb 03 2018 17:35:52</t>
  </si>
  <si>
    <t xml:space="preserve"> @haydentiff Better money. #BCH FTW #Bitcoin</t>
  </si>
  <si>
    <t xml:space="preserve"> Terrydtate</t>
  </si>
  <si>
    <t xml:space="preserve"> Sat Feb 03 2018 17:36:08</t>
  </si>
  <si>
    <t xml:space="preserve"> Bitcoin should tip back over to $10k this weekend, if it holds... We're back. :-)</t>
  </si>
  <si>
    <t xml:space="preserve"> MMagudia</t>
  </si>
  <si>
    <t xml:space="preserve"> Sat Feb 03 2018 17:36:11</t>
  </si>
  <si>
    <t xml:space="preserve"> @fatkylliejenner Investier in Bitcoin.</t>
  </si>
  <si>
    <t xml:space="preserve"> hriday_</t>
  </si>
  <si>
    <t xml:space="preserve"> SinCity.</t>
  </si>
  <si>
    <t xml:space="preserve"> Sat Feb 03 2018 17:36:39</t>
  </si>
  <si>
    <t xml:space="preserve"> @Xentagz No record... Err... We talking about the same Bitcoin here?</t>
  </si>
  <si>
    <t xml:space="preserve"> JofArnold</t>
  </si>
  <si>
    <t xml:space="preserve"> Deptford, London</t>
  </si>
  <si>
    <t xml:space="preserve"> Sat Feb 03 2018 17:36:45</t>
  </si>
  <si>
    <t xml:space="preserve"> @mediocregandhi Not safe...Bitcoin mile honge</t>
  </si>
  <si>
    <t xml:space="preserve"> _funtoosh_</t>
  </si>
  <si>
    <t xml:space="preserve"> Sat Feb 03 2018 17:36:51</t>
  </si>
  <si>
    <t xml:space="preserve"> @Nature_and_Race How long until a bitcoin style rise in white racial consciousness.</t>
  </si>
  <si>
    <t xml:space="preserve"> TheAshkeNaz</t>
  </si>
  <si>
    <t xml:space="preserve"> Sat Feb 03 2018 17:37:26</t>
  </si>
  <si>
    <t xml:space="preserve"> @Anerdinthehouse Many of the original minds behind Bitcoin were pushed out by Blockstream. I'm with them.</t>
  </si>
  <si>
    <t xml:space="preserve"> Sat Feb 03 2018 17:37:28</t>
  </si>
  <si>
    <t xml:space="preserve"> @Super_Crypto Can this also mean that big Bitcoin investers liquidated big positions so they are ready for the bear market.</t>
  </si>
  <si>
    <t xml:space="preserve"> CoinDigger_</t>
  </si>
  <si>
    <t xml:space="preserve"> Sat Feb 03 2018 17:38:00</t>
  </si>
  <si>
    <t xml:space="preserve"> FireFly Coin (FFC) is about to take off!! #bitcoin #crypto #fireflycoin</t>
  </si>
  <si>
    <t xml:space="preserve"> TheCarpForum</t>
  </si>
  <si>
    <t xml:space="preserve"> Sat Feb 03 2018 17:38:25</t>
  </si>
  <si>
    <t xml:space="preserve"> Project to Subsidize Electricity Costs to Cryptocurrency Miners with Inexpensive Hydropower #Bitcoin</t>
  </si>
  <si>
    <t xml:space="preserve"> Sat Feb 03 2018 17:38:48</t>
  </si>
  <si>
    <t xml:space="preserve"> @Xentagz @rogerkver bitcoin cash is the real bitcoin! bitcoin should change name to Bitcoin Core! peace!</t>
  </si>
  <si>
    <t xml:space="preserve"> CalsadoII</t>
  </si>
  <si>
    <t xml:space="preserve"> Sat Feb 03 2018 17:38:55</t>
  </si>
  <si>
    <t xml:space="preserve"> @Rich_Downing @howroute @paulkrugman I understand blockchain.  I am an advisor to a blockchain company.  Bitcoin is a scam.</t>
  </si>
  <si>
    <t xml:space="preserve"> jrootham</t>
  </si>
  <si>
    <t xml:space="preserve"> Sat Feb 03 2018 17:39:00</t>
  </si>
  <si>
    <t xml:space="preserve"> @cryptodailyuk Hey guys, did you delete your article that just copy and pasted my one about bittrex?  #bitcoin</t>
  </si>
  <si>
    <t xml:space="preserve"> JamieHolmes1991</t>
  </si>
  <si>
    <t xml:space="preserve"> Sat Feb 03 2018 17:39:49</t>
  </si>
  <si>
    <t xml:space="preserve"> Let's see, January contains: - Spaghet - Ugandan Knuckles - Tide Pods - Logan Paul - Bitcoin (?)  What did I miss?</t>
  </si>
  <si>
    <t xml:space="preserve"> brotaraft</t>
  </si>
  <si>
    <t xml:space="preserve"> Tangerang, Indonesia</t>
  </si>
  <si>
    <t xml:space="preserve"> Sat Feb 03 2018 17:39:53</t>
  </si>
  <si>
    <t xml:space="preserve"> you can mine bitcoin on ubiquity antennas just fyi</t>
  </si>
  <si>
    <t xml:space="preserve"> psygnisfive</t>
  </si>
  <si>
    <t xml:space="preserve"> probably @noisebridge</t>
  </si>
  <si>
    <t xml:space="preserve"> Sat Feb 03 2018 17:40:01</t>
  </si>
  <si>
    <t xml:space="preserve"> looking at these bitcoin charts...and its like my butt doesnt even matter at this point...just basics..support, resistance, volume</t>
  </si>
  <si>
    <t xml:space="preserve"> CloudyButt</t>
  </si>
  <si>
    <t xml:space="preserve"> Internet of Thangs</t>
  </si>
  <si>
    <t xml:space="preserve"> Sat Feb 03 2018 17:40:16</t>
  </si>
  <si>
    <t xml:space="preserve"> @themerklenews (33144 follows) Its the Final Countdown! 14 Days until the Bitcoin, Ethereum, and Blockchain Super Conference https:/...</t>
  </si>
  <si>
    <t xml:space="preserve"> Sat Feb 03 2018 17:40:33</t>
  </si>
  <si>
    <t xml:space="preserve"> Bitcoin is going to change the world from a money transactional standpoint #akon #bitcoin #bitcoins #bitcointrading</t>
  </si>
  <si>
    <t xml:space="preserve"> Sat Feb 03 2018 17:40:36</t>
  </si>
  <si>
    <t xml:space="preserve"> @Tikidikboy @AlppIsik Alp'te bitcoin bitermi : )</t>
  </si>
  <si>
    <t xml:space="preserve"> tourism_boy</t>
  </si>
  <si>
    <t xml:space="preserve"> Sat Feb 03 2018 17:40:42</t>
  </si>
  <si>
    <t xml:space="preserve"> @seefelder Yes. So hard to have people see that Bitcoin is not a mesh</t>
  </si>
  <si>
    <t xml:space="preserve"> ProfFaustus</t>
  </si>
  <si>
    <t xml:space="preserve"> Earth, Scaling Bitcoin</t>
  </si>
  <si>
    <t xml:space="preserve"> Sat Feb 03 2018 17:40:46</t>
  </si>
  <si>
    <t xml:space="preserve"> Which book(s) have you read, that were written more than 30 years ago, that are relevant to bitcoin?</t>
  </si>
  <si>
    <t xml:space="preserve"> Sat Feb 03 2018 17:40:53</t>
  </si>
  <si>
    <t xml:space="preserve"> Dow Jones looking like bitcoin</t>
  </si>
  <si>
    <t xml:space="preserve"> Forexkiller101</t>
  </si>
  <si>
    <t xml:space="preserve"> London </t>
  </si>
  <si>
    <t xml:space="preserve"> Sat Feb 03 2018 17:41:10</t>
  </si>
  <si>
    <t xml:space="preserve"> @desota @BlueLineFutures Hahaha. Bitcoin has no measurable value.</t>
  </si>
  <si>
    <t xml:space="preserve"> Sat Feb 03 2018 17:41:15</t>
  </si>
  <si>
    <t xml:space="preserve"> #Bitcoin Betting Online  #article #social  @Canuckclicks @myartsubmit</t>
  </si>
  <si>
    <t xml:space="preserve"> netdatabiz</t>
  </si>
  <si>
    <t xml:space="preserve"> Sat Feb 03 2018 17:41:17</t>
  </si>
  <si>
    <t xml:space="preserve"> If a #bitcoin falls in the forest does anyone hear ?</t>
  </si>
  <si>
    <t xml:space="preserve"> MesmarizeFilms</t>
  </si>
  <si>
    <t xml:space="preserve"> Toronto - Canada</t>
  </si>
  <si>
    <t xml:space="preserve"> Sat Feb 03 2018 17:41:22</t>
  </si>
  <si>
    <t xml:space="preserve"> Bitcoin percentage of market cap: 34.67 % #BPOMC #Bitcoin #Altcoin #Blockchain #Cryptocurrency #Dominance</t>
  </si>
  <si>
    <t xml:space="preserve"> Sat Feb 03 2018 17:41:29</t>
  </si>
  <si>
    <t xml:space="preserve"> HODL #btc #bitcoin  #cryptocurrency  retweet</t>
  </si>
  <si>
    <t xml:space="preserve"> LOL I told folks to leave those Bitcoin club or whatever else that folks are hawking online alone lol</t>
  </si>
  <si>
    <t xml:space="preserve"> RedEye_Ink</t>
  </si>
  <si>
    <t xml:space="preserve"> Sat Feb 03 2018 17:41:48</t>
  </si>
  <si>
    <t xml:space="preserve"> someone has definitely mined bitcoin on a gas powered blender right</t>
  </si>
  <si>
    <t xml:space="preserve"> l1quidcryst4l</t>
  </si>
  <si>
    <t xml:space="preserve"> Sat Feb 03 2018 17:41:54</t>
  </si>
  <si>
    <t xml:space="preserve"> Interesting to see that #Bitcoin no longer has premium status on Korean exchanges when compared to #GDAX or #Binance. #Crypto</t>
  </si>
  <si>
    <t xml:space="preserve"> TragicallyGreat</t>
  </si>
  <si>
    <t xml:space="preserve"> Maryland, USA</t>
  </si>
  <si>
    <t xml:space="preserve"> Sat Feb 03 2018 17:42:13</t>
  </si>
  <si>
    <t xml:space="preserve"> @CarpeNoctom @rogerkver @VitalikButerin BItcoin trash is also down 48% for the month.. let that sink in</t>
  </si>
  <si>
    <t xml:space="preserve"> BluNteD</t>
  </si>
  <si>
    <t xml:space="preserve"> Sat Feb 03 2018 17:42:21</t>
  </si>
  <si>
    <t xml:space="preserve"> I do think Bitcoin is the first [encrypted money] that has the potential to do something like change the world #bitcoin #bitcoinsfuture</t>
  </si>
  <si>
    <t xml:space="preserve"> Sat Feb 03 2018 17:42:28</t>
  </si>
  <si>
    <t xml:space="preserve"> FireFly Coin (FFC) very cheap and about to sky rocket!!  200,000% estimated returns  #crypto #profit #bitcoincrash #bitcoin #fireflycoin</t>
  </si>
  <si>
    <t xml:space="preserve"> Sat Feb 03 2018 17:42:46</t>
  </si>
  <si>
    <t xml:space="preserve"> @GILLY_ROYAL Bitcoin seems like one big social experiment.. greed vs fear</t>
  </si>
  <si>
    <t xml:space="preserve"> Kimz_brownsugar</t>
  </si>
  <si>
    <t xml:space="preserve"> Jamaica x NY </t>
  </si>
  <si>
    <t xml:space="preserve"> Sat Feb 03 2018 17:42:52</t>
  </si>
  <si>
    <t xml:space="preserve"> short bitcoin right here, 9288, stop above 9500, looking for new lows sub 7400, may hold a piece for the puke lower from there</t>
  </si>
  <si>
    <t xml:space="preserve"> bbc1183</t>
  </si>
  <si>
    <t xml:space="preserve"> Sat Feb 03 2018 17:43:27</t>
  </si>
  <si>
    <t xml:space="preserve"> Is regulation... #blockchain #Bitcoin #crypto #FinTech #RegTech</t>
  </si>
  <si>
    <t xml:space="preserve"> JuanLlanos</t>
  </si>
  <si>
    <t xml:space="preserve"> Manhattan, NY</t>
  </si>
  <si>
    <t xml:space="preserve"> Sat Feb 03 2018 17:43:43</t>
  </si>
  <si>
    <t xml:space="preserve"> @freebitco  came free bitcoin to #Cancun #Mexico</t>
  </si>
  <si>
    <t xml:space="preserve"> PoliticsQRoo</t>
  </si>
  <si>
    <t xml:space="preserve"> Benito Jurez, Quintana Roo</t>
  </si>
  <si>
    <t xml:space="preserve"> Sat Feb 03 2018 17:43:52</t>
  </si>
  <si>
    <t xml:space="preserve"> @Bitcoin @BitcoinBram Roger. NO is plenty.</t>
  </si>
  <si>
    <t xml:space="preserve"> BearishWhale</t>
  </si>
  <si>
    <t xml:space="preserve"> Sat Feb 03 2018 17:43:57</t>
  </si>
  <si>
    <t xml:space="preserve"> @qweety_ show me the bitcoin</t>
  </si>
  <si>
    <t xml:space="preserve"> Shizamura</t>
  </si>
  <si>
    <t xml:space="preserve"> Praias do Mindelo</t>
  </si>
  <si>
    <t xml:space="preserve"> Sat Feb 03 2018 17:44:21</t>
  </si>
  <si>
    <t xml:space="preserve"> If you think bulge bracket banks will bank the 4 billion unbanked people around the world, you're a fool.  #Bitcoin will....</t>
  </si>
  <si>
    <t xml:space="preserve"> Crypto_Fried</t>
  </si>
  <si>
    <t xml:space="preserve"> Sat Feb 03 2018 17:44:30</t>
  </si>
  <si>
    <t xml:space="preserve"> @vakeraj @no5tar @CashApp @jack Bitcoin Cash is Bitcoin. Executing the vision of Satoshi in the original white paper.</t>
  </si>
  <si>
    <t xml:space="preserve"> Sat Feb 03 2018 17:44:37</t>
  </si>
  <si>
    <t xml:space="preserve"> @seefelder Exactly  Bitcoin becomes Core and Cash.  In time we see the results</t>
  </si>
  <si>
    <t xml:space="preserve"> Sat Feb 03 2018 17:44:43</t>
  </si>
  <si>
    <t xml:space="preserve"> It's downright religious, and the spread of bitcoin on the internet is not unlike the spread of the bible on the printing press.</t>
  </si>
  <si>
    <t xml:space="preserve"> Sat Feb 03 2018 17:45:02</t>
  </si>
  <si>
    <t xml:space="preserve"> There are currently 11,556 unconfirmed Bitcoin transactions. #bitcoin #btc $BTC</t>
  </si>
  <si>
    <t xml:space="preserve"> Sat Feb 03 2018 17:45:10</t>
  </si>
  <si>
    <t xml:space="preserve"> @BreakingOutBad Buying bitcoin at 19k</t>
  </si>
  <si>
    <t xml:space="preserve"> belal_in</t>
  </si>
  <si>
    <t xml:space="preserve"> Sat Feb 03 2018 17:45:21</t>
  </si>
  <si>
    <t xml:space="preserve"> @leighblue bitcoin is also delicious with salt, avocado and a slice of toasted bread, plus maybe some cheese or cold cuts</t>
  </si>
  <si>
    <t xml:space="preserve"> guacamayan</t>
  </si>
  <si>
    <t xml:space="preserve"> Sat Feb 03 2018 17:45:33</t>
  </si>
  <si>
    <t xml:space="preserve"> Bitcoin has been banned by Facebook. Someone please explain to me why this would happen if Bitcoin was just a bubble.</t>
  </si>
  <si>
    <t xml:space="preserve"> luke_wheelo</t>
  </si>
  <si>
    <t xml:space="preserve"> Sat Feb 03 2018 17:46:24</t>
  </si>
  <si>
    <t xml:space="preserve"> @LN_Master_Hub @Valustks1 @alexbosworth 100k bitcoin hell yeah...possibly more once the mainstream starts using it globally</t>
  </si>
  <si>
    <t xml:space="preserve"> ViralKiller1</t>
  </si>
  <si>
    <t xml:space="preserve"> Sat Feb 03 2018 17:46:33</t>
  </si>
  <si>
    <t xml:space="preserve"> @austinnotduncan @AMD Can you mine bitcoin on it?</t>
  </si>
  <si>
    <t xml:space="preserve"> epicnerdbro</t>
  </si>
  <si>
    <t xml:space="preserve"> Schleswig-Holstein, Germany</t>
  </si>
  <si>
    <t xml:space="preserve"> Sat Feb 03 2018 17:46:36</t>
  </si>
  <si>
    <t xml:space="preserve"> @ericndiku Hehehe... Im ok. Bitcoin is a mess. Buy Cardano!</t>
  </si>
  <si>
    <t xml:space="preserve"> techytimo</t>
  </si>
  <si>
    <t xml:space="preserve"> Nairobi, Kenya.</t>
  </si>
  <si>
    <t xml:space="preserve"> Sat Feb 03 2018 17:47:24</t>
  </si>
  <si>
    <t xml:space="preserve"> tfw you overhear a group of twats in the coffee shoppe discussing their Bitcoin investing/startups</t>
  </si>
  <si>
    <t xml:space="preserve"> mathmare_</t>
  </si>
  <si>
    <t xml:space="preserve"> Manehattan, NY</t>
  </si>
  <si>
    <t xml:space="preserve"> Sat Feb 03 2018 17:47:30</t>
  </si>
  <si>
    <t xml:space="preserve"> Bitcoin Bull Trap forming. Dont be fooled. Heading to 7k in the next 2 weeks THAN its go time towards 35k by end of March.</t>
  </si>
  <si>
    <t xml:space="preserve"> nykes1218</t>
  </si>
  <si>
    <t xml:space="preserve"> Sat Feb 03 2018 17:47:31</t>
  </si>
  <si>
    <t xml:space="preserve"> Wordcount fluctuating so much it's beginning to resemble the bitcoin exchange rate.</t>
  </si>
  <si>
    <t xml:space="preserve"> danwaterfield</t>
  </si>
  <si>
    <t xml:space="preserve"> Sat Feb 03 2018 17:48:02</t>
  </si>
  <si>
    <t xml:space="preserve"> CryptoCompare Bitcoin price changed -1.23% to $9232.68 #bitcoin</t>
  </si>
  <si>
    <t xml:space="preserve"> Sat Feb 03 2018 17:48:15</t>
  </si>
  <si>
    <t xml:space="preserve"> @BTCTN bitcoin should change name to BITCOIN CORE!</t>
  </si>
  <si>
    <t xml:space="preserve"> Sat Feb 03 2018 17:48:55</t>
  </si>
  <si>
    <t xml:space="preserve"> Special offer for cr gems  $43/14k gems (5-10mins load time) Payment only by skrill,western union or bitcoin...</t>
  </si>
  <si>
    <t xml:space="preserve"> adityaverma53</t>
  </si>
  <si>
    <t xml:space="preserve"> Sat Feb 03 2018 17:48:56</t>
  </si>
  <si>
    <t xml:space="preserve"> A fun afternoon spreading 10k across 10 coins, I wish I had more fiat to play with! #bitcoin #Altcoins #shoppingspree</t>
  </si>
  <si>
    <t xml:space="preserve"> richslatersays</t>
  </si>
  <si>
    <t xml:space="preserve"> Sat Feb 03 2018 17:49:03</t>
  </si>
  <si>
    <t xml:space="preserve"> @russellsh74 @alistairmilne If bitcoin fails 99% of alts will probably fail as well.</t>
  </si>
  <si>
    <t xml:space="preserve"> DomagojPetrovic</t>
  </si>
  <si>
    <t xml:space="preserve"> Sat Feb 03 2018 17:49:11</t>
  </si>
  <si>
    <t xml:space="preserve"> @Egon_01 I prefer Bitcoin is bch, than bch is Bitcoin. I dont know if you notice the suttle difference but i think its better that way.</t>
  </si>
  <si>
    <t xml:space="preserve"> honeyba06350856</t>
  </si>
  <si>
    <t xml:space="preserve"> Sat Feb 03 2018 17:49:23</t>
  </si>
  <si>
    <t xml:space="preserve"> @mocent0 They pay in Bitcoin, which is why they invented it.</t>
  </si>
  <si>
    <t xml:space="preserve"> PeterVeep</t>
  </si>
  <si>
    <t xml:space="preserve"> -18.35, 32.6</t>
  </si>
  <si>
    <t xml:space="preserve"> Sat Feb 03 2018 17:49:26</t>
  </si>
  <si>
    <t xml:space="preserve"> @russfischer Passionate about bitcoin is clear plea for help</t>
  </si>
  <si>
    <t xml:space="preserve"> JormandBigCat</t>
  </si>
  <si>
    <t xml:space="preserve"> Washington DC</t>
  </si>
  <si>
    <t xml:space="preserve"> Sat Feb 03 2018 17:49:50</t>
  </si>
  <si>
    <t xml:space="preserve"> @LarryCl26448757 Advise can lead to a lawsuit lol if youre thinking of mining try out hashflare Im receiving nearly 0.25 bitcoin per day.</t>
  </si>
  <si>
    <t xml:space="preserve"> Sat Feb 03 2018 17:50:02</t>
  </si>
  <si>
    <t xml:space="preserve"> @Neptune__Walker @SavedYouAClickV Think bitcoin</t>
  </si>
  <si>
    <t xml:space="preserve"> JustDThings</t>
  </si>
  <si>
    <t xml:space="preserve"> Sat Feb 03 2018 17:50:05</t>
  </si>
  <si>
    <t xml:space="preserve"> @myfirstsatellit meh. we stuffed a bitcoin wallet and a TOR exit node on the SkySat-1 before it launched.</t>
  </si>
  <si>
    <t xml:space="preserve"> OhMeadhbh</t>
  </si>
  <si>
    <t xml:space="preserve"> Sat Feb 03 2018 17:50:06</t>
  </si>
  <si>
    <t xml:space="preserve"> Buy? Sell? Or wait? Daily Forecasts for EURUSD, GBPUSD, USDJPY, Bitcoin, etc. on Daily, Weekly and Monthly charts. #AProfit #BestEA</t>
  </si>
  <si>
    <t xml:space="preserve"> Raymondvelas_fx</t>
  </si>
  <si>
    <t xml:space="preserve"> Sat Feb 03 2018 17:50:09</t>
  </si>
  <si>
    <t xml:space="preserve"> @LGWillmore @Sebaldian @paulkrugman The tech isn't the bottleneck here. The fact that you can't pay fines and taxes in bitcoin is.</t>
  </si>
  <si>
    <t xml:space="preserve"> Sat Feb 03 2018 17:50:49</t>
  </si>
  <si>
    <t xml:space="preserve"> @sspencer_smb short bitcoin right here, 9288, stop above 9500, looking for new lows sub 7400, may hold a piece for the puke lower from there</t>
  </si>
  <si>
    <t xml:space="preserve"> Sat Feb 03 2018 17:51:06</t>
  </si>
  <si>
    <t xml:space="preserve"> To understand Bitcoin, read Atlas Shrugged.</t>
  </si>
  <si>
    <t xml:space="preserve"> vakeraj</t>
  </si>
  <si>
    <t xml:space="preserve"> Sat Feb 03 2018 17:51:38</t>
  </si>
  <si>
    <t xml:space="preserve"> Looked at my bitcoin and I'm up stupid rn </t>
  </si>
  <si>
    <t xml:space="preserve"> ImperialFlim</t>
  </si>
  <si>
    <t xml:space="preserve"> Sat Feb 03 2018 17:51:40</t>
  </si>
  <si>
    <t xml:space="preserve"> @zebpay I have transferred 5000 money on 22 Jan but still I not got #Bitcoin. Give me my BTC</t>
  </si>
  <si>
    <t xml:space="preserve"> dhaknedd</t>
  </si>
  <si>
    <t xml:space="preserve"> Sat Feb 03 2018 17:51:47</t>
  </si>
  <si>
    <t xml:space="preserve"> @ShapeShift_io Even #Bitcoin wont save @realmarkcuban and his pothole team</t>
  </si>
  <si>
    <t xml:space="preserve"> sti1lmatic</t>
  </si>
  <si>
    <t xml:space="preserve"> Cali4nia</t>
  </si>
  <si>
    <t xml:space="preserve"> Sat Feb 03 2018 17:52:05</t>
  </si>
  <si>
    <t xml:space="preserve"> @batnigger @ahleeyou If bitcoin blows up and i get money imma buy a benz i dont even know how to drive</t>
  </si>
  <si>
    <t xml:space="preserve"> _deadarse</t>
  </si>
  <si>
    <t xml:space="preserve"> Jersey</t>
  </si>
  <si>
    <t xml:space="preserve"> #Bitcoin $1 USD is currently worth 0.00010899 BTC! #GoldCoinJar</t>
  </si>
  <si>
    <t xml:space="preserve"> Sat Feb 03 2018 17:52:18</t>
  </si>
  <si>
    <t xml:space="preserve"> @chigrl Asian Longhorn beetle spreading north from New York will make maple syrup prices look like Bitcoin when they make it into Quebec</t>
  </si>
  <si>
    <t xml:space="preserve"> WineCharlatan</t>
  </si>
  <si>
    <t xml:space="preserve"> Canning, NS, Canada</t>
  </si>
  <si>
    <t xml:space="preserve"> Sat Feb 03 2018 17:52:36</t>
  </si>
  <si>
    <t xml:space="preserve"> Need to put out more 'noob' articles for new bitcoin investors to read</t>
  </si>
  <si>
    <t xml:space="preserve"> ayali1000</t>
  </si>
  <si>
    <t xml:space="preserve"> Sat Feb 03 2018 17:52:38</t>
  </si>
  <si>
    <t xml:space="preserve"> @ShapeShift_io used DGB or Bitcoin Cash far better than Bitcoin (AKA Bitcoin Core)</t>
  </si>
  <si>
    <t xml:space="preserve"> Sat Feb 03 2018 17:52:41</t>
  </si>
  <si>
    <t xml:space="preserve"> Sat Feb 03 2018 17:52:53</t>
  </si>
  <si>
    <t xml:space="preserve"> @BitFlyerFAN Bitcoin Gold Go go go !</t>
  </si>
  <si>
    <t xml:space="preserve"> btg_Joseph</t>
  </si>
  <si>
    <t xml:space="preserve"> Sat Feb 03 2018 17:52:59</t>
  </si>
  <si>
    <t xml:space="preserve"> #Bitcoin may present one more good buying opportunity before getting out of reach. I'd keep some shopping budget until Tuesday night.</t>
  </si>
  <si>
    <t xml:space="preserve"> fcukyaeh</t>
  </si>
  <si>
    <t xml:space="preserve"> San Francisco, USA</t>
  </si>
  <si>
    <t xml:space="preserve"> Sat Feb 03 2018 17:53:11</t>
  </si>
  <si>
    <t xml:space="preserve"> vonbonbon321</t>
  </si>
  <si>
    <t xml:space="preserve"> Sat Feb 03 2018 17:53:32</t>
  </si>
  <si>
    <t xml:space="preserve"> @Carsten71071425 @ProfFaustus @seefelder Graph is key to Bitcoin topology. Mesh is not Bitcoin.</t>
  </si>
  <si>
    <t xml:space="preserve"> PuhekR</t>
  </si>
  <si>
    <t xml:space="preserve"> Sat Feb 03 2018 17:54:23</t>
  </si>
  <si>
    <t xml:space="preserve"> @crazy_crypto I am very positive on the bitcoin, but the twitter is just a fad</t>
  </si>
  <si>
    <t xml:space="preserve"> Sat Feb 03 2018 17:54:45</t>
  </si>
  <si>
    <t xml:space="preserve"> @EVIDENCE4ZAINAB @Azrael67841729 @Bitcoin &amp; yes, may the all powerful Allah grant justice for this atrocity. Insha Allah.</t>
  </si>
  <si>
    <t xml:space="preserve"> fanfare100</t>
  </si>
  <si>
    <t xml:space="preserve"> Sat Feb 03 2018 17:55:16</t>
  </si>
  <si>
    <t xml:space="preserve"> @RichaRichgal1 Should I get Polis, bitcoin lightning or bitcoin gold?</t>
  </si>
  <si>
    <t xml:space="preserve"> Sat Feb 03 2018 17:55:37</t>
  </si>
  <si>
    <t xml:space="preserve"> @Rich_Downing @paulkrugman Bitcoin is Beanie Babies. Go on, be the greater fool.</t>
  </si>
  <si>
    <t xml:space="preserve"> InfoSecAdrian</t>
  </si>
  <si>
    <t xml:space="preserve"> North Carolina, USA</t>
  </si>
  <si>
    <t xml:space="preserve"> Sat Feb 03 2018 17:55:53</t>
  </si>
  <si>
    <t xml:space="preserve"> #Bitcoin, #Cryptocurrency and #Taxes: What You Need to Know</t>
  </si>
  <si>
    <t xml:space="preserve"> BelshawTax</t>
  </si>
  <si>
    <t xml:space="preserve"> Tampa Bay, FL</t>
  </si>
  <si>
    <t xml:space="preserve"> Sat Feb 03 2018 17:56:29</t>
  </si>
  <si>
    <t xml:space="preserve"> Do some magic @bitcoin pls</t>
  </si>
  <si>
    <t xml:space="preserve"> Mourinho0ut</t>
  </si>
  <si>
    <t xml:space="preserve"> Sat Feb 03 2018 17:56:33</t>
  </si>
  <si>
    <t xml:space="preserve"> Front Anus Tentacle Hitler is coincidentally part of my bitcoin wallet key</t>
  </si>
  <si>
    <t xml:space="preserve"> clastowka</t>
  </si>
  <si>
    <t xml:space="preserve"> Sat Feb 03 2018 17:56:34</t>
  </si>
  <si>
    <t xml:space="preserve"> First $5k after we can get a lambo.  #Bitcoin</t>
  </si>
  <si>
    <t xml:space="preserve"> cryptotatlises</t>
  </si>
  <si>
    <t xml:space="preserve"> Sat Feb 03 2018 17:57:10</t>
  </si>
  <si>
    <t xml:space="preserve"> Looks like the @Square square cash app for bitcoin is a SCAM! You buy bitcoin from them and they dont let you witbdrawl. STAY AWAY!!!</t>
  </si>
  <si>
    <t xml:space="preserve"> RealWiseOneSon</t>
  </si>
  <si>
    <t xml:space="preserve"> Sat Feb 03 2018 17:57:26</t>
  </si>
  <si>
    <t xml:space="preserve"> @nick3ast @WiseTwelve i agree if you look at the charts bitcoin hit the max around 50 days ago and the alts 30 days ago</t>
  </si>
  <si>
    <t xml:space="preserve"> aalan10S</t>
  </si>
  <si>
    <t xml:space="preserve"> Sat Feb 03 2018 17:57:47</t>
  </si>
  <si>
    <t xml:space="preserve"> @Bitcoin You too @stratisplatform</t>
  </si>
  <si>
    <t xml:space="preserve"> Sat Feb 03 2018 17:57:54</t>
  </si>
  <si>
    <t xml:space="preserve"> @Flea @MokiAwa Dont buy BTC from square cash app. Takes weeks to withdrawal your bitcoin.</t>
  </si>
  <si>
    <t xml:space="preserve"> Sat Feb 03 2018 17:58:07</t>
  </si>
  <si>
    <t xml:space="preserve"> Crypto Dip Humbles South Korean Bitcoin Premium</t>
  </si>
  <si>
    <t xml:space="preserve"> econyoshi</t>
  </si>
  <si>
    <t xml:space="preserve"> Tokyo</t>
  </si>
  <si>
    <t xml:space="preserve"> Sat Feb 03 2018 17:58:12</t>
  </si>
  <si>
    <t xml:space="preserve"> @BitcoinCashFans It still is, and what does bitcoin cash has to offer more then bitcoin diamond or bitcoin gold?</t>
  </si>
  <si>
    <t xml:space="preserve"> Palmamember</t>
  </si>
  <si>
    <t xml:space="preserve"> Sat Feb 03 2018 17:58:28</t>
  </si>
  <si>
    <t xml:space="preserve"> @CryptoKman Someone needs to streak the Super Bowl half time show wearing a buy Bitcoin cape $BTC</t>
  </si>
  <si>
    <t xml:space="preserve"> BitcoinLite2</t>
  </si>
  <si>
    <t xml:space="preserve"> Sat Feb 03 2018 17:58:48</t>
  </si>
  <si>
    <t xml:space="preserve"> @CryptoHedge_ @rogerkver @JihanWu Someone Needs to streak the Super Bowl half time show wearing a buy bitcoin cape $BTC</t>
  </si>
  <si>
    <t xml:space="preserve"> Sat Feb 03 2018 17:59:21</t>
  </si>
  <si>
    <t xml:space="preserve"> Yo Memo has lost so much value since it was hyped, theyre calling it bitcoin. #YoMemoJokes</t>
  </si>
  <si>
    <t xml:space="preserve"> PrmMvrPolitics</t>
  </si>
  <si>
    <t xml:space="preserve"> Sat Feb 03 2018 17:59:42</t>
  </si>
  <si>
    <t xml:space="preserve"> @ToneVays Someone Needs to streak the Super Bowl half time show wearing a buy bitcoin cape $BTC</t>
  </si>
  <si>
    <t xml:space="preserve"> Will the Raiden Network solve Ethereums scaling issues in 2018? $btc $rdn$eth $xrp #Raiden #Ethereum #ripple #bitcoin</t>
  </si>
  <si>
    <t xml:space="preserve"> crypto_gordon</t>
  </si>
  <si>
    <t xml:space="preserve"> Sat Feb 03 2018 17:59:52</t>
  </si>
  <si>
    <t xml:space="preserve"> @lerirejaune le bitcoin</t>
  </si>
  <si>
    <t xml:space="preserve"> TheMaster461</t>
  </si>
  <si>
    <t xml:space="preserve"> Sat Feb 03 2018 17:59:56</t>
  </si>
  <si>
    <t xml:space="preserve"> @verge If they had bought #bitcoin when all their gamer nerds told them too then the higher GPU prices wouldn't be a problem. </t>
  </si>
  <si>
    <t xml:space="preserve"> Sat Feb 03 2018 18:00:00</t>
  </si>
  <si>
    <t xml:space="preserve"> @ #1, Bitcoin with unit price of $9,179.12, market cap of $154,606,782,045 (34.71%), and 24 hr vol. of $7,510,280,000 (31.36%)</t>
  </si>
  <si>
    <t xml:space="preserve"> Sat Feb 03 2018 18:00:02</t>
  </si>
  <si>
    <t xml:space="preserve"> 03Feb2018 18:00 UTC #Bitcoin #Blockchain status - Last 24h: 162 blocks mined - 1,015,535 BTC output - 203,781 transactions</t>
  </si>
  <si>
    <t xml:space="preserve"> OChapiteau</t>
  </si>
  <si>
    <t xml:space="preserve"> Luxembourg, Paris &amp; Tokyo</t>
  </si>
  <si>
    <t xml:space="preserve"> Sat Feb 03 2018 18:00:01</t>
  </si>
  <si>
    <t xml:space="preserve"> Current BTC Dominance: 34.71% #Bitcoin #Altcoin #Cryptocurrency</t>
  </si>
  <si>
    <t xml:space="preserve"> Bitcoin:$9206.08 Ethereum:$962.739 Bitcoin Cash:$1241.63 Litecoin:$147.102 Ripple:$0.918232 IOTA:$1.96907</t>
  </si>
  <si>
    <t xml:space="preserve"> Average Bitcoin market price is: USD 9,188.82, EUR 7,399.19</t>
  </si>
  <si>
    <t xml:space="preserve"> The average price of Bitcoin across all exchanges is 9,179.12 USD</t>
  </si>
  <si>
    <t xml:space="preserve"> The price of 1 Bitcoin is $9,203.78. That is 614 large pizzas!!! </t>
  </si>
  <si>
    <t xml:space="preserve"> coindexapp</t>
  </si>
  <si>
    <t xml:space="preserve"> Sat Feb 03 2018 18:00:06</t>
  </si>
  <si>
    <t xml:space="preserve"> 2018-02-03 06:00 UTC Bitcoin Price: 9185.08 USD</t>
  </si>
  <si>
    <t xml:space="preserve"> HourlyBTCprices</t>
  </si>
  <si>
    <t xml:space="preserve"> Feb 03, 2018 10:00AM #Bitcoin Price: USD 8803.67 | EUR 7100.12 | JPY 947386.06</t>
  </si>
  <si>
    <t xml:space="preserve"> Sat Feb 03 2018 18:00:07</t>
  </si>
  <si>
    <t xml:space="preserve"> @SchillerWalther @paulkrugman Depends how you short it - if you use bitcoin futures to short it no need to buy bitcoins to cover</t>
  </si>
  <si>
    <t xml:space="preserve"> Sat Feb 03 2018 18:00:14</t>
  </si>
  <si>
    <t xml:space="preserve"> Top 6 BTC/USD Exchange Orderbooks: Resistance til $9400:$14.9M; Support til $8900:$23.9M $BTC $BTCUSD #bitcoin #orderbook #finance #crypto</t>
  </si>
  <si>
    <t xml:space="preserve"> Sat Feb 03 2018 18:00:17</t>
  </si>
  <si>
    <t xml:space="preserve"> I made $850k in 18 months on one REAL account only, you can do the same using our robot. Check other accounts LIVE on our website. #Bitcoin</t>
  </si>
  <si>
    <t xml:space="preserve"> amyfx88</t>
  </si>
  <si>
    <t xml:space="preserve"> Sat Feb 03 2018 18:00:22</t>
  </si>
  <si>
    <t xml:space="preserve"> @BreakingOutBad Not selling lot's of #bitcoin futures contracts about 6 weeks ago...</t>
  </si>
  <si>
    <t xml:space="preserve"> 77Virgil</t>
  </si>
  <si>
    <t xml:space="preserve"> Sat Feb 03 2018 18:00:25</t>
  </si>
  <si>
    <t xml:space="preserve"> @verge If they had bought #bitcoin when all their gamer nerds told them to then the higher GPU prices wouldn't be a problem. </t>
  </si>
  <si>
    <t xml:space="preserve"> Sat Feb 03 2018 18:00:26</t>
  </si>
  <si>
    <t xml:space="preserve"> Bitcoin mining for noobs.</t>
  </si>
  <si>
    <t xml:space="preserve"> rvchrbs</t>
  </si>
  <si>
    <t xml:space="preserve"> Miami Beach, FL</t>
  </si>
  <si>
    <t xml:space="preserve"> Sat Feb 03 2018 18:00:31</t>
  </si>
  <si>
    <t xml:space="preserve"> BTC hourly update $9227.81    |    -0.0067% $BTC #BTCUSD #Bitcoin</t>
  </si>
  <si>
    <t xml:space="preserve"> Sat Feb 03 2018 18:00:32</t>
  </si>
  <si>
    <t xml:space="preserve"> @RichardHeartWin Someone Needs to streak the Super Bowl half time show wearing a buy Bitcoin cape $BTC Plz RT @RichardHeartWin</t>
  </si>
  <si>
    <t xml:space="preserve"> Sat Feb 03 2018 18:01:01</t>
  </si>
  <si>
    <t xml:space="preserve"> Looking forward to tron's coin burn in march ! @Tronfoundation  $trx @justinsuntron  #bitcoin #troncoin #trx #oyefurqan #cryptocurrency</t>
  </si>
  <si>
    <t xml:space="preserve"> oyefurqan</t>
  </si>
  <si>
    <t xml:space="preserve"> Pakistan</t>
  </si>
  <si>
    <t xml:space="preserve"> Sat Feb 03 2018 18:01:09</t>
  </si>
  <si>
    <t xml:space="preserve"> @PeripheraI Just in time for 'F Trump Coin'  #MATA #bitcoin #btc #crypto #Ltc #litecoin #cryptocurrency #ico #airdrop #DonaldTrump #MAGA</t>
  </si>
  <si>
    <t xml:space="preserve"> ftrumpcoin</t>
  </si>
  <si>
    <t xml:space="preserve"> Universe</t>
  </si>
  <si>
    <t xml:space="preserve"> Sat Feb 03 2018 18:01:20</t>
  </si>
  <si>
    <t xml:space="preserve"> Current price of #Bitcoin is $9186.85</t>
  </si>
  <si>
    <t xml:space="preserve"> Sat Feb 03 2018 18:01:21</t>
  </si>
  <si>
    <t xml:space="preserve"> Current price of Bitcoin is $9186.85 #Bitcoin #Bithound</t>
  </si>
  <si>
    <t xml:space="preserve"> Sat Feb 03 2018 18:01:25</t>
  </si>
  <si>
    <t xml:space="preserve"> Venezuela Announces the Creation of Oil-Backed National Cryptocurrency Backed by Fiat #Bitcoin</t>
  </si>
  <si>
    <t xml:space="preserve"> Sat Feb 03 2018 18:01:51</t>
  </si>
  <si>
    <t xml:space="preserve"> As if Bitcoin and Crypto wasn't an issue for GPU prices already, now there's gonna be Deepfake farms....</t>
  </si>
  <si>
    <t xml:space="preserve"> Nvader</t>
  </si>
  <si>
    <t xml:space="preserve"> Bay Area, CA</t>
  </si>
  <si>
    <t xml:space="preserve"> Sat Feb 03 2018 18:01:56</t>
  </si>
  <si>
    <t xml:space="preserve"> New post (Bitcoin: Here Are My last interview with that.. and everything for</t>
  </si>
  <si>
    <t xml:space="preserve"> Sat Feb 03 2018 18:02:09</t>
  </si>
  <si>
    <t xml:space="preserve"> Current price of Bitcoin is $9186.85 Like if thats good for you and retweet if thats not good for you #bitcoin #btc #bitcoinprice</t>
  </si>
  <si>
    <t xml:space="preserve"> Sat Feb 03 2018 18:02:20</t>
  </si>
  <si>
    <t xml:space="preserve"> Current price of Bitcoin is $9186.85 #btc #bitcoin #cryptocurrency #cryptocurrencynews #crypto #cryptonews</t>
  </si>
  <si>
    <t xml:space="preserve"> Sat Feb 03 2018 18:02:25</t>
  </si>
  <si>
    <t xml:space="preserve"> @verge If they had bought #bitcoin when all their nerd friends told them to years ago then the higher GPU prices wouldn't be a problem. </t>
  </si>
  <si>
    <t xml:space="preserve"> Sat Feb 03 2018 18:02:26</t>
  </si>
  <si>
    <t xml:space="preserve"> Wwwwoooww.. PINKCOIN BIG SIGNAL   #crypto #cryptocrash #bitcoin #cryptocurrency #blockchain #hodl #xrp #PumpAndDump</t>
  </si>
  <si>
    <t xml:space="preserve"> coin_rock</t>
  </si>
  <si>
    <t xml:space="preserve"> Sat Feb 03 2018 18:02:31</t>
  </si>
  <si>
    <t xml:space="preserve"> Daily price update. #Bitcoin worth $9186.85</t>
  </si>
  <si>
    <t xml:space="preserve"> onebitinfo</t>
  </si>
  <si>
    <t xml:space="preserve"> Sat Feb 03 2018 18:02:32</t>
  </si>
  <si>
    <t xml:space="preserve"> @officialmcafee What do you think of LItecoin?   Or do you just own Bitcoin?</t>
  </si>
  <si>
    <t xml:space="preserve"> zladyoh</t>
  </si>
  <si>
    <t xml:space="preserve"> San Diego</t>
  </si>
  <si>
    <t xml:space="preserve"> Sat Feb 03 2018 18:02:33</t>
  </si>
  <si>
    <t xml:space="preserve"> @bitcoin_token @TokenDotStore wow projek amazing Hope to win these time. Thanks bitcoin token 0x1c6ce3e75c1529759030d7dafa8dbb4583e32da9</t>
  </si>
  <si>
    <t xml:space="preserve"> mmmgloballl1</t>
  </si>
  <si>
    <t xml:space="preserve"> Jakarta Capital Region</t>
  </si>
  <si>
    <t xml:space="preserve"> Sat Feb 03 2018 18:02:35</t>
  </si>
  <si>
    <t xml:space="preserve"> Who run the world?  Old white businessmen. Whats the solution? #bitcoin #BTC #ETH</t>
  </si>
  <si>
    <t xml:space="preserve"> ThamJason</t>
  </si>
  <si>
    <t xml:space="preserve"> Sat Feb 03 2018 18:02:38</t>
  </si>
  <si>
    <t xml:space="preserve"> Most negative movements in the last hour #Ada(-3.10%), #Rise(-2.93%), #Vertcoin(-2.66%), #Bitcoin Gold(-2.47%), #Ada(-2.37%)</t>
  </si>
  <si>
    <t xml:space="preserve"> Sat Feb 03 2018 18:02:45</t>
  </si>
  <si>
    <t xml:space="preserve"> Cryptocurrency: #Bitcoin Price USD: 9179.12 Price BTC: 1.0 24h Volume USD: 7510280000.0 Percent change 24h: 4.45</t>
  </si>
  <si>
    <t xml:space="preserve"> Sat Feb 03 2018 18:02:50</t>
  </si>
  <si>
    <t xml:space="preserve"> do you guys take bitcoin?  sir, you can't buy Paddington 2 tickets with bitcoin</t>
  </si>
  <si>
    <t xml:space="preserve"> Tre_Espinoza</t>
  </si>
  <si>
    <t xml:space="preserve"> Sat Feb 03 2018 18:03:03</t>
  </si>
  <si>
    <t xml:space="preserve"> @nirvanadev @ferdousbhai @bennd77 @paulkrugman And he's running scared of bitcoin/crypto.</t>
  </si>
  <si>
    <t xml:space="preserve"> MOpinions</t>
  </si>
  <si>
    <t xml:space="preserve"> Mzansi</t>
  </si>
  <si>
    <t xml:space="preserve"> Sat Feb 03 2018 18:03:11</t>
  </si>
  <si>
    <t xml:space="preserve"> Bitcoin-Adresse 1AP49EXSASd17P9wBPYBs26iVtWowUY6kn</t>
  </si>
  <si>
    <t xml:space="preserve"> Sat Feb 03 2018 18:03:14</t>
  </si>
  <si>
    <t xml:space="preserve"> They should make an anime about investing in bitcoin</t>
  </si>
  <si>
    <t xml:space="preserve"> MahouNoTamago</t>
  </si>
  <si>
    <t xml:space="preserve"> The Sky Of Sadness, Manila</t>
  </si>
  <si>
    <t xml:space="preserve"> Sat Feb 03 2018 18:03:16</t>
  </si>
  <si>
    <t xml:space="preserve"> Is anyone able to give me a #Bittrex invite? #crypto #bitcoin #cryptocurrency</t>
  </si>
  <si>
    <t xml:space="preserve"> NoxiousPluK</t>
  </si>
  <si>
    <t xml:space="preserve"> Wageningen, Nederland</t>
  </si>
  <si>
    <t xml:space="preserve"> Sat Feb 03 2018 18:03:19</t>
  </si>
  <si>
    <t xml:space="preserve"> Current price of Bitcoin is $9186.85</t>
  </si>
  <si>
    <t xml:space="preserve"> Current price of Bitcoin is $9186.85 #btc #bcc $btc</t>
  </si>
  <si>
    <t xml:space="preserve"> Sat Feb 03 2018 18:03:21</t>
  </si>
  <si>
    <t xml:space="preserve"> Current price of Bitcoin is $9186.85 via @Chain</t>
  </si>
  <si>
    <t xml:space="preserve"> Asistente_PC</t>
  </si>
  <si>
    <t xml:space="preserve"> Sat Feb 03 2018 18:03:24</t>
  </si>
  <si>
    <t xml:space="preserve"> Current price of Bitcoin is $9312.68 #Bitcoin #Bithound</t>
  </si>
  <si>
    <t xml:space="preserve"> Sat Feb 03 2018 18:03:36</t>
  </si>
  <si>
    <t xml:space="preserve"> @aantonop Someone Needs to streak the Super Bowl half time show wearing a buy Bitcoin cape $BTC Retweet</t>
  </si>
  <si>
    <t xml:space="preserve"> Sat Feb 03 2018 18:03:39</t>
  </si>
  <si>
    <t xml:space="preserve"> Welcome to #XDACryptoArmy  #BTC #bitcoin #ether #crypto</t>
  </si>
  <si>
    <t xml:space="preserve"> Deksigns</t>
  </si>
  <si>
    <t xml:space="preserve"> Sat Feb 03 2018 18:03:47</t>
  </si>
  <si>
    <t xml:space="preserve"> @liiinahhh But why Bitcoin? Why not $LTC or something quick?</t>
  </si>
  <si>
    <t xml:space="preserve"> 3abandi</t>
  </si>
  <si>
    <t xml:space="preserve"> ATX | 878 | Q City</t>
  </si>
  <si>
    <t xml:space="preserve"> Sat Feb 03 2018 18:03:59</t>
  </si>
  <si>
    <t xml:space="preserve"> @maxkeiser when dollar lose its value, what will be the value of bitcoin</t>
  </si>
  <si>
    <t xml:space="preserve"> ferroao</t>
  </si>
  <si>
    <t xml:space="preserve"> Sat Feb 03 2018 18:04:12</t>
  </si>
  <si>
    <t xml:space="preserve"> Current price of Bitcoin is $9186.85.</t>
  </si>
  <si>
    <t xml:space="preserve"> Sat Feb 03 2018 18:04:14</t>
  </si>
  <si>
    <t xml:space="preserve"> Current price of Bitcoin is $9186.85 February 3, 2018 at 10:00AM</t>
  </si>
  <si>
    <t xml:space="preserve"> TechniumUnltd</t>
  </si>
  <si>
    <t xml:space="preserve"> Sat Feb 03 2018 18:04:35</t>
  </si>
  <si>
    <t xml:space="preserve"> zephyrzap</t>
  </si>
  <si>
    <t xml:space="preserve"> LONDON</t>
  </si>
  <si>
    <t xml:space="preserve"> Sat Feb 03 2018 18:04:38</t>
  </si>
  <si>
    <t xml:space="preserve"> BTC,ETH,ETC,LTC,BCH,MONA Please send someone virtual currency #Bitcoin #VirtualCurrency</t>
  </si>
  <si>
    <t xml:space="preserve"> please01417095</t>
  </si>
  <si>
    <t xml:space="preserve"> Sat Feb 03 2018 18:04:44</t>
  </si>
  <si>
    <t xml:space="preserve"> Looks like the 0.01 was regarding only bitcoin. Sorry for missinformation, I was told something else on previous discord chat.</t>
  </si>
  <si>
    <t xml:space="preserve"> TJ_Trunk</t>
  </si>
  <si>
    <t xml:space="preserve"> Genve, Suisse</t>
  </si>
  <si>
    <t xml:space="preserve"> Sat Feb 03 2018 18:04:51</t>
  </si>
  <si>
    <t xml:space="preserve"> i want to feel alive. how many bitcoin should i put on the eagles?</t>
  </si>
  <si>
    <t xml:space="preserve"> iamabitcorn</t>
  </si>
  <si>
    <t xml:space="preserve"> Sat Feb 03 2018 18:05:09</t>
  </si>
  <si>
    <t xml:space="preserve"> Bitcoin adres 1AP49EXSASd17P9wBPYBs26iVtWowUY6kn</t>
  </si>
  <si>
    <t xml:space="preserve"> Sat Feb 03 2018 18:05:10</t>
  </si>
  <si>
    <t xml:space="preserve"> @lopp @60SecDocs Someone Needs to streak the Super Bowl half time show wearing a buy Bitcoin cape $BTC Retweet</t>
  </si>
  <si>
    <t xml:space="preserve"> Sat Feb 03 2018 18:05:22</t>
  </si>
  <si>
    <t xml:space="preserve"> @EmericaFirst  You took your Bitcoin profits when he said to, right?</t>
  </si>
  <si>
    <t xml:space="preserve"> AltPortlander</t>
  </si>
  <si>
    <t xml:space="preserve"> Oregon, USA</t>
  </si>
  <si>
    <t xml:space="preserve"> Sat Feb 03 2018 18:05:33</t>
  </si>
  <si>
    <t xml:space="preserve"> @MelissaLeeCNBC Nooo... who will talk about bitcoin going forward?</t>
  </si>
  <si>
    <t xml:space="preserve"> Aijaz777</t>
  </si>
  <si>
    <t xml:space="preserve"> Sat Feb 03 2018 18:05:56</t>
  </si>
  <si>
    <t xml:space="preserve"> @jimmysong Someone Needs to streak the Super Bowl half time show wearing a buy Bitcoin cape $BTC Retweet</t>
  </si>
  <si>
    <t xml:space="preserve"> Sat Feb 03 2018 18:06:14</t>
  </si>
  <si>
    <t xml:space="preserve"> @davidgerard The reach of Bitcoin has hit a wall and now myst evolve/grow in order for the next cycle to begin.</t>
  </si>
  <si>
    <t xml:space="preserve"> g3nology</t>
  </si>
  <si>
    <t xml:space="preserve"> Block 1</t>
  </si>
  <si>
    <t xml:space="preserve"> Bitcoin please</t>
  </si>
  <si>
    <t xml:space="preserve"> pepochiusu</t>
  </si>
  <si>
    <t xml:space="preserve"> Sat Feb 03 2018 18:06:15</t>
  </si>
  <si>
    <t xml:space="preserve"> i was going to invest in bitcoin today, but it's only like 9k now wtf am i too late?!</t>
  </si>
  <si>
    <t xml:space="preserve"> Ashlizzlee</t>
  </si>
  <si>
    <t xml:space="preserve"> remember bitcoin?</t>
  </si>
  <si>
    <t xml:space="preserve"> meliekk</t>
  </si>
  <si>
    <t xml:space="preserve"> phila</t>
  </si>
  <si>
    <t xml:space="preserve"> Sat Feb 03 2018 18:06:30</t>
  </si>
  <si>
    <t xml:space="preserve"> @alistairmilne Someone Needs to streak the Super Bowl half time show wearing a buy Bitcoin cape $BTC Retweet</t>
  </si>
  <si>
    <t xml:space="preserve"> Sat Feb 03 2018 18:06:40</t>
  </si>
  <si>
    <t xml:space="preserve"> Sat Feb 03 2018 18:06:59</t>
  </si>
  <si>
    <t xml:space="preserve"> @NeerajKA Someone Needs to streak the Super Bowl half time show wearing a buy Bitcoin cape $BTC Retweet</t>
  </si>
  <si>
    <t xml:space="preserve"> Sat Feb 03 2018 18:07:19</t>
  </si>
  <si>
    <t xml:space="preserve"> A growing number of big U.S. credit-card issuers are deciding they dont want to finance a falling knife. #BitCoin #Bloodbath</t>
  </si>
  <si>
    <t xml:space="preserve"> lmutesasira</t>
  </si>
  <si>
    <t xml:space="preserve"> Kampala, Uganda</t>
  </si>
  <si>
    <t xml:space="preserve"> Sat Feb 03 2018 18:07:35</t>
  </si>
  <si>
    <t xml:space="preserve"> @Crypto_Bitlord Someone Needs to streak the Super Bowl half time show wearing a buy Bitcoin cape $BTC Retweet</t>
  </si>
  <si>
    <t xml:space="preserve"> Sat Feb 03 2018 18:07:56</t>
  </si>
  <si>
    <t xml:space="preserve"> @CryptoChoe @sabretoof Based on your cheat sheet. Looks like a shooting star pattern is forming for Bitcoin on the 4H. Am i right?</t>
  </si>
  <si>
    <t xml:space="preserve"> NenGweX</t>
  </si>
  <si>
    <t xml:space="preserve"> Sat Feb 03 2018 18:08:03</t>
  </si>
  <si>
    <t xml:space="preserve"> @MrWoofless Nigga we got cosmicpvp bitcoin now xD</t>
  </si>
  <si>
    <t xml:space="preserve"> beautifly_267</t>
  </si>
  <si>
    <t xml:space="preserve"> #BITCOIN is back </t>
  </si>
  <si>
    <t xml:space="preserve"> MakerCrypto</t>
  </si>
  <si>
    <t xml:space="preserve"> Sat Feb 03 2018 18:08:06</t>
  </si>
  <si>
    <t xml:space="preserve"> @BigCheds Someone Needs to streak the Super Bowl half time show wearing a buy Bitcoin cape $BTC Retweet</t>
  </si>
  <si>
    <t xml:space="preserve"> Sat Feb 03 2018 18:08:08</t>
  </si>
  <si>
    <t xml:space="preserve"> Sattiniz mi ?    Are you sell ?  Are you kola ?  what are you ?   #bitcoin #btc #BTCUSD #eth #Ethereum</t>
  </si>
  <si>
    <t xml:space="preserve"> Dr_Canbilzerian</t>
  </si>
  <si>
    <t xml:space="preserve"> Sat Feb 03 2018 18:08:19</t>
  </si>
  <si>
    <t xml:space="preserve"> @methodman I have to do some more research about bitcoin before I'm sure</t>
  </si>
  <si>
    <t xml:space="preserve"> Sat Feb 03 2018 18:08:39</t>
  </si>
  <si>
    <t xml:space="preserve"> @SatoshiLite Someone Needs to streak the Super Bowl half time show wearing a buy Bitcoin cape $BTC Retweet</t>
  </si>
  <si>
    <t xml:space="preserve"> Sat Feb 03 2018 18:09:20</t>
  </si>
  <si>
    <t xml:space="preserve"> @CryptoChoe Someone Needs to streak the Super Bowl half time show wearing a buy Bitcoin cape $BTC Retweet</t>
  </si>
  <si>
    <t xml:space="preserve"> Sat Feb 03 2018 18:09:25</t>
  </si>
  <si>
    <t xml:space="preserve"> Fallow me #XDACryptoArmy  #BTC #bitcoin #ether #crypto</t>
  </si>
  <si>
    <t xml:space="preserve"> Sat Feb 03 2018 18:09:42</t>
  </si>
  <si>
    <t xml:space="preserve"> @Solly74 You can pay me in Bitcoin if you prefer. Shot.</t>
  </si>
  <si>
    <t xml:space="preserve"> Runningflyhalf</t>
  </si>
  <si>
    <t xml:space="preserve"> Sandton, South Africa</t>
  </si>
  <si>
    <t xml:space="preserve"> Sat Feb 03 2018 18:10:03</t>
  </si>
  <si>
    <t xml:space="preserve"> @HealthyWormCoin Follow @Hashtags_Trends for the latest news &amp; #trading trends about #bitcoin &amp; #crypto world.</t>
  </si>
  <si>
    <t xml:space="preserve"> Sat Feb 03 2018 18:10:05</t>
  </si>
  <si>
    <t xml:space="preserve"> Bitcoin BTC Current Price: $9179.12 1 Hour: -0.85 % | 24 Hours: 4.45 % | 7 Days: -19.33 % #btc #bitcoin</t>
  </si>
  <si>
    <t xml:space="preserve"> Sat Feb 03 2018 18:10:09</t>
  </si>
  <si>
    <t xml:space="preserve"> @alexnervik Follow @Hashtags_Trends for the latest news &amp; #trading trends about #bitcoin &amp; #crypto world.</t>
  </si>
  <si>
    <t xml:space="preserve"> Sat Feb 03 2018 18:10:16</t>
  </si>
  <si>
    <t xml:space="preserve"> @JoshVamos (718 follows) RT @iamjosephyoung: Important chart from Fundstrat. Shared by @garrytan first.   Bitcoin experienced a 43% cor...</t>
  </si>
  <si>
    <t xml:space="preserve"> Sat Feb 03 2018 18:10:24</t>
  </si>
  <si>
    <t xml:space="preserve"> @Runningflyhalf There hasn't been a worse time to make a Bitcoin payment</t>
  </si>
  <si>
    <t xml:space="preserve"> Solly74</t>
  </si>
  <si>
    <t xml:space="preserve"> Sat Feb 03 2018 18:10:31</t>
  </si>
  <si>
    <t xml:space="preserve"> If you don't believe me or don't get it, I don't have time to try to convince you, sorry. - Satoshi Nakamoto #bitcoin #quote</t>
  </si>
  <si>
    <t xml:space="preserve"> Sat Feb 03 2018 18:10:40</t>
  </si>
  <si>
    <t xml:space="preserve"> @coinstantNET Also, us on #reddit #bitcoin are wondering if you guys have a specific release date set yet? :D</t>
  </si>
  <si>
    <t xml:space="preserve"> Cam10438560</t>
  </si>
  <si>
    <t xml:space="preserve"> Sat Feb 03 2018 18:10:47</t>
  </si>
  <si>
    <t xml:space="preserve"> With how much fiat money are you invested in the cryptomarket ? #bitcoin #crypto #altcoins #ETHERUM #cryptocurrency</t>
  </si>
  <si>
    <t xml:space="preserve"> Sat Feb 03 2018 18:10:56</t>
  </si>
  <si>
    <t xml:space="preserve"> @RKilfin @LedgerHQ The button monitor button is available on the latest version of the Bitcoin app on the Nano S. You can try to update it.</t>
  </si>
  <si>
    <t xml:space="preserve"> dldasilvarosa</t>
  </si>
  <si>
    <t xml:space="preserve"> @davidgokhshtein Someone Needs to streak the Super Bowl half time show wearing a buy Bitcoin cape $BTC Retweet</t>
  </si>
  <si>
    <t xml:space="preserve"> Sat Feb 03 2018 18:11:44</t>
  </si>
  <si>
    <t xml:space="preserve"> @Dangerdan22 From the 5k miners we should net $1 mil maybe even $2mil Per Month if Bitcoin goes back up. Just my opinion.</t>
  </si>
  <si>
    <t xml:space="preserve"> Sat Feb 03 2018 18:12:02</t>
  </si>
  <si>
    <t xml:space="preserve"> @JuliusGoat Just so you know, I don't accept Bitcoin.</t>
  </si>
  <si>
    <t xml:space="preserve"> gaygroundzero</t>
  </si>
  <si>
    <t xml:space="preserve"> The Castro, where else?</t>
  </si>
  <si>
    <t xml:space="preserve"> Sat Feb 03 2018 18:12:15</t>
  </si>
  <si>
    <t xml:space="preserve"> #XDACRYPTOARMY We all #cryptolovers should get unite to tell the #crypto haters and media the power of unity. #bitcoin #ether #xlm #Stellar</t>
  </si>
  <si>
    <t xml:space="preserve"> Hithvr</t>
  </si>
  <si>
    <t xml:space="preserve"> New Delhi, Delhi</t>
  </si>
  <si>
    <t xml:space="preserve"> Sat Feb 03 2018 18:12:23</t>
  </si>
  <si>
    <t xml:space="preserve"> @Xentagz @rogerkver Someone Needs to streak the Super Bowl half time show wearing a buy Bitcoin cape $BTC Retweet</t>
  </si>
  <si>
    <t xml:space="preserve"> Sat Feb 03 2018 18:12:28</t>
  </si>
  <si>
    <t xml:space="preserve"> @CryptoBully How I Met Your Bitcoin  Soon on @CNBCentertain</t>
  </si>
  <si>
    <t xml:space="preserve"> CryptoMorgul</t>
  </si>
  <si>
    <t xml:space="preserve"> Sat Feb 03 2018 18:12:35</t>
  </si>
  <si>
    <t xml:space="preserve"> @thetunadog @dbrooksgolf @WestHamUtd I dont have any bitcoin . Its all about XRP .</t>
  </si>
  <si>
    <t xml:space="preserve"> Sambrooks90</t>
  </si>
  <si>
    <t xml:space="preserve"> Sat Feb 03 2018 18:12:45</t>
  </si>
  <si>
    <t xml:space="preserve"> Ray Dalio, founder of the world's largest hedge fund, says bitcoin is a bubble.</t>
  </si>
  <si>
    <t xml:space="preserve"> gordongreedgeko</t>
  </si>
  <si>
    <t xml:space="preserve"> Sat Feb 03 2018 18:12:51</t>
  </si>
  <si>
    <t xml:space="preserve"> Bitcoin is dead</t>
  </si>
  <si>
    <t xml:space="preserve"> wsodollars</t>
  </si>
  <si>
    <t xml:space="preserve"> Sat Feb 03 2018 18:13:00</t>
  </si>
  <si>
    <t xml:space="preserve"> @KenTremendous She can finally afford to feed her kids, invest in Bitcoin, and start her own business. Thanks, Donald!</t>
  </si>
  <si>
    <t xml:space="preserve"> RyanWoerner</t>
  </si>
  <si>
    <t xml:space="preserve"> Lancaster, PA</t>
  </si>
  <si>
    <t xml:space="preserve"> Sat Feb 03 2018 18:13:03</t>
  </si>
  <si>
    <t xml:space="preserve"> Give your eyes on this great project and don't miss it. Join now! and gain profit #SyncFab #Manufacturing #ether #ethereum #bitcoin</t>
  </si>
  <si>
    <t xml:space="preserve"> dedonaltic</t>
  </si>
  <si>
    <t xml:space="preserve"> Sat Feb 03 2018 18:13:47</t>
  </si>
  <si>
    <t xml:space="preserve"> @ButtCoin It's Bigby the Bitcoin Dog! Bigby is short for Bigger Idiot, of course</t>
  </si>
  <si>
    <t xml:space="preserve"> catmara73</t>
  </si>
  <si>
    <t xml:space="preserve"> Sat Feb 03 2018 18:13:57</t>
  </si>
  <si>
    <t xml:space="preserve"> @VersusTheMan @CryptoCoinsNews bitcoin cash will stay either you like it or not! bitcoin should change name to Bitcoin Core! hahahaha</t>
  </si>
  <si>
    <t xml:space="preserve"> Sat Feb 03 2018 18:13:59</t>
  </si>
  <si>
    <t xml:space="preserve"> How do I get long on twitter?   #trader #trading #tweet #fx #bitcoin #crytpo #stocks #bonds #gold</t>
  </si>
  <si>
    <t xml:space="preserve"> fxquant79</t>
  </si>
  <si>
    <t xml:space="preserve"> Sat Feb 03 2018 18:14:37</t>
  </si>
  <si>
    <t xml:space="preserve"> Blockchains Greatest Impact Will Be in Developing Countries, Says UPenn Lecturer #BitcoinNews #bitcoin #trading</t>
  </si>
  <si>
    <t xml:space="preserve"> etherhold</t>
  </si>
  <si>
    <t xml:space="preserve"> --, </t>
  </si>
  <si>
    <t xml:space="preserve"> Sat Feb 03 2018 18:14:53</t>
  </si>
  <si>
    <t xml:space="preserve"> While everyone was fuddling around i was buying some nice dips #cryptocrash #HODLgang #cryptocurreny #BuyTheDip #FUD #bitcoin</t>
  </si>
  <si>
    <t xml:space="preserve"> cryptoVIIsion</t>
  </si>
  <si>
    <t xml:space="preserve"> Sat Feb 03 2018 18:14:57</t>
  </si>
  <si>
    <t xml:space="preserve"> @EricTrump Make America Trumpless Again #bitcoin #crypto #cryptocurrency #btc</t>
  </si>
  <si>
    <t xml:space="preserve"> Sat Feb 03 2018 18:15:02</t>
  </si>
  <si>
    <t xml:space="preserve"> 11. In politics, you have your word and your friends; go back on either and you're dead. #MortonC.Blackwell #bitcoin</t>
  </si>
  <si>
    <t xml:space="preserve"> quotree</t>
  </si>
  <si>
    <t xml:space="preserve"> The current price of Bitcoin is $9157.27. The current price of BCash is $1240.99, or 0.134905 BTC</t>
  </si>
  <si>
    <t xml:space="preserve"> Sat Feb 03 2018 18:15:27</t>
  </si>
  <si>
    <t xml:space="preserve"> @Biscuitfwgkta bitcoin tha future</t>
  </si>
  <si>
    <t xml:space="preserve"> FreebandTom</t>
  </si>
  <si>
    <t xml:space="preserve"> Tx </t>
  </si>
  <si>
    <t xml:space="preserve"> Sat Feb 03 2018 18:15:46</t>
  </si>
  <si>
    <t xml:space="preserve"> @johnjean @LedgerHQ @nano Did you update to the latest version of the Nano S bitcoin app?</t>
  </si>
  <si>
    <t xml:space="preserve"> Sat Feb 03 2018 18:15:55</t>
  </si>
  <si>
    <t xml:space="preserve"> @ButtCoin Seriously, I thought the butt was the official mascot of Bitcoin.</t>
  </si>
  <si>
    <t xml:space="preserve"> BigDumbBabby</t>
  </si>
  <si>
    <t xml:space="preserve"> Tazewell, TN</t>
  </si>
  <si>
    <t xml:space="preserve"> Sat Feb 03 2018 18:15:59</t>
  </si>
  <si>
    <t xml:space="preserve"> @JackFeerick @Prankster36 Prince = centralized authority. Bitcoin = decentralized. You are really missing the whats going on here.</t>
  </si>
  <si>
    <t xml:space="preserve"> themooncat22</t>
  </si>
  <si>
    <t xml:space="preserve"> Sat Feb 03 2018 18:16:13</t>
  </si>
  <si>
    <t xml:space="preserve"> @parabolictrav Someone Needs to streak the Super Bowl half time show wearing a buy Bitcoin cape $BTC Retweet</t>
  </si>
  <si>
    <t xml:space="preserve"> Sat Feb 03 2018 18:16:17</t>
  </si>
  <si>
    <t xml:space="preserve"> @alienvault @CryptoCypher Dont trust bitcoin!</t>
  </si>
  <si>
    <t xml:space="preserve"> ShepardLovesMac</t>
  </si>
  <si>
    <t xml:space="preserve"> Another Remote Location</t>
  </si>
  <si>
    <t xml:space="preserve"> Sat Feb 03 2018 18:16:18</t>
  </si>
  <si>
    <t xml:space="preserve"> @RKilfin @dldasilvarosa the latest version of the Bitcoin app for the Nano S is 1.1.18 Update through the Ledger Manager</t>
  </si>
  <si>
    <t xml:space="preserve"> @Dapadilus not bitcoin</t>
  </si>
  <si>
    <t xml:space="preserve"> TLOLogn</t>
  </si>
  <si>
    <t xml:space="preserve"> Sat Feb 03 2018 18:16:27</t>
  </si>
  <si>
    <t xml:space="preserve"> #Bitcoin about to take offfffff</t>
  </si>
  <si>
    <t xml:space="preserve"> AdfreshBlackbir</t>
  </si>
  <si>
    <t xml:space="preserve"> Sat Feb 03 2018 18:16:35</t>
  </si>
  <si>
    <t xml:space="preserve"> People call #bitcoin a bubble for a number of reasons.   Most commonly:  1) Uneducated  2) Lazy 3) Scared by #Crypto_Bitlord</t>
  </si>
  <si>
    <t xml:space="preserve"> fernandojti</t>
  </si>
  <si>
    <t xml:space="preserve"> Jata, Brasil</t>
  </si>
  <si>
    <t xml:space="preserve"> Sat Feb 03 2018 18:17:05</t>
  </si>
  <si>
    <t xml:space="preserve"> Bitcoin Cash BCH Current Price: $1240.99 1 Hour: -1.34 % | 24 Hours: 4.62 % | 7 Days: -23.89 % #bch #bitcoin cash</t>
  </si>
  <si>
    <t xml:space="preserve"> Sat Feb 03 2018 18:17:06</t>
  </si>
  <si>
    <t xml:space="preserve"> @whalepool Someone Needs to streak the Super Bowl half time show wearing a buy Bitcoin cape $BTC Retweet</t>
  </si>
  <si>
    <t xml:space="preserve"> Sat Feb 03 2018 18:17:07</t>
  </si>
  <si>
    <t xml:space="preserve"> @hrbudding @ksi Bitcoin and Ethereum</t>
  </si>
  <si>
    <t xml:space="preserve"> h3adsh0tzz</t>
  </si>
  <si>
    <t xml:space="preserve"> Sat Feb 03 2018 18:17:26</t>
  </si>
  <si>
    <t xml:space="preserve"> @Bitcoin People may use #Bitcoin to buy or #Bitcoincash to buy. Perfectly fine.</t>
  </si>
  <si>
    <t xml:space="preserve"> Letgocrypto</t>
  </si>
  <si>
    <t xml:space="preserve"> Sat Feb 03 2018 18:17:58</t>
  </si>
  <si>
    <t xml:space="preserve"> ya maaan altcoins neek fakes bitcoin</t>
  </si>
  <si>
    <t xml:space="preserve"> AlyAssaker</t>
  </si>
  <si>
    <t xml:space="preserve"> Darmstadt, Germany</t>
  </si>
  <si>
    <t xml:space="preserve"> Sat Feb 03 2018 18:18:03</t>
  </si>
  <si>
    <t xml:space="preserve"> #Bitcoin Latest Bitcoin Price: $9219.92 USD for 1 BTC #GoldCoinJar</t>
  </si>
  <si>
    <t xml:space="preserve"> Sat Feb 03 2018 18:18:17</t>
  </si>
  <si>
    <t xml:space="preserve"> Equity markets crash but #Bitcoin surges.. are people nuts to replace #Gold hedge with #cryptocurrency #investing #stocks #WallStreet</t>
  </si>
  <si>
    <t xml:space="preserve"> ZindagiRocksIt</t>
  </si>
  <si>
    <t xml:space="preserve"> Sat Feb 03 2018 18:18:18</t>
  </si>
  <si>
    <t xml:space="preserve"> @JWGOP The price to satisfy American voters is dropping faster than Bitcoin.</t>
  </si>
  <si>
    <t xml:space="preserve"> _f_y_p_m_</t>
  </si>
  <si>
    <t xml:space="preserve"> Vancouver Island</t>
  </si>
  <si>
    <t xml:space="preserve"> Sat Feb 03 2018 18:18:19</t>
  </si>
  <si>
    <t xml:space="preserve"> #DCX  the only payment solution that makes cash obsolete @dcxblockchain #bitcoin #ICO</t>
  </si>
  <si>
    <t xml:space="preserve"> ayanishop1</t>
  </si>
  <si>
    <t xml:space="preserve"> Indonesia</t>
  </si>
  <si>
    <t xml:space="preserve"> Sat Feb 03 2018 18:18:22</t>
  </si>
  <si>
    <t xml:space="preserve"> Tell me why I just invested into bitcoin</t>
  </si>
  <si>
    <t xml:space="preserve"> _TikiPalmTrees</t>
  </si>
  <si>
    <t xml:space="preserve"> North Canton, OH</t>
  </si>
  <si>
    <t xml:space="preserve"> Sat Feb 03 2018 18:18:41</t>
  </si>
  <si>
    <t xml:space="preserve"> @monkfunkster Peak bitcoin, evidently...</t>
  </si>
  <si>
    <t xml:space="preserve"> LeighMarble</t>
  </si>
  <si>
    <t xml:space="preserve"> Sat Feb 03 2018 18:18:55</t>
  </si>
  <si>
    <t xml:space="preserve"> @IamNomad Someone Needs to streak the Super Bowl half time show wearing a buy Bitcoin cape $BTC Retweet</t>
  </si>
  <si>
    <t xml:space="preserve"> Sat Feb 03 2018 18:19:13</t>
  </si>
  <si>
    <t xml:space="preserve"> #bitcoin 100k end 2018 #HODL</t>
  </si>
  <si>
    <t xml:space="preserve"> iamboingist</t>
  </si>
  <si>
    <t xml:space="preserve"> freedomville </t>
  </si>
  <si>
    <t xml:space="preserve"> Sat Feb 03 2018 18:19:21</t>
  </si>
  <si>
    <t xml:space="preserve"> @methodman Maybe in 9 more years it will double to $8, 000 per bitcoin? and you want to buy it right now while it's cheap</t>
  </si>
  <si>
    <t xml:space="preserve"> Sat Feb 03 2018 18:19:30</t>
  </si>
  <si>
    <t xml:space="preserve"> @notsofast Someone Needs to streak the Super Bowl half time show wearing a buy Bitcoin cape $BTC Retweet</t>
  </si>
  <si>
    <t xml:space="preserve"> Sat Feb 03 2018 18:20:28</t>
  </si>
  <si>
    <t xml:space="preserve"> @the_real_rotor pray 4 bitcoin death, then we will have a glut of 1080tis on ebay</t>
  </si>
  <si>
    <t xml:space="preserve"> DetroitQSpider</t>
  </si>
  <si>
    <t xml:space="preserve"> Sat Feb 03 2018 18:20:33</t>
  </si>
  <si>
    <t xml:space="preserve"> @SAUCYXBOSS Bitcoin is dying son</t>
  </si>
  <si>
    <t xml:space="preserve"> jacestjohn</t>
  </si>
  <si>
    <t xml:space="preserve"> Spanish Fork, UT</t>
  </si>
  <si>
    <t xml:space="preserve"> Sat Feb 03 2018 18:20:34</t>
  </si>
  <si>
    <t xml:space="preserve"> @reyjewish77 Why will I use my bitcoin to purchase anything , when I can double it in few weeks. Well, I mean x10 it</t>
  </si>
  <si>
    <t xml:space="preserve"> femoric9</t>
  </si>
  <si>
    <t xml:space="preserve"> T: 7.6400514,5.2339282</t>
  </si>
  <si>
    <t xml:space="preserve"> Sat Feb 03 2018 18:20:53</t>
  </si>
  <si>
    <t xml:space="preserve"> @crazy_crypto Someone Needs to streak the Super Bowl half time show wearing a buy Bitcoin cape $BTC Retweet</t>
  </si>
  <si>
    <t xml:space="preserve"> Sat Feb 03 2018 18:20:58</t>
  </si>
  <si>
    <t xml:space="preserve"> @RKilfin @LedgerHQ 1.1.18 is the latest. You can check on the Ledger itself by going into the Bitcoin app and then down into About.</t>
  </si>
  <si>
    <t xml:space="preserve"> Sat Feb 03 2018 18:21:23</t>
  </si>
  <si>
    <t xml:space="preserve"> @VinnyLingham Or it has something to do with bitcoin ccard fraud being 10x higher than PayPal</t>
  </si>
  <si>
    <t xml:space="preserve"> UnicornGonad</t>
  </si>
  <si>
    <t xml:space="preserve"> Sat Feb 03 2018 18:21:37</t>
  </si>
  <si>
    <t xml:space="preserve"> @JackFeerick @highway_62 YOU HAVE FAILED THIS BITCOIN -- Reddit Arrow</t>
  </si>
  <si>
    <t xml:space="preserve"> mikesterling</t>
  </si>
  <si>
    <t xml:space="preserve"> Californee</t>
  </si>
  <si>
    <t xml:space="preserve"> Sat Feb 03 2018 18:21:48</t>
  </si>
  <si>
    <t xml:space="preserve"> Seriously. Surrender your civiliaztion. You can't even generate brains able to see how much stupid bitcoin is.</t>
  </si>
  <si>
    <t xml:space="preserve"> BermudezJuanjo</t>
  </si>
  <si>
    <t xml:space="preserve"> Barcelona, Espaa</t>
  </si>
  <si>
    <t xml:space="preserve"> Sat Feb 03 2018 18:22:00</t>
  </si>
  <si>
    <t xml:space="preserve"> @Prankster36 @themooncat22 The lady  can buy in bits at the dip #bitcoin always affordable then just #hodl</t>
  </si>
  <si>
    <t xml:space="preserve"> Sat Feb 03 2018 18:22:09</t>
  </si>
  <si>
    <t xml:space="preserve"> What will happen first? #Bitcoin #Ethereum $BTC $ETH $NEO</t>
  </si>
  <si>
    <t xml:space="preserve"> Sat Feb 03 2018 18:22:45</t>
  </si>
  <si>
    <t xml:space="preserve"> @GabeCee27 Bitcoin hitting rock bottom is just an opportunity for a discount </t>
  </si>
  <si>
    <t xml:space="preserve"> BJaursch</t>
  </si>
  <si>
    <t xml:space="preserve"> Corvegas, Cascadia</t>
  </si>
  <si>
    <t xml:space="preserve"> Sat Feb 03 2018 18:22:46</t>
  </si>
  <si>
    <t xml:space="preserve"> @RealTimeCrypto Funny that this happens around the time Jamie Dimon stops insisting that Bitcoin is a bubble.</t>
  </si>
  <si>
    <t xml:space="preserve"> Mededitor</t>
  </si>
  <si>
    <t xml:space="preserve"> Jacksonville, FL</t>
  </si>
  <si>
    <t xml:space="preserve"> Sat Feb 03 2018 18:23:18</t>
  </si>
  <si>
    <t xml:space="preserve"> @cryptomanran Ahhhaa!!!! Satoshis real name is Milton! He must've created bitcoin before he left and traveled to the next universe.</t>
  </si>
  <si>
    <t xml:space="preserve"> bananabit1</t>
  </si>
  <si>
    <t xml:space="preserve"> Sat Feb 03 2018 18:23:48</t>
  </si>
  <si>
    <t xml:space="preserve"> @flyingheadofbtc @pterion2910 @CryptOrca Yep to see how bitcoin starts</t>
  </si>
  <si>
    <t xml:space="preserve"> mtoa17</t>
  </si>
  <si>
    <t xml:space="preserve"> @Xentagz Bitcoin doesn't fit what he explained eCash. Another crypto will fill that role may take several years to fully see it unfold.</t>
  </si>
  <si>
    <t xml:space="preserve"> MoneyEvil</t>
  </si>
  <si>
    <t xml:space="preserve"> Sat Feb 03 2018 18:24:09</t>
  </si>
  <si>
    <t xml:space="preserve"> Nothing cotton's up the ole vag like hearing a white dude talk about bitcoin.</t>
  </si>
  <si>
    <t xml:space="preserve"> RivkaGheist</t>
  </si>
  <si>
    <t xml:space="preserve"> Portland </t>
  </si>
  <si>
    <t xml:space="preserve"> Sat Feb 03 2018 18:24:25</t>
  </si>
  <si>
    <t xml:space="preserve"> H)K( free community discussion at #Bitcoin education and much more:</t>
  </si>
  <si>
    <t xml:space="preserve"> Sat Feb 03 2018 18:24:49</t>
  </si>
  <si>
    <t xml:space="preserve"> Imagine hodling Bcash right now because you think Bitcoin is antiquated.</t>
  </si>
  <si>
    <t xml:space="preserve"> dstrbtdhth</t>
  </si>
  <si>
    <t xml:space="preserve"> Sat Feb 03 2018 18:24:55</t>
  </si>
  <si>
    <t xml:space="preserve"> Im currently watching a documentary on bitcoin so in 1h and 22 mins its over for you all</t>
  </si>
  <si>
    <t xml:space="preserve"> guanlinking</t>
  </si>
  <si>
    <t xml:space="preserve"> Sat Feb 03 2018 18:25:22</t>
  </si>
  <si>
    <t xml:space="preserve"> @CryptosQueen How many ppl lost faith in litecoin? I bought ethereum and Bitcoin cash in the dip....</t>
  </si>
  <si>
    <t xml:space="preserve"> PetJo231982</t>
  </si>
  <si>
    <t xml:space="preserve"> Sat Feb 03 2018 18:25:30</t>
  </si>
  <si>
    <t xml:space="preserve"> So what is your overall portfolio ? #xrp #ripple #xrpthestandard #Litecoin #bitcoin</t>
  </si>
  <si>
    <t xml:space="preserve"> johnbacky</t>
  </si>
  <si>
    <t xml:space="preserve"> Sat Feb 03 2018 18:25:35</t>
  </si>
  <si>
    <t xml:space="preserve"> Bitcoin Price Prediction: up to $26516.1! - BTC/USD Forecast, Long-Term</t>
  </si>
  <si>
    <t xml:space="preserve"> DocPC79</t>
  </si>
  <si>
    <t xml:space="preserve"> Sat Feb 03 2018 18:25:38</t>
  </si>
  <si>
    <t xml:space="preserve"> UsnowacCoin #cryptocurrency #Bitcoin #Ripple #Ethereum #BitcoinCash #Cardano #Litecoin #NEO #NEM #Stellar #IOTA</t>
  </si>
  <si>
    <t xml:space="preserve"> CryptoNamer</t>
  </si>
  <si>
    <t xml:space="preserve"> Sat Feb 03 2018 18:25:47</t>
  </si>
  <si>
    <t xml:space="preserve"> #Bitcoin The Current Bitcoin Price is 0.00010902 BTC for $1 USD #GoldCoinJar</t>
  </si>
  <si>
    <t xml:space="preserve"> Sat Feb 03 2018 18:26:03</t>
  </si>
  <si>
    <t xml:space="preserve"> @gazza_jenks Lightening your Bitcoin blues?</t>
  </si>
  <si>
    <t xml:space="preserve"> Serious_Sellout</t>
  </si>
  <si>
    <t xml:space="preserve"> Sat Feb 03 2018 18:26:19</t>
  </si>
  <si>
    <t xml:space="preserve"> I invented bitcoin about 15y ago. I was stupid then. What part you don't understand?</t>
  </si>
  <si>
    <t xml:space="preserve"> #Bitcoin is some sort of digital Ponzi scheme..because how is it going to drop several 100 in one day? based on what?</t>
  </si>
  <si>
    <t xml:space="preserve"> PortfolioEmpire</t>
  </si>
  <si>
    <t xml:space="preserve"> Sat Feb 03 2018 18:26:30</t>
  </si>
  <si>
    <t xml:space="preserve"> Little GY!BE things: trading in your fiat currency for a bitcoin wallet full of blood</t>
  </si>
  <si>
    <t xml:space="preserve"> bugdoctor_inc</t>
  </si>
  <si>
    <t xml:space="preserve"> Sat Feb 03 2018 18:26:31</t>
  </si>
  <si>
    <t xml:space="preserve"> I'm trying to put together a script explaining just the bare essentials of Bitcoin, and I can't make it not sound like coke ravings.</t>
  </si>
  <si>
    <t xml:space="preserve"> spreadingFUD</t>
  </si>
  <si>
    <t xml:space="preserve"> Stolen by pirates</t>
  </si>
  <si>
    <t xml:space="preserve"> Sat Feb 03 2018 18:26:57</t>
  </si>
  <si>
    <t xml:space="preserve"> *buys BitCoin miner after gambling career hits rocks*</t>
  </si>
  <si>
    <t xml:space="preserve"> SauvignonMum</t>
  </si>
  <si>
    <t xml:space="preserve"> Harpenden </t>
  </si>
  <si>
    <t xml:space="preserve"> Sat Feb 03 2018 18:26:58</t>
  </si>
  <si>
    <t xml:space="preserve"> AddictedDeals</t>
  </si>
  <si>
    <t xml:space="preserve"> IF SUSPENDED CHECK OUR SITE!</t>
  </si>
  <si>
    <t xml:space="preserve"> Sat Feb 03 2018 18:27:16</t>
  </si>
  <si>
    <t xml:space="preserve"> @BuddyYuz 10k bitcoin btw</t>
  </si>
  <si>
    <t xml:space="preserve"> OmgThisFiddle</t>
  </si>
  <si>
    <t xml:space="preserve"> Sat Feb 03 2018 18:28:04</t>
  </si>
  <si>
    <t xml:space="preserve"> BUY #bitcoin $btc $bcc $btg $eth $ltc</t>
  </si>
  <si>
    <t xml:space="preserve"> bitcoinadvice</t>
  </si>
  <si>
    <t xml:space="preserve"> Sat Feb 03 2018 18:28:15</t>
  </si>
  <si>
    <t xml:space="preserve"> Bitcoin ban expands across credit cards , falls below $8000 ~news</t>
  </si>
  <si>
    <t xml:space="preserve"> sonigroup</t>
  </si>
  <si>
    <t xml:space="preserve"> Sat Feb 03 2018 18:28:21</t>
  </si>
  <si>
    <t xml:space="preserve"> @mocent0 Of course, please dont tell anyone that Mossad invented Bitcoin, as it is a secret.</t>
  </si>
  <si>
    <t xml:space="preserve"> Sat Feb 03 2018 18:29:16</t>
  </si>
  <si>
    <t xml:space="preserve"> @AltOne_Crypto Johnny can you please warn your follows if bitcoin drops fast</t>
  </si>
  <si>
    <t xml:space="preserve"> bekim_ceo</t>
  </si>
  <si>
    <t xml:space="preserve"> Hovedstaden, Danmark</t>
  </si>
  <si>
    <t xml:space="preserve"> da</t>
  </si>
  <si>
    <t xml:space="preserve"> Sat Feb 03 2018 18:29:34</t>
  </si>
  <si>
    <t xml:space="preserve"> The day bitcoin does a staged crash and yall find out it was a scam </t>
  </si>
  <si>
    <t xml:space="preserve"> HarrisDeidric</t>
  </si>
  <si>
    <t xml:space="preserve"> Paradise, NV</t>
  </si>
  <si>
    <t xml:space="preserve"> Sat Feb 03 2018 18:29:39</t>
  </si>
  <si>
    <t xml:space="preserve"> @smoran26 Imagine a vegan crossfitter who trades bitcoin.</t>
  </si>
  <si>
    <t xml:space="preserve"> bjknappwrites</t>
  </si>
  <si>
    <t xml:space="preserve"> Rhode Island</t>
  </si>
  <si>
    <t xml:space="preserve"> Sat Feb 03 2018 18:30:00</t>
  </si>
  <si>
    <t xml:space="preserve"> make money -  make money -  get slaughtered #bitcoin #Ethereum $btc $eth #cryptocurrency #crypto</t>
  </si>
  <si>
    <t xml:space="preserve"> digitaltrustgrp</t>
  </si>
  <si>
    <t xml:space="preserve"> Sat Feb 03 2018 18:30:02</t>
  </si>
  <si>
    <t xml:space="preserve"> Bitcoin:$9191.57 Ethereum:$961.379 Bitcoin Cash:$1247.04 Litecoin:$148.929 Ripple:$0.914625 IOTA:$1.97122</t>
  </si>
  <si>
    <t xml:space="preserve"> Sat Feb 03 2018 18:30:03</t>
  </si>
  <si>
    <t xml:space="preserve"> Thinking of releasing the playlists I listen to when Im studying Bitcoin.</t>
  </si>
  <si>
    <t xml:space="preserve"> matettore</t>
  </si>
  <si>
    <t xml:space="preserve"> Sat Feb 03 2018 18:30:18</t>
  </si>
  <si>
    <t xml:space="preserve"> Bitcoin news: Top 10 cryptocurrency predictions for 2018 by Blockchain guru | City &amp; Business | Finance #Bitcoin #BTC #ETH #LTC #BCH</t>
  </si>
  <si>
    <t xml:space="preserve"> Sat Feb 03 2018 18:30:29</t>
  </si>
  <si>
    <t xml:space="preserve"> @paraschopra let take it with an ex. - Is Bitcoin trading allowed in India?</t>
  </si>
  <si>
    <t xml:space="preserve"> neutronyoda</t>
  </si>
  <si>
    <t xml:space="preserve"> Sat Feb 03 2018 18:30:30</t>
  </si>
  <si>
    <t xml:space="preserve"> kate_jFX</t>
  </si>
  <si>
    <t xml:space="preserve"> Sat Feb 03 2018 18:30:40</t>
  </si>
  <si>
    <t xml:space="preserve"> @swish66_ Yeah send me half a bitcoin</t>
  </si>
  <si>
    <t xml:space="preserve"> Paco_taco_xD</t>
  </si>
  <si>
    <t xml:space="preserve"> On The Road To Riches </t>
  </si>
  <si>
    <t xml:space="preserve"> Sat Feb 03 2018 18:30:42</t>
  </si>
  <si>
    <t xml:space="preserve"> @Abhi_MediaGuy abhi we need more tweets from you,  full support #XDACryptoArmy #Bitcoin #Crypto #NoSellFebruary #FebHoldCampaign</t>
  </si>
  <si>
    <t xml:space="preserve"> KhalilSeraje</t>
  </si>
  <si>
    <t xml:space="preserve"> Seracle</t>
  </si>
  <si>
    <t xml:space="preserve"> Sat Feb 03 2018 18:30:47</t>
  </si>
  <si>
    <t xml:space="preserve"> @Bitcoin fancy a date?</t>
  </si>
  <si>
    <t xml:space="preserve"> cryptocizzle</t>
  </si>
  <si>
    <t xml:space="preserve"> Sat Feb 03 2018 18:31:00</t>
  </si>
  <si>
    <t xml:space="preserve"> Bitcoin is patience. It is preparation. Learn that and you have taken your first steps. #HODL.</t>
  </si>
  <si>
    <t xml:space="preserve"> Sat Feb 03 2018 18:31:12</t>
  </si>
  <si>
    <t xml:space="preserve"> Hello humans, #Bitcoin is currently around $9184.27 as of Sat Feb  3 12:31:10 CST 2018</t>
  </si>
  <si>
    <t xml:space="preserve"> Sat Feb 03 2018 18:31:33</t>
  </si>
  <si>
    <t xml:space="preserve"> @Paco_taco_xD Lol Ill trade u half a Bitcoin for a whole one</t>
  </si>
  <si>
    <t xml:space="preserve"> swish66_</t>
  </si>
  <si>
    <t xml:space="preserve"> Magnolia</t>
  </si>
  <si>
    <t xml:space="preserve"> Sat Feb 03 2018 18:31:45</t>
  </si>
  <si>
    <t xml:space="preserve"> @traitor_651 @bitclockwork @Skyline1224 @Bitcoin Youre trying to make things more complicated than they are.</t>
  </si>
  <si>
    <t xml:space="preserve"> UncleJaysus</t>
  </si>
  <si>
    <t xml:space="preserve"> Poole, England</t>
  </si>
  <si>
    <t xml:space="preserve"> Sat Feb 03 2018 18:31:48</t>
  </si>
  <si>
    <t xml:space="preserve"> Optimal tx fee: 60 satoshi per byte.  BTC : $9230 / 7406 / 6535 @ Block 507468.  Market Cap: 158.5B USD. #Bitcoin #Blockchain</t>
  </si>
  <si>
    <t xml:space="preserve"> Sat Feb 03 2018 18:32:07</t>
  </si>
  <si>
    <t xml:space="preserve"> The people who believe in bitcoin are the same people who in the 70s bought a pet rock.</t>
  </si>
  <si>
    <t xml:space="preserve"> iLeonD</t>
  </si>
  <si>
    <t xml:space="preserve"> Suffragette City</t>
  </si>
  <si>
    <t xml:space="preserve"> Sat Feb 03 2018 18:32:14</t>
  </si>
  <si>
    <t xml:space="preserve"> @BTCTN Are you short in bitcoin future that you post a lot of old and panic news? Nobody written today about that......! Please stop </t>
  </si>
  <si>
    <t xml:space="preserve"> danka72italy</t>
  </si>
  <si>
    <t xml:space="preserve"> Sat Feb 03 2018 18:32:26</t>
  </si>
  <si>
    <t xml:space="preserve"> @UncleJaysus @bitclockwork @Skyline1224 @Bitcoin But that's not true XD. Neither is the original and both are the new coin.</t>
  </si>
  <si>
    <t xml:space="preserve"> traitor_651</t>
  </si>
  <si>
    <t xml:space="preserve"> Sat Feb 03 2018 18:32:39</t>
  </si>
  <si>
    <t xml:space="preserve"> @BTCTN Earn approximately $2,500 in 10 days from Bitcoin Mining. No Risk , no investment and dont send your money to anyone.</t>
  </si>
  <si>
    <t xml:space="preserve"> JohnClifford420</t>
  </si>
  <si>
    <t xml:space="preserve"> Sat Feb 03 2018 18:33:13</t>
  </si>
  <si>
    <t xml:space="preserve"> @Crypto_goat_ Earn approximately $2,500 in 10 days from Bitcoin Mining. No Risk , no investment and dont send your money to anyone.</t>
  </si>
  <si>
    <t xml:space="preserve"> Sat Feb 03 2018 18:33:19</t>
  </si>
  <si>
    <t xml:space="preserve"> Boys have the capacity to turn Bitcoin and Suarez into a two hour conversation</t>
  </si>
  <si>
    <t xml:space="preserve"> sehheron</t>
  </si>
  <si>
    <t xml:space="preserve"> Sat Feb 03 2018 18:33:22</t>
  </si>
  <si>
    <t xml:space="preserve"> Im glad to watch how an experienced team is developing such a long-term product.  #FLOGmall, #Blockchain #Bitcoin #BTC #Ethereum #ETH #ICO</t>
  </si>
  <si>
    <t xml:space="preserve"> enjointRu</t>
  </si>
  <si>
    <t xml:space="preserve"> Sat Feb 03 2018 18:33:39</t>
  </si>
  <si>
    <t xml:space="preserve"> @dearfuturejosh how did you get 0.00096357 bitcoin hahaha such a random decimal </t>
  </si>
  <si>
    <t xml:space="preserve"> HeyItsAG</t>
  </si>
  <si>
    <t xml:space="preserve"> Sat Feb 03 2018 18:33:49</t>
  </si>
  <si>
    <t xml:space="preserve"> @ryanxcharles Well I'd argue preventing noobs from buying bitcoin on credit is a good step.</t>
  </si>
  <si>
    <t xml:space="preserve"> sacrosacnt</t>
  </si>
  <si>
    <t xml:space="preserve"> Sat Feb 03 2018 18:33:51</t>
  </si>
  <si>
    <t xml:space="preserve"> @KennyUnfazed They only accept bitcoin bro not gonna happen</t>
  </si>
  <si>
    <t xml:space="preserve"> FoloWorld</t>
  </si>
  <si>
    <t xml:space="preserve"> Vault 101</t>
  </si>
  <si>
    <t xml:space="preserve"> Sat Feb 03 2018 18:34:04</t>
  </si>
  <si>
    <t xml:space="preserve"> @TLOLogn i dont have enough money for bitcoin anyway</t>
  </si>
  <si>
    <t xml:space="preserve"> Dapadilus</t>
  </si>
  <si>
    <t xml:space="preserve"> Sat Feb 03 2018 18:34:12</t>
  </si>
  <si>
    <t xml:space="preserve"> @lecontewealth And the influence of social media even has some big names in the investing world believing in #bitcoin...</t>
  </si>
  <si>
    <t xml:space="preserve"> dapstats</t>
  </si>
  <si>
    <t xml:space="preserve"> Sat Feb 03 2018 18:34:33</t>
  </si>
  <si>
    <t xml:space="preserve"> @JulieBorowski Bitcoin cannot fail because it is a revolutionary way to hide money from governmentsBitcoin expert</t>
  </si>
  <si>
    <t xml:space="preserve"> Craig235667</t>
  </si>
  <si>
    <t xml:space="preserve"> Sat Feb 03 2018 18:35:17</t>
  </si>
  <si>
    <t xml:space="preserve"> Bitcoin short Target 12000 $ Litecoin Short Target 250 $</t>
  </si>
  <si>
    <t xml:space="preserve"> hapciyizaga</t>
  </si>
  <si>
    <t xml:space="preserve"> Sat Feb 03 2018 18:35:26</t>
  </si>
  <si>
    <t xml:space="preserve"> ligi 100. 100 leagues. im your bitcoin jesus.</t>
  </si>
  <si>
    <t xml:space="preserve"> xpaterr</t>
  </si>
  <si>
    <t xml:space="preserve"> nairobi kenya</t>
  </si>
  <si>
    <t xml:space="preserve"> Sat Feb 03 2018 18:35:28</t>
  </si>
  <si>
    <t xml:space="preserve"> bitcoin date deposits make me happy</t>
  </si>
  <si>
    <t xml:space="preserve"> MeetJocelynMae</t>
  </si>
  <si>
    <t xml:space="preserve"> based in NYC // Fly Me to You</t>
  </si>
  <si>
    <t xml:space="preserve"> Sat Feb 03 2018 18:35:44</t>
  </si>
  <si>
    <t xml:space="preserve"> @methodman I was trying to say wait until 2019 to buy a bitcoin um harvester machine</t>
  </si>
  <si>
    <t xml:space="preserve"> Sat Feb 03 2018 18:35:59</t>
  </si>
  <si>
    <t xml:space="preserve"> Bitcoin news: Top 10 cryptocurrency predictions for 2018 by Blockchain guru | City &amp; Business | Finance</t>
  </si>
  <si>
    <t xml:space="preserve"> Sat Feb 03 2018 18:36:10</t>
  </si>
  <si>
    <t xml:space="preserve"> Forex &lt; bitcoin &lt; fpl</t>
  </si>
  <si>
    <t xml:space="preserve"> fnxqI</t>
  </si>
  <si>
    <t xml:space="preserve"> vanuatu</t>
  </si>
  <si>
    <t xml:space="preserve"> Sat Feb 03 2018 18:36:18</t>
  </si>
  <si>
    <t xml:space="preserve"> @SubstratumNet Good stuff coming #HODL #altcoinarmy #cryptotrading  #nocrash #2018 @Bitcoin</t>
  </si>
  <si>
    <t xml:space="preserve"> cryptolili</t>
  </si>
  <si>
    <t xml:space="preserve"> #FLOGmall #Blockchain #Bitcoin #BTC #Ethereum #ETH #ICO Stay tuned for more updates. Support and be one of us.</t>
  </si>
  <si>
    <t xml:space="preserve"> jerlen17</t>
  </si>
  <si>
    <t xml:space="preserve"> Philippines</t>
  </si>
  <si>
    <t xml:space="preserve"> Sat Feb 03 2018 18:37:25</t>
  </si>
  <si>
    <t xml:space="preserve"> End of 2018 Predictions: Bitcoin: $65,000 Ethereum: $25,000 Litecoin: $15,000 NEO: $23,000</t>
  </si>
  <si>
    <t xml:space="preserve"> willhaddockjr</t>
  </si>
  <si>
    <t xml:space="preserve"> RT doesnt = endorsement</t>
  </si>
  <si>
    <t xml:space="preserve"> Sat Feb 03 2018 18:37:28</t>
  </si>
  <si>
    <t xml:space="preserve"> Ppl are serious bad READERS to misinterpret and create fud #Bitcoin $BTC #Ethereum $ETH #Cryptocurrency #Altcoins</t>
  </si>
  <si>
    <t xml:space="preserve"> ChuckLeeee</t>
  </si>
  <si>
    <t xml:space="preserve"> Sat Feb 03 2018 18:37:30</t>
  </si>
  <si>
    <t xml:space="preserve"> When will the ascension be? Bitcoin  @officialmcafee</t>
  </si>
  <si>
    <t xml:space="preserve"> Jass__minee</t>
  </si>
  <si>
    <t xml:space="preserve"> Sat Feb 03 2018 18:37:56</t>
  </si>
  <si>
    <t xml:space="preserve"> @TechCrunch Talk is cheap, especially from a s...s...stutterer! #bitcoin</t>
  </si>
  <si>
    <t xml:space="preserve"> PragueBob</t>
  </si>
  <si>
    <t xml:space="preserve"> Prague, Czech Republic</t>
  </si>
  <si>
    <t xml:space="preserve"> Sat Feb 03 2018 18:38:09</t>
  </si>
  <si>
    <t xml:space="preserve"> @ArminVanBitcoin The earth being flat has nothing to do with #bitcoin. And the Earth is flat, you like it or not.</t>
  </si>
  <si>
    <t xml:space="preserve"> terraplanaconsp</t>
  </si>
  <si>
    <t xml:space="preserve"> Sat Feb 03 2018 18:38:28</t>
  </si>
  <si>
    <t xml:space="preserve"> MGTI: Bitcoin $9.3k now.  MGTI should have a good comeback.</t>
  </si>
  <si>
    <t xml:space="preserve"> Sat Feb 03 2018 18:38:32</t>
  </si>
  <si>
    <t xml:space="preserve"> How do you invest in bitcoin via the cash app</t>
  </si>
  <si>
    <t xml:space="preserve"> juvenchyjay</t>
  </si>
  <si>
    <t xml:space="preserve"> MSU</t>
  </si>
  <si>
    <t xml:space="preserve"> Sat Feb 03 2018 18:39:02</t>
  </si>
  <si>
    <t xml:space="preserve"> @danka72italy @BTCTN BITCOIN collapses :-) US and Europe already asked for collaboration on shutting the Ponzi down</t>
  </si>
  <si>
    <t xml:space="preserve"> Sat Feb 03 2018 18:39:07</t>
  </si>
  <si>
    <t xml:space="preserve"> @PuhekR @csuwildcat 3/ every single core value bitcoin was designed to bring into the world. That should at least raise some red flags</t>
  </si>
  <si>
    <t xml:space="preserve"> amik_martensite</t>
  </si>
  <si>
    <t xml:space="preserve"> Intergalactic void</t>
  </si>
  <si>
    <t xml:space="preserve"> Sat Feb 03 2018 18:39:16</t>
  </si>
  <si>
    <t xml:space="preserve"> Have we started a fire? Yes. The fire rises!  - two guys buying bitcoin from an ATM in a pita shop</t>
  </si>
  <si>
    <t xml:space="preserve"> NeerajKA</t>
  </si>
  <si>
    <t xml:space="preserve"> Sat Feb 03 2018 18:39:26</t>
  </si>
  <si>
    <t xml:space="preserve"> I don't care about the price! I want #Bitcoin!</t>
  </si>
  <si>
    <t xml:space="preserve"> ztay</t>
  </si>
  <si>
    <t xml:space="preserve"> Sat Feb 03 2018 18:40:00</t>
  </si>
  <si>
    <t xml:space="preserve"> CryptoCompare Bitcoin price changed +1.03% to $9327.49 #bitcoin</t>
  </si>
  <si>
    <t xml:space="preserve"> Sat Feb 03 2018 18:40:12</t>
  </si>
  <si>
    <t xml:space="preserve"> It's pronounced:  #bitcoin $BTC #BTC #HODL</t>
  </si>
  <si>
    <t xml:space="preserve"> leadthewise</t>
  </si>
  <si>
    <t xml:space="preserve"> Sat Feb 03 2018 18:40:16</t>
  </si>
  <si>
    <t xml:space="preserve"> @naturelovings (63229 follows) RT @CryptoXanax: Crypto and bitcoin has changed my life for the better so heres a random .1 btc giveaway...</t>
  </si>
  <si>
    <t xml:space="preserve"> Sat Feb 03 2018 18:40:22</t>
  </si>
  <si>
    <t xml:space="preserve"> 1 Litecoin = 0.165 Bitcoin</t>
  </si>
  <si>
    <t xml:space="preserve"> Sat Feb 03 2018 18:40:25</t>
  </si>
  <si>
    <t xml:space="preserve"> @binance_2017 Earn approximately $2,500 in 10 days from Bitcoin Mining. No Risk , no investment and dont send your money to anyone.</t>
  </si>
  <si>
    <t xml:space="preserve"> Bitcoin initial price was $0.08, it is now $9230.00, And a few weeks ago it hit its highest peak at $13,601.43.</t>
  </si>
  <si>
    <t xml:space="preserve"> Richnixxv</t>
  </si>
  <si>
    <t xml:space="preserve"> Low. </t>
  </si>
  <si>
    <t xml:space="preserve"> Sat Feb 03 2018 18:40:27</t>
  </si>
  <si>
    <t xml:space="preserve"> Interesting to see how many people left Crypto.... SO AMAZING!  yet we need you. Don't let Bitcoin become centralized</t>
  </si>
  <si>
    <t xml:space="preserve"> Sat Feb 03 2018 18:40:36</t>
  </si>
  <si>
    <t xml:space="preserve"> @r0bbot You know LN doesn't have tokens. You know it's still bitcoin. You're only fooling the noobs which is messed up</t>
  </si>
  <si>
    <t xml:space="preserve"> cryptocampos</t>
  </si>
  <si>
    <t xml:space="preserve"> Sat Feb 03 2018 18:40:42</t>
  </si>
  <si>
    <t xml:space="preserve"> Sat Feb 03 2018 18:40:43</t>
  </si>
  <si>
    <t xml:space="preserve"> @KevinLaSean How do i buy bitcoin?</t>
  </si>
  <si>
    <t xml:space="preserve"> leonandrew079</t>
  </si>
  <si>
    <t xml:space="preserve"> Long Beach, CA</t>
  </si>
  <si>
    <t xml:space="preserve"> Sat Feb 03 2018 18:40:54</t>
  </si>
  <si>
    <t xml:space="preserve"> @ryandali0n @CarpeNoctom Bitcoin, robbery proof?</t>
  </si>
  <si>
    <t xml:space="preserve"> RaenPiedmont</t>
  </si>
  <si>
    <t xml:space="preserve"> Sat Feb 03 2018 18:42:01</t>
  </si>
  <si>
    <t xml:space="preserve"> @ThatSamWinkler I have turned all my bitcoin miners to rendering mnuchin deepfakes</t>
  </si>
  <si>
    <t xml:space="preserve"> sexyfacts4u</t>
  </si>
  <si>
    <t xml:space="preserve"> Chicago</t>
  </si>
  <si>
    <t xml:space="preserve"> Sat Feb 03 2018 18:42:20</t>
  </si>
  <si>
    <t xml:space="preserve"> Sat Feb 03 2018 18:42:21</t>
  </si>
  <si>
    <t xml:space="preserve"> Great project with great possibilities #denaro #ethereum #bitcoin #ico #litecoin</t>
  </si>
  <si>
    <t xml:space="preserve"> VolodymyrChuryk</t>
  </si>
  <si>
    <t xml:space="preserve"> Sat Feb 03 2018 18:42:27</t>
  </si>
  <si>
    <t xml:space="preserve"> @superbintellect You can buy #bytecoin with #bitcoin #ethereum #litecoin and many more cryptocurrencies</t>
  </si>
  <si>
    <t xml:space="preserve"> BitplaceE</t>
  </si>
  <si>
    <t xml:space="preserve"> Sat Feb 03 2018 18:42:28</t>
  </si>
  <si>
    <t xml:space="preserve"> @VinnyLingham We heard you are THE bitcoin Oracle.....  we need a partnership right now ! </t>
  </si>
  <si>
    <t xml:space="preserve"> WallStrWhales</t>
  </si>
  <si>
    <t xml:space="preserve"> Sat Feb 03 2018 18:42:38</t>
  </si>
  <si>
    <t xml:space="preserve"> @Bitcoin Earn approximately $2,500 in 10 days from Bitcoin Mining. No Risk , no investment and dont send your money to anyone.</t>
  </si>
  <si>
    <t xml:space="preserve"> Sat Feb 03 2018 18:42:39</t>
  </si>
  <si>
    <t xml:space="preserve"> @BitcoinDood I am the face of #bitcoin</t>
  </si>
  <si>
    <t xml:space="preserve"> bbmk859</t>
  </si>
  <si>
    <t xml:space="preserve"> Infinite Sorrow</t>
  </si>
  <si>
    <t xml:space="preserve"> Sat Feb 03 2018 18:42:49</t>
  </si>
  <si>
    <t xml:space="preserve"> Sat Feb 03 2018 18:43:03</t>
  </si>
  <si>
    <t xml:space="preserve"> @massive_ow Lmao I just checked coinbase. Ethereum is up 9%, Bitcoin is up 8% and Litecoin is up 21% today.</t>
  </si>
  <si>
    <t xml:space="preserve"> _garretthogan</t>
  </si>
  <si>
    <t xml:space="preserve"> Sat Feb 03 2018 18:43:12</t>
  </si>
  <si>
    <t xml:space="preserve"> @Crypto_Bitlord F' it! I don't care about the price... I want Bitcoin!!! You missing the point.</t>
  </si>
  <si>
    <t xml:space="preserve"> Sat Feb 03 2018 18:43:26</t>
  </si>
  <si>
    <t xml:space="preserve"> Bitcoin carnivores arguing with bitcoin vegans is why Twitter exists.</t>
  </si>
  <si>
    <t xml:space="preserve"> p_schwartzkopf</t>
  </si>
  <si>
    <t xml:space="preserve"> St. Louis</t>
  </si>
  <si>
    <t xml:space="preserve"> Sat Feb 03 2018 18:43:39</t>
  </si>
  <si>
    <t xml:space="preserve"> bitcoin</t>
  </si>
  <si>
    <t xml:space="preserve"> kenhyd</t>
  </si>
  <si>
    <t xml:space="preserve"> Sat Feb 03 2018 18:43:42</t>
  </si>
  <si>
    <t xml:space="preserve"> @todd_harrison Roubini finally declared bitcoin a bubble.</t>
  </si>
  <si>
    <t xml:space="preserve"> billydaw</t>
  </si>
  <si>
    <t xml:space="preserve"> Sat Feb 03 2018 18:44:26</t>
  </si>
  <si>
    <t xml:space="preserve"> In these days money moves from less trusted bitcoin investors to more trusted bitcoin holders as always.</t>
  </si>
  <si>
    <t xml:space="preserve"> Sat Feb 03 2018 18:45:02</t>
  </si>
  <si>
    <t xml:space="preserve"> There are currently 10,997 unconfirmed Bitcoin transactions. #bitcoin #btc $BTC</t>
  </si>
  <si>
    <t xml:space="preserve"> Sat Feb 03 2018 18:46:00</t>
  </si>
  <si>
    <t xml:space="preserve"> @jessica_mnmusic @SweatingCommas So... is Etherium a Bitcoin competitor or...?</t>
  </si>
  <si>
    <t xml:space="preserve"> mncastens</t>
  </si>
  <si>
    <t xml:space="preserve"> Sat Feb 03 2018 18:46:08</t>
  </si>
  <si>
    <t xml:space="preserve"> @buzztronics @Songbird_7_ @Jeopardy Just watch as many episodes as humanly possible from any year. That'll be 3 Bitcoin, please.</t>
  </si>
  <si>
    <t xml:space="preserve"> austintylerro</t>
  </si>
  <si>
    <t xml:space="preserve"> Mordor, New Jersey</t>
  </si>
  <si>
    <t xml:space="preserve"> Sat Feb 03 2018 18:46:25</t>
  </si>
  <si>
    <t xml:space="preserve"> @BTCbenny That's pretty spectacular mate, send me all your #Bitcoin and I'll send you more back - seems to be trending on Twitter recently</t>
  </si>
  <si>
    <t xml:space="preserve"> Ticky_Rhomas</t>
  </si>
  <si>
    <t xml:space="preserve"> North West, England</t>
  </si>
  <si>
    <t xml:space="preserve"> Sat Feb 03 2018 18:46:35</t>
  </si>
  <si>
    <t xml:space="preserve"> Just put 14,000 BitCoin on Joe Weller. Get in lad!</t>
  </si>
  <si>
    <t xml:space="preserve"> Kleed</t>
  </si>
  <si>
    <t xml:space="preserve"> Sat Feb 03 2018 18:47:07</t>
  </si>
  <si>
    <t xml:space="preserve"> #Bitcoin is at 9k .. can I #stonecoldstunner you now or later ?!</t>
  </si>
  <si>
    <t xml:space="preserve"> Sirvichugo</t>
  </si>
  <si>
    <t xml:space="preserve"> San Jose, CA</t>
  </si>
  <si>
    <t xml:space="preserve"> Sat Feb 03 2018 18:47:17</t>
  </si>
  <si>
    <t xml:space="preserve"> @Altcoinbuzzio You really needed a  its Bitcoin, who the hell knows button. #altcoinarmy</t>
  </si>
  <si>
    <t xml:space="preserve"> Zackattacky1012</t>
  </si>
  <si>
    <t xml:space="preserve"> Sat Feb 03 2018 18:47:20</t>
  </si>
  <si>
    <t xml:space="preserve"> @Bitcoin And I can give you one reason why even if you sometimes  support the right idea, most people will still reject you.</t>
  </si>
  <si>
    <t xml:space="preserve"> cryptomond</t>
  </si>
  <si>
    <t xml:space="preserve"> Sat Feb 03 2018 18:47:24</t>
  </si>
  <si>
    <t xml:space="preserve"> @CNBC Wrong. After Mt Gox, bitcoin dropped 92%. Last January was nothing. Get your facts straight</t>
  </si>
  <si>
    <t xml:space="preserve"> sergemoschowski</t>
  </si>
  <si>
    <t xml:space="preserve"> Sat Feb 03 2018 18:47:52</t>
  </si>
  <si>
    <t xml:space="preserve"> Bitcoin is bae </t>
  </si>
  <si>
    <t xml:space="preserve"> phantomzphoenix</t>
  </si>
  <si>
    <t xml:space="preserve"> In Sane | Mount Neverest </t>
  </si>
  <si>
    <t xml:space="preserve"> Sat Feb 03 2018 18:48:04</t>
  </si>
  <si>
    <t xml:space="preserve"> @DavidGN40 thoughts on cryptocurrency and bitcoin in general?</t>
  </si>
  <si>
    <t xml:space="preserve"> BloodyLaser</t>
  </si>
  <si>
    <t xml:space="preserve"> Ireland </t>
  </si>
  <si>
    <t xml:space="preserve"> Sat Feb 03 2018 18:48:06</t>
  </si>
  <si>
    <t xml:space="preserve"> Just explained Bitcoin to my friend as fake electronic money.</t>
  </si>
  <si>
    <t xml:space="preserve"> lopta</t>
  </si>
  <si>
    <t xml:space="preserve"> Illinois, USA</t>
  </si>
  <si>
    <t xml:space="preserve"> Sat Feb 03 2018 18:48:12</t>
  </si>
  <si>
    <t xml:space="preserve"> In #Vegas we use to say dont quit your job to be a poker player, now it should be dont quit your job to be a #bitcoin trader #Crypto</t>
  </si>
  <si>
    <t xml:space="preserve"> maxpescatori</t>
  </si>
  <si>
    <t xml:space="preserve"> Sat Feb 03 2018 18:48:57</t>
  </si>
  <si>
    <t xml:space="preserve"> February 2018 brought to you by me spending money on a GTX 1060 6gb because it hasn't been price hiked due to bitcoin mining</t>
  </si>
  <si>
    <t xml:space="preserve"> _Duckss</t>
  </si>
  <si>
    <t xml:space="preserve"> Sat Feb 03 2018 18:49:39</t>
  </si>
  <si>
    <t xml:space="preserve"> Cryptocurrency: #Bitcoin Price USD: 9251.67 Price BTC: 1.0 24h Volume USD: 7495910000.0 Percent change 24h: 6.35</t>
  </si>
  <si>
    <t xml:space="preserve"> if ksi wins I'll give everyone that likes this tweet 1 whole bitcoin</t>
  </si>
  <si>
    <t xml:space="preserve"> azrilich</t>
  </si>
  <si>
    <t xml:space="preserve"> Sat Feb 03 2018 18:49:47</t>
  </si>
  <si>
    <t xml:space="preserve"> Hurry to join Pre-Sale working with a 45% discount until March 5! #Imigize  #ico #tokensale #bitcoin #blockchain</t>
  </si>
  <si>
    <t xml:space="preserve"> Vladlen_ru</t>
  </si>
  <si>
    <t xml:space="preserve"> Sat Feb 03 2018 18:49:52</t>
  </si>
  <si>
    <t xml:space="preserve"> @wolfejosh Because the NASDAQ and BitCoin are the same thing...and the timeline doesnt fit.</t>
  </si>
  <si>
    <t xml:space="preserve"> Mr_Linas</t>
  </si>
  <si>
    <t xml:space="preserve"> Welcome to Da Bay</t>
  </si>
  <si>
    <t xml:space="preserve"> Sat Feb 03 2018 18:50:01</t>
  </si>
  <si>
    <t xml:space="preserve"> BTC-DOPE AskRate: 0.00000990 #Bittrex  #DOPE $DOPE #DopeCoin #altcoin #crypto #bitcoin   FOLLOW for PROFIT</t>
  </si>
  <si>
    <t xml:space="preserve"> Sat Feb 03 2018 18:50:12</t>
  </si>
  <si>
    <t xml:space="preserve"> How to invest in Bitcoin Tip #2 - Don't!</t>
  </si>
  <si>
    <t xml:space="preserve"> SexBanJohn</t>
  </si>
  <si>
    <t xml:space="preserve"> York, England</t>
  </si>
  <si>
    <t xml:space="preserve"> Sat Feb 03 2018 18:50:38</t>
  </si>
  <si>
    <t xml:space="preserve"> @abletroner @wbvg @itswarrenbuffet Bitcoin</t>
  </si>
  <si>
    <t xml:space="preserve"> Nossy_K</t>
  </si>
  <si>
    <t xml:space="preserve"> Sat Feb 03 2018 18:50:46</t>
  </si>
  <si>
    <t xml:space="preserve"> My bitcoin went back up today  lol</t>
  </si>
  <si>
    <t xml:space="preserve"> Rioozayyy</t>
  </si>
  <si>
    <t xml:space="preserve"> Sat Feb 03 2018 18:51:36</t>
  </si>
  <si>
    <t xml:space="preserve"> @blockdigest On a side note, really enjoy your youtube channel. Different take on bitcoin, great fun.</t>
  </si>
  <si>
    <t xml:space="preserve"> MediumSqueeze</t>
  </si>
  <si>
    <t xml:space="preserve"> Sat Feb 03 2018 18:51:51</t>
  </si>
  <si>
    <t xml:space="preserve"> Life is rough, but could you imagine having bought like 17 bitcoin back in the day to buy drugs and hating yourself today for not saving it?</t>
  </si>
  <si>
    <t xml:space="preserve"> aminehalba</t>
  </si>
  <si>
    <t xml:space="preserve"> College of Wooster</t>
  </si>
  <si>
    <t xml:space="preserve"> Sat Feb 03 2018 18:53:28</t>
  </si>
  <si>
    <t xml:space="preserve"> @tarzanbigcity @ArminVanBitcoin AI. Bitcoin soon becomes self aware </t>
  </si>
  <si>
    <t xml:space="preserve"> Arganaut</t>
  </si>
  <si>
    <t xml:space="preserve"> Southampton</t>
  </si>
  <si>
    <t xml:space="preserve"> Sat Feb 03 2018 18:54:22</t>
  </si>
  <si>
    <t xml:space="preserve"> Bitcoin (feat. H Love) - by PBH &amp; Jack Shizzle #bbc #radio1 #np</t>
  </si>
  <si>
    <t xml:space="preserve"> NowOnRadio1</t>
  </si>
  <si>
    <t xml:space="preserve"> Sat Feb 03 2018 18:54:25</t>
  </si>
  <si>
    <t xml:space="preserve"> @justinsuntton Scamity scam scam scam.... #scam #Bitcoin $BTC</t>
  </si>
  <si>
    <t xml:space="preserve"> Sat Feb 03 2018 18:54:29</t>
  </si>
  <si>
    <t xml:space="preserve"> @jebus911 Ill give you 4 now but you give me back 40 when Bitcoin is at new highs.</t>
  </si>
  <si>
    <t xml:space="preserve"> dg1001</t>
  </si>
  <si>
    <t xml:space="preserve"> Sat Feb 03 2018 18:54:31</t>
  </si>
  <si>
    <t xml:space="preserve"> @KimDotcom and Bitcoin</t>
  </si>
  <si>
    <t xml:space="preserve"> xsillent</t>
  </si>
  <si>
    <t xml:space="preserve"> Sat Feb 03 2018 18:54:52</t>
  </si>
  <si>
    <t xml:space="preserve"> I should add, why is the book relevant to bitcoin?</t>
  </si>
  <si>
    <t xml:space="preserve"> Sat Feb 03 2018 18:55:19</t>
  </si>
  <si>
    <t xml:space="preserve"> I was hoping for a 5k Bitcoin I dont think Ill get iy</t>
  </si>
  <si>
    <t xml:space="preserve"> OffTheDome28</t>
  </si>
  <si>
    <t xml:space="preserve"> Sat Feb 03 2018 18:55:24</t>
  </si>
  <si>
    <t xml:space="preserve"> People are getting bearish on #bitcoin. You know what that means. #moonshot #incoming #coinbase</t>
  </si>
  <si>
    <t xml:space="preserve"> Sat Feb 03 2018 18:55:41</t>
  </si>
  <si>
    <t xml:space="preserve"> @jebus911 Sorry dude only have Bitcoin :/</t>
  </si>
  <si>
    <t xml:space="preserve"> WaleEater</t>
  </si>
  <si>
    <t xml:space="preserve"> US of A</t>
  </si>
  <si>
    <t xml:space="preserve"> Sat Feb 03 2018 18:56:03</t>
  </si>
  <si>
    <t xml:space="preserve"> Ontario Minimum Wage:  2018 =&gt; $14 2019 =&gt; $15 2022 =&gt; $18 2024 =&gt; $22 2028 =&gt; 0.001 Bitcoin</t>
  </si>
  <si>
    <t xml:space="preserve"> jackshaoart</t>
  </si>
  <si>
    <t xml:space="preserve"> Sat Feb 03 2018 18:56:29</t>
  </si>
  <si>
    <t xml:space="preserve"> Bitcoin is a techno tour de force. Bill Gates, Founder of Microsoft #quotes #bitcoinquotes #bitcoin #cryptonews</t>
  </si>
  <si>
    <t xml:space="preserve"> Sat Feb 03 2018 18:56:38</t>
  </si>
  <si>
    <t xml:space="preserve"> So what's the prize for bitcoin at the moment?</t>
  </si>
  <si>
    <t xml:space="preserve"> IamAkhere</t>
  </si>
  <si>
    <t xml:space="preserve"> Sat Feb 03 2018 18:57:06</t>
  </si>
  <si>
    <t xml:space="preserve"> Todays the day to buy bitcoin.</t>
  </si>
  <si>
    <t xml:space="preserve"> TristanIsham</t>
  </si>
  <si>
    <t xml:space="preserve"> Kent, OH</t>
  </si>
  <si>
    <t xml:space="preserve"> Sat Feb 03 2018 18:57:10</t>
  </si>
  <si>
    <t xml:space="preserve"> @polemitis Jealousy is corrosive. Bitcoin evokes strong emotions from both supporters and in this case detractors.</t>
  </si>
  <si>
    <t xml:space="preserve"> d_a_n</t>
  </si>
  <si>
    <t xml:space="preserve"> Cayman Islands</t>
  </si>
  <si>
    <t xml:space="preserve"> Sat Feb 03 2018 18:57:46</t>
  </si>
  <si>
    <t xml:space="preserve"> Can someone explain to me how bitcoin is expected to rise later on?</t>
  </si>
  <si>
    <t xml:space="preserve"> Sat Feb 03 2018 18:57:48</t>
  </si>
  <si>
    <t xml:space="preserve"> The Short Squeeze - 2018 sequel - staring #Bitcoin and #Altcoins in the role of Satoshi Nakamoto. Producer Willy the Whale</t>
  </si>
  <si>
    <t xml:space="preserve"> CryptoDingue</t>
  </si>
  <si>
    <t xml:space="preserve"> $XBY $SPHTX $BAY $NEO $LSK $ARK $POWR $NEBL $ADC $IOT</t>
  </si>
  <si>
    <t xml:space="preserve"> Sat Feb 03 2018 18:57:52</t>
  </si>
  <si>
    <t xml:space="preserve"> @Beautyon_ @bhec39 @WeathermanIam @Frances_Crapola Easy: Bitcoin is a crypto, scams are all scams. ;)</t>
  </si>
  <si>
    <t xml:space="preserve"> Sat Feb 03 2018 18:58:03</t>
  </si>
  <si>
    <t xml:space="preserve"> #Bitcoin #cryptocurrencies &amp; #GDPR  are three things i could do with hearing less about...</t>
  </si>
  <si>
    <t xml:space="preserve"> WhiteKevin32</t>
  </si>
  <si>
    <t xml:space="preserve"> Hampshire/London/Glasgow</t>
  </si>
  <si>
    <t xml:space="preserve"> Sat Feb 03 2018 18:58:28</t>
  </si>
  <si>
    <t xml:space="preserve"> Bitcoin taxes are a nightmare.</t>
  </si>
  <si>
    <t xml:space="preserve"> CryptoJim07</t>
  </si>
  <si>
    <t xml:space="preserve"> Sat Feb 03 2018 18:58:35</t>
  </si>
  <si>
    <t xml:space="preserve"> @DJ_PBH @mistajam @BBCR1 @DjJackshizzle Just enjoying the dance music, and bitcoin is actually in a track  Two worlds collide!</t>
  </si>
  <si>
    <t xml:space="preserve"> BtcAbc123</t>
  </si>
  <si>
    <t xml:space="preserve"> Sat Feb 03 2018 18:58:38</t>
  </si>
  <si>
    <t xml:space="preserve"> @BTCTN '  Stop use for illicit purposes' Finish the Indian's Minister of finance statement in full . Wtf ?  Bitcoin news or bitcoin fud ?</t>
  </si>
  <si>
    <t xml:space="preserve"> MooneyAndrea</t>
  </si>
  <si>
    <t xml:space="preserve"> Sat Feb 03 2018 18:59:05</t>
  </si>
  <si>
    <t xml:space="preserve"> #Bitcoin The Current Bitcoin Price is 0.00010738 BTC for $1 USD #GoldCoinJar</t>
  </si>
  <si>
    <t xml:space="preserve"> Sat Feb 03 2018 18:59:25</t>
  </si>
  <si>
    <t xml:space="preserve"> @Danrocky A million people saw me tweet about being financially responsible the day after Bitcoin peaked. What did you do buddy?</t>
  </si>
  <si>
    <t xml:space="preserve"> Sat Feb 03 2018 18:59:35</t>
  </si>
  <si>
    <t xml:space="preserve"> @PhilakoneCrypto Morning,  Mr. Machine.   How BITCOIN TODAY, sir?</t>
  </si>
  <si>
    <t xml:space="preserve"> steve_schlomo</t>
  </si>
  <si>
    <t xml:space="preserve"> Sat Feb 03 2018 18:59:47</t>
  </si>
  <si>
    <t xml:space="preserve"> @AriDavidPaul @Ataraxia_Invest @ozrpkr You should do a year really. Like the Bitcoin bet you made if I recall?</t>
  </si>
  <si>
    <t xml:space="preserve"> Bitfinexed</t>
  </si>
  <si>
    <t xml:space="preserve"> District 9</t>
  </si>
  <si>
    <t xml:space="preserve"> Sat Feb 03 2018 19:00:00</t>
  </si>
  <si>
    <t xml:space="preserve"> @ #1, Bitcoin with unit price of $9,289.03, market cap of $156,458,494,919 (34.65%), and 24 hr vol. of $7,496,140,000 (31.23%)</t>
  </si>
  <si>
    <t xml:space="preserve"> Sat Feb 03 2018 19:00:01</t>
  </si>
  <si>
    <t xml:space="preserve"> CryptoCompare Bitcoin price changed +1.05% to $9425.44 #bitcoin</t>
  </si>
  <si>
    <t xml:space="preserve"> Average Bitcoin market price is: USD 9,388.62, EUR 7,542.92</t>
  </si>
  <si>
    <t xml:space="preserve"> Sat Feb 03 2018 19:00:02</t>
  </si>
  <si>
    <t xml:space="preserve"> Bitcoin:$9289.03 Ethereum:$968.255 Bitcoin Cash:$1255.59 Litecoin:$155.911 Ripple:$0.92238 IOTA:$1.9808</t>
  </si>
  <si>
    <t xml:space="preserve"> Current BTC Dominance: 34.65% #Bitcoin #Altcoin #Cryptocurrency</t>
  </si>
  <si>
    <t xml:space="preserve"> The average price of Bitcoin across all exchanges is 9,252.70 USD</t>
  </si>
  <si>
    <t xml:space="preserve"> Looking at joining the #bitcoin revolution, has anyone got any pointers on how to start #Ethereum #DigitalCurrency</t>
  </si>
  <si>
    <t xml:space="preserve"> aexton</t>
  </si>
  <si>
    <t xml:space="preserve"> Harbury, England</t>
  </si>
  <si>
    <t xml:space="preserve"> Sat Feb 03 2018 19:00:04</t>
  </si>
  <si>
    <t xml:space="preserve"> NEWS: An Innovative Token Is a Wireless US$ Bitcoin Meetup - CoinTelegraph #bitcoin #btc</t>
  </si>
  <si>
    <t xml:space="preserve"> TweetingNN</t>
  </si>
  <si>
    <t xml:space="preserve"> Sat Feb 03 2018 19:00:05</t>
  </si>
  <si>
    <t xml:space="preserve"> 2018-02-03 07:00 UTC Bitcoin Price: 9378.03 USD</t>
  </si>
  <si>
    <t xml:space="preserve"> Sat Feb 03 2018 19:00:11</t>
  </si>
  <si>
    <t xml:space="preserve"> Feb 03, 2018 11:00AM #Bitcoin Price: USD 8848.23 | EUR 7140.16 | JPY 951273.16</t>
  </si>
  <si>
    <t xml:space="preserve"> Sat Feb 03 2018 19:00:14</t>
  </si>
  <si>
    <t xml:space="preserve"> Top 6 BTC/USD Exchange Orderbooks: Resistance til $9700:$35.2M; Support til $9100:$16.1M $BTC $BTCUSD #bitcoin #orderbook #markets #trading</t>
  </si>
  <si>
    <t xml:space="preserve"> Sat Feb 03 2018 19:00:30</t>
  </si>
  <si>
    <t xml:space="preserve"> BTC hourly update $9373.08    |    +0.0157% $BTC #BTCUSD #Bitcoin</t>
  </si>
  <si>
    <t xml:space="preserve"> Sat Feb 03 2018 19:00:32</t>
  </si>
  <si>
    <t xml:space="preserve"> @jratcliff Bitcoin is currency not a equity. You dont pay taxes on cash in hand.</t>
  </si>
  <si>
    <t xml:space="preserve"> Phathack</t>
  </si>
  <si>
    <t xml:space="preserve"> Sat Feb 03 2018 19:00:37</t>
  </si>
  <si>
    <t xml:space="preserve"> eligo_pulido</t>
  </si>
  <si>
    <t xml:space="preserve"> Tokyo, Japan</t>
  </si>
  <si>
    <t xml:space="preserve"> Sat Feb 03 2018 19:00:39</t>
  </si>
  <si>
    <t xml:space="preserve"> stephane_cole</t>
  </si>
  <si>
    <t xml:space="preserve"> Sat Feb 03 2018 19:00:44</t>
  </si>
  <si>
    <t xml:space="preserve"> @sarahcpr And that's how you know we're in a bitcoin bubble</t>
  </si>
  <si>
    <t xml:space="preserve"> DaphnePooch</t>
  </si>
  <si>
    <t xml:space="preserve"> Virginia Beach, VA</t>
  </si>
  <si>
    <t xml:space="preserve"> Sat Feb 03 2018 19:00:45</t>
  </si>
  <si>
    <t xml:space="preserve"> @dn8than Better than Bitcoin!!!</t>
  </si>
  <si>
    <t xml:space="preserve"> brsomogyi</t>
  </si>
  <si>
    <t xml:space="preserve"> Philadelphia</t>
  </si>
  <si>
    <t xml:space="preserve"> Sat Feb 03 2018 19:00:52</t>
  </si>
  <si>
    <t xml:space="preserve"> Current price of Bitcoin is $9417.00.</t>
  </si>
  <si>
    <t xml:space="preserve"> Sat Feb 03 2018 19:01:01</t>
  </si>
  <si>
    <t xml:space="preserve"> @Bitcoin @BitcoinBram Stfu Roger</t>
  </si>
  <si>
    <t xml:space="preserve"> oo1o1oo1_</t>
  </si>
  <si>
    <t xml:space="preserve"> 127.0.0.1</t>
  </si>
  <si>
    <t xml:space="preserve"> Sat Feb 03 2018 19:01:03</t>
  </si>
  <si>
    <t xml:space="preserve"> @21_Million @zackvoell @JimboSamso @PeterSchiff @KennedyFinance Old black guys hate bitcoin too, lets not be racists here lol</t>
  </si>
  <si>
    <t xml:space="preserve"> Pumpandtrump1</t>
  </si>
  <si>
    <t xml:space="preserve"> Sat Feb 03 2018 19:01:21</t>
  </si>
  <si>
    <t xml:space="preserve"> @RahulKohli13 Now is a really bad time to pick a pc together! Thanks to BitCoin</t>
  </si>
  <si>
    <t xml:space="preserve"> FoxTail69</t>
  </si>
  <si>
    <t xml:space="preserve"> Sat Feb 03 2018 19:01:23</t>
  </si>
  <si>
    <t xml:space="preserve"> @claudiajordan So you sold your bitcoin on time</t>
  </si>
  <si>
    <t xml:space="preserve"> DavidNohejl</t>
  </si>
  <si>
    <t xml:space="preserve"> Sat Feb 03 2018 19:01:24</t>
  </si>
  <si>
    <t xml:space="preserve"> Current price of Bitcoin is $9417.00 #btc #bitcoin #cryptocurrency #cryptocurrencynews #crypto #cryptonews</t>
  </si>
  <si>
    <t xml:space="preserve"> Sat Feb 03 2018 19:01:50</t>
  </si>
  <si>
    <t xml:space="preserve"> The buzz of bitcoin: Cryptocurrency for sale at vape shops, bars and gas stations #Bitcoinmovement</t>
  </si>
  <si>
    <t xml:space="preserve"> Get Ready for the Bitcoin Recovery. Technicians Point to Rebound #Bitcoinmovement</t>
  </si>
  <si>
    <t xml:space="preserve"> Sat Feb 03 2018 19:01:51</t>
  </si>
  <si>
    <t xml:space="preserve"> Dead again? In Reality Bitcoin Is Up 729% Since Last February #Bitcoinmovement</t>
  </si>
  <si>
    <t xml:space="preserve"> 6 cryptocurrencies that could become the next Bitcoin #Bitcoinmovement</t>
  </si>
  <si>
    <t xml:space="preserve"> Sat Feb 03 2018 19:02:09</t>
  </si>
  <si>
    <t xml:space="preserve"> Current price of Bitcoin is $9417.00</t>
  </si>
  <si>
    <t xml:space="preserve"> Sat Feb 03 2018 19:02:16</t>
  </si>
  <si>
    <t xml:space="preserve"> Current price of #Bitcoin is $9417.00</t>
  </si>
  <si>
    <t xml:space="preserve"> Sat Feb 03 2018 19:02:17</t>
  </si>
  <si>
    <t xml:space="preserve"> I have no idea what blockchain freelancing is, but I can only assume it makes freelancing as precarious as Bitcoin... Sign me up!</t>
  </si>
  <si>
    <t xml:space="preserve"> owen_duffy</t>
  </si>
  <si>
    <t xml:space="preserve"> Sat Feb 03 2018 19:02:36</t>
  </si>
  <si>
    <t xml:space="preserve"> Bitcoin equals 11330.86 US Dollar</t>
  </si>
  <si>
    <t xml:space="preserve"> LeadGenListTips</t>
  </si>
  <si>
    <t xml:space="preserve"> Sat Feb 03 2018 19:02:37</t>
  </si>
  <si>
    <t xml:space="preserve"> makebigonline2</t>
  </si>
  <si>
    <t xml:space="preserve"> Sat Feb 03 2018 19:02:39</t>
  </si>
  <si>
    <t xml:space="preserve"> Paul Ryans the kind of guy that writes invest in Bitcoin on the tip line of a restaurant receipt.</t>
  </si>
  <si>
    <t xml:space="preserve"> TimDuffy</t>
  </si>
  <si>
    <t xml:space="preserve"> Staten Island, NY</t>
  </si>
  <si>
    <t xml:space="preserve"> Sat Feb 03 2018 19:02:51</t>
  </si>
  <si>
    <t xml:space="preserve"> did someone check the bitcoin for me?</t>
  </si>
  <si>
    <t xml:space="preserve"> dutchdreamer_</t>
  </si>
  <si>
    <t xml:space="preserve"> Twente</t>
  </si>
  <si>
    <t xml:space="preserve"> Sat Feb 03 2018 19:03:04</t>
  </si>
  <si>
    <t xml:space="preserve"> Sat Feb 03 2018 19:03:08</t>
  </si>
  <si>
    <t xml:space="preserve"> Current price of Bitcoin is $9417.00 Like if thats good for you and retweet if thats not good for you #bitcoin #btc #bitcoinprice</t>
  </si>
  <si>
    <t xml:space="preserve"> Sat Feb 03 2018 19:03:11</t>
  </si>
  <si>
    <t xml:space="preserve"> The first decentralized #cryptocurrency, #bitcoin, was created in 2009 by pseudonymous developer Satoshi Nakamoto. It used SHA-256.</t>
  </si>
  <si>
    <t xml:space="preserve"> CryptocurFuture</t>
  </si>
  <si>
    <t xml:space="preserve"> Albuquerque, New Mexico</t>
  </si>
  <si>
    <t xml:space="preserve"> Sat Feb 03 2018 19:03:26</t>
  </si>
  <si>
    <t xml:space="preserve"> i was discussing bitcoin with my friend and he said, Lets make this interesting. so we stopped discussing bitcoin</t>
  </si>
  <si>
    <t xml:space="preserve"> pineapplecenti</t>
  </si>
  <si>
    <t xml:space="preserve"> Sat Feb 03 2018 19:03:38</t>
  </si>
  <si>
    <t xml:space="preserve"> Ive made .73 on Bitcoin so far, I should sell huh?</t>
  </si>
  <si>
    <t xml:space="preserve"> ETHERBLK</t>
  </si>
  <si>
    <t xml:space="preserve"> Ft. Worth, TX</t>
  </si>
  <si>
    <t xml:space="preserve"> Sat Feb 03 2018 19:03:39</t>
  </si>
  <si>
    <t xml:space="preserve"> @itswarrenbuffet Buy bitcoin $btc</t>
  </si>
  <si>
    <t xml:space="preserve"> Sat Feb 03 2018 19:03:59</t>
  </si>
  <si>
    <t xml:space="preserve"> @j_kadowaki RIP bitcoin</t>
  </si>
  <si>
    <t xml:space="preserve"> meranium</t>
  </si>
  <si>
    <t xml:space="preserve"> Sat Feb 03 2018 19:04:02</t>
  </si>
  <si>
    <t xml:space="preserve"> Just lost 14,000 BitCoin. Thanks a lot idiot @joe_weller_</t>
  </si>
  <si>
    <t xml:space="preserve"> Sat Feb 03 2018 19:04:03</t>
  </si>
  <si>
    <t xml:space="preserve"> Current price of Bitcoin is $9417.00 Please RT if you enjoy this service</t>
  </si>
  <si>
    <t xml:space="preserve"> Sat Feb 03 2018 19:04:10</t>
  </si>
  <si>
    <t xml:space="preserve"> @PeterSchiff Bitcoin bounces are more than the price of gold.  Learn how to trade Peter.</t>
  </si>
  <si>
    <t xml:space="preserve"> CryptoCaddie</t>
  </si>
  <si>
    <t xml:space="preserve"> Sat Feb 03 2018 19:04:13</t>
  </si>
  <si>
    <t xml:space="preserve"> @jbarro you know how much bitcoin that could've bought 10 years ago?</t>
  </si>
  <si>
    <t xml:space="preserve"> JackMarchetti</t>
  </si>
  <si>
    <t xml:space="preserve"> Sat Feb 03 2018 19:04:15</t>
  </si>
  <si>
    <t xml:space="preserve"> @RichardHeartWin If anyone sells their bitcoin right now theyre going to miss a massive spike in volume and upward price action.</t>
  </si>
  <si>
    <t xml:space="preserve"> DGBLeprechaun</t>
  </si>
  <si>
    <t xml:space="preserve"> Sat Feb 03 2018 19:04:25</t>
  </si>
  <si>
    <t xml:space="preserve"> Current price of Bitcoin is $9417.00 via Chain #bitcoin</t>
  </si>
  <si>
    <t xml:space="preserve"> dinu_andinu</t>
  </si>
  <si>
    <t xml:space="preserve"> jakarta indonesia</t>
  </si>
  <si>
    <t xml:space="preserve"> Sat Feb 03 2018 19:04:27</t>
  </si>
  <si>
    <t xml:space="preserve"> Current price of #Bitcoin is $9417.00 via Chain #BTCUSD #cryptocurrencies #blockchain</t>
  </si>
  <si>
    <t xml:space="preserve"> Sat Feb 03 2018 19:04:43</t>
  </si>
  <si>
    <t xml:space="preserve"> Shorts on #bitmex #GG #bitcoin #btc #blockfoilo</t>
  </si>
  <si>
    <t xml:space="preserve"> Sat Feb 03 2018 19:04:45</t>
  </si>
  <si>
    <t xml:space="preserve"> Gonna make a parody of Don't Mine at Night about Bitcoin</t>
  </si>
  <si>
    <t xml:space="preserve"> PattyJoe5</t>
  </si>
  <si>
    <t xml:space="preserve"> Sat Feb 03 2018 19:04:52</t>
  </si>
  <si>
    <t xml:space="preserve"> @CryptoHour That's because bitcoin keeps wrecking itself dragging down the whole market you mad man.</t>
  </si>
  <si>
    <t xml:space="preserve"> RippleRevoluti1</t>
  </si>
  <si>
    <t xml:space="preserve"> Sat Feb 03 2018 19:04:53</t>
  </si>
  <si>
    <t xml:space="preserve"> @BTCTN Am I the only one who has noticed the impeccable fud timing that bitcoin news has had in the last few weeks?</t>
  </si>
  <si>
    <t xml:space="preserve"> coinscrooge</t>
  </si>
  <si>
    <t xml:space="preserve"> The Internet</t>
  </si>
  <si>
    <t xml:space="preserve"> Sat Feb 03 2018 19:05:06</t>
  </si>
  <si>
    <t xml:space="preserve"> adresse Bitcoin 1AP49EXSASd17P9wBPYBs26iVtWowUY6kn</t>
  </si>
  <si>
    <t xml:space="preserve"> Sat Feb 03 2018 19:05:39</t>
  </si>
  <si>
    <t xml:space="preserve"> Current price of Bitcoin is 7.542 #btc #bitcoin #cryptocurreny #cryptocrash</t>
  </si>
  <si>
    <t xml:space="preserve"> Crypto_Globe</t>
  </si>
  <si>
    <t xml:space="preserve"> Sat Feb 03 2018 19:05:42</t>
  </si>
  <si>
    <t xml:space="preserve"> Mining a coin kills a polar bear. #bitcoin #peta #polarbear #gpushortage</t>
  </si>
  <si>
    <t xml:space="preserve"> endoparasite</t>
  </si>
  <si>
    <t xml:space="preserve"> Sat Feb 03 2018 19:05:45</t>
  </si>
  <si>
    <t xml:space="preserve"> @fingenito Being the litecoin receives the EXACT SAME benefit from lightning network that Bitcoin does makes your point completely nonsense</t>
  </si>
  <si>
    <t xml:space="preserve"> 360_trader</t>
  </si>
  <si>
    <t xml:space="preserve"> Heaven bound / Jesus is Lord</t>
  </si>
  <si>
    <t xml:space="preserve"> Sat Feb 03 2018 19:05:46</t>
  </si>
  <si>
    <t xml:space="preserve"> @PhilakoneCrypto Bitcoin Held $8,000 looks like bottom is in!</t>
  </si>
  <si>
    <t xml:space="preserve"> hazimjohan</t>
  </si>
  <si>
    <t xml:space="preserve"> Sat Feb 03 2018 19:05:58</t>
  </si>
  <si>
    <t xml:space="preserve"> @Subnautica Do you guys have a bitcoin address for donations? Love the game, worth way more than $15</t>
  </si>
  <si>
    <t xml:space="preserve"> krileayn</t>
  </si>
  <si>
    <t xml:space="preserve"> Sat Feb 03 2018 19:06:17</t>
  </si>
  <si>
    <t xml:space="preserve"> #SaturdayMorning  nice to see bitcoin coming back a little today</t>
  </si>
  <si>
    <t xml:space="preserve"> brandonlancast2</t>
  </si>
  <si>
    <t xml:space="preserve"> Sat Feb 03 2018 19:06:29</t>
  </si>
  <si>
    <t xml:space="preserve"> @BashCo_ Feeling reckless? No this is normal.. Getting into Bitcoin back in the day was reckless</t>
  </si>
  <si>
    <t xml:space="preserve"> Sat Feb 03 2018 19:06:40</t>
  </si>
  <si>
    <t xml:space="preserve"> @RippleRevoluti1 So your saying ripple needs bitcoin.</t>
  </si>
  <si>
    <t xml:space="preserve"> CryptoHour</t>
  </si>
  <si>
    <t xml:space="preserve"> Sat Feb 03 2018 19:06:44</t>
  </si>
  <si>
    <t xml:space="preserve"> $LTCUSD entering overbought zone on interval 60m #cryptocurrency #trading #bitcoin #crypto #technicalanalysis</t>
  </si>
  <si>
    <t xml:space="preserve"> Sat Feb 03 2018 19:07:05</t>
  </si>
  <si>
    <t xml:space="preserve"> Lmso i just made .36 on bitcoin my money growing</t>
  </si>
  <si>
    <t xml:space="preserve"> russhell_</t>
  </si>
  <si>
    <t xml:space="preserve"> Sat Feb 03 2018 19:07:09</t>
  </si>
  <si>
    <t xml:space="preserve"> I was planning to go out and socialize a bit with good normies.....but than bitcoin got high. #btc</t>
  </si>
  <si>
    <t xml:space="preserve"> AlonsodeOjeda88</t>
  </si>
  <si>
    <t xml:space="preserve"> Sat Feb 03 2018 19:07:15</t>
  </si>
  <si>
    <t xml:space="preserve"> @NickSzabo4 @_jonasschnelli_ Bitcoin's records of history will become glorious, and a high prize for future people.</t>
  </si>
  <si>
    <t xml:space="preserve"> alvalorproject</t>
  </si>
  <si>
    <t xml:space="preserve"> Luxembourg</t>
  </si>
  <si>
    <t xml:space="preserve"> Sat Feb 03 2018 19:07:17</t>
  </si>
  <si>
    <t xml:space="preserve"> my current investment advice is to use your student loan to drop out and count cards on online bitcoin casinos</t>
  </si>
  <si>
    <t xml:space="preserve"> positivealeks</t>
  </si>
  <si>
    <t xml:space="preserve"> 21 m US not interested</t>
  </si>
  <si>
    <t xml:space="preserve"> Sat Feb 03 2018 19:07:22</t>
  </si>
  <si>
    <t xml:space="preserve"> @chrislbecker Agreed!  Gen X'ers gravitate to Bitcoin, Millennials to ETH.</t>
  </si>
  <si>
    <t xml:space="preserve"> AriDavidPaul</t>
  </si>
  <si>
    <t xml:space="preserve"> Sat Feb 03 2018 19:07:57</t>
  </si>
  <si>
    <t xml:space="preserve"> I'm unfollowing you because you are a liar. You didn't keep to your promise on #Bitcoin. Learn to be a honest person. @absbahour</t>
  </si>
  <si>
    <t xml:space="preserve"> nasserahmadali1</t>
  </si>
  <si>
    <t xml:space="preserve"> Sat Feb 03 2018 19:08:11</t>
  </si>
  <si>
    <t xml:space="preserve"> @bang_ghali what price did you first get into Bitcoin at?</t>
  </si>
  <si>
    <t xml:space="preserve"> Sat Feb 03 2018 19:08:42</t>
  </si>
  <si>
    <t xml:space="preserve"> @alybondbespoke @LedgerHQ @RKilfin No problem. You can safely remove and reinstall the Bitcoin app through the Ledger Manager.</t>
  </si>
  <si>
    <t xml:space="preserve"> Sat Feb 03 2018 19:09:01</t>
  </si>
  <si>
    <t xml:space="preserve"> The only good use of #BCash is to buy an Antminer so you can mine #bitcoin.</t>
  </si>
  <si>
    <t xml:space="preserve"> theQSLmind</t>
  </si>
  <si>
    <t xml:space="preserve"> Challenge your limits</t>
  </si>
  <si>
    <t xml:space="preserve"> Sat Feb 03 2018 19:09:04</t>
  </si>
  <si>
    <t xml:space="preserve"> The first edition of the project was published! All the fun is here! #FLOGmall, #Blockchain #Bitcoin #BTC #Ethereum #ETH #ICO</t>
  </si>
  <si>
    <t xml:space="preserve"> tatianachizhov2</t>
  </si>
  <si>
    <t xml:space="preserve"> Sat Feb 03 2018 19:09:17</t>
  </si>
  <si>
    <t xml:space="preserve"> EnglishJapanese in low price 1word0.00003bitcoin #translation #Japanese #English #bitcoin #article #essay #MANGA #JapaneseCulture</t>
  </si>
  <si>
    <t xml:space="preserve"> Sat Feb 03 2018 19:09:27</t>
  </si>
  <si>
    <t xml:space="preserve"> wait you guys timeout i just made 3 cents off of bitcoin</t>
  </si>
  <si>
    <t xml:space="preserve"> McDonaIdsSprite</t>
  </si>
  <si>
    <t xml:space="preserve"> mach 1</t>
  </si>
  <si>
    <t xml:space="preserve"> Sat Feb 03 2018 19:09:29</t>
  </si>
  <si>
    <t xml:space="preserve"> @leighblue a bitcoin and $2.75 will get you on the subway</t>
  </si>
  <si>
    <t xml:space="preserve"> Sat Feb 03 2018 19:09:52</t>
  </si>
  <si>
    <t xml:space="preserve"> Best advice for bitcoin trading. Buy Low, Sell High, I promise it works. Buying high and panic selling lower is not a proven strategy.</t>
  </si>
  <si>
    <t xml:space="preserve"> duncanlogan</t>
  </si>
  <si>
    <t xml:space="preserve"> Sat Feb 03 2018 19:10:01</t>
  </si>
  <si>
    <t xml:space="preserve"> BTC-LTC AskRate: 0.01682272 #Bittrex  #LTC $LTC #Litecoin #altcoin #crypto #bitcoin   FOLLOW for PROFIT</t>
  </si>
  <si>
    <t xml:space="preserve"> Sat Feb 03 2018 19:10:02</t>
  </si>
  <si>
    <t xml:space="preserve"> @UKFilmCoin Follow @Hashtags_Trends for the latest news &amp; #trading trends about #bitcoin &amp; #crypto world.</t>
  </si>
  <si>
    <t xml:space="preserve"> Sat Feb 03 2018 19:10:05</t>
  </si>
  <si>
    <t xml:space="preserve"> Bitcoin BTC Current Price: $9289.03 1 Hour: 0.98 % | 24 Hours: 6.97 % | 7 Days: -18.65 % #btc #bitcoin</t>
  </si>
  <si>
    <t xml:space="preserve"> Sat Feb 03 2018 19:10:08</t>
  </si>
  <si>
    <t xml:space="preserve"> @MrCryptoMukhtar Follow @Hashtags_Trends for the latest news &amp; #trading trends about #bitcoin &amp; #crypto world.</t>
  </si>
  <si>
    <t xml:space="preserve"> Sat Feb 03 2018 19:10:13</t>
  </si>
  <si>
    <t xml:space="preserve"> @m7mymoney Follow @Hashtags_Trends for the latest news &amp; #trading trends about #bitcoin &amp; #crypto world.</t>
  </si>
  <si>
    <t xml:space="preserve"> Sat Feb 03 2018 19:10:16</t>
  </si>
  <si>
    <t xml:space="preserve"> @duncanlogan (9528 follows) Everyone is focused on the price of bitcoin but people should focus on the amazing companies now being buil...</t>
  </si>
  <si>
    <t xml:space="preserve"> Sat Feb 03 2018 19:10:18</t>
  </si>
  <si>
    <t xml:space="preserve"> @MalwareJake It means Bitcoin's real price is 2000 only</t>
  </si>
  <si>
    <t xml:space="preserve"> BytesReder</t>
  </si>
  <si>
    <t xml:space="preserve"> Sat Feb 03 2018 19:10:19</t>
  </si>
  <si>
    <t xml:space="preserve"> @CryptCurrents Follow @Hashtags_Trends for the latest news &amp; #trading trends about #bitcoin &amp; #crypto world.</t>
  </si>
  <si>
    <t xml:space="preserve"> Sat Feb 03 2018 19:10:22</t>
  </si>
  <si>
    <t xml:space="preserve"> @CryptoGuruGroup Follow @Hashtags_Trends for the latest news &amp; #trading trends about #bitcoin &amp; #crypto world.</t>
  </si>
  <si>
    <t xml:space="preserve"> Sat Feb 03 2018 19:11:03</t>
  </si>
  <si>
    <t xml:space="preserve"> @Bitcoin 12 reasons why you are a scam.</t>
  </si>
  <si>
    <t xml:space="preserve"> Freeburgher1</t>
  </si>
  <si>
    <t xml:space="preserve"> Sat Feb 03 2018 19:11:05</t>
  </si>
  <si>
    <t xml:space="preserve"> [Garrubot] With the power of bitcoin, I purchase pants</t>
  </si>
  <si>
    <t xml:space="preserve"> GarrulousC</t>
  </si>
  <si>
    <t xml:space="preserve"> Sat Feb 03 2018 19:11:23</t>
  </si>
  <si>
    <t xml:space="preserve"> @damaman0012 @jackstilaus They said the same thing about Bitcoin this time last year.</t>
  </si>
  <si>
    <t xml:space="preserve"> budlight</t>
  </si>
  <si>
    <t xml:space="preserve"> St Louis, MO</t>
  </si>
  <si>
    <t xml:space="preserve"> Sat Feb 03 2018 19:11:31</t>
  </si>
  <si>
    <t xml:space="preserve"> @azrilich Where's my bitcoin</t>
  </si>
  <si>
    <t xml:space="preserve"> jakobie__</t>
  </si>
  <si>
    <t xml:space="preserve"> Sat Feb 03 2018 19:12:01</t>
  </si>
  <si>
    <t xml:space="preserve"> $#BTCUSD: #BitCoin (9352.59) 1mTrending+ (1.2%), bars:10, 12:3Accel+, tf:0111111, FirmTrnd-:+125%, 5LoDays:55%; TLM:0.1; ILM:1.1</t>
  </si>
  <si>
    <t xml:space="preserve"> Sat Feb 03 2018 19:12:26</t>
  </si>
  <si>
    <t xml:space="preserve"> Bitcoin transactions are around 5 sats/byte and people are screaming that fees are too high... wtf do you want from us?!?</t>
  </si>
  <si>
    <t xml:space="preserve"> GuruMycrypto</t>
  </si>
  <si>
    <t xml:space="preserve"> Cape Girardeau,</t>
  </si>
  <si>
    <t xml:space="preserve"> Sat Feb 03 2018 19:12:56</t>
  </si>
  <si>
    <t xml:space="preserve"> @MiniBabyWhale is dow like the stock market version of bitcoin?</t>
  </si>
  <si>
    <t xml:space="preserve"> BossN1015</t>
  </si>
  <si>
    <t xml:space="preserve"> highschol</t>
  </si>
  <si>
    <t xml:space="preserve"> Sat Feb 03 2018 19:13:01</t>
  </si>
  <si>
    <t xml:space="preserve"> friend: bitcoin is at--  me: i only want to hear $5k or $17k</t>
  </si>
  <si>
    <t xml:space="preserve"> OhYouBlockhead</t>
  </si>
  <si>
    <t xml:space="preserve"> Sat Feb 03 2018 19:13:05</t>
  </si>
  <si>
    <t xml:space="preserve"> @DemocratMachine a 1.50 bitcoin can more than pay for Costco membership.</t>
  </si>
  <si>
    <t xml:space="preserve"> TwiTati</t>
  </si>
  <si>
    <t xml:space="preserve"> Sat Feb 03 2018 19:14:08</t>
  </si>
  <si>
    <t xml:space="preserve"> I gotta figure this #bitcoin thing out.</t>
  </si>
  <si>
    <t xml:space="preserve"> SarcastklyJane</t>
  </si>
  <si>
    <t xml:space="preserve"> Sat Feb 03 2018 19:14:10</t>
  </si>
  <si>
    <t xml:space="preserve"> @mbolack BUT, banks offer a credit line aswell, I can buy tomatoes, bitcoin, or nickels with that credit line.</t>
  </si>
  <si>
    <t xml:space="preserve"> Nickfost_</t>
  </si>
  <si>
    <t xml:space="preserve"> Sat Feb 03 2018 19:14:14</t>
  </si>
  <si>
    <t xml:space="preserve"> @white64ss Theyre will be hell to pay if he keeps making my bitcoin drop.</t>
  </si>
  <si>
    <t xml:space="preserve"> RickKaufman1</t>
  </si>
  <si>
    <t xml:space="preserve"> Sat Feb 03 2018 19:14:21</t>
  </si>
  <si>
    <t xml:space="preserve"> 1 Litecoin = 0.017 Bitcoin</t>
  </si>
  <si>
    <t xml:space="preserve"> Sat Feb 03 2018 19:14:54</t>
  </si>
  <si>
    <t xml:space="preserve"> No matter how many different ways it is explained to me I will never understand bitcoin</t>
  </si>
  <si>
    <t xml:space="preserve"> Jennuhhh_7</t>
  </si>
  <si>
    <t xml:space="preserve"> Sat Feb 03 2018 19:15:02</t>
  </si>
  <si>
    <t xml:space="preserve"> The current price of Bitcoin is $9345.61. The current price of BCash is $1269.73, or 0.135083 BTC</t>
  </si>
  <si>
    <t xml:space="preserve"> Sat Feb 03 2018 19:15:12</t>
  </si>
  <si>
    <t xml:space="preserve"> @QUOINE_SG But we tax cristo heavily... Like it or not India won't approve Crypto or Bitcoin.</t>
  </si>
  <si>
    <t xml:space="preserve"> Vijay2Menon</t>
  </si>
  <si>
    <t xml:space="preserve"> Sat Feb 03 2018 19:15:19</t>
  </si>
  <si>
    <t xml:space="preserve"> @rogerkver @JihanWu @jack @stripe @BitPay @Newegg @WordPress @TigerDirect @OverstockCEO @paymentsnews Bitcoin cash is scam</t>
  </si>
  <si>
    <t xml:space="preserve"> btcpricenet</t>
  </si>
  <si>
    <t xml:space="preserve"> Sat Feb 03 2018 19:15:23</t>
  </si>
  <si>
    <t xml:space="preserve"> @jameswester Being of a sadistic nature, I'm currently enjoying Cryptofreude (pleasure derived from watching Bitcoin collapse)</t>
  </si>
  <si>
    <t xml:space="preserve"> Sat Feb 03 2018 19:15:47</t>
  </si>
  <si>
    <t xml:space="preserve"> @steve_hanke Yeah, ok, dont buy bitcoin guys, cause it crashes!!  it is amazing how much OUT OF TOUCH WITH REALITY YOU GUYS ARE.</t>
  </si>
  <si>
    <t xml:space="preserve"> ICOffender</t>
  </si>
  <si>
    <t xml:space="preserve"> Sat Feb 03 2018 19:15:56</t>
  </si>
  <si>
    <t xml:space="preserve"> I'm thirty years old. I don't do CrossFit. I barely even know what Bitcoin is.  Am I even real?</t>
  </si>
  <si>
    <t xml:space="preserve"> topherryals</t>
  </si>
  <si>
    <t xml:space="preserve"> Sat Feb 03 2018 19:17:02</t>
  </si>
  <si>
    <t xml:space="preserve"> Bitcoin rises 10% to $9,387 while litecoin up 24% today after massive plunge recently</t>
  </si>
  <si>
    <t xml:space="preserve"> FaseehMangi</t>
  </si>
  <si>
    <t xml:space="preserve"> Sat Feb 03 2018 19:17:04</t>
  </si>
  <si>
    <t xml:space="preserve"> @RichardHeartWin Bro, youve gone full Vinny. First rule of bitcoin is that you NEVER go full Vinny.</t>
  </si>
  <si>
    <t xml:space="preserve"> mattwgleason</t>
  </si>
  <si>
    <t xml:space="preserve"> Sat Feb 03 2018 19:17:05</t>
  </si>
  <si>
    <t xml:space="preserve"> Bitcoin Cash BCH Current Price: $1269.73 1 Hour: 2.18 % | 24 Hours: 7.98 % | 7 Days: -22.39 % #bch #bitcoin cash</t>
  </si>
  <si>
    <t xml:space="preserve"> Sat Feb 03 2018 19:17:12</t>
  </si>
  <si>
    <t xml:space="preserve"> @CrystalMayA_ @5SOS Bitcoin</t>
  </si>
  <si>
    <t xml:space="preserve"> Andria_Aquino</t>
  </si>
  <si>
    <t xml:space="preserve"> Las Vegas</t>
  </si>
  <si>
    <t xml:space="preserve"> Sat Feb 03 2018 19:17:20</t>
  </si>
  <si>
    <t xml:space="preserve"> @paulkrugman Krugman's tweets Filling seats Nocoiners' teet. #cryptohaikus #cryptocurrency #bitcoin @paulkrugman</t>
  </si>
  <si>
    <t xml:space="preserve"> jamesmcavity</t>
  </si>
  <si>
    <t xml:space="preserve"> San Juan, USA</t>
  </si>
  <si>
    <t xml:space="preserve"> Sat Feb 03 2018 19:17:39</t>
  </si>
  <si>
    <t xml:space="preserve"> @PhilakoneCrypto cant wait for the next bitcoin update song! </t>
  </si>
  <si>
    <t xml:space="preserve"> eljose_creates</t>
  </si>
  <si>
    <t xml:space="preserve"> Sat Feb 03 2018 19:17:40</t>
  </si>
  <si>
    <t xml:space="preserve"> @La__Cuen Legit just tweeted about the same thing this a.m. Bitcoin bros storyline is gettin tiiiired</t>
  </si>
  <si>
    <t xml:space="preserve"> cryptomaeve</t>
  </si>
  <si>
    <t xml:space="preserve"> Sat Feb 03 2018 19:17:52</t>
  </si>
  <si>
    <t xml:space="preserve"> @UberFacts He shouldve invested in Bitcoin </t>
  </si>
  <si>
    <t xml:space="preserve"> Zenvier</t>
  </si>
  <si>
    <t xml:space="preserve"> Sat Feb 03 2018 19:17:59</t>
  </si>
  <si>
    <t xml:space="preserve"> @jenniferRsmart but he accepts bitcoin now</t>
  </si>
  <si>
    <t xml:space="preserve"> KMsales15</t>
  </si>
  <si>
    <t xml:space="preserve"> Granada Hills CA</t>
  </si>
  <si>
    <t xml:space="preserve"> Sat Feb 03 2018 19:18:16</t>
  </si>
  <si>
    <t xml:space="preserve"> @CryptoHour The media will still attack bitcoin so the price will change erratically. Regulations will not save it.</t>
  </si>
  <si>
    <t xml:space="preserve"> Sat Feb 03 2018 19:18:17</t>
  </si>
  <si>
    <t xml:space="preserve"> Do you guys think #dip is over and market is bouncing back? #cryptomarket #cryptocurrencies # crypto #bitcoin</t>
  </si>
  <si>
    <t xml:space="preserve"> Sat Feb 03 2018 19:18:49</t>
  </si>
  <si>
    <t xml:space="preserve"> #Goodmorning i mean #goodafternoon #Bitcoin trading above $9000 today</t>
  </si>
  <si>
    <t xml:space="preserve"> NeophytosCaesar</t>
  </si>
  <si>
    <t xml:space="preserve"> Sat Feb 03 2018 19:19:03</t>
  </si>
  <si>
    <t xml:space="preserve"> Cannabis and #bitcoin bout to have me laying on black sand beaches, eating copious amounts fresh seafood &amp; wearing exceptional quality wigs.</t>
  </si>
  <si>
    <t xml:space="preserve"> Sat Feb 03 2018 19:19:05</t>
  </si>
  <si>
    <t xml:space="preserve"> @MarxInThMachine @coppersfacejack THIS FILM SECRETLY PREDICTS BITCOIN</t>
  </si>
  <si>
    <t xml:space="preserve"> roisinkiberd</t>
  </si>
  <si>
    <t xml:space="preserve"> Cathode Ray Mission</t>
  </si>
  <si>
    <t xml:space="preserve"> Sat Feb 03 2018 19:19:09</t>
  </si>
  <si>
    <t xml:space="preserve"> If you think #bitcoin gon hit 0 you don't know what your talking bout your just speculating</t>
  </si>
  <si>
    <t xml:space="preserve"> EdoBando34</t>
  </si>
  <si>
    <t xml:space="preserve"> Mars</t>
  </si>
  <si>
    <t xml:space="preserve"> Sat Feb 03 2018 19:19:15</t>
  </si>
  <si>
    <t xml:space="preserve"> @PeterLBrandt More specifically, Bitcoin is a statement there *is* a better way.</t>
  </si>
  <si>
    <t xml:space="preserve"> tjgarner</t>
  </si>
  <si>
    <t xml:space="preserve"> Sat Feb 03 2018 19:19:24</t>
  </si>
  <si>
    <t xml:space="preserve"> @StockTraderalph Let me know how you can spend that block of gold in a few years whens bitcoin is 50k. See you at the ranch.</t>
  </si>
  <si>
    <t xml:space="preserve"> digimat</t>
  </si>
  <si>
    <t xml:space="preserve"> Calgary</t>
  </si>
  <si>
    <t xml:space="preserve"> Sat Feb 03 2018 19:19:48</t>
  </si>
  <si>
    <t xml:space="preserve"> @lopp Well, Bcore is still not Bitcoin either, looks to me like the race is still very much on.</t>
  </si>
  <si>
    <t xml:space="preserve"> itsokaytodance</t>
  </si>
  <si>
    <t xml:space="preserve"> Sat Feb 03 2018 19:20:03</t>
  </si>
  <si>
    <t xml:space="preserve"> @CarpeNoctom When bitcoin moon sir</t>
  </si>
  <si>
    <t xml:space="preserve"> Sat Feb 03 2018 19:20:08</t>
  </si>
  <si>
    <t xml:space="preserve"> Are you even in your late 20s if you dont spend Saturday night in a glittery blue bath with mismatched candles and a podcast about bitcoin?</t>
  </si>
  <si>
    <t xml:space="preserve"> StephiEliza</t>
  </si>
  <si>
    <t xml:space="preserve"> Birmingham, UK</t>
  </si>
  <si>
    <t xml:space="preserve"> Sat Feb 03 2018 19:20:15</t>
  </si>
  <si>
    <t xml:space="preserve"> Said it before (many times) Ill say it again. Bitcoin will reach its true value when it hits zero.</t>
  </si>
  <si>
    <t xml:space="preserve"> BrendonHope</t>
  </si>
  <si>
    <t xml:space="preserve"> Right Here</t>
  </si>
  <si>
    <t xml:space="preserve"> Sat Feb 03 2018 19:20:19</t>
  </si>
  <si>
    <t xml:space="preserve"> @rogerkver Btrash not bitcoin</t>
  </si>
  <si>
    <t xml:space="preserve"> danny_knight</t>
  </si>
  <si>
    <t xml:space="preserve"> Sat Feb 03 2018 19:21:09</t>
  </si>
  <si>
    <t xml:space="preserve"> @aelfblockchain @arrington elf will be better than bitcoin</t>
  </si>
  <si>
    <t xml:space="preserve"> Avinaxps2z</t>
  </si>
  <si>
    <t xml:space="preserve"> Sat Feb 03 2018 19:21:11</t>
  </si>
  <si>
    <t xml:space="preserve"> @rogerkver Bitcoin Diamond is the real Bitcoin Cash.</t>
  </si>
  <si>
    <t xml:space="preserve"> spanglishjerk</t>
  </si>
  <si>
    <t xml:space="preserve"> Sat Feb 03 2018 19:21:15</t>
  </si>
  <si>
    <t xml:space="preserve"> @paulkrugman Can someone help me short some Bitcoin please?</t>
  </si>
  <si>
    <t xml:space="preserve"> lassewesth</t>
  </si>
  <si>
    <t xml:space="preserve"> Sat Feb 03 2018 19:21:21</t>
  </si>
  <si>
    <t xml:space="preserve"> @rogerkver I am the new bitcoin.</t>
  </si>
  <si>
    <t xml:space="preserve"> Sat Feb 03 2018 19:21:25</t>
  </si>
  <si>
    <t xml:space="preserve"> @CostaSpilios ...as safe as BitCoin......</t>
  </si>
  <si>
    <t xml:space="preserve"> parkingguy62</t>
  </si>
  <si>
    <t xml:space="preserve"> Montreal City of Champs </t>
  </si>
  <si>
    <t xml:space="preserve"> Sat Feb 03 2018 19:21:49</t>
  </si>
  <si>
    <t xml:space="preserve"> @rogerkver BCash is NOT Bitcoin. Your only competition is LiteCoin and its WAY better than BCash. Sell your BCash for LTC or BTC</t>
  </si>
  <si>
    <t xml:space="preserve"> CreditAndCrypto</t>
  </si>
  <si>
    <t xml:space="preserve"> Sat Feb 03 2018 19:22:03</t>
  </si>
  <si>
    <t xml:space="preserve"> $BTC to 10k in the next 24 hours? #bitcoin</t>
  </si>
  <si>
    <t xml:space="preserve"> SilverBulletBTC</t>
  </si>
  <si>
    <t xml:space="preserve"> Sat Feb 03 2018 19:22:05</t>
  </si>
  <si>
    <t xml:space="preserve"> #Bitcoin Latest Bitcoin Price: $9295.55 USD for 1 BTC #GoldCoinJar</t>
  </si>
  <si>
    <t xml:space="preserve"> Sat Feb 03 2018 19:22:16</t>
  </si>
  <si>
    <t xml:space="preserve"> @obaa_boni Anyone on here know what cryptocurrency to buy apart from Bitcoin?</t>
  </si>
  <si>
    <t xml:space="preserve"> OlaBassey</t>
  </si>
  <si>
    <t xml:space="preserve"> fleeing from youthful lust</t>
  </si>
  <si>
    <t xml:space="preserve"> Sat Feb 03 2018 19:22:30</t>
  </si>
  <si>
    <t xml:space="preserve"> The bitcoin market cap is technically called a trilby</t>
  </si>
  <si>
    <t xml:space="preserve"> pipecork</t>
  </si>
  <si>
    <t xml:space="preserve"> Seattle</t>
  </si>
  <si>
    <t xml:space="preserve"> Sat Feb 03 2018 19:22:34</t>
  </si>
  <si>
    <t xml:space="preserve"> Once I get my hands on this bitcoin it's game over lol</t>
  </si>
  <si>
    <t xml:space="preserve"> mrmoneyman</t>
  </si>
  <si>
    <t xml:space="preserve"> Philly/Miami/LA/Vegas</t>
  </si>
  <si>
    <t xml:space="preserve"> Sat Feb 03 2018 19:22:53</t>
  </si>
  <si>
    <t xml:space="preserve"> @rogerkver What do you think about Bitcoin Cache?</t>
  </si>
  <si>
    <t xml:space="preserve"> jeeteeare</t>
  </si>
  <si>
    <t xml:space="preserve"> Sat Feb 03 2018 19:23:32</t>
  </si>
  <si>
    <t xml:space="preserve"> @rogerkver Bitcoin trash sucks!</t>
  </si>
  <si>
    <t xml:space="preserve"> Sat Feb 03 2018 19:23:35</t>
  </si>
  <si>
    <t xml:space="preserve"> @rogerkver Bitcoin Core Cash</t>
  </si>
  <si>
    <t xml:space="preserve"> pixelica_</t>
  </si>
  <si>
    <t xml:space="preserve"> Sat Feb 03 2018 19:23:37</t>
  </si>
  <si>
    <t xml:space="preserve"> @CryptoGomez @rogerkwer @rogerkver If youre going to fake Roger Ver at least use bitcoin cash.</t>
  </si>
  <si>
    <t xml:space="preserve"> BrilliantMarine</t>
  </si>
  <si>
    <t xml:space="preserve"> Los Angeles</t>
  </si>
  <si>
    <t xml:space="preserve"> Sat Feb 03 2018 19:23:42</t>
  </si>
  <si>
    <t xml:space="preserve"> Long &amp; Bullish on #Bitcoin #BTC AND #BCH.   Yes, you cheer for both.   #bitcoin #BTC #BCH #crypto #cryptocurrency #cryptocurrencies</t>
  </si>
  <si>
    <t xml:space="preserve"> TheVCfund</t>
  </si>
  <si>
    <t xml:space="preserve"> Sat Feb 03 2018 19:24:04</t>
  </si>
  <si>
    <t xml:space="preserve"> @rogerkver Honest question: Is BitCoin Cash capable of being inflated/deflated?</t>
  </si>
  <si>
    <t xml:space="preserve"> Earthwormzim</t>
  </si>
  <si>
    <t xml:space="preserve"> Sat Feb 03 2018 19:24:14</t>
  </si>
  <si>
    <t xml:space="preserve"> @rogerkver My brudda, da BCashers are da true radicals tryin to hijack da real Bitcoin</t>
  </si>
  <si>
    <t xml:space="preserve"> crypto_knuckles</t>
  </si>
  <si>
    <t xml:space="preserve"> Moon, Uganda</t>
  </si>
  <si>
    <t xml:space="preserve"> Sat Feb 03 2018 19:24:15</t>
  </si>
  <si>
    <t xml:space="preserve"> @rogerkver If it's real why does it have name after Bitcoin?</t>
  </si>
  <si>
    <t xml:space="preserve"> LukaszCzyzycki</t>
  </si>
  <si>
    <t xml:space="preserve"> Abu Dhabi</t>
  </si>
  <si>
    <t xml:space="preserve"> Sat Feb 03 2018 19:24:38</t>
  </si>
  <si>
    <t xml:space="preserve"> What's the exchange rate for Bitcoin to SoonerSense?</t>
  </si>
  <si>
    <t xml:space="preserve"> thejatindavis</t>
  </si>
  <si>
    <t xml:space="preserve"> Oklahoma City, OK</t>
  </si>
  <si>
    <t xml:space="preserve"> Sat Feb 03 2018 19:24:44</t>
  </si>
  <si>
    <t xml:space="preserve"> Bitcoin infighting makes me lolzo. All groups seem to eventually eat each other alive.</t>
  </si>
  <si>
    <t xml:space="preserve"> Flaganatas</t>
  </si>
  <si>
    <t xml:space="preserve"> spontaneous-evolution.com</t>
  </si>
  <si>
    <t xml:space="preserve"> Sat Feb 03 2018 19:25:00</t>
  </si>
  <si>
    <t xml:space="preserve"> @rogerkver Dogecoin dark is the real bitcoin</t>
  </si>
  <si>
    <t xml:space="preserve"> CoinerTilt</t>
  </si>
  <si>
    <t xml:space="preserve"> Sat Feb 03 2018 19:25:18</t>
  </si>
  <si>
    <t xml:space="preserve"> Buying crypto with a credit card defeats the purpose of bitcoin  No wonder its getting declined by the companies</t>
  </si>
  <si>
    <t xml:space="preserve"> rykickz</t>
  </si>
  <si>
    <t xml:space="preserve"> Sat Feb 03 2018 19:25:28</t>
  </si>
  <si>
    <t xml:space="preserve"> Selling all my belongings and buying bitcoin here. I'll sell the top later</t>
  </si>
  <si>
    <t xml:space="preserve"> Papakahuna</t>
  </si>
  <si>
    <t xml:space="preserve"> Sat Feb 03 2018 19:25:43</t>
  </si>
  <si>
    <t xml:space="preserve"> @rogerkver Bitcoin was never bcash and will not be</t>
  </si>
  <si>
    <t xml:space="preserve"> yougiano</t>
  </si>
  <si>
    <t xml:space="preserve"> /usr/sbin</t>
  </si>
  <si>
    <t xml:space="preserve"> Sat Feb 03 2018 19:26:06</t>
  </si>
  <si>
    <t xml:space="preserve"> Long &amp; Bullish on #Bitcoin #BTC AND #BCH.   Yes, I can cheer for both.   #bitcoin #BTC #BCH #crypto #cryptocurrency #cryptocurrencies</t>
  </si>
  <si>
    <t xml:space="preserve"> Sat Feb 03 2018 19:26:08</t>
  </si>
  <si>
    <t xml:space="preserve"> Flip a Bitcoin #NewWaysToDecideNFLChamp</t>
  </si>
  <si>
    <t xml:space="preserve"> heath_laws</t>
  </si>
  <si>
    <t xml:space="preserve"> Murfreesboro, TN</t>
  </si>
  <si>
    <t xml:space="preserve"> Sat Feb 03 2018 19:26:13</t>
  </si>
  <si>
    <t xml:space="preserve"> Another Low For #Bitcoin Is  coming! ?????  #bitcoinnews #BTC  #CRYPTO</t>
  </si>
  <si>
    <t xml:space="preserve"> ImCryptonymous</t>
  </si>
  <si>
    <t xml:space="preserve"> Sat Feb 03 2018 19:26:16</t>
  </si>
  <si>
    <t xml:space="preserve"> @Bitfinexed I want to see you crying salt when Bitcoin is 100K...will buy your tears at 1USDT/TEAR</t>
  </si>
  <si>
    <t xml:space="preserve"> cryptonext</t>
  </si>
  <si>
    <t xml:space="preserve"> Sat Feb 03 2018 19:26:49</t>
  </si>
  <si>
    <t xml:space="preserve"> $litecoin finally broke free of following bitcoin trends up 30%today.</t>
  </si>
  <si>
    <t xml:space="preserve"> mc_nasty</t>
  </si>
  <si>
    <t xml:space="preserve"> Boston</t>
  </si>
  <si>
    <t xml:space="preserve"> Sat Feb 03 2018 19:26:54</t>
  </si>
  <si>
    <t xml:space="preserve"> @breakingdata maybe its because the sub count is pretending to be bitcoin </t>
  </si>
  <si>
    <t xml:space="preserve"> realPaulGrose</t>
  </si>
  <si>
    <t xml:space="preserve"> Sat Feb 03 2018 19:27:14</t>
  </si>
  <si>
    <t xml:space="preserve"> @rogerkver TRON is the real bitcoin</t>
  </si>
  <si>
    <t xml:space="preserve"> MnemonicMF</t>
  </si>
  <si>
    <t xml:space="preserve"> Hopeless</t>
  </si>
  <si>
    <t xml:space="preserve"> Sat Feb 03 2018 19:27:25</t>
  </si>
  <si>
    <t xml:space="preserve"> @rogerkver Bitcoin is The Real Bitcoin </t>
  </si>
  <si>
    <t xml:space="preserve"> MarkCryptx</t>
  </si>
  <si>
    <t xml:space="preserve"> Sat Feb 03 2018 19:27:35</t>
  </si>
  <si>
    <t xml:space="preserve"> @evankirstel Bitcoin is the central utilisation of the blockchain. You can't have one without the other. #Bitcoin</t>
  </si>
  <si>
    <t xml:space="preserve"> BitcoinGent</t>
  </si>
  <si>
    <t xml:space="preserve"> BITCOIN CITY, NEW BITCOIN</t>
  </si>
  <si>
    <t xml:space="preserve"> Sat Feb 03 2018 19:27:59</t>
  </si>
  <si>
    <t xml:space="preserve"> It's #Blockchain that is important, not bitcoin or the other so called currencies.</t>
  </si>
  <si>
    <t xml:space="preserve"> rs6w</t>
  </si>
  <si>
    <t xml:space="preserve"> Sat Feb 03 2018 19:28:02</t>
  </si>
  <si>
    <t xml:space="preserve"> @mindstatex @cryptartica Very good  In Bitcoin Cash we trust  Bitcoin Cash is Bitcoin.</t>
  </si>
  <si>
    <t xml:space="preserve"> gabrieldsmoura</t>
  </si>
  <si>
    <t xml:space="preserve"> Recife, PE - Brazil</t>
  </si>
  <si>
    <t xml:space="preserve"> Sat Feb 03 2018 19:28:03</t>
  </si>
  <si>
    <t xml:space="preserve"> @mikael_fon You also do your research. Blockchain!=Bitcoin. Joker.</t>
  </si>
  <si>
    <t xml:space="preserve"> HospitalBaba</t>
  </si>
  <si>
    <t xml:space="preserve"> Bharatavarsha</t>
  </si>
  <si>
    <t xml:space="preserve"> Sat Feb 03 2018 19:28:19</t>
  </si>
  <si>
    <t xml:space="preserve"> @rogerkver It is hijacked by greeds. Bitcoin core has degraded to trading token from electronic cash.</t>
  </si>
  <si>
    <t xml:space="preserve"> xwspot</t>
  </si>
  <si>
    <t xml:space="preserve"> Malaysia</t>
  </si>
  <si>
    <t xml:space="preserve"> Sat Feb 03 2018 19:28:21</t>
  </si>
  <si>
    <t xml:space="preserve"> @Andria_Aquino @5SOS you know what, I still love you.... bitcoin. I ain't ever gonna stop lovinnnn you.... biiitcoin.</t>
  </si>
  <si>
    <t xml:space="preserve"> CrystalMayA_</t>
  </si>
  <si>
    <t xml:space="preserve"> Hawaii, USA</t>
  </si>
  <si>
    <t xml:space="preserve"> Sat Feb 03 2018 19:28:38</t>
  </si>
  <si>
    <t xml:space="preserve"> @Bitcoin Lol, Bitcoin Cash is the real Bitcoin.....  There's a contradiction on that phrase.</t>
  </si>
  <si>
    <t xml:space="preserve"> Lostonthemirror</t>
  </si>
  <si>
    <t xml:space="preserve"> Sat Feb 03 2018 19:28:45</t>
  </si>
  <si>
    <t xml:space="preserve"> @pupnickel Bitcoin</t>
  </si>
  <si>
    <t xml:space="preserve"> ngxgzg</t>
  </si>
  <si>
    <t xml:space="preserve"> Sat Feb 03 2018 19:28:51</t>
  </si>
  <si>
    <t xml:space="preserve"> @MihaiHerman Bitcoin wasn't an ICO is what I was trying to say</t>
  </si>
  <si>
    <t xml:space="preserve"> WajAhsan</t>
  </si>
  <si>
    <t xml:space="preserve"> 1 AU</t>
  </si>
  <si>
    <t xml:space="preserve"> Sat Feb 03 2018 19:28:53</t>
  </si>
  <si>
    <t xml:space="preserve"> @WickedRooster09 @Georgharoldnep @utopia0x @verge Cool, I bet you are not mining Bitcoin though.</t>
  </si>
  <si>
    <t xml:space="preserve"> SeatacBCH</t>
  </si>
  <si>
    <t xml:space="preserve"> Washington, USA</t>
  </si>
  <si>
    <t xml:space="preserve"> Sat Feb 03 2018 19:29:00</t>
  </si>
  <si>
    <t xml:space="preserve"> @RichardBravo So make it unavailable to buy so they can stack bitcoin and when they have it all disable the ban </t>
  </si>
  <si>
    <t xml:space="preserve"> MWMCrypto</t>
  </si>
  <si>
    <t xml:space="preserve"> Sat Feb 03 2018 19:29:07</t>
  </si>
  <si>
    <t xml:space="preserve"> @theonevortex This is by far the best justification anyone can give for believing in #Bitcoin</t>
  </si>
  <si>
    <t xml:space="preserve"> SenthilJayaram2</t>
  </si>
  <si>
    <t xml:space="preserve"> Bengaluru,</t>
  </si>
  <si>
    <t xml:space="preserve"> Sat Feb 03 2018 19:29:15</t>
  </si>
  <si>
    <t xml:space="preserve"> @rogerkver In Bitcoin Cash we trust  Bitcoin Cash is Bitcoin.</t>
  </si>
  <si>
    <t xml:space="preserve"> Sat Feb 03 2018 19:29:25</t>
  </si>
  <si>
    <t xml:space="preserve"> go buy some tide pods w/ur bitcoin</t>
  </si>
  <si>
    <t xml:space="preserve"> FuturamaLife</t>
  </si>
  <si>
    <t xml:space="preserve"> Kenneth Dab Daddy Fan Account</t>
  </si>
  <si>
    <t xml:space="preserve"> Sat Feb 03 2018 19:29:55</t>
  </si>
  <si>
    <t xml:space="preserve"> @rogerkver Doge coin is the real Bitcoin</t>
  </si>
  <si>
    <t xml:space="preserve"> Bilalbinsaqib</t>
  </si>
  <si>
    <t xml:space="preserve"> Sat Feb 03 2018 19:30:01</t>
  </si>
  <si>
    <t xml:space="preserve"> @BebeRexha But the question really is, did you buy the #Bitcoin dip?</t>
  </si>
  <si>
    <t xml:space="preserve"> Cryptographish</t>
  </si>
  <si>
    <t xml:space="preserve"> @CryptoJetHammer @adam3us @Blockstream @tipprbot Is bitcoin not the fully functioning version of bitcoin</t>
  </si>
  <si>
    <t xml:space="preserve"> Bitcoin:$9336.88 Ethereum:$974.129 Bitcoin Cash:$1271.91 Litecoin:$157.214 Ripple:$0.932047 IOTA:$1.99035</t>
  </si>
  <si>
    <t xml:space="preserve"> Sat Feb 03 2018 19:30:07</t>
  </si>
  <si>
    <t xml:space="preserve"> Unless something stops working in the Bitcoin code that cant be fixed the essentials are no different at $2000 than they were at $1.</t>
  </si>
  <si>
    <t xml:space="preserve"> Sat Feb 03 2018 19:30:12</t>
  </si>
  <si>
    <t xml:space="preserve"> @rogerkver BCH is the real Bitcoin.. wait n watch for next couple of months.</t>
  </si>
  <si>
    <t xml:space="preserve"> labibaariz</t>
  </si>
  <si>
    <t xml:space="preserve"> Sat Feb 03 2018 19:30:19</t>
  </si>
  <si>
    <t xml:space="preserve"> @wences youre a badass. I just read the story about how you used pesos at the grocery store growing up. Keep it up. #bitcoin #morethanmoney</t>
  </si>
  <si>
    <t xml:space="preserve"> AliShadle</t>
  </si>
  <si>
    <t xml:space="preserve"> Santa Monica</t>
  </si>
  <si>
    <t xml:space="preserve"> Sat Feb 03 2018 19:30:24</t>
  </si>
  <si>
    <t xml:space="preserve"> Optimal tx fee: 70 satoshi per byte.  BTC : $9371 / 7520 / 6635 @ Block 507475.  Market Cap: 158.5B USD. #Bitcoin #Blockchain</t>
  </si>
  <si>
    <t xml:space="preserve"> Sat Feb 03 2018 19:30:35</t>
  </si>
  <si>
    <t xml:space="preserve"> I NEVER TRADE BITCOIN BUT WATCH, INTERESTING TO SEE ISEVERY SATURDAY BITCOIN IS UP</t>
  </si>
  <si>
    <t xml:space="preserve"> stevedream7</t>
  </si>
  <si>
    <t xml:space="preserve"> Sat Feb 03 2018 19:31:00</t>
  </si>
  <si>
    <t xml:space="preserve"> @HospitalBaba Yep blockchain=Bitcoin that's y it's here to stay</t>
  </si>
  <si>
    <t xml:space="preserve"> mikael_fon</t>
  </si>
  <si>
    <t xml:space="preserve"> Sat Feb 03 2018 19:31:05</t>
  </si>
  <si>
    <t xml:space="preserve"> What's the plan to decouple XRP from bitcoin? Is it more fiat pairs? @miguelvias</t>
  </si>
  <si>
    <t xml:space="preserve"> IanKnowles14</t>
  </si>
  <si>
    <t xml:space="preserve"> Sat Feb 03 2018 19:31:13</t>
  </si>
  <si>
    <t xml:space="preserve"> Hello humans, #Bitcoin is currently around $9326.75 as of Sat Feb  3 13:31:09 CST 2018</t>
  </si>
  <si>
    <t xml:space="preserve"> Sat Feb 03 2018 19:31:35</t>
  </si>
  <si>
    <t xml:space="preserve"> @rogerkver We need a Bitcoin dossier</t>
  </si>
  <si>
    <t xml:space="preserve"> miketmarrotte</t>
  </si>
  <si>
    <t xml:space="preserve"> Sat Feb 03 2018 19:31:50</t>
  </si>
  <si>
    <t xml:space="preserve"> @tugrik Has the Bitcoin bubble finally popped?  I was getting tired of cryptocurrency promoted ads. </t>
  </si>
  <si>
    <t xml:space="preserve"> Tuftears</t>
  </si>
  <si>
    <t xml:space="preserve"> Catlynxfurnya</t>
  </si>
  <si>
    <t xml:space="preserve"> Sat Feb 03 2018 19:31:55</t>
  </si>
  <si>
    <t xml:space="preserve"> @Crypto_Gossiper @rogerkver Segwit Bitcoin isn't Bitcoin.</t>
  </si>
  <si>
    <t xml:space="preserve"> SatoshiVision</t>
  </si>
  <si>
    <t xml:space="preserve"> Sat Feb 03 2018 19:32:04</t>
  </si>
  <si>
    <t xml:space="preserve"> #Bitcoin The Current Bitcoin Price is 0.0001069 BTC for $1 USD #GoldCoinJar</t>
  </si>
  <si>
    <t xml:space="preserve"> Sat Feb 03 2018 19:32:11</t>
  </si>
  <si>
    <t xml:space="preserve"> @matthew_d_green People getting mugged and kidnapped for the bitcoin, xfer or die. Not funny.</t>
  </si>
  <si>
    <t xml:space="preserve"> SPC_Bitcoin</t>
  </si>
  <si>
    <t xml:space="preserve"> Rust Belt</t>
  </si>
  <si>
    <t xml:space="preserve"> @bgarlinghouse @santanderuk @Ripple Ripple /xrp can save Bitcoin</t>
  </si>
  <si>
    <t xml:space="preserve"> vupham880</t>
  </si>
  <si>
    <t xml:space="preserve"> Sat Feb 03 2018 19:32:12</t>
  </si>
  <si>
    <t xml:space="preserve"> @jaxx_io If you could add #eBitcoin from @eBTCFoundation to the jaxx app this would be nice! #ERC20 #bitcoin #ethereum</t>
  </si>
  <si>
    <t xml:space="preserve"> alpencash</t>
  </si>
  <si>
    <t xml:space="preserve"> Sat Feb 03 2018 19:32:32</t>
  </si>
  <si>
    <t xml:space="preserve"> @WajAhsan But the article doesn't say that Bitcoin was an ICO. It doesn't say forget Bitcoin ICO. It only says forget Bitcoin</t>
  </si>
  <si>
    <t xml:space="preserve"> MihaiHerman</t>
  </si>
  <si>
    <t xml:space="preserve"> Arad, Romnia</t>
  </si>
  <si>
    <t xml:space="preserve"> Sat Feb 03 2018 19:32:46</t>
  </si>
  <si>
    <t xml:space="preserve"> #BinaryFest #BinaryOptions #Forex #Bitcoin #MakeMoney, Benefits of Using Binary Options Trading Software...</t>
  </si>
  <si>
    <t xml:space="preserve"> Sat Feb 03 2018 19:32:47</t>
  </si>
  <si>
    <t xml:space="preserve"> @Bitcoin Buy btc...</t>
  </si>
  <si>
    <t xml:space="preserve"> Afarien4</t>
  </si>
  <si>
    <t xml:space="preserve"> Sat Feb 03 2018 19:32:59</t>
  </si>
  <si>
    <t xml:space="preserve"> @rogerkver I care more for my Bitcoin-Testnet coins than for #bcash.</t>
  </si>
  <si>
    <t xml:space="preserve"> kretchino</t>
  </si>
  <si>
    <t xml:space="preserve"> Sat Feb 03 2018 19:33:05</t>
  </si>
  <si>
    <t xml:space="preserve"> If Bitcoin gets rejected before 10000 and dumps to below 7900, that would be epic.</t>
  </si>
  <si>
    <t xml:space="preserve"> CryptozillaX</t>
  </si>
  <si>
    <t xml:space="preserve"> Sat Feb 03 2018 19:33:28</t>
  </si>
  <si>
    <t xml:space="preserve"> @rogerkver Bitcoin tranny is the real btc</t>
  </si>
  <si>
    <t xml:space="preserve"> ColomboHolanda</t>
  </si>
  <si>
    <t xml:space="preserve"> Sat Feb 03 2018 19:33:34</t>
  </si>
  <si>
    <t xml:space="preserve"> Bitcoin is not going to have 17 trillion dollars in total value in two years lol</t>
  </si>
  <si>
    <t xml:space="preserve"> notwokieleaks</t>
  </si>
  <si>
    <t xml:space="preserve"> Pizzagate, USA</t>
  </si>
  <si>
    <t xml:space="preserve"> Sat Feb 03 2018 19:33:51</t>
  </si>
  <si>
    <t xml:space="preserve"> The smart thing to do would be to invest the $1.50 in bitcoin</t>
  </si>
  <si>
    <t xml:space="preserve"> andyorin</t>
  </si>
  <si>
    <t xml:space="preserve"> Sat Feb 03 2018 19:34:13</t>
  </si>
  <si>
    <t xml:space="preserve"> @eBay please enable selling things for #bitcoin. Ill list everything!!!</t>
  </si>
  <si>
    <t xml:space="preserve"> cadillackiller</t>
  </si>
  <si>
    <t xml:space="preserve"> Sat Feb 03 2018 19:34:34</t>
  </si>
  <si>
    <t xml:space="preserve"> @peter_polakovic yep, i hold barry-coins as if they were bitcoin themselves, lol</t>
  </si>
  <si>
    <t xml:space="preserve"> artem_koloskov</t>
  </si>
  <si>
    <t xml:space="preserve"> Vladivostok</t>
  </si>
  <si>
    <t xml:space="preserve"> Sat Feb 03 2018 19:34:42</t>
  </si>
  <si>
    <t xml:space="preserve"> Now that the Bitcoin price gap of $8400 has been filled, let's hope price can continue on its merry way to the moon :D</t>
  </si>
  <si>
    <t xml:space="preserve"> New_Age_Profits</t>
  </si>
  <si>
    <t xml:space="preserve"> Las Cruces, NM</t>
  </si>
  <si>
    <t xml:space="preserve"> Sat Feb 03 2018 19:35:25</t>
  </si>
  <si>
    <t xml:space="preserve"> @rogerkver You will never overtake Bitcoin. Bcash is bcash. Get over ityou investment is screwed.</t>
  </si>
  <si>
    <t xml:space="preserve"> Sat Feb 03 2018 19:35:29</t>
  </si>
  <si>
    <t xml:space="preserve"> #bitcoin. I checked bitcoin prices and it seems with the price up and also moving up strong the correction may be over. Is it Christmas? :)</t>
  </si>
  <si>
    <t xml:space="preserve"> DarknetResearch</t>
  </si>
  <si>
    <t xml:space="preserve"> Sat Feb 03 2018 19:35:47</t>
  </si>
  <si>
    <t xml:space="preserve"> Bitcoin is at this airport Jk I'm not a donut, I'm not really cuz im gonna play bidya bames.</t>
  </si>
  <si>
    <t xml:space="preserve"> stamos_ebookss</t>
  </si>
  <si>
    <t xml:space="preserve"> Sat Feb 03 2018 19:35:53</t>
  </si>
  <si>
    <t xml:space="preserve"> Whatever they make after bitcoin is gonna send us into bladerunner</t>
  </si>
  <si>
    <t xml:space="preserve"> RobJCalderon</t>
  </si>
  <si>
    <t xml:space="preserve"> Sat Feb 03 2018 19:36:17</t>
  </si>
  <si>
    <t xml:space="preserve"> @rogerkver This is my humble opinion but litecoin is better than bitcoin cash.  Why dont you switch to litecoin? @rogerkver</t>
  </si>
  <si>
    <t xml:space="preserve"> Ten_Tron</t>
  </si>
  <si>
    <t xml:space="preserve"> Stream Sniper</t>
  </si>
  <si>
    <t xml:space="preserve"> Sat Feb 03 2018 19:36:27</t>
  </si>
  <si>
    <t xml:space="preserve"> #Bitcoin value dropped like stone based on a rumour. Imagine what could happen if that rumour turns to fact. #tether</t>
  </si>
  <si>
    <t xml:space="preserve"> 7iain7</t>
  </si>
  <si>
    <t xml:space="preserve"> Sat Feb 03 2018 19:36:32</t>
  </si>
  <si>
    <t xml:space="preserve"> Cryptocurrency: #Bitcoin Price USD: 9327.2 Price BTC: 1.0 24h Volume USD: 7491990000.0 Percent change 24h: 7.76</t>
  </si>
  <si>
    <t xml:space="preserve"> Sat Feb 03 2018 19:36:49</t>
  </si>
  <si>
    <t xml:space="preserve"> bitcoin to $25K   gonna go - today</t>
  </si>
  <si>
    <t xml:space="preserve"> djpaulban</t>
  </si>
  <si>
    <t xml:space="preserve"> Sat Feb 03 2018 19:36:56</t>
  </si>
  <si>
    <t xml:space="preserve"> @PeterLBrandt You are right. Let's hope that Bitcoin becomes more than a currency and helps in these objectives.</t>
  </si>
  <si>
    <t xml:space="preserve"> RCMU0</t>
  </si>
  <si>
    <t xml:space="preserve"> Sat Feb 03 2018 19:37:00</t>
  </si>
  <si>
    <t xml:space="preserve"> @aihsan_goker All in bitcoin All in</t>
  </si>
  <si>
    <t xml:space="preserve"> NoFaiht</t>
  </si>
  <si>
    <t xml:space="preserve"> Ankara, Trkiye </t>
  </si>
  <si>
    <t xml:space="preserve"> Sat Feb 03 2018 19:37:15</t>
  </si>
  <si>
    <t xml:space="preserve"> @brauliosalazar @Cointelegraph Because banks care about what youre doing with your money, Bitcoin dosent.</t>
  </si>
  <si>
    <t xml:space="preserve"> _skiddi3</t>
  </si>
  <si>
    <t xml:space="preserve"> Kekistan</t>
  </si>
  <si>
    <t xml:space="preserve"> Sat Feb 03 2018 19:37:16</t>
  </si>
  <si>
    <t xml:space="preserve"> @LapisXD lapis just as soon as I forgot about the bitcoin tweet and then this</t>
  </si>
  <si>
    <t xml:space="preserve"> GoldenSmokeXD</t>
  </si>
  <si>
    <t xml:space="preserve"> indonishen</t>
  </si>
  <si>
    <t xml:space="preserve"> Sat Feb 03 2018 19:37:27</t>
  </si>
  <si>
    <t xml:space="preserve"> @steve_hanke @catoletters I thought currencies were supposed to be stable. Bitcoin seems like a guaranteed loss.</t>
  </si>
  <si>
    <t xml:space="preserve"> Kriegshund</t>
  </si>
  <si>
    <t xml:space="preserve"> Lake country, USA</t>
  </si>
  <si>
    <t xml:space="preserve"> Sat Feb 03 2018 19:37:52</t>
  </si>
  <si>
    <t xml:space="preserve"> @_TheCivilRight Niggas musta been swipin for Bitcoin, BoA fed up</t>
  </si>
  <si>
    <t xml:space="preserve"> JaValle</t>
  </si>
  <si>
    <t xml:space="preserve"> Sat Feb 03 2018 19:38:04</t>
  </si>
  <si>
    <t xml:space="preserve"> Medicalchain( $MTN) will be listed on Kucoin #cryptocurrency #blockchain #bitcoin #crypto #btc #ico #eth #xrp #trading #CryptoNews</t>
  </si>
  <si>
    <t xml:space="preserve"> Sat Feb 03 2018 19:38:08</t>
  </si>
  <si>
    <t xml:space="preserve"> @HarryDentjr @economymarkets Excuse me.i'm korean and i am your fan. i want to listen your thought about bitcoin. Please tell me.</t>
  </si>
  <si>
    <t xml:space="preserve"> yaungjungjin</t>
  </si>
  <si>
    <t xml:space="preserve"> Sat Feb 03 2018 19:38:14</t>
  </si>
  <si>
    <t xml:space="preserve"> @jtobcat There is something left to find, a gift from the solver, and it isnt bitcoin. :)</t>
  </si>
  <si>
    <t xml:space="preserve"> coin_artist</t>
  </si>
  <si>
    <t xml:space="preserve"> Sat Feb 03 2018 19:38:31</t>
  </si>
  <si>
    <t xml:space="preserve"> @Nouriel Prepare for the mother of all bounces...Bitcoin has repeated this cycle many times since its birth</t>
  </si>
  <si>
    <t xml:space="preserve"> Sat Feb 03 2018 19:38:32</t>
  </si>
  <si>
    <t xml:space="preserve"> @GerberKawasaki Just have him ride a BitCoin....u know 21st Century Bro....</t>
  </si>
  <si>
    <t xml:space="preserve"> KennyKlubSoda</t>
  </si>
  <si>
    <t xml:space="preserve"> Humboldt County CA</t>
  </si>
  <si>
    <t xml:space="preserve"> Sat Feb 03 2018 19:39:01</t>
  </si>
  <si>
    <t xml:space="preserve"> CryptoCompare Bitcoin price changed -1.16% to $9315.89 #bitcoin</t>
  </si>
  <si>
    <t xml:space="preserve"> Sat Feb 03 2018 19:39:08</t>
  </si>
  <si>
    <t xml:space="preserve"> @officialmcafee what do you think of bitcoin private?</t>
  </si>
  <si>
    <t xml:space="preserve"> klotr_</t>
  </si>
  <si>
    <t xml:space="preserve"> Sat Feb 03 2018 19:39:21</t>
  </si>
  <si>
    <t xml:space="preserve"> bitcoin jugg status: success </t>
  </si>
  <si>
    <t xml:space="preserve"> TRUSTD7VN</t>
  </si>
  <si>
    <t xml:space="preserve"> New Orleans, USA</t>
  </si>
  <si>
    <t xml:space="preserve"> Sat Feb 03 2018 19:39:41</t>
  </si>
  <si>
    <t xml:space="preserve"> There is nothing worse than 13 minute bitcoin or consulting advertisements when you're in the shower trying to listen to tunes on youtube.</t>
  </si>
  <si>
    <t xml:space="preserve"> natein0</t>
  </si>
  <si>
    <t xml:space="preserve"> catch me mobbing thru ur town</t>
  </si>
  <si>
    <t xml:space="preserve"> Sat Feb 03 2018 19:39:43</t>
  </si>
  <si>
    <t xml:space="preserve"> Question, is bitcoin legit?</t>
  </si>
  <si>
    <t xml:space="preserve"> LeKahtrita</t>
  </si>
  <si>
    <t xml:space="preserve"> Westminster, CA</t>
  </si>
  <si>
    <t xml:space="preserve"> Sat Feb 03 2018 19:39:44</t>
  </si>
  <si>
    <t xml:space="preserve"> I read that #bitcoin is gluten free. Is this true?</t>
  </si>
  <si>
    <t xml:space="preserve"> bitninjasupply</t>
  </si>
  <si>
    <t xml:space="preserve"> Sat Feb 03 2018 19:39:58</t>
  </si>
  <si>
    <t xml:space="preserve"> @business could've made more by buying bitcoin</t>
  </si>
  <si>
    <t xml:space="preserve"> AhmedMasud</t>
  </si>
  <si>
    <t xml:space="preserve"> ...Earth</t>
  </si>
  <si>
    <t xml:space="preserve"> Sat Feb 03 2018 19:40:04</t>
  </si>
  <si>
    <t xml:space="preserve"> My friends invested in bitcoin awhile ago so if they make it I make it, Im not even tripping </t>
  </si>
  <si>
    <t xml:space="preserve"> _JacketShirtMan</t>
  </si>
  <si>
    <t xml:space="preserve"> Salt Lake City, UT</t>
  </si>
  <si>
    <t xml:space="preserve"> Sat Feb 03 2018 19:40:06</t>
  </si>
  <si>
    <t xml:space="preserve"> @optionbag bitcoin going higher today will help</t>
  </si>
  <si>
    <t xml:space="preserve"> kenr0966</t>
  </si>
  <si>
    <t xml:space="preserve"> 41.136801,-73.986265</t>
  </si>
  <si>
    <t xml:space="preserve"> Sat Feb 03 2018 19:40:14</t>
  </si>
  <si>
    <t xml:space="preserve"> @GoldenSmokeXD @LapisXD the bitcoin tweet was lapis' best tweet smh</t>
  </si>
  <si>
    <t xml:space="preserve"> AuthenticCap</t>
  </si>
  <si>
    <t xml:space="preserve"> Cap</t>
  </si>
  <si>
    <t xml:space="preserve"> Sat Feb 03 2018 19:40:27</t>
  </si>
  <si>
    <t xml:space="preserve"> This #bitcoin bounce seems too perfect to be an actual bounce</t>
  </si>
  <si>
    <t xml:space="preserve"> Bitcornbae</t>
  </si>
  <si>
    <t xml:space="preserve"> Sat Feb 03 2018 19:40:30</t>
  </si>
  <si>
    <t xml:space="preserve"> @abletroner @itswarrenbuffet sorry i meant Buy #bitcoin</t>
  </si>
  <si>
    <t xml:space="preserve"> wbvg</t>
  </si>
  <si>
    <t xml:space="preserve"> Sydney</t>
  </si>
  <si>
    <t xml:space="preserve"> Sat Feb 03 2018 19:40:39</t>
  </si>
  <si>
    <t xml:space="preserve"> I am experimenting whether I can live only with bit coins donated. Please cooperate.  3NKbfJuuMKzNMYMcLqCf5w8TgeGvue7A5 ##bitcoin #Donation</t>
  </si>
  <si>
    <t xml:space="preserve"> WtBitman</t>
  </si>
  <si>
    <t xml:space="preserve"> Sat Feb 03 2018 19:41:19</t>
  </si>
  <si>
    <t xml:space="preserve"> @RedPillTrading @DanDarkPill Oh look, its the Bitcoin cash shill too. How vile.</t>
  </si>
  <si>
    <t xml:space="preserve"> Sat Feb 03 2018 19:41:24</t>
  </si>
  <si>
    <t xml:space="preserve"> ;[ ;[ ;[ ;[...&gt;.&lt; ....[Bitcoin performance assessment (-50.76%)] #bitcoin</t>
  </si>
  <si>
    <t xml:space="preserve"> Sat Feb 03 2018 19:41:26</t>
  </si>
  <si>
    <t xml:space="preserve"> Bitcoin percentage of market cap: 34.64 % #BPOMC #Bitcoin #Altcoin #Blockchain #Cryptocurrency #Dominance</t>
  </si>
  <si>
    <t xml:space="preserve"> Sat Feb 03 2018 19:41:53</t>
  </si>
  <si>
    <t xml:space="preserve"> I do not understand people laughing about the possibility of bitcoin failing. Can someone please let me know Im missing something?</t>
  </si>
  <si>
    <t xml:space="preserve"> WEVAchannel4</t>
  </si>
  <si>
    <t xml:space="preserve"> Sun Valley, CA (from MA)</t>
  </si>
  <si>
    <t xml:space="preserve"> Sat Feb 03 2018 19:42:17</t>
  </si>
  <si>
    <t xml:space="preserve"> @IljaDaderko @Excellion Agreed, no reason to bring drama, focus on Bitcoin...we have enough enemies as it is...</t>
  </si>
  <si>
    <t xml:space="preserve"> Th3Acist</t>
  </si>
  <si>
    <t xml:space="preserve"> Sat Feb 03 2018 19:42:19</t>
  </si>
  <si>
    <t xml:space="preserve"> @AnaIvanovic buying Bitcoin?</t>
  </si>
  <si>
    <t xml:space="preserve"> seefelder</t>
  </si>
  <si>
    <t xml:space="preserve"> Zurich, Switzerland</t>
  </si>
  <si>
    <t xml:space="preserve"> Sat Feb 03 2018 19:42:57</t>
  </si>
  <si>
    <t xml:space="preserve"> #Bitcoin is recovering, there's no day off in #Crypto</t>
  </si>
  <si>
    <t xml:space="preserve"> crybton</t>
  </si>
  <si>
    <t xml:space="preserve"> Sat Feb 03 2018 19:43:15</t>
  </si>
  <si>
    <t xml:space="preserve"> BTC should rally before the end of feb in anticipation of the Bitcoin Private Hard Fork</t>
  </si>
  <si>
    <t xml:space="preserve"> YoungKashMoney</t>
  </si>
  <si>
    <t xml:space="preserve"> LDN || Dubai || Kurdistan</t>
  </si>
  <si>
    <t xml:space="preserve"> Sat Feb 03 2018 19:43:28</t>
  </si>
  <si>
    <t xml:space="preserve"> @ReddBarron5 HAVE TO IMAGINE ALL COINS HAVE BEEN IN A SLUMP AS BITCOIN FALLS IN VALUE OTHERS FOLLOW SUIT BUT ONCE IT POPS UP SO WILL ALTS</t>
  </si>
  <si>
    <t xml:space="preserve"> absalum6981</t>
  </si>
  <si>
    <t xml:space="preserve"> Sat Feb 03 2018 19:43:37</t>
  </si>
  <si>
    <t xml:space="preserve"> Berlin capital of privacy #bitcoin #cryptocurrency  #blockchain #technology #Monero #Vergecurrency #Berlin</t>
  </si>
  <si>
    <t xml:space="preserve"> 1001010z</t>
  </si>
  <si>
    <t xml:space="preserve"> Paris</t>
  </si>
  <si>
    <t xml:space="preserve"> Sat Feb 03 2018 19:43:44</t>
  </si>
  <si>
    <t xml:space="preserve"> @rogerkver Lol , this is dumb. How is it the real bitcoin if it is not bitcoin.</t>
  </si>
  <si>
    <t xml:space="preserve"> jorge_castheone</t>
  </si>
  <si>
    <t xml:space="preserve"> Sat Feb 03 2018 19:44:20</t>
  </si>
  <si>
    <t xml:space="preserve"> Think like a #bitcoin whale</t>
  </si>
  <si>
    <t xml:space="preserve"> Sat Feb 03 2018 19:44:27</t>
  </si>
  <si>
    <t xml:space="preserve"> @ferdousbhai Wouldn't 5% mean that 1 in 20 people on Earth has bitcoin? Because I am highly sceptical of that</t>
  </si>
  <si>
    <t xml:space="preserve"> bravenewcore</t>
  </si>
  <si>
    <t xml:space="preserve"> off-chain</t>
  </si>
  <si>
    <t xml:space="preserve"> Sat Feb 03 2018 19:45:02</t>
  </si>
  <si>
    <t xml:space="preserve"> There are currently 11,996 unconfirmed Bitcoin transactions. #bitcoin #btc $BTC</t>
  </si>
  <si>
    <t xml:space="preserve"> Sat Feb 03 2018 19:45:28</t>
  </si>
  <si>
    <t xml:space="preserve"> Just seeing the news about the Bitcoin value plunge. So glad most of my investment portfolio is in gold and guns hidden in my doom bunker.</t>
  </si>
  <si>
    <t xml:space="preserve"> jeremygroghan</t>
  </si>
  <si>
    <t xml:space="preserve"> Morgantown, WV, USA</t>
  </si>
  <si>
    <t xml:space="preserve"> Sat Feb 03 2018 19:45:33</t>
  </si>
  <si>
    <t xml:space="preserve"> @rogerkver If you think Bitcoin was Taken Over then you don't understand bitcoin you melt</t>
  </si>
  <si>
    <t xml:space="preserve"> CryptoSkive</t>
  </si>
  <si>
    <t xml:space="preserve"> Sat Feb 03 2018 19:45:36</t>
  </si>
  <si>
    <t xml:space="preserve"> @XRP_DAN this diagram for bitcoin not for xrp</t>
  </si>
  <si>
    <t xml:space="preserve"> buraimwedi</t>
  </si>
  <si>
    <t xml:space="preserve"> ,  </t>
  </si>
  <si>
    <t xml:space="preserve"> Sat Feb 03 2018 19:45:37</t>
  </si>
  <si>
    <t xml:space="preserve"> @IamJackBoot Remeber to leave the bitcoin passwords on the dresser!</t>
  </si>
  <si>
    <t xml:space="preserve"> CasablancaRic</t>
  </si>
  <si>
    <t xml:space="preserve"> North of The Equator, South of Heaven</t>
  </si>
  <si>
    <t xml:space="preserve"> Sat Feb 03 2018 19:45:41</t>
  </si>
  <si>
    <t xml:space="preserve"> @Bitcoin The fact there is a turf battle going on will push everyone in the crypto world in direction of etherium</t>
  </si>
  <si>
    <t xml:space="preserve"> jeffd129</t>
  </si>
  <si>
    <t xml:space="preserve"> Frankfurt on the Main, Germany</t>
  </si>
  <si>
    <t xml:space="preserve"> Sat Feb 03 2018 19:46:40</t>
  </si>
  <si>
    <t xml:space="preserve"> @Bitcoin Is Rogger ver gonna suicide after this?! #13ReasonsWhy</t>
  </si>
  <si>
    <t xml:space="preserve"> cryptospasha</t>
  </si>
  <si>
    <t xml:space="preserve"> Sat Feb 03 2018 19:46:43</t>
  </si>
  <si>
    <t xml:space="preserve"> What is Bitcoin? (Without the Tech Jargon)</t>
  </si>
  <si>
    <t xml:space="preserve"> POTUS_MAGA</t>
  </si>
  <si>
    <t xml:space="preserve"> Sat Feb 03 2018 19:46:50</t>
  </si>
  <si>
    <t xml:space="preserve"> I'm pretty confident right now that if I buy some #Bitcoin it will go down, and if I sell it will go up.</t>
  </si>
  <si>
    <t xml:space="preserve"> Crypto_CEO</t>
  </si>
  <si>
    <t xml:space="preserve"> 1 step ahead</t>
  </si>
  <si>
    <t xml:space="preserve"> Sat Feb 03 2018 19:47:12</t>
  </si>
  <si>
    <t xml:space="preserve"> @Bitcoin You guys are pathetic.</t>
  </si>
  <si>
    <t xml:space="preserve"> cracker1321</t>
  </si>
  <si>
    <t xml:space="preserve"> Sat Feb 03 2018 19:47:17</t>
  </si>
  <si>
    <t xml:space="preserve"> Has your card been declined for Bitcoin purchase #bitcoin #banks #crypto #altcoin</t>
  </si>
  <si>
    <t xml:space="preserve"> altcryptozone</t>
  </si>
  <si>
    <t xml:space="preserve"> Yonkers, NY</t>
  </si>
  <si>
    <t xml:space="preserve"> Sat Feb 03 2018 19:47:27</t>
  </si>
  <si>
    <t xml:space="preserve"> @GoldenSmokeXD @LapisXD The bitcoin tweet was the start of the downfall</t>
  </si>
  <si>
    <t xml:space="preserve"> Unkn0wnShadow</t>
  </si>
  <si>
    <t xml:space="preserve"> Hell, MI</t>
  </si>
  <si>
    <t xml:space="preserve"> Sat Feb 03 2018 19:47:31</t>
  </si>
  <si>
    <t xml:space="preserve"> @guardia72014383 February 2018 you got bitcoin happy valentine</t>
  </si>
  <si>
    <t xml:space="preserve"> patrickmwagong5</t>
  </si>
  <si>
    <t xml:space="preserve"> Sat Feb 03 2018 19:47:41</t>
  </si>
  <si>
    <t xml:space="preserve"> @mololabo Bitcoin isn't mined with GPUs anymore, it's Ethereum they're after now.</t>
  </si>
  <si>
    <t xml:space="preserve"> NowakVulpix</t>
  </si>
  <si>
    <t xml:space="preserve"> Attleboro, MA</t>
  </si>
  <si>
    <t xml:space="preserve"> Sat Feb 03 2018 19:47:42</t>
  </si>
  <si>
    <t xml:space="preserve"> @CryptoRocketer why should anyone want to pay via bitcoin in these days......nonsense</t>
  </si>
  <si>
    <t xml:space="preserve"> CAVONIUSANDPERT</t>
  </si>
  <si>
    <t xml:space="preserve"> Sat Feb 03 2018 19:47:55</t>
  </si>
  <si>
    <t xml:space="preserve"> Who thinks Bitcoin has bottomed at $7500?</t>
  </si>
  <si>
    <t xml:space="preserve"> CryptoCav</t>
  </si>
  <si>
    <t xml:space="preserve"> Sat Feb 03 2018 19:47:59</t>
  </si>
  <si>
    <t xml:space="preserve"> @rogerkver Bitconnect is everything that bitcoin cash was supposed to be.</t>
  </si>
  <si>
    <t xml:space="preserve"> CryptoTodayTalk</t>
  </si>
  <si>
    <t xml:space="preserve"> Sat Feb 03 2018 19:48:28</t>
  </si>
  <si>
    <t xml:space="preserve"> @rogerkver And Litecoin LTC is everything Bitcoin Cash wishes it was! #litepay #litecoin #TC #LTC #paywithlitecoin</t>
  </si>
  <si>
    <t xml:space="preserve"> JonCooke17</t>
  </si>
  <si>
    <t xml:space="preserve"> Sat Feb 03 2018 19:48:31</t>
  </si>
  <si>
    <t xml:space="preserve"> @MSAUKZN Send bitcoin and data </t>
  </si>
  <si>
    <t xml:space="preserve"> msa_uwc</t>
  </si>
  <si>
    <t xml:space="preserve"> Sat Feb 03 2018 19:48:34</t>
  </si>
  <si>
    <t xml:space="preserve"> I just looked into the increase of GPU prices and now I just hate bitcoin</t>
  </si>
  <si>
    <t xml:space="preserve"> fag_weeb</t>
  </si>
  <si>
    <t xml:space="preserve"> almost Berlin</t>
  </si>
  <si>
    <t xml:space="preserve"> Sat Feb 03 2018 19:48:38</t>
  </si>
  <si>
    <t xml:space="preserve"> @BTCTN 1 Reason Bitcoin Cash is not Real Bitcoin   Bitcoin is Real BITCOIN !!</t>
  </si>
  <si>
    <t xml:space="preserve"> sandeep_sshukla</t>
  </si>
  <si>
    <t xml:space="preserve"> Newcastle (U.K)</t>
  </si>
  <si>
    <t xml:space="preserve"> Sat Feb 03 2018 19:48:56</t>
  </si>
  <si>
    <t xml:space="preserve"> should i buy bitcoin</t>
  </si>
  <si>
    <t xml:space="preserve"> actzlol</t>
  </si>
  <si>
    <t xml:space="preserve"> @gym</t>
  </si>
  <si>
    <t xml:space="preserve"> Sat Feb 03 2018 19:49:17</t>
  </si>
  <si>
    <t xml:space="preserve"> I have to tell you guys something... I couldn't stand more dumping #bitcoin and  I have sold all my... . . . . . . . . . . Fiats</t>
  </si>
  <si>
    <t xml:space="preserve"> snoop_cane</t>
  </si>
  <si>
    <t xml:space="preserve"> 4th dimension</t>
  </si>
  <si>
    <t xml:space="preserve"> Sat Feb 03 2018 19:49:23</t>
  </si>
  <si>
    <t xml:space="preserve"> Should we close our accounts with the banks that block crypto purchases? #Bitcoin #cryptocurrencies #crypto #Altcoin #xvg #ada #kin #vzt</t>
  </si>
  <si>
    <t xml:space="preserve"> @Bitcoin almost anything you guys say, applies to almost every other alt coin in the market making Bcash another alt coin.</t>
  </si>
  <si>
    <t xml:space="preserve"> Sat Feb 03 2018 19:49:24</t>
  </si>
  <si>
    <t xml:space="preserve"> @Snubs Those Bitcoin miners hijacked the entire market for those gpu!</t>
  </si>
  <si>
    <t xml:space="preserve"> tradervladi</t>
  </si>
  <si>
    <t xml:space="preserve"> Sat Feb 03 2018 19:49:26</t>
  </si>
  <si>
    <t xml:space="preserve"> #Blockchain is the tech. #Bitcoin is merely the first mainstream manifestation of its potential. #freebitcoin</t>
  </si>
  <si>
    <t xml:space="preserve"> Sat Feb 03 2018 19:49:29</t>
  </si>
  <si>
    <t xml:space="preserve"> @IDX_BEI Bitcoin now</t>
  </si>
  <si>
    <t xml:space="preserve"> beat3270eex</t>
  </si>
  <si>
    <t xml:space="preserve"> honje.....</t>
  </si>
  <si>
    <t xml:space="preserve"> Sat Feb 03 2018 19:49:43</t>
  </si>
  <si>
    <t xml:space="preserve"> Have the attorneys lined up to sue the Bitcoin Ponzi scheme. Rules change daily which is unlawful.</t>
  </si>
  <si>
    <t xml:space="preserve"> pepperc22</t>
  </si>
  <si>
    <t xml:space="preserve"> Brentwood, TN</t>
  </si>
  <si>
    <t xml:space="preserve"> Sat Feb 03 2018 19:49:49</t>
  </si>
  <si>
    <t xml:space="preserve"> @gabry_steve @rogerkwer @rogerkver Fast?  Then it's Bitcoin Cash,  not Bitcoin Core.</t>
  </si>
  <si>
    <t xml:space="preserve"> bitclockwork</t>
  </si>
  <si>
    <t xml:space="preserve"> Sat Feb 03 2018 19:49:52</t>
  </si>
  <si>
    <t xml:space="preserve"> @gabrieldsmoura @rogerkver Bitcoin cash is #btrash </t>
  </si>
  <si>
    <t xml:space="preserve"> ChillBroCrypto</t>
  </si>
  <si>
    <t xml:space="preserve"> Sat Feb 03 2018 19:49:56</t>
  </si>
  <si>
    <t xml:space="preserve"> @kryptomanen The only solution is for people to eventually realise that blockchain isn't all about Bitcoin.</t>
  </si>
  <si>
    <t xml:space="preserve"> Walkmooner1</t>
  </si>
  <si>
    <t xml:space="preserve"> Sat Feb 03 2018 19:50:13</t>
  </si>
  <si>
    <t xml:space="preserve"> Should you buy or sell today? Check our YouTube channel! We analyze over 30 pairs, also Gold, Silver, Oil and Bitcoin! #Consulting #ForexEA</t>
  </si>
  <si>
    <t xml:space="preserve"> Sat Feb 03 2018 19:50:16</t>
  </si>
  <si>
    <t xml:space="preserve"> @cryptopricenow ... you're very close to the sunshine! #Fintech #sri #solar #blockchain #bitcoin #www.startengine.com/sun-fund</t>
  </si>
  <si>
    <t xml:space="preserve"> Sat Feb 03 2018 19:50:32</t>
  </si>
  <si>
    <t xml:space="preserve"> @VinnyLingham I'm curious. Why are there ads on /r/bitcoin promoting tweets from you? This really seems weird..</t>
  </si>
  <si>
    <t xml:space="preserve"> Sat Feb 03 2018 19:50:54</t>
  </si>
  <si>
    <t xml:space="preserve"> @Rachb89 SVT I bought your product and my voice still sounds like a rusty diesel engine. I'll take my money back in bitcoin.</t>
  </si>
  <si>
    <t xml:space="preserve"> DrMuffs</t>
  </si>
  <si>
    <t xml:space="preserve"> Sat Feb 03 2018 19:50:57</t>
  </si>
  <si>
    <t xml:space="preserve"> How does Bitcoin mining work?  Ok, its like trying to find a humble slay queen n then getn 12.5 btc when she gives u her number</t>
  </si>
  <si>
    <t xml:space="preserve"> M_RappaCEO</t>
  </si>
  <si>
    <t xml:space="preserve"> Sat Feb 03 2018 19:50:58</t>
  </si>
  <si>
    <t xml:space="preserve"> @mololabo It's fine, it's easy to assume Bitcoin because that's one of the most well-known cryptocurrencies.</t>
  </si>
  <si>
    <t xml:space="preserve"> Sat Feb 03 2018 19:51:09</t>
  </si>
  <si>
    <t xml:space="preserve"> The CEO of #bitcoin recently stated he has full confidence in our 1:1 backing of Tether to USD.</t>
  </si>
  <si>
    <t xml:space="preserve"> Bitfinex2</t>
  </si>
  <si>
    <t xml:space="preserve"> Hong Kong/BVI/Federal Prison</t>
  </si>
  <si>
    <t xml:space="preserve"> Sat Feb 03 2018 19:51:28</t>
  </si>
  <si>
    <t xml:space="preserve"> They are finally doing the right thing to handle bitcoin. Will we do anything?</t>
  </si>
  <si>
    <t xml:space="preserve"> Brikian</t>
  </si>
  <si>
    <t xml:space="preserve"> Sat Feb 03 2018 19:51:37</t>
  </si>
  <si>
    <t xml:space="preserve"> @rogerkver Typo : inverted the the word bitcoin cash ans the word bitcoin. #mistakesDoHappen</t>
  </si>
  <si>
    <t xml:space="preserve"> maitreludo</t>
  </si>
  <si>
    <t xml:space="preserve"> Sat Feb 03 2018 19:51:44</t>
  </si>
  <si>
    <t xml:space="preserve"> @mitchellvii Someone mine their bitcoin wallet?</t>
  </si>
  <si>
    <t xml:space="preserve"> Leslie_H20</t>
  </si>
  <si>
    <t xml:space="preserve"> The Old North State</t>
  </si>
  <si>
    <t xml:space="preserve"> Sat Feb 03 2018 19:51:51</t>
  </si>
  <si>
    <t xml:space="preserve"> All my nocoiner friends keep asking if I'm bringing dip to the superbowl party tomorrow with really smug looks. #bitcoin</t>
  </si>
  <si>
    <t xml:space="preserve"> tezzigator</t>
  </si>
  <si>
    <t xml:space="preserve"> Sat Feb 03 2018 19:51:58</t>
  </si>
  <si>
    <t xml:space="preserve"> Well well #bitcoin , I see you  decreasing and then increasing in value rapidly</t>
  </si>
  <si>
    <t xml:space="preserve"> CQ796</t>
  </si>
  <si>
    <t xml:space="preserve"> Sat Feb 03 2018 19:52:08</t>
  </si>
  <si>
    <t xml:space="preserve"> If you sold your Bitcoin over the past few days you shouldn't be in the crypto space  #bitcoin #btc</t>
  </si>
  <si>
    <t xml:space="preserve"> iamcryptogeek</t>
  </si>
  <si>
    <t xml:space="preserve"> Sat Feb 03 2018 19:52:09</t>
  </si>
  <si>
    <t xml:space="preserve"> down the Bitcoin is...</t>
  </si>
  <si>
    <t xml:space="preserve"> YodaOneIAm</t>
  </si>
  <si>
    <t xml:space="preserve"> Dagobah </t>
  </si>
  <si>
    <t xml:space="preserve"> Sat Feb 03 2018 19:52:23</t>
  </si>
  <si>
    <t xml:space="preserve"> @SenMarkey Bitcoin isn't a war on money, it's a revolution</t>
  </si>
  <si>
    <t xml:space="preserve"> fkashner</t>
  </si>
  <si>
    <t xml:space="preserve"> North Shore of Boston, MA, USA</t>
  </si>
  <si>
    <t xml:space="preserve"> Sat Feb 03 2018 19:52:24</t>
  </si>
  <si>
    <t xml:space="preserve"> @BitcoinToAMill1 If someone could help me get onto bittrex id great appreciate the help! Please? #Bittrex #bitcoin #THC</t>
  </si>
  <si>
    <t xml:space="preserve"> CryptoClench</t>
  </si>
  <si>
    <t xml:space="preserve"> Boynton Beach, FL</t>
  </si>
  <si>
    <t xml:space="preserve"> Sat Feb 03 2018 19:52:39</t>
  </si>
  <si>
    <t xml:space="preserve"> @ZoltanKustra @SaltLending @BittrexExchange So, better than you would have done buying Bitcoin at ATH and holding.. what's your point?</t>
  </si>
  <si>
    <t xml:space="preserve"> tothemoonbtc</t>
  </si>
  <si>
    <t xml:space="preserve"> Sat Feb 03 2018 19:52:42</t>
  </si>
  <si>
    <t xml:space="preserve"> @Independent F Trump Coin is here to prior Bitcoin up. Just give us a #retweet</t>
  </si>
  <si>
    <t xml:space="preserve"> Sat Feb 03 2018 19:53:10</t>
  </si>
  <si>
    <t xml:space="preserve"> @andrewkotliar Bitcoin is a bubble.</t>
  </si>
  <si>
    <t xml:space="preserve"> GSanders54</t>
  </si>
  <si>
    <t xml:space="preserve"> Sat Feb 03 2018 19:53:16</t>
  </si>
  <si>
    <t xml:space="preserve"> @perbu I like the concept, and the Bitcoin design is just amazing. Maybe it can be the best choice for something. I kind of hope so.</t>
  </si>
  <si>
    <t xml:space="preserve"> larsga</t>
  </si>
  <si>
    <t xml:space="preserve"> Oslo, Norway</t>
  </si>
  <si>
    <t xml:space="preserve"> Sat Feb 03 2018 19:53:36</t>
  </si>
  <si>
    <t xml:space="preserve"> @rogerkver Bitcoin Cash is the real Bitcoin scam.</t>
  </si>
  <si>
    <t xml:space="preserve"> CryptoRhey</t>
  </si>
  <si>
    <t xml:space="preserve"> Menifee, CA</t>
  </si>
  <si>
    <t xml:space="preserve"> Sat Feb 03 2018 19:53:41</t>
  </si>
  <si>
    <t xml:space="preserve"> @NowakVulpix bitcoin, as the first big one has just kind of become the umbrella term for them. Even if incorrect.</t>
  </si>
  <si>
    <t xml:space="preserve"> mololabo</t>
  </si>
  <si>
    <t xml:space="preserve"> Wherever my heart may be</t>
  </si>
  <si>
    <t xml:space="preserve"> Sat Feb 03 2018 19:53:48</t>
  </si>
  <si>
    <t xml:space="preserve"> RESPIRA BITCOIN</t>
  </si>
  <si>
    <t xml:space="preserve"> ikkiweber</t>
  </si>
  <si>
    <t xml:space="preserve"> Casado</t>
  </si>
  <si>
    <t xml:space="preserve"> Sat Feb 03 2018 19:53:53</t>
  </si>
  <si>
    <t xml:space="preserve"> @rogerkver I'm starting to think you're a bot tweeting an array of pre-made tweets targeting the only and real Bitcoin</t>
  </si>
  <si>
    <t xml:space="preserve"> MarkWienands</t>
  </si>
  <si>
    <t xml:space="preserve"> Sat Feb 03 2018 19:54:12</t>
  </si>
  <si>
    <t xml:space="preserve"> @box_on_head @GamingAndPandas @NowakVulpix The 1060 now costs $900 because of bitcoin mining</t>
  </si>
  <si>
    <t xml:space="preserve"> Kaelath_The_Red</t>
  </si>
  <si>
    <t xml:space="preserve"> Alma, Michigan</t>
  </si>
  <si>
    <t xml:space="preserve"> Sat Feb 03 2018 19:54:26</t>
  </si>
  <si>
    <t xml:space="preserve"> @Nouriel @jaynemesis Whats your opinion on this? Is it possible that the Bitcoin bubble bursts and other cryptos take over?</t>
  </si>
  <si>
    <t xml:space="preserve"> KrandeKraft</t>
  </si>
  <si>
    <t xml:space="preserve"> Sat Feb 03 2018 19:54:30</t>
  </si>
  <si>
    <t xml:space="preserve"> Interested in learning more about blockchain and cryptocurrency like Bitcoin? Come join me and IBM at the IBM Coder Program! #IBMCoder</t>
  </si>
  <si>
    <t xml:space="preserve"> anas12002</t>
  </si>
  <si>
    <t xml:space="preserve">  , </t>
  </si>
  <si>
    <t xml:space="preserve"> Sat Feb 03 2018 19:54:39</t>
  </si>
  <si>
    <t xml:space="preserve"> @BTCDylan You started investing in bitcoin then it more than halved in value...coincidence? I think not!</t>
  </si>
  <si>
    <t xml:space="preserve"> AgroGames</t>
  </si>
  <si>
    <t xml:space="preserve"> Sat Feb 03 2018 19:54:52</t>
  </si>
  <si>
    <t xml:space="preserve"> @IronStache @PRyan @Ironstache you should accept bitcoin.</t>
  </si>
  <si>
    <t xml:space="preserve"> Davidthagnome</t>
  </si>
  <si>
    <t xml:space="preserve"> Sat Feb 03 2018 19:54:57</t>
  </si>
  <si>
    <t xml:space="preserve"> What will be the next target price for Bitcoin? #bitcoin #cryptocurrency #coinmarket #ripple #cardano</t>
  </si>
  <si>
    <t xml:space="preserve"> girgircin</t>
  </si>
  <si>
    <t xml:space="preserve"> Sat Feb 03 2018 19:55:34</t>
  </si>
  <si>
    <t xml:space="preserve"> Gna put all my earnings from crypto into shorting bitcoin till March, it will hit 5k...</t>
  </si>
  <si>
    <t xml:space="preserve"> TheViralBuzz</t>
  </si>
  <si>
    <t xml:space="preserve"> Sat Feb 03 2018 19:55:53</t>
  </si>
  <si>
    <t xml:space="preserve"> @barrysilbert Its a bottom for now.... is it the bottom this month? Probably not. $btc #bitcoin</t>
  </si>
  <si>
    <t xml:space="preserve"> NikitaVdovin</t>
  </si>
  <si>
    <t xml:space="preserve"> Sat Feb 03 2018 19:56:07</t>
  </si>
  <si>
    <t xml:space="preserve"> My Uber driver is trying to convince this other passenger not to get eyelash extensions and buy bitcoin...</t>
  </si>
  <si>
    <t xml:space="preserve"> kianashanice</t>
  </si>
  <si>
    <t xml:space="preserve"> Sat Feb 03 2018 19:56:08</t>
  </si>
  <si>
    <t xml:space="preserve"> @BTCHush any chance Bitcoin Hush gets listed on an exchange? @MyHushTeam @dukeleto</t>
  </si>
  <si>
    <t xml:space="preserve"> MHammic</t>
  </si>
  <si>
    <t xml:space="preserve"> Sat Feb 03 2018 19:56:10</t>
  </si>
  <si>
    <t xml:space="preserve"> @topherryals I also dont do CrossFit and am kinda anti bitcoin. Am I real?</t>
  </si>
  <si>
    <t xml:space="preserve"> mcfierce87</t>
  </si>
  <si>
    <t xml:space="preserve"> Let's get lost together.</t>
  </si>
  <si>
    <t xml:space="preserve"> Sat Feb 03 2018 19:56:16</t>
  </si>
  <si>
    <t xml:space="preserve"> Who is holding onto their coins still? #bitcoin #ethereum #KuCoin #binance #bittrex</t>
  </si>
  <si>
    <t xml:space="preserve"> RidingGlitch</t>
  </si>
  <si>
    <t xml:space="preserve"> Port Elizabeth, South Africa</t>
  </si>
  <si>
    <t xml:space="preserve"> Sat Feb 03 2018 19:56:24</t>
  </si>
  <si>
    <t xml:space="preserve"> @GreatDismal Does more damage than Bitcoin</t>
  </si>
  <si>
    <t xml:space="preserve"> GTCPotter66</t>
  </si>
  <si>
    <t xml:space="preserve"> Sat Feb 03 2018 19:56:31</t>
  </si>
  <si>
    <t xml:space="preserve"> @BTCfreemarkets Just panic sold all my Euros to BTC #fomo #bitcoin #btc</t>
  </si>
  <si>
    <t xml:space="preserve"> BTC__Blockchain</t>
  </si>
  <si>
    <t xml:space="preserve"> Netherlands</t>
  </si>
  <si>
    <t xml:space="preserve"> Sat Feb 03 2018 19:56:33</t>
  </si>
  <si>
    <t xml:space="preserve"> @VolatilityVIX Probably because it's gone mainstream. Now everyone will play it for what it really is....another fiat currency. @Bitcoin</t>
  </si>
  <si>
    <t xml:space="preserve"> Emp3rorBear</t>
  </si>
  <si>
    <t xml:space="preserve"> Everywhere, yet nowhere.</t>
  </si>
  <si>
    <t xml:space="preserve"> Sat Feb 03 2018 19:56:52</t>
  </si>
  <si>
    <t xml:space="preserve"> @ShapeShift_io @mcuban how about buying Bitcoin for cash at the stadium with a branded lighting enabled wallet</t>
  </si>
  <si>
    <t xml:space="preserve"> j2banker</t>
  </si>
  <si>
    <t xml:space="preserve"> somewhere</t>
  </si>
  <si>
    <t xml:space="preserve"> Sat Feb 03 2018 19:57:12</t>
  </si>
  <si>
    <t xml:space="preserve"> What percentage of the bitcoin market is owned by people who live in India? #bitcoin $ETH $XRP $NEO $BTC $LTC</t>
  </si>
  <si>
    <t xml:space="preserve"> cryptogenupdate</t>
  </si>
  <si>
    <t xml:space="preserve"> Sat Feb 03 2018 19:57:43</t>
  </si>
  <si>
    <t xml:space="preserve"> I told before bitcoin is not an profitable investment same as Usd:its not a profitable currency...blockchain cryptocurrency is</t>
  </si>
  <si>
    <t xml:space="preserve"> LAMKAMSING</t>
  </si>
  <si>
    <t xml:space="preserve"> MALAYSIA</t>
  </si>
  <si>
    <t xml:space="preserve"> Sat Feb 03 2018 19:57:46</t>
  </si>
  <si>
    <t xml:space="preserve"> @360_trader Well...... good thing the only coin i stock up like bitcoin is litecoin.... </t>
  </si>
  <si>
    <t xml:space="preserve"> SmokinEther</t>
  </si>
  <si>
    <t xml:space="preserve"> Sat Feb 03 2018 19:58:05</t>
  </si>
  <si>
    <t xml:space="preserve"> The number one currency used by criminals around the world is the US dollar - not bitcoin. #cryptocurrency panel at #Geekend</t>
  </si>
  <si>
    <t xml:space="preserve"> geekend</t>
  </si>
  <si>
    <t xml:space="preserve"> Savannah, Georgia</t>
  </si>
  <si>
    <t xml:space="preserve"> Sat Feb 03 2018 19:58:17</t>
  </si>
  <si>
    <t xml:space="preserve"> @TonjaWallace How about being hit by gold-bricks (platinum will do, too) ... joking. Or maybe for some bitcoin! LOL</t>
  </si>
  <si>
    <t xml:space="preserve"> KoreanaLim</t>
  </si>
  <si>
    <t xml:space="preserve"> Los Angeles | Worldwide by appt.</t>
  </si>
  <si>
    <t xml:space="preserve"> Sat Feb 03 2018 19:58:48</t>
  </si>
  <si>
    <t xml:space="preserve"> Zcash Touts Nuclear Waste-Fueled Random Number Generator  #trx #tron #btc #bitcoin #cryptocoin #crypto #eth #etherum #ripple #xrp #altcoins</t>
  </si>
  <si>
    <t xml:space="preserve"> Sat Feb 03 2018 19:58:51</t>
  </si>
  <si>
    <t xml:space="preserve"> @crypto_sarah9 How much do you watch bitcoin while trading trx or other alts?</t>
  </si>
  <si>
    <t xml:space="preserve"> jaredduran11</t>
  </si>
  <si>
    <t xml:space="preserve"> DuBois, PA</t>
  </si>
  <si>
    <t xml:space="preserve"> Sat Feb 03 2018 19:59:21</t>
  </si>
  <si>
    <t xml:space="preserve"> OH: I'd trade you a bitcoin for that dresser</t>
  </si>
  <si>
    <t xml:space="preserve"> hpuxgirl</t>
  </si>
  <si>
    <t xml:space="preserve"> Sat Feb 03 2018 19:59:28</t>
  </si>
  <si>
    <t xml:space="preserve"> @joerogan Society needs more @aantonop I am certainly looking forward to another discussion about #crypto #bitcoin</t>
  </si>
  <si>
    <t xml:space="preserve"> HeffeBizCo</t>
  </si>
  <si>
    <t xml:space="preserve"> Nashua, NH</t>
  </si>
  <si>
    <t xml:space="preserve"> Sat Feb 03 2018 19:59:44</t>
  </si>
  <si>
    <t xml:space="preserve"> not we going back down smh #litecoin #bitcoin</t>
  </si>
  <si>
    <t xml:space="preserve"> _CBLifeHacks</t>
  </si>
  <si>
    <t xml:space="preserve"> Sat Feb 03 2018 20:00:00</t>
  </si>
  <si>
    <t xml:space="preserve"> VGhpcyB0ZXh0IHNob3VsZCBiZSBpbiB0aGUgMjAxOSB2ZXJzaW9uIG9mIHRoZSBhc3NpZ25tZW50IGF0IDIwOjAwOjAwLg==</t>
  </si>
  <si>
    <t xml:space="preserve"> pcheck</t>
  </si>
  <si>
    <t xml:space="preserve"> Sat Feb 03 2018 20:00:01</t>
  </si>
  <si>
    <t xml:space="preserve"> Bitcoin:$9290.15 Ethereum:$971.353 Bitcoin Cash:$1277.31 Litecoin:$158.17 Ripple:$0.930165 IOTA:$1.97377</t>
  </si>
  <si>
    <t xml:space="preserve"> $INSN Price: $0.117202 / 0.00001254 BTC  Volume (24h): $3 736.45 / 0.40 BTC  #INSN #cryptocurrency #bitcoin #altcoins #stats #masternode</t>
  </si>
  <si>
    <t xml:space="preserve"> cstats_net</t>
  </si>
  <si>
    <t xml:space="preserve"> Prague, Czechia</t>
  </si>
  <si>
    <t xml:space="preserve"> The average price of Bitcoin across all exchanges is 9,290.15 USD</t>
  </si>
  <si>
    <t xml:space="preserve"> Sat Feb 03 2018 20:00:02</t>
  </si>
  <si>
    <t xml:space="preserve"> Average Bitcoin market price is: USD 9,308.31, EUR 7,490.77</t>
  </si>
  <si>
    <t xml:space="preserve"> Sat Feb 03 2018 20:00:03</t>
  </si>
  <si>
    <t xml:space="preserve"> can we crowdfund jeff bezos' assasination with bitcoin</t>
  </si>
  <si>
    <t xml:space="preserve"> victrix_cavsa</t>
  </si>
  <si>
    <t xml:space="preserve"> Sat Feb 03 2018 20:00:05</t>
  </si>
  <si>
    <t xml:space="preserve"> Feb 03, 2018 12:00PM #Bitcoin Price: USD 8862.45 | EUR 7152.02 | JPY 952837.79</t>
  </si>
  <si>
    <t xml:space="preserve"> Sat Feb 03 2018 20:00:06</t>
  </si>
  <si>
    <t xml:space="preserve"> The fundamental code behind Bitcoin solves a very old dilemma in computer science. Distributed consensus.</t>
  </si>
  <si>
    <t xml:space="preserve"> Sat Feb 03 2018 20:00:16</t>
  </si>
  <si>
    <t xml:space="preserve"> Top 6 BTC/USD Exchange Orderbooks: Resistance til $9600:$27.6M; Support til $9000:$22.3M $BTC $BTCUSD #bitcoin #orderbook #investing #crypto</t>
  </si>
  <si>
    <t xml:space="preserve"> Sat Feb 03 2018 20:00:25</t>
  </si>
  <si>
    <t xml:space="preserve"> @ahcastor @coin_artist @robmyers 2m worth of Bitcoin I'm  selling for 50k. DM</t>
  </si>
  <si>
    <t xml:space="preserve"> Kaharistotle</t>
  </si>
  <si>
    <t xml:space="preserve"> Sat Feb 03 2018 20:00:30</t>
  </si>
  <si>
    <t xml:space="preserve"> BTC hourly update $9328.46    |    -0.0048% $BTC #BTCUSD #Bitcoin</t>
  </si>
  <si>
    <t xml:space="preserve"> Sat Feb 03 2018 20:00:40</t>
  </si>
  <si>
    <t xml:space="preserve"> Everybody knows that trading during news might be very profitable, but nobody has a robot except for us and you can have it too. #Bitcoin</t>
  </si>
  <si>
    <t xml:space="preserve"> Sat Feb 03 2018 20:00:45</t>
  </si>
  <si>
    <t xml:space="preserve"> Current price of Bitcoin is $9310.00</t>
  </si>
  <si>
    <t xml:space="preserve"> Sat Feb 03 2018 20:00:48</t>
  </si>
  <si>
    <t xml:space="preserve"> Current price of Bitcoin is $9310.00 via Chain</t>
  </si>
  <si>
    <t xml:space="preserve"> CryptoCoinGeek</t>
  </si>
  <si>
    <t xml:space="preserve"> Sat Feb 03 2018 20:01:06</t>
  </si>
  <si>
    <t xml:space="preserve"> DPavgeek</t>
  </si>
  <si>
    <t xml:space="preserve"> Adriatic Sea</t>
  </si>
  <si>
    <t xml:space="preserve"> Sat Feb 03 2018 20:01:11</t>
  </si>
  <si>
    <t xml:space="preserve"> Ill have you KNOW I own .00533992 bitcoin so youre required to call me Mr bada$$ from now on thank you </t>
  </si>
  <si>
    <t xml:space="preserve"> swooshiepush</t>
  </si>
  <si>
    <t xml:space="preserve"> Eagle Pass, TX</t>
  </si>
  <si>
    <t xml:space="preserve"> Sat Feb 03 2018 20:01:15</t>
  </si>
  <si>
    <t xml:space="preserve"> Current price of Bitcoin is $9310.00.</t>
  </si>
  <si>
    <t xml:space="preserve"> Sat Feb 03 2018 20:01:16</t>
  </si>
  <si>
    <t xml:space="preserve"> blckchnVentures</t>
  </si>
  <si>
    <t xml:space="preserve"> Sat Feb 03 2018 20:01:19</t>
  </si>
  <si>
    <t xml:space="preserve"> You on behalf of the Bitcoin cashing in Japan . Sell a circle , and send in your favorite way the amount minus the fee . It passes directl</t>
  </si>
  <si>
    <t xml:space="preserve"> bitcoinexe</t>
  </si>
  <si>
    <t xml:space="preserve"> Sat Feb 03 2018 20:01:31</t>
  </si>
  <si>
    <t xml:space="preserve"> It's only up from here $BTC #bitcoin #BTC</t>
  </si>
  <si>
    <t xml:space="preserve"> RyanMS77</t>
  </si>
  <si>
    <t xml:space="preserve"> Bloomington, IL</t>
  </si>
  <si>
    <t xml:space="preserve"> Sat Feb 03 2018 20:01:34</t>
  </si>
  <si>
    <t xml:space="preserve"> Current price of Bitcoin is $9310.00 #btc #bitcoin #cryptocurrency #cryptocurrencynews #crypto #cryptonews</t>
  </si>
  <si>
    <t xml:space="preserve"> Sat Feb 03 2018 20:01:41</t>
  </si>
  <si>
    <t xml:space="preserve"> @NeerajKA Bitcoin Cash or Ripple</t>
  </si>
  <si>
    <t xml:space="preserve"> RarebitM</t>
  </si>
  <si>
    <t xml:space="preserve"> @notwokieleaks Bitcoin is now as valuable as the entire GDP of the United States  -Well trained economists everywhere</t>
  </si>
  <si>
    <t xml:space="preserve"> yikes_run</t>
  </si>
  <si>
    <t xml:space="preserve"> Indiana, USA</t>
  </si>
  <si>
    <t xml:space="preserve"> Sat Feb 03 2018 20:01:52</t>
  </si>
  <si>
    <t xml:space="preserve"> @BonnieBruise i agree to your terms, however, i will need additional time to exchange my bitcoin for said eggs.</t>
  </si>
  <si>
    <t xml:space="preserve"> sumnerblatch</t>
  </si>
  <si>
    <t xml:space="preserve"> Sat Feb 03 2018 20:01:59</t>
  </si>
  <si>
    <t xml:space="preserve"> Bitcoin is the new mmm. Bitcoin experts are springing up every way</t>
  </si>
  <si>
    <t xml:space="preserve"> iniobong_</t>
  </si>
  <si>
    <t xml:space="preserve"> Nigeria.</t>
  </si>
  <si>
    <t xml:space="preserve"> Sat Feb 03 2018 20:02:00</t>
  </si>
  <si>
    <t xml:space="preserve"> mick_pletcher</t>
  </si>
  <si>
    <t xml:space="preserve"> Nashville</t>
  </si>
  <si>
    <t xml:space="preserve"> Sat Feb 03 2018 20:02:02</t>
  </si>
  <si>
    <t xml:space="preserve"> If Lisk was sharing the same market cap as Bitcoin it's price should be 0.14328381 BTC $LSK</t>
  </si>
  <si>
    <t xml:space="preserve"> CryptoIndexes</t>
  </si>
  <si>
    <t xml:space="preserve"> Sat Feb 03 2018 20:02:05</t>
  </si>
  <si>
    <t xml:space="preserve"> y2kreprise</t>
  </si>
  <si>
    <t xml:space="preserve"> Sat Feb 03 2018 20:02:08</t>
  </si>
  <si>
    <t xml:space="preserve"> @paulkrugman Love the semantics &amp; (almost) new language that comes with Bitcoin.  Cryptofreude </t>
  </si>
  <si>
    <t xml:space="preserve"> HeidiDEdwards1</t>
  </si>
  <si>
    <t xml:space="preserve"> Randburg, South Africa</t>
  </si>
  <si>
    <t xml:space="preserve"> Sat Feb 03 2018 20:02:12</t>
  </si>
  <si>
    <t xml:space="preserve"> Current price of #Bitcoin is $9310.00</t>
  </si>
  <si>
    <t xml:space="preserve"> Sat Feb 03 2018 20:02:14</t>
  </si>
  <si>
    <t xml:space="preserve"> Current price of Bitcoin is $9310.00 - is that good for you? #BTC $btc</t>
  </si>
  <si>
    <t xml:space="preserve"> Sat Feb 03 2018 20:02:20</t>
  </si>
  <si>
    <t xml:space="preserve"> Cashapp got bitcoin now yussss</t>
  </si>
  <si>
    <t xml:space="preserve"> electricxlady</t>
  </si>
  <si>
    <t xml:space="preserve"> tejas</t>
  </si>
  <si>
    <t xml:space="preserve"> Sat Feb 03 2018 20:02:25</t>
  </si>
  <si>
    <t xml:space="preserve"> Most positive movements in the last hour #Bitcoin Cash(2.81%), #Salt(2.68%), #Bitcoin Cash(2.62%), #Ignis(2.45%), #Bitcoin Cash(2.43%)</t>
  </si>
  <si>
    <t xml:space="preserve"> Sat Feb 03 2018 20:02:28</t>
  </si>
  <si>
    <t xml:space="preserve"> n_halstead3</t>
  </si>
  <si>
    <t xml:space="preserve"> Sat Feb 03 2018 20:02:31</t>
  </si>
  <si>
    <t xml:space="preserve"> @Theoracledbaguy @PrestonPysh @TraceMayer Bitcoin can fall for the whole of Feb and still be at 70k by end of year.</t>
  </si>
  <si>
    <t xml:space="preserve"> martinf_1</t>
  </si>
  <si>
    <t xml:space="preserve"> Sat Feb 03 2018 20:02:51</t>
  </si>
  <si>
    <t xml:space="preserve"> Everyone who is not investing in Bitcoin is an idiot!... An idiot who still has all his money.</t>
  </si>
  <si>
    <t xml:space="preserve"> Brooklynmonk</t>
  </si>
  <si>
    <t xml:space="preserve"> Shanghai, China</t>
  </si>
  <si>
    <t xml:space="preserve"> Sat Feb 03 2018 20:03:06</t>
  </si>
  <si>
    <t xml:space="preserve"> The current Bitcoin Price is 9310.00 USD</t>
  </si>
  <si>
    <t xml:space="preserve"> THE MOST INNOVATIVE AND LUCRATIVE WAY TO EARN BITCOIN JOIN BITCLUB NETWORK!!!!</t>
  </si>
  <si>
    <t xml:space="preserve"> Sat Feb 03 2018 20:03:11</t>
  </si>
  <si>
    <t xml:space="preserve"> Bitcoin is at 9327.27 US Dollar. Now I really regret not getting in when it was $19,000.</t>
  </si>
  <si>
    <t xml:space="preserve"> Sat Feb 03 2018 20:03:17</t>
  </si>
  <si>
    <t xml:space="preserve"> Current price of Bitcoin is $9310.00 Like if thats good for you and retweet if thats not good for you #bitcoin #btc #bitcoinprice</t>
  </si>
  <si>
    <t xml:space="preserve"> Sat Feb 03 2018 20:04:06</t>
  </si>
  <si>
    <t xml:space="preserve"> Auto-Triggered 1x Bitcoin Cash on dip for $1000 :D</t>
  </si>
  <si>
    <t xml:space="preserve"> xjohn2935x</t>
  </si>
  <si>
    <t xml:space="preserve"> Sat Feb 03 2018 20:04:14</t>
  </si>
  <si>
    <t xml:space="preserve"> @cryptosuri @PeterLBrandt Yes that's why they desperately want to destroy that pin #bitcoin</t>
  </si>
  <si>
    <t xml:space="preserve"> msdy51364</t>
  </si>
  <si>
    <t xml:space="preserve"> Rockland/Sullivan NY/Bronx Riverdale NY</t>
  </si>
  <si>
    <t xml:space="preserve"> Sat Feb 03 2018 20:04:16</t>
  </si>
  <si>
    <t xml:space="preserve"> @dushyant1112 @officialmcafee He's lying.  Bitcoin is a scam.  Do not believe him.</t>
  </si>
  <si>
    <t xml:space="preserve"> 10esseee</t>
  </si>
  <si>
    <t xml:space="preserve"> Sat Feb 03 2018 20:04:17</t>
  </si>
  <si>
    <t xml:space="preserve"> Current price of Bitcoin is $9417.00 #Bitcoin #Bithound</t>
  </si>
  <si>
    <t xml:space="preserve"> Sat Feb 03 2018 20:04:18</t>
  </si>
  <si>
    <t xml:space="preserve"> Current price of Bitcoin is USD$9310.00 via Chain</t>
  </si>
  <si>
    <t xml:space="preserve"> Mikeltec</t>
  </si>
  <si>
    <t xml:space="preserve"> Ciudadano del mundo</t>
  </si>
  <si>
    <t xml:space="preserve"> Sat Feb 03 2018 20:04:27</t>
  </si>
  <si>
    <t xml:space="preserve"> Bitcoin 9310.00 $</t>
  </si>
  <si>
    <t xml:space="preserve"> Sat Feb 03 2018 20:04:41</t>
  </si>
  <si>
    <t xml:space="preserve"> BTC,ETH,ETC,LTC,BCH,MONA Someone may do it, so please send it #Bitcoin #VirtualCurrency</t>
  </si>
  <si>
    <t xml:space="preserve"> Sat Feb 03 2018 20:04:43</t>
  </si>
  <si>
    <t xml:space="preserve"> @officialmcafee @YouTube I assume your referring to the relevant Bitcoin chain BCH, right.</t>
  </si>
  <si>
    <t xml:space="preserve"> fizz34679145</t>
  </si>
  <si>
    <t xml:space="preserve"> @bookareida @I_AmTheZeissia @ChristieSmythe its like a bitcoin only worth a lot more</t>
  </si>
  <si>
    <t xml:space="preserve"> ItsMostlyLies</t>
  </si>
  <si>
    <t xml:space="preserve"> Sat Feb 03 2018 20:05:16</t>
  </si>
  <si>
    <t xml:space="preserve"> Sat Feb 03 2018 20:05:42</t>
  </si>
  <si>
    <t xml:space="preserve"> Feminine intuition but only 4% of bitcoin users are female</t>
  </si>
  <si>
    <t xml:space="preserve"> finallygarvie</t>
  </si>
  <si>
    <t xml:space="preserve"> self sabotaging</t>
  </si>
  <si>
    <t xml:space="preserve"> Sat Feb 03 2018 20:06:01</t>
  </si>
  <si>
    <t xml:space="preserve"> #cryptocurrency  trading channel #bitcoin  7500-10000</t>
  </si>
  <si>
    <t xml:space="preserve"> CryptoCompare Bitcoin price changed +1.09% to $9417.07 #bitcoin</t>
  </si>
  <si>
    <t xml:space="preserve"> Sat Feb 03 2018 20:06:03</t>
  </si>
  <si>
    <t xml:space="preserve"> #Bitcoin $1 USD is currently worth 0.00010692 BTC! #GoldCoinJar</t>
  </si>
  <si>
    <t xml:space="preserve"> Sat Feb 03 2018 20:06:08</t>
  </si>
  <si>
    <t xml:space="preserve"> Pretty sure the 2008 crash was a bigger hubble than bitcoin could ever be</t>
  </si>
  <si>
    <t xml:space="preserve"> Sogeman</t>
  </si>
  <si>
    <t xml:space="preserve"> Sat Feb 03 2018 20:06:10</t>
  </si>
  <si>
    <t xml:space="preserve"> @rogerkver You can't stop huh? Bitcoin fees are cheaper than BCash Now and Dogecoin is the real BCash!</t>
  </si>
  <si>
    <t xml:space="preserve"> BitFink1776</t>
  </si>
  <si>
    <t xml:space="preserve"> Sat Feb 03 2018 20:06:14</t>
  </si>
  <si>
    <t xml:space="preserve"> made $1.40 on bitcoin, im balling</t>
  </si>
  <si>
    <t xml:space="preserve"> urlciro</t>
  </si>
  <si>
    <t xml:space="preserve"> hell</t>
  </si>
  <si>
    <t xml:space="preserve"> I LOVE Bitcoin</t>
  </si>
  <si>
    <t xml:space="preserve"> Sat Feb 03 2018 20:06:23</t>
  </si>
  <si>
    <t xml:space="preserve"> @ArminVanBitcoin @Excellion Bitcoin is a barbarous relic</t>
  </si>
  <si>
    <t xml:space="preserve"> HebrewMexican</t>
  </si>
  <si>
    <t xml:space="preserve"> Tejas, USA</t>
  </si>
  <si>
    <t xml:space="preserve"> Sat Feb 03 2018 20:06:32</t>
  </si>
  <si>
    <t xml:space="preserve"> Mark Cuban is going to start accepting #bitcoin for tickets</t>
  </si>
  <si>
    <t xml:space="preserve"> digi_ticket</t>
  </si>
  <si>
    <t xml:space="preserve"> Sat Feb 03 2018 20:07:03</t>
  </si>
  <si>
    <t xml:space="preserve"> @kokotheapechild Give it a few years. Itll be #Bitcoin.</t>
  </si>
  <si>
    <t xml:space="preserve"> Excellion</t>
  </si>
  <si>
    <t xml:space="preserve"> Canada  China</t>
  </si>
  <si>
    <t xml:space="preserve"> Sat Feb 03 2018 20:07:23</t>
  </si>
  <si>
    <t xml:space="preserve"> @EagleESBD Courtesy of #LitePay and #bitcoin </t>
  </si>
  <si>
    <t xml:space="preserve"> Datsellof</t>
  </si>
  <si>
    <t xml:space="preserve"> Sat Feb 03 2018 20:07:47</t>
  </si>
  <si>
    <t xml:space="preserve"> @angelaruth1309 @TechCrunch Allow cryptocurrency bitcoin is possible</t>
  </si>
  <si>
    <t xml:space="preserve"> mayotiger</t>
  </si>
  <si>
    <t xml:space="preserve"> Metepec</t>
  </si>
  <si>
    <t xml:space="preserve"> Sat Feb 03 2018 20:08:30</t>
  </si>
  <si>
    <t xml:space="preserve"> What a difference a day or week makes for bitcoin</t>
  </si>
  <si>
    <t xml:space="preserve"> CryptoChrisG</t>
  </si>
  <si>
    <t xml:space="preserve"> Sat Feb 03 2018 20:08:57</t>
  </si>
  <si>
    <t xml:space="preserve"> @officialmcafee @YouTube Omg the legend of #bitcoin just followed me back whoooopppp</t>
  </si>
  <si>
    <t xml:space="preserve"> DigiDels</t>
  </si>
  <si>
    <t xml:space="preserve"> Sat Feb 03 2018 20:09:11</t>
  </si>
  <si>
    <t xml:space="preserve"> @CNBC @CNBCFuturesNow Buy Bitcoin #BTC #ETH</t>
  </si>
  <si>
    <t xml:space="preserve"> Sat Feb 03 2018 20:09:15</t>
  </si>
  <si>
    <t xml:space="preserve"> @Predictious GIVE ME MY BITCOIN NOW</t>
  </si>
  <si>
    <t xml:space="preserve"> dudejohn46</t>
  </si>
  <si>
    <t xml:space="preserve"> Sat Feb 03 2018 20:09:51</t>
  </si>
  <si>
    <t xml:space="preserve"> Vishal Sikka is the opposite of Bitcoin</t>
  </si>
  <si>
    <t xml:space="preserve"> SharjeelSayed</t>
  </si>
  <si>
    <t xml:space="preserve"> Mumbai, India</t>
  </si>
  <si>
    <t xml:space="preserve"> Sat Feb 03 2018 20:10:02</t>
  </si>
  <si>
    <t xml:space="preserve"> @summit1g ty for the bitcoin</t>
  </si>
  <si>
    <t xml:space="preserve"> Stun_Empire</t>
  </si>
  <si>
    <t xml:space="preserve"> i only accept tips in bitcoin</t>
  </si>
  <si>
    <t xml:space="preserve"> photoboyyy</t>
  </si>
  <si>
    <t xml:space="preserve"> Sat Feb 03 2018 20:10:03</t>
  </si>
  <si>
    <t xml:space="preserve"> @CoinerTilt Follow @Hashtags_Trends for the latest news &amp; #trading trends about #bitcoin &amp; #crypto world.</t>
  </si>
  <si>
    <t xml:space="preserve"> Sat Feb 03 2018 20:10:06</t>
  </si>
  <si>
    <t xml:space="preserve"> Free 1 VIC 1 VIC = $40 airdrop live now #airdrop #bounty #cryptocurrency #bitcoin #Altcoins #miningpool #freecoin #blockchain #ICO</t>
  </si>
  <si>
    <t xml:space="preserve"> jurikarta</t>
  </si>
  <si>
    <t xml:space="preserve"> Sat Feb 03 2018 20:10:08</t>
  </si>
  <si>
    <t xml:space="preserve"> @mycryptosapp Follow @Hashtags_Trends for the latest news &amp; #trading trends about #bitcoin &amp; #crypto world.</t>
  </si>
  <si>
    <t xml:space="preserve"> Sat Feb 03 2018 20:10:11</t>
  </si>
  <si>
    <t xml:space="preserve"> Bitcoin BTC Current Price: $9280.03 1 Hour: -0.14 % | 24 Hours: 7.47 % | 7 Days: -18.99 % #btc #bitcoin</t>
  </si>
  <si>
    <t xml:space="preserve"> Sat Feb 03 2018 20:10:13</t>
  </si>
  <si>
    <t xml:space="preserve"> @rzarref Follow @Hashtags_Trends for the latest news &amp; #trading trends about #bitcoin &amp; #crypto world.</t>
  </si>
  <si>
    <t xml:space="preserve"> Sat Feb 03 2018 20:10:18</t>
  </si>
  <si>
    <t xml:space="preserve"> @mkhmeleva Follow @Hashtags_Trends for the latest news &amp; #trading trends about #bitcoin &amp; #crypto world.</t>
  </si>
  <si>
    <t xml:space="preserve"> Sat Feb 03 2018 20:10:26</t>
  </si>
  <si>
    <t xml:space="preserve"> @c_news_c Follow @Hashtags_Trends for the latest news &amp; #trading trends about #bitcoin &amp; #crypto world.</t>
  </si>
  <si>
    <t xml:space="preserve"> Sat Feb 03 2018 20:10:29</t>
  </si>
  <si>
    <t xml:space="preserve"> I just rewatched dope. Bitcoin, asap mob and all</t>
  </si>
  <si>
    <t xml:space="preserve"> decafsteve</t>
  </si>
  <si>
    <t xml:space="preserve"> Sat Feb 03 2018 20:10:34</t>
  </si>
  <si>
    <t xml:space="preserve"> @summit1g They are bitcoin mining too hard</t>
  </si>
  <si>
    <t xml:space="preserve"> frantictv_</t>
  </si>
  <si>
    <t xml:space="preserve"> Sat Feb 03 2018 20:10:47</t>
  </si>
  <si>
    <t xml:space="preserve"> @vakeraj In bitcoin you have to know who you are.</t>
  </si>
  <si>
    <t xml:space="preserve"> descallan</t>
  </si>
  <si>
    <t xml:space="preserve"> Sat Feb 03 2018 20:10:51</t>
  </si>
  <si>
    <t xml:space="preserve"> @rogerkver I bought bitcoin cash since I was told it was bitcoin. Wtf is this ? Was I lied to?</t>
  </si>
  <si>
    <t xml:space="preserve"> Vols4dolls</t>
  </si>
  <si>
    <t xml:space="preserve"> Nashville, TN</t>
  </si>
  <si>
    <t xml:space="preserve"> Sat Feb 03 2018 20:10:54</t>
  </si>
  <si>
    <t xml:space="preserve"> @SRCOIN Great ICO. It's a real company and with a great project! project. Wish them good luck! #blockchain #bitcoin #ICO</t>
  </si>
  <si>
    <t xml:space="preserve"> skjlle</t>
  </si>
  <si>
    <t xml:space="preserve"> Sat Feb 03 2018 20:11:03</t>
  </si>
  <si>
    <t xml:space="preserve"> What's with bitcoin lite #?</t>
  </si>
  <si>
    <t xml:space="preserve"> bhagat_altaf</t>
  </si>
  <si>
    <t xml:space="preserve"> Sat Feb 03 2018 20:11:14</t>
  </si>
  <si>
    <t xml:space="preserve"> @SimonDingle @lightning Bitcoin volatility is seen as a risk for merchants. But volatility averages out over time.</t>
  </si>
  <si>
    <t xml:space="preserve"> GontierRowan</t>
  </si>
  <si>
    <t xml:space="preserve"> Sat Feb 03 2018 20:11:16</t>
  </si>
  <si>
    <t xml:space="preserve"> $ltc had almost a 50% gain from the current bottom. Definitely a better play than bitcoin and ethereum.</t>
  </si>
  <si>
    <t xml:space="preserve"> thiggybr</t>
  </si>
  <si>
    <t xml:space="preserve"> Rio de Janeiro</t>
  </si>
  <si>
    <t xml:space="preserve"> Sat Feb 03 2018 20:11:50</t>
  </si>
  <si>
    <t xml:space="preserve"> Prediction, within the next couple months the stock market tanks which causes #bitcoin to surge</t>
  </si>
  <si>
    <t xml:space="preserve"> pwzing</t>
  </si>
  <si>
    <t xml:space="preserve"> Sat Feb 03 2018 20:11:57</t>
  </si>
  <si>
    <t xml:space="preserve"> #ethereum hasn't even rallied yet...first bitcoin, now litecoin, next should be eth. patience. it will rally soon enough.</t>
  </si>
  <si>
    <t xml:space="preserve"> EthereumWest</t>
  </si>
  <si>
    <t xml:space="preserve"> Sat Feb 03 2018 20:12:00</t>
  </si>
  <si>
    <t xml:space="preserve"> I just rewatched dope. Molly asap mob bitcoin, sick concept.</t>
  </si>
  <si>
    <t xml:space="preserve"> Sat Feb 03 2018 20:12:23</t>
  </si>
  <si>
    <t xml:space="preserve"> #Bitcoin could entirely change the way our means of exchange works #bitcoinsfuture #bitcoin #btc #bitcoinsfuture</t>
  </si>
  <si>
    <t xml:space="preserve"> Sat Feb 03 2018 20:12:27</t>
  </si>
  <si>
    <t xml:space="preserve"> @RNR_0 @crazy_crypto Some things... even bitcoin cant buy. </t>
  </si>
  <si>
    <t xml:space="preserve"> CryptoKundalini</t>
  </si>
  <si>
    <t xml:space="preserve"> Sat Feb 03 2018 20:12:30</t>
  </si>
  <si>
    <t xml:space="preserve"> @TechDanm @renzooh1 @Crypto_Bitlord @Golovan6 Japan &amp; Australia are full fledged Bitcoin countries the banks been working with Bitcoin</t>
  </si>
  <si>
    <t xml:space="preserve"> Sat Feb 03 2018 20:12:36</t>
  </si>
  <si>
    <t xml:space="preserve"> @reevesjw @paulkrugman YES!! YOU VIRGINS WILL BE WRONG AGAIN, BITCOIN WILL WIN!!! SUBMIT TO THE PARABOLA OR ELSE!!!</t>
  </si>
  <si>
    <t xml:space="preserve"> ParabolicChad</t>
  </si>
  <si>
    <t xml:space="preserve"> Sat Feb 03 2018 20:12:50</t>
  </si>
  <si>
    <t xml:space="preserve"> @Xentagz DID THIS OLD MAN INVEST IN BITCOIN ?</t>
  </si>
  <si>
    <t xml:space="preserve"> MihaiRobertStf</t>
  </si>
  <si>
    <t xml:space="preserve"> Sat Feb 03 2018 20:13:17</t>
  </si>
  <si>
    <t xml:space="preserve"> @Falkvinge @Fiskantes @blacktip @matthew_d_green Bitcoin has 99.99% uptime, just saying</t>
  </si>
  <si>
    <t xml:space="preserve"> lyrisense</t>
  </si>
  <si>
    <t xml:space="preserve"> Undisclosed Location</t>
  </si>
  <si>
    <t xml:space="preserve"> Sat Feb 03 2018 20:13:42</t>
  </si>
  <si>
    <t xml:space="preserve"> @jasonschreier Just need to Bitcoin to crash and then it will be something worth getting into again.</t>
  </si>
  <si>
    <t xml:space="preserve"> Chris_BigK</t>
  </si>
  <si>
    <t xml:space="preserve"> Utah, USA</t>
  </si>
  <si>
    <t xml:space="preserve"> Sat Feb 03 2018 20:14:31</t>
  </si>
  <si>
    <t xml:space="preserve"> @m_denniswinters @OphirGottlieb Bitcoin doesnt have a fundamental reason to have skyrocketed 800% in a few months though</t>
  </si>
  <si>
    <t xml:space="preserve"> KeithStokes14</t>
  </si>
  <si>
    <t xml:space="preserve"> Sat Feb 03 2018 20:14:33</t>
  </si>
  <si>
    <t xml:space="preserve"> If Black Panther REALLY wanna make some money....let people purchase tickets via bitcoin.</t>
  </si>
  <si>
    <t xml:space="preserve"> pevnut_</t>
  </si>
  <si>
    <t xml:space="preserve"> Little Rock, AR</t>
  </si>
  <si>
    <t xml:space="preserve"> Sat Feb 03 2018 20:14:38</t>
  </si>
  <si>
    <t xml:space="preserve"> When There Are BitCoin Baba.</t>
  </si>
  <si>
    <t xml:space="preserve"> CapMahdiBaba</t>
  </si>
  <si>
    <t xml:space="preserve"> Kyiv</t>
  </si>
  <si>
    <t xml:space="preserve"> Sat Feb 03 2018 20:14:50</t>
  </si>
  <si>
    <t xml:space="preserve"> @PeterLBrandt @Bluchipstockpix There is a better way, just not bitcoin or Austrian school commodity money</t>
  </si>
  <si>
    <t xml:space="preserve"> SubGrew</t>
  </si>
  <si>
    <t xml:space="preserve"> Sat Feb 03 2018 20:14:54</t>
  </si>
  <si>
    <t xml:space="preserve"> Im e famous wheres my e money (bitcoin)?</t>
  </si>
  <si>
    <t xml:space="preserve"> Kinda6t</t>
  </si>
  <si>
    <t xml:space="preserve"> Greater Israel</t>
  </si>
  <si>
    <t xml:space="preserve"> Sat Feb 03 2018 20:15:00</t>
  </si>
  <si>
    <t xml:space="preserve"> @youloveCyrus buy litecoin, not bitcoin</t>
  </si>
  <si>
    <t xml:space="preserve"> BMXKID497</t>
  </si>
  <si>
    <t xml:space="preserve"> Washington State University</t>
  </si>
  <si>
    <t xml:space="preserve"> Sat Feb 03 2018 20:15:02</t>
  </si>
  <si>
    <t xml:space="preserve"> The current price of Bitcoin is $9329.53. The current price of BCash is $1295.95, or 0.138167 BTC</t>
  </si>
  <si>
    <t xml:space="preserve"> Sat Feb 03 2018 20:15:35</t>
  </si>
  <si>
    <t xml:space="preserve"> Keep going up bircoin yay !!!! @Bitcoin</t>
  </si>
  <si>
    <t xml:space="preserve"> carlitoshky</t>
  </si>
  <si>
    <t xml:space="preserve"> Sat Feb 03 2018 20:16:02</t>
  </si>
  <si>
    <t xml:space="preserve"> @rosannasobota So you are all bitcoin these days</t>
  </si>
  <si>
    <t xml:space="preserve"> ed_saber</t>
  </si>
  <si>
    <t xml:space="preserve"> blacklivesmatter</t>
  </si>
  <si>
    <t xml:space="preserve"> Sat Feb 03 2018 20:16:04</t>
  </si>
  <si>
    <t xml:space="preserve"> afternoon naps &gt; bitcoin</t>
  </si>
  <si>
    <t xml:space="preserve"> BofM_Jeremy</t>
  </si>
  <si>
    <t xml:space="preserve"> East Coast, USA</t>
  </si>
  <si>
    <t xml:space="preserve"> Sat Feb 03 2018 20:16:58</t>
  </si>
  <si>
    <t xml:space="preserve"> Bitcoin:I feel so uncomfortable with my big moves...  Dow Jones: Hodl my beer...</t>
  </si>
  <si>
    <t xml:space="preserve"> Binary_Bonanza</t>
  </si>
  <si>
    <t xml:space="preserve"> Bulgaria,Sofia</t>
  </si>
  <si>
    <t xml:space="preserve"> Sat Feb 03 2018 20:17:02</t>
  </si>
  <si>
    <t xml:space="preserve"> @w_n_rer Im disappointed you dont have some hot takes about Bitcoin</t>
  </si>
  <si>
    <t xml:space="preserve"> el_diamante3</t>
  </si>
  <si>
    <t xml:space="preserve"> Sat Feb 03 2018 20:17:05</t>
  </si>
  <si>
    <t xml:space="preserve"> Bitcoin Cash BCH Current Price: $1295.95 1 Hour: 2.25 % | 24 Hours: 10.96 % | 7 Days: -21.0 % #bch #bitcoin cash</t>
  </si>
  <si>
    <t xml:space="preserve"> Sat Feb 03 2018 20:17:11</t>
  </si>
  <si>
    <t xml:space="preserve"> ACCORDING TO THIS CURVE BITCOIN MAY BE BULISH NXT WEEK... LET'S SEE....</t>
  </si>
  <si>
    <t xml:space="preserve"> TavheedAhmad</t>
  </si>
  <si>
    <t xml:space="preserve"> Sat Feb 03 2018 20:17:28</t>
  </si>
  <si>
    <t xml:space="preserve"> I want to buy some bitcoin but it's a scam when it's cheap </t>
  </si>
  <si>
    <t xml:space="preserve"> Sat Feb 03 2018 20:17:39</t>
  </si>
  <si>
    <t xml:space="preserve"> 1 Litecoin = 0.0175 Bitcoin</t>
  </si>
  <si>
    <t xml:space="preserve"> Sat Feb 03 2018 20:17:53</t>
  </si>
  <si>
    <t xml:space="preserve"> #ico #ctypto #bounty #bitcoin #ViBE  VIBE Product placement on Monster's ads at the 2018 Superbowl.</t>
  </si>
  <si>
    <t xml:space="preserve"> newfuturecrypto</t>
  </si>
  <si>
    <t xml:space="preserve"> Sat Feb 03 2018 20:17:57</t>
  </si>
  <si>
    <t xml:space="preserve"> What do you prefer? enigma machine (like) OR bitcoin network (share)</t>
  </si>
  <si>
    <t xml:space="preserve"> Sat Feb 03 2018 20:18:08</t>
  </si>
  <si>
    <t xml:space="preserve"> @AsperGirl @RobinBrenizer I was all set to read some genius type stuff on Bitcoin mining. I've never heard of this blockchain type. Thanks.</t>
  </si>
  <si>
    <t xml:space="preserve"> resist_r</t>
  </si>
  <si>
    <t xml:space="preserve"> Sat Feb 03 2018 20:18:19</t>
  </si>
  <si>
    <t xml:space="preserve"> @cryptic_monk What the heck is NULS? It's definitely not a bitcoin fork; does not appear to be a NXT fork as well (but it's Java). Hm...</t>
  </si>
  <si>
    <t xml:space="preserve"> jimtalksdata</t>
  </si>
  <si>
    <t xml:space="preserve"> Sat Feb 03 2018 20:18:22</t>
  </si>
  <si>
    <t xml:space="preserve"> @TechDanm @renzooh1 @Crypto_Bitlord @Golovan6 Huh? go to Japan and Australia all of the banks work with Bitcoin this is well known</t>
  </si>
  <si>
    <t xml:space="preserve"> Sat Feb 03 2018 20:18:31</t>
  </si>
  <si>
    <t xml:space="preserve"> Thrive has planned to bring much-needed premium decentralization to the digital advertising landscape. #thrive #ico #ethereum #bitcoin.</t>
  </si>
  <si>
    <t xml:space="preserve"> priyankg3</t>
  </si>
  <si>
    <t xml:space="preserve"> Sat Feb 03 2018 20:18:39</t>
  </si>
  <si>
    <t xml:space="preserve"> @officialmcafee @YouTube Did you notice O'leary slyly turning the Bitcoin conversation back into one about the product he was pitching?</t>
  </si>
  <si>
    <t xml:space="preserve"> ETH_Nation</t>
  </si>
  <si>
    <t xml:space="preserve"> Sat Feb 03 2018 20:19:08</t>
  </si>
  <si>
    <t xml:space="preserve"> 1 Bitcoin = 7628 Euro</t>
  </si>
  <si>
    <t xml:space="preserve"> Sat Feb 03 2018 20:19:16</t>
  </si>
  <si>
    <t xml:space="preserve"> @Predictious My account dudejohn59@gmail.com has deposited bitcoin but there is still nothing</t>
  </si>
  <si>
    <t xml:space="preserve"> Sat Feb 03 2018 20:19:25</t>
  </si>
  <si>
    <t xml:space="preserve"> time is money  blockchain bitcoin</t>
  </si>
  <si>
    <t xml:space="preserve"> outhereinwoods</t>
  </si>
  <si>
    <t xml:space="preserve"> from behind that tree</t>
  </si>
  <si>
    <t xml:space="preserve"> Sat Feb 03 2018 20:19:30</t>
  </si>
  <si>
    <t xml:space="preserve"> @am640 I still dont even understand what Bitcoin is???</t>
  </si>
  <si>
    <t xml:space="preserve"> keebs82</t>
  </si>
  <si>
    <t xml:space="preserve"> A Cookie Tree (Toronto,Canada)</t>
  </si>
  <si>
    <t xml:space="preserve"> Sat Feb 03 2018 20:20:02</t>
  </si>
  <si>
    <t xml:space="preserve"> Yes, I would like to make between 1000 and 5000 dollars a day. Just joined the Bitcoin Casting Couch #bcc</t>
  </si>
  <si>
    <t xml:space="preserve"> Bitperplexed</t>
  </si>
  <si>
    <t xml:space="preserve"> Sat Feb 03 2018 20:20:14</t>
  </si>
  <si>
    <t xml:space="preserve"> @BryceWeiner And Bitcoin will be the defacto backing crypto of nation state cryptos.</t>
  </si>
  <si>
    <t xml:space="preserve"> Sat Feb 03 2018 20:20:28</t>
  </si>
  <si>
    <t xml:space="preserve"> Ok restest done lets break 9k6-10k for good news #BTC #bitcoin #cryptocurrency $btc</t>
  </si>
  <si>
    <t xml:space="preserve"> cryptadam</t>
  </si>
  <si>
    <t xml:space="preserve"> Cryptoland</t>
  </si>
  <si>
    <t xml:space="preserve"> Sat Feb 03 2018 20:20:42</t>
  </si>
  <si>
    <t xml:space="preserve"> @officialmcafee @YouTube Bitcoin will go down 5k?</t>
  </si>
  <si>
    <t xml:space="preserve"> Sat Feb 03 2018 20:20:54</t>
  </si>
  <si>
    <t xml:space="preserve"> @Ripple hi, why is the price of other crypro  is Depending on the price of bitcoin?</t>
  </si>
  <si>
    <t xml:space="preserve"> siobashvili1</t>
  </si>
  <si>
    <t xml:space="preserve"> Georgia</t>
  </si>
  <si>
    <t xml:space="preserve"> Sat Feb 03 2018 20:20:59</t>
  </si>
  <si>
    <t xml:space="preserve"> hoping for a nice and STEADY climb #Bitcoin</t>
  </si>
  <si>
    <t xml:space="preserve"> Sat Feb 03 2018 20:21:12</t>
  </si>
  <si>
    <t xml:space="preserve"> @NorthmanTrader Thats how market tops work right?  #bitcoin #gold</t>
  </si>
  <si>
    <t xml:space="preserve"> WaynesDunn</t>
  </si>
  <si>
    <t xml:space="preserve"> Sat Feb 03 2018 20:22:08</t>
  </si>
  <si>
    <t xml:space="preserve"> BB Bands are tight on the 15min. C'mon #BTC #bitcoin</t>
  </si>
  <si>
    <t xml:space="preserve"> SiriratDavid</t>
  </si>
  <si>
    <t xml:space="preserve"> Sat Feb 03 2018 20:22:16</t>
  </si>
  <si>
    <t xml:space="preserve"> @_copypasta tell her that's like saying litecoin is almost bitcoin</t>
  </si>
  <si>
    <t xml:space="preserve"> eklitzke</t>
  </si>
  <si>
    <t xml:space="preserve"> Mos Eisley, Tatooine</t>
  </si>
  <si>
    <t xml:space="preserve"> Sat Feb 03 2018 20:22:23</t>
  </si>
  <si>
    <t xml:space="preserve"> Finally a decent team  has appeared l will definiteiy participate in this project #FLOGmall, #Blockchain #Bitcoin #BTC #Ethereum #ETH #ICO</t>
  </si>
  <si>
    <t xml:space="preserve"> lYycU9SzynOL7UH</t>
  </si>
  <si>
    <t xml:space="preserve"> Sat Feb 03 2018 20:22:47</t>
  </si>
  <si>
    <t xml:space="preserve"> @Ripple hi, why is the price of other crypro  is Depending on the price of bitcoin? bests</t>
  </si>
  <si>
    <t xml:space="preserve"> Sat Feb 03 2018 20:22:56</t>
  </si>
  <si>
    <t xml:space="preserve"> @BitcoinBram @Bitcoin You're a BitCON supporter.</t>
  </si>
  <si>
    <t xml:space="preserve"> warboat1</t>
  </si>
  <si>
    <t xml:space="preserve"> Sat Feb 03 2018 20:23:17</t>
  </si>
  <si>
    <t xml:space="preserve"> @GamerBroStudio bitcoin went down 700</t>
  </si>
  <si>
    <t xml:space="preserve"> hashbrowwwn</t>
  </si>
  <si>
    <t xml:space="preserve"> Sat Feb 03 2018 20:23:26</t>
  </si>
  <si>
    <t xml:space="preserve"> Cryptocurrency: #Bitcoin Price USD: 9382.19 Price BTC: 1.0 24h Volume USD: 7512590000.0 Percent change 24h: 8.69</t>
  </si>
  <si>
    <t xml:space="preserve"> Sat Feb 03 2018 20:23:41</t>
  </si>
  <si>
    <t xml:space="preserve"> @hodljosh @btcdrak @TheBlueMatt @_jonasschnelli_ @wtogami @jmcorgan It hasn't so far. Bitcoin already has far too few nodes.</t>
  </si>
  <si>
    <t xml:space="preserve"> LukeDashjr</t>
  </si>
  <si>
    <t xml:space="preserve"> Sat Feb 03 2018 20:23:45</t>
  </si>
  <si>
    <t xml:space="preserve"> I cant wait for the day when people will say  .. should have invested more in #bitcoin when it was $8k .. </t>
  </si>
  <si>
    <t xml:space="preserve"> abytetechnology</t>
  </si>
  <si>
    <t xml:space="preserve"> Sat Feb 03 2018 20:23:55</t>
  </si>
  <si>
    <t xml:space="preserve"> @KingDemic Watching bitcoin this month like...</t>
  </si>
  <si>
    <t xml:space="preserve"> C_r_y_p_t_o_J</t>
  </si>
  <si>
    <t xml:space="preserve"> Sat Feb 03 2018 20:24:00</t>
  </si>
  <si>
    <t xml:space="preserve"> Cashapp now using bitcoin</t>
  </si>
  <si>
    <t xml:space="preserve"> 30gangizzy</t>
  </si>
  <si>
    <t xml:space="preserve"> Sat Feb 03 2018 20:24:36</t>
  </si>
  <si>
    <t xml:space="preserve"> @WhatsCrypto Sounds like it could be huge #LION bitcoin on steroids</t>
  </si>
  <si>
    <t xml:space="preserve"> Andy47640</t>
  </si>
  <si>
    <t xml:space="preserve"> Sat Feb 03 2018 20:24:43</t>
  </si>
  <si>
    <t xml:space="preserve"> @Skyline1224 @Bitcoin BCH is the real Bitcoin. BTC has become BitCON.</t>
  </si>
  <si>
    <t xml:space="preserve"> @b_l_cummins Look up YouTube into bitcoin mining</t>
  </si>
  <si>
    <t xml:space="preserve"> nealgartland1</t>
  </si>
  <si>
    <t xml:space="preserve"> Dublin, Ireland</t>
  </si>
  <si>
    <t xml:space="preserve"> Sat Feb 03 2018 20:25:04</t>
  </si>
  <si>
    <t xml:space="preserve"> #Bitcoin 1 Bitcoin is currently worth $9453.74 USD! #GoldCoinJar</t>
  </si>
  <si>
    <t xml:space="preserve"> Sat Feb 03 2018 20:25:09</t>
  </si>
  <si>
    <t xml:space="preserve"> The $9,500 bitcoin wall is almost down in a few minutes?. Ready to get in?   Set your goals in 9,800</t>
  </si>
  <si>
    <t xml:space="preserve"> Sat Feb 03 2018 20:25:59</t>
  </si>
  <si>
    <t xml:space="preserve"> Bitcoin about to bounce back hard! 50k</t>
  </si>
  <si>
    <t xml:space="preserve"> Rebellious_Jatt</t>
  </si>
  <si>
    <t xml:space="preserve"> Fresno, CA</t>
  </si>
  <si>
    <t xml:space="preserve"> Sat Feb 03 2018 20:26:15</t>
  </si>
  <si>
    <t xml:space="preserve"> @NorthmanTrader Does bitcoin count as cash?</t>
  </si>
  <si>
    <t xml:space="preserve"> jmyching</t>
  </si>
  <si>
    <t xml:space="preserve"> Sat Feb 03 2018 20:26:30</t>
  </si>
  <si>
    <t xml:space="preserve"> pats win, but eagles cover is the superbowl version of blockchain, not bitcoin</t>
  </si>
  <si>
    <t xml:space="preserve"> peteroverzet</t>
  </si>
  <si>
    <t xml:space="preserve"> Sat Feb 03 2018 20:26:46</t>
  </si>
  <si>
    <t xml:space="preserve"> You got BitCoin?, my tax professional asks after looking at my @EFF membership receipts. </t>
  </si>
  <si>
    <t xml:space="preserve"> nvemb3r</t>
  </si>
  <si>
    <t xml:space="preserve"> East TN</t>
  </si>
  <si>
    <t xml:space="preserve"> Sat Feb 03 2018 20:27:15</t>
  </si>
  <si>
    <t xml:space="preserve"> Maher did a bitcoin is beanie babies joke and it totally flopped</t>
  </si>
  <si>
    <t xml:space="preserve"> Sat Feb 03 2018 20:27:51</t>
  </si>
  <si>
    <t xml:space="preserve"> @BeastFireTimdog How does one use Bitcoin some say it's a scam some say it's not</t>
  </si>
  <si>
    <t xml:space="preserve"> gazzbroom</t>
  </si>
  <si>
    <t xml:space="preserve"> Swadlincote, England</t>
  </si>
  <si>
    <t xml:space="preserve"> @Crypto_Bitlord Bitcoin pegged to gold</t>
  </si>
  <si>
    <t xml:space="preserve"> cryptoniccolo</t>
  </si>
  <si>
    <t xml:space="preserve"> Sat Feb 03 2018 20:28:02</t>
  </si>
  <si>
    <t xml:space="preserve"> @timoncc We need much more Vitalik bashing. He is one of Bitcoins worst enemies.</t>
  </si>
  <si>
    <t xml:space="preserve"> Bois_I</t>
  </si>
  <si>
    <t xml:space="preserve"> Sat Feb 03 2018 20:28:32</t>
  </si>
  <si>
    <t xml:space="preserve"> Sing like no one is listening. Love like youve never been hurt. Dance like nobodys watching, and live like Bitcoin held its worth.</t>
  </si>
  <si>
    <t xml:space="preserve"> Musicnation_101</t>
  </si>
  <si>
    <t xml:space="preserve"> Sat Feb 03 2018 20:28:51</t>
  </si>
  <si>
    <t xml:space="preserve"> Will  #ada #cardano reach 1 $ by monday? #cardanoroadmap is coming #btc #bitcoin #eth #ethereum</t>
  </si>
  <si>
    <t xml:space="preserve"> Sat Feb 03 2018 20:29:04</t>
  </si>
  <si>
    <t xml:space="preserve"> @Nardeus1980 @maxkeiser And again - how can a cash settled future impact the price of bitcoin?</t>
  </si>
  <si>
    <t xml:space="preserve"> Sat Feb 03 2018 20:29:07</t>
  </si>
  <si>
    <t xml:space="preserve"> The irony of Bitcoin being portrayed as real coins, when its everything but.</t>
  </si>
  <si>
    <t xml:space="preserve"> nongenderous</t>
  </si>
  <si>
    <t xml:space="preserve"> Sat Feb 03 2018 20:29:11</t>
  </si>
  <si>
    <t xml:space="preserve"> @PhilakoneCrypto Okay, so is this to liquidate short, meaning higher?  To actually short Bitcoin, which is higher?</t>
  </si>
  <si>
    <t xml:space="preserve"> JoshhRager</t>
  </si>
  <si>
    <t xml:space="preserve"> Sat Feb 03 2018 20:29:15</t>
  </si>
  <si>
    <t xml:space="preserve"> @jowyang #bitcoin= liquidity</t>
  </si>
  <si>
    <t xml:space="preserve"> Sat Feb 03 2018 20:29:19</t>
  </si>
  <si>
    <t xml:space="preserve"> Scammers Steal Over $1 Million Worth of Ethereum From Bee Token ICO Participants #Bitcoin #BTC #ETH #LTC #BCH</t>
  </si>
  <si>
    <t xml:space="preserve"> Sat Feb 03 2018 20:29:22</t>
  </si>
  <si>
    <t xml:space="preserve"> People always ask whats the best way to get started in bitcoin, I say, to get started </t>
  </si>
  <si>
    <t xml:space="preserve"> EricVill210</t>
  </si>
  <si>
    <t xml:space="preserve"> @ UFO _ Newz  @ Bitcoin  // Wrld   human   technology   gets  //   better   by   the   day  //  - revolios</t>
  </si>
  <si>
    <t xml:space="preserve"> haikuuuuuuuuuuu</t>
  </si>
  <si>
    <t xml:space="preserve"> Sat Feb 03 2018 20:29:26</t>
  </si>
  <si>
    <t xml:space="preserve"> @orochizanto I too am an expert at bitcoin</t>
  </si>
  <si>
    <t xml:space="preserve"> DrCullenPHD</t>
  </si>
  <si>
    <t xml:space="preserve"> curiouscat.me/DrCullenPHD</t>
  </si>
  <si>
    <t xml:space="preserve"> Sat Feb 03 2018 20:29:46</t>
  </si>
  <si>
    <t xml:space="preserve"> Bitcoin. Can it break through that downtrend line?</t>
  </si>
  <si>
    <t xml:space="preserve"> MatthewDCC</t>
  </si>
  <si>
    <t xml:space="preserve"> Belmont, NE</t>
  </si>
  <si>
    <t xml:space="preserve"> Sat Feb 03 2018 20:29:56</t>
  </si>
  <si>
    <t xml:space="preserve"> @PhilakoneCrypto Means people are betting against bitcoin.</t>
  </si>
  <si>
    <t xml:space="preserve"> ConNaor</t>
  </si>
  <si>
    <t xml:space="preserve"> Sat Feb 03 2018 20:30:02</t>
  </si>
  <si>
    <t xml:space="preserve"> BTC-OK AskRate: 0.00003569 #Bittrex  #OK $OK #OkCash #altcoin #bitcoin #cryptocurrencies   FOLLOW for PROFIT</t>
  </si>
  <si>
    <t xml:space="preserve"> Bitcoin:$9417.46 Ethereum:$982.05 Bitcoin Cash:$1314.43 Litecoin:$165.555 Ripple:$0.949836 IOTA:$2.01148</t>
  </si>
  <si>
    <t xml:space="preserve"> Sat Feb 03 2018 20:30:08</t>
  </si>
  <si>
    <t xml:space="preserve"> Bloomberg: Bitcoin Newbies Are Getting Crushed While Old Timers Bemoan Weak Hands</t>
  </si>
  <si>
    <t xml:space="preserve"> 1stNewsHeds</t>
  </si>
  <si>
    <t xml:space="preserve"> @PhilakoneCrypto So is to liquidate short, meaning higher prices?   or Actual shorts, meaning bitcoin down?  Anyone know?</t>
  </si>
  <si>
    <t xml:space="preserve"> Sat Feb 03 2018 20:30:09</t>
  </si>
  <si>
    <t xml:space="preserve"> Is everyone now a Bitcoin expert ?   #Bitcoin</t>
  </si>
  <si>
    <t xml:space="preserve"> karlfischer_biz</t>
  </si>
  <si>
    <t xml:space="preserve"> Liverpool</t>
  </si>
  <si>
    <t xml:space="preserve"> Sat Feb 03 2018 20:30:11</t>
  </si>
  <si>
    <t xml:space="preserve"> Sat Feb 03 2018 20:30:17</t>
  </si>
  <si>
    <t xml:space="preserve"> Sat Feb 03 2018 20:30:32</t>
  </si>
  <si>
    <t xml:space="preserve"> Optimal tx fee: 60 satoshi per byte.  BTC : $9383 / 7529 / 6644 @ Block 507479.  Market Cap: 158.45B USD. #Bitcoin #Blockchain</t>
  </si>
  <si>
    <t xml:space="preserve"> Sat Feb 03 2018 20:30:42</t>
  </si>
  <si>
    <t xml:space="preserve"> @briannevillano I am cheering the bitcoin crash</t>
  </si>
  <si>
    <t xml:space="preserve"> rwdaigle</t>
  </si>
  <si>
    <t xml:space="preserve"> Sat Feb 03 2018 20:30:57</t>
  </si>
  <si>
    <t xml:space="preserve"> Saw somebody eating trash after calling themselves bitcoin millionaires, life comes at you fast</t>
  </si>
  <si>
    <t xml:space="preserve"> GboyXbboystance</t>
  </si>
  <si>
    <t xml:space="preserve"> Brownsville,Texas</t>
  </si>
  <si>
    <t xml:space="preserve"> Sat Feb 03 2018 20:31:06</t>
  </si>
  <si>
    <t xml:space="preserve"> @subtlpalindrome @noBScrypto @cryptocowbell Said the dude who spent his bitcoin on a $4 million dollar pizza.</t>
  </si>
  <si>
    <t xml:space="preserve"> jarue369</t>
  </si>
  <si>
    <t xml:space="preserve"> Southern Appalachia</t>
  </si>
  <si>
    <t xml:space="preserve"> Sat Feb 03 2018 20:31:14</t>
  </si>
  <si>
    <t xml:space="preserve"> Hello humans, #Bitcoin is currently around $9417.46 as of Sat Feb  3 14:31:10 CST 2018</t>
  </si>
  <si>
    <t xml:space="preserve"> Sat Feb 03 2018 20:31:39</t>
  </si>
  <si>
    <t xml:space="preserve"> Tweet !  #Vitrocoin #Airdrop  #ETH #Freetoken #bitcoin #airdrops</t>
  </si>
  <si>
    <t xml:space="preserve"> DibdenDrew</t>
  </si>
  <si>
    <t xml:space="preserve"> Gold Coast, Queensland</t>
  </si>
  <si>
    <t xml:space="preserve"> Sat Feb 03 2018 20:31:47</t>
  </si>
  <si>
    <t xml:space="preserve"> The Game-Changing Blockchain Announcement You Probably Missed Last Week | Business Markets and Stocks News #Bitcoin #BTC #ETH #LTC #BCH</t>
  </si>
  <si>
    <t xml:space="preserve"> Sat Feb 03 2018 20:31:48</t>
  </si>
  <si>
    <t xml:space="preserve"> @btc_joe @jeffkatz_ @cburniske @SatoshiLite Up to you, I am not arguing with religious extremists or Bitcoin/LTC extremists.</t>
  </si>
  <si>
    <t xml:space="preserve"> Khonsu_TRADER</t>
  </si>
  <si>
    <t xml:space="preserve"> Sat Feb 03 2018 20:31:53</t>
  </si>
  <si>
    <t xml:space="preserve"> @AaronNagler I am convinced you can become a fantastic bitcoin expert please join</t>
  </si>
  <si>
    <t xml:space="preserve"> Sat Feb 03 2018 20:31:56</t>
  </si>
  <si>
    <t xml:space="preserve"> @theonevortex @Xentagz @realLudvigArt Afaik nobody's ever died or been trapped in a #Bitcoin mine. #CryptoMining $BTC</t>
  </si>
  <si>
    <t xml:space="preserve"> Bloctogon</t>
  </si>
  <si>
    <t xml:space="preserve"> Sat Feb 03 2018 20:32:02</t>
  </si>
  <si>
    <t xml:space="preserve"> Bitcoin doing hype man for the Dj.. #BBNaija</t>
  </si>
  <si>
    <t xml:space="preserve"> HatoriManzu</t>
  </si>
  <si>
    <t xml:space="preserve"> Calabasas, CA Westeros</t>
  </si>
  <si>
    <t xml:space="preserve"> Sat Feb 03 2018 20:32:19</t>
  </si>
  <si>
    <t xml:space="preserve"> Superbowl Bitcoin Ad?</t>
  </si>
  <si>
    <t xml:space="preserve"> Sat Feb 03 2018 20:33:37</t>
  </si>
  <si>
    <t xml:space="preserve"> @XRPshark @XRPTrump @Ripple Because they can't accept the competition to their beloved Bitcoin.  Really sad</t>
  </si>
  <si>
    <t xml:space="preserve"> DewaldGrobbela2</t>
  </si>
  <si>
    <t xml:space="preserve"> Sat Feb 03 2018 20:33:55</t>
  </si>
  <si>
    <t xml:space="preserve"> $LTC up 28% in 24-hrs - Gotta love this vol   #CryptoCurrency #BitCoin $BTC #LiteCoin</t>
  </si>
  <si>
    <t xml:space="preserve"> zerofiltertruth</t>
  </si>
  <si>
    <t xml:space="preserve"> Invest YOUR ideas at YOUR risk</t>
  </si>
  <si>
    <t xml:space="preserve"> Sat Feb 03 2018 20:34:06</t>
  </si>
  <si>
    <t xml:space="preserve"> Ooooh #bitcoin myth busting coming up now @BadassWomensHr</t>
  </si>
  <si>
    <t xml:space="preserve"> emmasexton</t>
  </si>
  <si>
    <t xml:space="preserve"> Sat Feb 03 2018 20:34:09</t>
  </si>
  <si>
    <t xml:space="preserve"> Anyone in the US have a recommended tax service for crypto? #bitcoin #tax #crypto</t>
  </si>
  <si>
    <t xml:space="preserve"> RyanMarfone</t>
  </si>
  <si>
    <t xml:space="preserve"> Sat Feb 03 2018 20:34:30</t>
  </si>
  <si>
    <t xml:space="preserve"> @JoshOnCrypto @Cryptopsychoo @CryptoBully Thats why Id never sell my bitcoin. Ill be bitter forever.</t>
  </si>
  <si>
    <t xml:space="preserve"> Mike16115233</t>
  </si>
  <si>
    <t xml:space="preserve"> Sat Feb 03 2018 20:34:40</t>
  </si>
  <si>
    <t xml:space="preserve"> @yungmxjvre I put up a bitcoin</t>
  </si>
  <si>
    <t xml:space="preserve"> spacetimeisaac</t>
  </si>
  <si>
    <t xml:space="preserve"> Sat Feb 03 2018 20:34:49</t>
  </si>
  <si>
    <t xml:space="preserve"> @Patrick05896914 @Resist_chick1 @sp1r1tharambe @realDonaldTrump Bitcoin price  fell $ 8,000</t>
  </si>
  <si>
    <t xml:space="preserve"> Mamaknits3</t>
  </si>
  <si>
    <t xml:space="preserve"> Medicine Hat Canada, USA</t>
  </si>
  <si>
    <t xml:space="preserve"> Sat Feb 03 2018 20:35:39</t>
  </si>
  <si>
    <t xml:space="preserve"> @netouyo__ You buy bitcoin cash</t>
  </si>
  <si>
    <t xml:space="preserve"> RaginRabbi</t>
  </si>
  <si>
    <t xml:space="preserve"> Sat Feb 03 2018 20:35:55</t>
  </si>
  <si>
    <t xml:space="preserve"> #ico #ctypto #bounty #bitcoin #Senderon  Senderon (SDRN)  Senderon is releasing an updated roadmap this week.</t>
  </si>
  <si>
    <t xml:space="preserve"> Sat Feb 03 2018 20:36:29</t>
  </si>
  <si>
    <t xml:space="preserve"> @ChrisKarime @Hotkatchina My reaction when I realize I don't have any more fiat to buy Bitcoin on the January discount</t>
  </si>
  <si>
    <t xml:space="preserve"> PeterMechtler</t>
  </si>
  <si>
    <t xml:space="preserve"> Sat Feb 03 2018 20:36:37</t>
  </si>
  <si>
    <t xml:space="preserve"> Navy reserves: Training  Talk about bitcoin Training  Eat Talk more about bitcoin  Wait for computers to actually work Talk bitcoin Leave</t>
  </si>
  <si>
    <t xml:space="preserve"> DRAYgrady</t>
  </si>
  <si>
    <t xml:space="preserve"> Elizabethtown, KY</t>
  </si>
  <si>
    <t xml:space="preserve"> Sat Feb 03 2018 20:36:51</t>
  </si>
  <si>
    <t xml:space="preserve"> @demarkesports Cenk 150 bitcoin</t>
  </si>
  <si>
    <t xml:space="preserve"> suha_ylmz</t>
  </si>
  <si>
    <t xml:space="preserve"> Sat Feb 03 2018 20:37:35</t>
  </si>
  <si>
    <t xml:space="preserve"> @CoinWorking does it still take about 12 hours for payments to be processed with bitcoin?</t>
  </si>
  <si>
    <t xml:space="preserve"> asubero1984</t>
  </si>
  <si>
    <t xml:space="preserve"> Sat Feb 03 2018 20:37:44</t>
  </si>
  <si>
    <t xml:space="preserve"> @ericswerdlin @cafedelocean @paulkrugman TB fair most addresses hold 0 Bitcoin. </t>
  </si>
  <si>
    <t xml:space="preserve"> JannaPropaganda</t>
  </si>
  <si>
    <t xml:space="preserve"> Sat Feb 03 2018 20:38:21</t>
  </si>
  <si>
    <t xml:space="preserve"> @WillMcLeod99 @erikbransteen This is BS.  Theyre not getting paid in rubles, its gotta be bitcoin.</t>
  </si>
  <si>
    <t xml:space="preserve"> AudiusOmillias</t>
  </si>
  <si>
    <t xml:space="preserve"> Sat Feb 03 2018 20:38:34</t>
  </si>
  <si>
    <t xml:space="preserve"> @BTC4USD Someone is trying to shake up our Bitcoin rally!!</t>
  </si>
  <si>
    <t xml:space="preserve"> WillOReagan</t>
  </si>
  <si>
    <t xml:space="preserve"> Sat Feb 03 2018 20:38:55</t>
  </si>
  <si>
    <t xml:space="preserve"> #Bitcoin The Current Bitcoin Price is 0.00010661 BTC for $1 USD #GoldCoinJar</t>
  </si>
  <si>
    <t xml:space="preserve"> Sat Feb 03 2018 20:38:59</t>
  </si>
  <si>
    <t xml:space="preserve"> @Edgar_Mendooza Smh i feel like a pro bitcoin person.</t>
  </si>
  <si>
    <t xml:space="preserve"> Sat Feb 03 2018 20:39:02</t>
  </si>
  <si>
    <t xml:space="preserve"> @WhoYaster999 @YouTube Lol, right on time. Do you see the future? Is it a good time to buy bitcoin?</t>
  </si>
  <si>
    <t xml:space="preserve"> GeSkull</t>
  </si>
  <si>
    <t xml:space="preserve"> Sat Feb 03 2018 20:39:16</t>
  </si>
  <si>
    <t xml:space="preserve"> @ShantzRooted Nice. Wishing you all the success in the world. #Bitcoin</t>
  </si>
  <si>
    <t xml:space="preserve"> Lindo_Mnisi</t>
  </si>
  <si>
    <t xml:space="preserve"> Johannesburg, Midrand</t>
  </si>
  <si>
    <t xml:space="preserve"> Sat Feb 03 2018 20:39:53</t>
  </si>
  <si>
    <t xml:space="preserve"> @cestomina Bitcoin</t>
  </si>
  <si>
    <t xml:space="preserve"> Soysamsevermi</t>
  </si>
  <si>
    <t xml:space="preserve"> Sat Feb 03 2018 20:40:00</t>
  </si>
  <si>
    <t xml:space="preserve"> Bitcoin is taaaaaanking</t>
  </si>
  <si>
    <t xml:space="preserve"> undersubscribed</t>
  </si>
  <si>
    <t xml:space="preserve"> Sat Feb 03 2018 20:40:16</t>
  </si>
  <si>
    <t xml:space="preserve"> @latenitevibe (60954 follows) RT @CryptoXanax: Crypto and bitcoin has changed my life for the better so heres a random .1 btc giveaway,...</t>
  </si>
  <si>
    <t xml:space="preserve"> Sat Feb 03 2018 20:40:28</t>
  </si>
  <si>
    <t xml:space="preserve"> @Reuters @Breakingviews @mak_robyn @petesweeneypro Bitcoin value reached bottom in Korea.</t>
  </si>
  <si>
    <t xml:space="preserve"> hilariously_</t>
  </si>
  <si>
    <t xml:space="preserve"> South Korea</t>
  </si>
  <si>
    <t xml:space="preserve"> Sat Feb 03 2018 20:40:37</t>
  </si>
  <si>
    <t xml:space="preserve"> @rogerkver I rather use @litecoin , @Vertcoin and @Bitcoin</t>
  </si>
  <si>
    <t xml:space="preserve"> AaronDiazChavez</t>
  </si>
  <si>
    <t xml:space="preserve"> Irving, Texas</t>
  </si>
  <si>
    <t xml:space="preserve"> Sat Feb 03 2018 20:41:45</t>
  </si>
  <si>
    <t xml:space="preserve"> @Iamsamirarora Looks like he bought Bitcoin.</t>
  </si>
  <si>
    <t xml:space="preserve"> ONLYNITIN</t>
  </si>
  <si>
    <t xml:space="preserve"> Sat Feb 03 2018 20:41:56</t>
  </si>
  <si>
    <t xml:space="preserve"> Niggas get a sale job at Best Buy, Buy a Bitcoin and think they got the secrets to life </t>
  </si>
  <si>
    <t xml:space="preserve"> branaveli</t>
  </si>
  <si>
    <t xml:space="preserve"> South Carolina, USA</t>
  </si>
  <si>
    <t xml:space="preserve"> Sat Feb 03 2018 20:42:14</t>
  </si>
  <si>
    <t xml:space="preserve"> @SWFBass Basscoin better than bitcoin!</t>
  </si>
  <si>
    <t xml:space="preserve"> _DAS_JEDI_</t>
  </si>
  <si>
    <t xml:space="preserve"> Sat Feb 03 2018 20:42:28</t>
  </si>
  <si>
    <t xml:space="preserve"> @T_OConnell Do you think fed reserve owns some bitcoin ? Nice fans </t>
  </si>
  <si>
    <t xml:space="preserve"> DomTrades</t>
  </si>
  <si>
    <t xml:space="preserve"> VWAP Ohio, USA</t>
  </si>
  <si>
    <t xml:space="preserve"> Sat Feb 03 2018 20:42:40</t>
  </si>
  <si>
    <t xml:space="preserve"> @rogerkver Bitcoin cash your face its a fork moron</t>
  </si>
  <si>
    <t xml:space="preserve"> yakishima538888</t>
  </si>
  <si>
    <t xml:space="preserve"> Sat Feb 03 2018 20:43:01</t>
  </si>
  <si>
    <t xml:space="preserve"> Any cool lottery ideas, let me know !! #lottery #Blockchain #charity #crypto #BitCoin</t>
  </si>
  <si>
    <t xml:space="preserve"> cryplot</t>
  </si>
  <si>
    <t xml:space="preserve"> Sat Feb 03 2018 20:43:25</t>
  </si>
  <si>
    <t xml:space="preserve"> @CryptoCCity more bitcoin</t>
  </si>
  <si>
    <t xml:space="preserve"> rcsa8579</t>
  </si>
  <si>
    <t xml:space="preserve"> Sat Feb 03 2018 20:44:00</t>
  </si>
  <si>
    <t xml:space="preserve"> @BryceElder #bitcoin is just a video game!! :-D ~i knew it!!</t>
  </si>
  <si>
    <t xml:space="preserve"> OWSLEYBEATS</t>
  </si>
  <si>
    <t xml:space="preserve"> International Space Station</t>
  </si>
  <si>
    <t xml:space="preserve"> Sat Feb 03 2018 20:44:23</t>
  </si>
  <si>
    <t xml:space="preserve"> @warboat1 @bitclockwork @Skyline1224 @Bitcoin So youre saying BCash shouldnt exist? I agree. </t>
  </si>
  <si>
    <t xml:space="preserve"> Sat Feb 03 2018 20:44:33</t>
  </si>
  <si>
    <t xml:space="preserve"> @ledgerstatus Absolutely true, he's not about consensus. Hence his malformed attacks on Bitcoin.</t>
  </si>
  <si>
    <t xml:space="preserve"> jfigs101</t>
  </si>
  <si>
    <t xml:space="preserve"> Sat Feb 03 2018 20:44:46</t>
  </si>
  <si>
    <t xml:space="preserve"> is bitcoin truly  dying</t>
  </si>
  <si>
    <t xml:space="preserve"> BasedHokage</t>
  </si>
  <si>
    <t xml:space="preserve"> Slums of shaolin 22nd chamber </t>
  </si>
  <si>
    <t xml:space="preserve"> Sat Feb 03 2018 20:44:58</t>
  </si>
  <si>
    <t xml:space="preserve"> @rogerkver #Bitcoinsatan AKA (Roger Ver) Dont You Ever Get Tired Of Misleading And Lying To New Buyers Of #Bitcoin ? Your So Full Of Crap.</t>
  </si>
  <si>
    <t xml:space="preserve"> ToddEastman1</t>
  </si>
  <si>
    <t xml:space="preserve"> Coeur d'Alene, ID</t>
  </si>
  <si>
    <t xml:space="preserve"> Sat Feb 03 2018 20:45:02</t>
  </si>
  <si>
    <t xml:space="preserve"> There are currently 10,834 unconfirmed Bitcoin transactions. #bitcoin #btc $BTC</t>
  </si>
  <si>
    <t xml:space="preserve"> Sat Feb 03 2018 20:45:19</t>
  </si>
  <si>
    <t xml:space="preserve"> @RealTimeCrypto If Ebay adopts bitcoin then BTC price might seriously pump</t>
  </si>
  <si>
    <t xml:space="preserve"> yannpotiez</t>
  </si>
  <si>
    <t xml:space="preserve"> Montreal</t>
  </si>
  <si>
    <t xml:space="preserve"> Sat Feb 03 2018 20:45:33</t>
  </si>
  <si>
    <t xml:space="preserve"> @danmccrory6 @everytimeicash pretty sure rich ross was talking about the 100ma in bitcoin which it is below now</t>
  </si>
  <si>
    <t xml:space="preserve"> 1simpletrader</t>
  </si>
  <si>
    <t xml:space="preserve"> Sat Feb 03 2018 20:45:36</t>
  </si>
  <si>
    <t xml:space="preserve"> @UncleJaysus @bitclockwork @Skyline1224 @Bitcoin You are obviously sub-optimal in comprehension.</t>
  </si>
  <si>
    <t xml:space="preserve"> Sat Feb 03 2018 20:45:50</t>
  </si>
  <si>
    <t xml:space="preserve"> @BUILTCANADIAN @monerogoldtoken Why bitcoin diamond?</t>
  </si>
  <si>
    <t xml:space="preserve"> CryptoBlock101</t>
  </si>
  <si>
    <t xml:space="preserve"> United States of America</t>
  </si>
  <si>
    <t xml:space="preserve"> Sat Feb 03 2018 20:45:51</t>
  </si>
  <si>
    <t xml:space="preserve"> @btc_joe Yep even more what bitcoin has. Lots of newbies has been lured into that next bitcoin thing.</t>
  </si>
  <si>
    <t xml:space="preserve"> realjezuz</t>
  </si>
  <si>
    <t xml:space="preserve"> Sat Feb 03 2018 20:45:57</t>
  </si>
  <si>
    <t xml:space="preserve"> I think that Bitcoin Cash is a better Bitcoin. The more that I look into it, the more I like Bitcoin Cash. #btc #bitcoin #BitcoinCash #bth</t>
  </si>
  <si>
    <t xml:space="preserve"> stevenvo2015</t>
  </si>
  <si>
    <t xml:space="preserve"> Sat Feb 03 2018 20:46:19</t>
  </si>
  <si>
    <t xml:space="preserve"> Putting your money on Real Madrid conceding is more profitable than putting it in bitcoin</t>
  </si>
  <si>
    <t xml:space="preserve"> Sylva___</t>
  </si>
  <si>
    <t xml:space="preserve"> Sat Feb 03 2018 20:47:16</t>
  </si>
  <si>
    <t xml:space="preserve"> @InfoSecHotSpot If you see that chart for Bitcoin from the day it was released, prices have always been wild</t>
  </si>
  <si>
    <t xml:space="preserve"> CISCO_UCCX</t>
  </si>
  <si>
    <t xml:space="preserve"> Sat Feb 03 2018 20:47:23</t>
  </si>
  <si>
    <t xml:space="preserve"> @Telegraph What a crazy write up why not want to buy bitcoin?</t>
  </si>
  <si>
    <t xml:space="preserve"> kingo122</t>
  </si>
  <si>
    <t xml:space="preserve"> Enugu, Nigeria</t>
  </si>
  <si>
    <t xml:space="preserve"> Sat Feb 03 2018 20:47:31</t>
  </si>
  <si>
    <t xml:space="preserve"> @DrewChrist87 @jaynovel Novel honest question do you think bitcoin came out a couple of months ago?</t>
  </si>
  <si>
    <t xml:space="preserve"> Menfloza</t>
  </si>
  <si>
    <t xml:space="preserve"> #1 Aaron Rodgers Stan #GBP</t>
  </si>
  <si>
    <t xml:space="preserve"> Sat Feb 03 2018 20:47:34</t>
  </si>
  <si>
    <t xml:space="preserve"> @BinanceAlert There is only one answer, Bitcoin.</t>
  </si>
  <si>
    <t xml:space="preserve"> Sat Feb 03 2018 20:47:38</t>
  </si>
  <si>
    <t xml:space="preserve"> @ParisHilton Who is the bitcoin whale?</t>
  </si>
  <si>
    <t xml:space="preserve"> PresidentCheeto</t>
  </si>
  <si>
    <t xml:space="preserve"> Sat Feb 03 2018 20:47:48</t>
  </si>
  <si>
    <t xml:space="preserve"> @bccponzi Can't imagine myself trusting anyone with my #bitcoin wallet.</t>
  </si>
  <si>
    <t xml:space="preserve"> Sat Feb 03 2018 20:47:49</t>
  </si>
  <si>
    <t xml:space="preserve"> @h0b0spic3s @CryptoKang Bitcoin Cash (BCH</t>
  </si>
  <si>
    <t xml:space="preserve"> HealthWarrior1</t>
  </si>
  <si>
    <t xml:space="preserve"> Sat Feb 03 2018 20:49:00</t>
  </si>
  <si>
    <t xml:space="preserve"> Garlic coin &gt; Bitcoin #garliccoin #cryptocurrency #tothemoon #lambo #garlic #coin#getonthevandwaggon #100000000percentreturns</t>
  </si>
  <si>
    <t xml:space="preserve"> CosMaximusOTI</t>
  </si>
  <si>
    <t xml:space="preserve"> Sat Feb 03 2018 20:49:08</t>
  </si>
  <si>
    <t xml:space="preserve"> If you dont understand BITCOIN  take time and get yourself educated you will be glad you did! Message me for details!</t>
  </si>
  <si>
    <t xml:space="preserve"> DelonHenegar</t>
  </si>
  <si>
    <t xml:space="preserve"> Chattanooga TN</t>
  </si>
  <si>
    <t xml:space="preserve"> Sat Feb 03 2018 20:49:09</t>
  </si>
  <si>
    <t xml:space="preserve"> @LitecoinFork @ltc Bitcoin cash = scam Litecoin cash = scam  Just using the name to confuse people into buying there scam coins</t>
  </si>
  <si>
    <t xml:space="preserve"> Sirrom_naD</t>
  </si>
  <si>
    <t xml:space="preserve"> On a world tour</t>
  </si>
  <si>
    <t xml:space="preserve"> Sat Feb 03 2018 20:50:00</t>
  </si>
  <si>
    <t xml:space="preserve"> CryptoCompare Bitcoin price changed -1.11% to $9312.42 #bitcoin</t>
  </si>
  <si>
    <t xml:space="preserve"> Sat Feb 03 2018 20:50:01</t>
  </si>
  <si>
    <t xml:space="preserve"> BTC-DOGE AskRate: 0.00000058 #Bittrex  #DOGE $DOGE #Dogecoin #altcoin #bitcoin #cryptocurrency   FOLLOW for PROFIT</t>
  </si>
  <si>
    <t xml:space="preserve"> Sat Feb 03 2018 20:50:06</t>
  </si>
  <si>
    <t xml:space="preserve"> Who needs #Bitcoin when people actually drop cash in the streets?#FoundAPenny</t>
  </si>
  <si>
    <t xml:space="preserve"> annielogue</t>
  </si>
  <si>
    <t xml:space="preserve"> Sat Feb 03 2018 20:50:25</t>
  </si>
  <si>
    <t xml:space="preserve"> @TylerIAm Danny treated that pick like Bitcoin. Sold it for 20k now it's worth 8</t>
  </si>
  <si>
    <t xml:space="preserve"> JoeyLangone</t>
  </si>
  <si>
    <t xml:space="preserve"> Long Beach, NY</t>
  </si>
  <si>
    <t xml:space="preserve"> Sat Feb 03 2018 20:50:26</t>
  </si>
  <si>
    <t xml:space="preserve"> Univ Penn lecturer David Crosbie argues in Bitcoin Magazine interview Blockchain technology holds major benefits for developing countries.</t>
  </si>
  <si>
    <t xml:space="preserve"> caritel</t>
  </si>
  <si>
    <t xml:space="preserve"> T: 13.079589,-59.561409</t>
  </si>
  <si>
    <t xml:space="preserve"> Sat Feb 03 2018 20:50:36</t>
  </si>
  <si>
    <t xml:space="preserve"> @PeterSchiff Gold investors dislike bitcoin. Turkeys dislike Christmas. Ground breaking revelations here</t>
  </si>
  <si>
    <t xml:space="preserve"> followscryptos</t>
  </si>
  <si>
    <t xml:space="preserve"> @CaptainCoinigy He is the bitcoin judas</t>
  </si>
  <si>
    <t xml:space="preserve"> fuckboyproblem_</t>
  </si>
  <si>
    <t xml:space="preserve"> Sat Feb 03 2018 20:50:46</t>
  </si>
  <si>
    <t xml:space="preserve"> Space Jam computer bitcoin Google Yeezy Boost at teens Cyber offered future a 2-line fix  just learned about how people have also fears sha</t>
  </si>
  <si>
    <t xml:space="preserve"> GenusSpamTrap</t>
  </si>
  <si>
    <t xml:space="preserve"> Sat Feb 03 2018 20:50:47</t>
  </si>
  <si>
    <t xml:space="preserve"> @amix3k @HowIBuiltThis @HardcoreHistory @Freakonomics I've enjoyed Let's Talk Bitcoin</t>
  </si>
  <si>
    <t xml:space="preserve"> hostmaster</t>
  </si>
  <si>
    <t xml:space="preserve"> Saint Petersburg, Russia</t>
  </si>
  <si>
    <t xml:space="preserve"> Sat Feb 03 2018 20:50:48</t>
  </si>
  <si>
    <t xml:space="preserve"> I predict an epic short squeeze on Monday if Sunday buying continues - shorts will get rekt!  Margin calls on #Bitcoin futures.</t>
  </si>
  <si>
    <t xml:space="preserve"> samchoi757</t>
  </si>
  <si>
    <t xml:space="preserve"> Sat Feb 03 2018 20:50:52</t>
  </si>
  <si>
    <t xml:space="preserve"> @seefelder Bitcoin is a near complete system.  When it is not a small world near complete system it is no longer bitcoin</t>
  </si>
  <si>
    <t xml:space="preserve"> Sat Feb 03 2018 20:51:28</t>
  </si>
  <si>
    <t xml:space="preserve"> @DrewChrist87 Tweet from 2014! Dont tell novel bitcoin was around back then</t>
  </si>
  <si>
    <t xml:space="preserve"> Sat Feb 03 2018 20:51:55</t>
  </si>
  <si>
    <t xml:space="preserve"> I just invested in bitcoin</t>
  </si>
  <si>
    <t xml:space="preserve"> A1Cane100</t>
  </si>
  <si>
    <t xml:space="preserve"> Tyler  Houston</t>
  </si>
  <si>
    <t xml:space="preserve"> Sat Feb 03 2018 20:52:14</t>
  </si>
  <si>
    <t xml:space="preserve"> @Altcoinbuzzio @Bitcoin Rather buy on breakouts then try and buy the bottom.</t>
  </si>
  <si>
    <t xml:space="preserve"> NeibergAlex</t>
  </si>
  <si>
    <t xml:space="preserve"> Torrance, CA</t>
  </si>
  <si>
    <t xml:space="preserve"> Sat Feb 03 2018 20:52:18</t>
  </si>
  <si>
    <t xml:space="preserve"> @dag0b3rtt Maybe you should have an eye on $BITG (bitcoin green). 2500 $BITG required for a MN.</t>
  </si>
  <si>
    <t xml:space="preserve"> smogm</t>
  </si>
  <si>
    <t xml:space="preserve"> Sat Feb 03 2018 20:53:13</t>
  </si>
  <si>
    <t xml:space="preserve"> @WEVAchannel4 It's a humongous waste of energy. Bitcoin's failure is a win for the planet.</t>
  </si>
  <si>
    <t xml:space="preserve"> COUSINCOLE</t>
  </si>
  <si>
    <t xml:space="preserve"> Sat Feb 03 2018 20:53:44</t>
  </si>
  <si>
    <t xml:space="preserve"> @JordanTuwiner You mean also @Bitcoin twitter site, same issue</t>
  </si>
  <si>
    <t xml:space="preserve"> singervlad</t>
  </si>
  <si>
    <t xml:space="preserve"> Sat Feb 03 2018 20:54:33</t>
  </si>
  <si>
    <t xml:space="preserve"> Under the pretext, of technical changes... They have stolen millions from all of you. #bitcoin</t>
  </si>
  <si>
    <t xml:space="preserve"> Sat Feb 03 2018 20:54:34</t>
  </si>
  <si>
    <t xml:space="preserve"> Want to get into crypto? DO IT NOW. #bitcoin #cryptocurrency</t>
  </si>
  <si>
    <t xml:space="preserve"> andreasdesmedt</t>
  </si>
  <si>
    <t xml:space="preserve"> Belgie</t>
  </si>
  <si>
    <t xml:space="preserve"> Sat Feb 03 2018 20:54:49</t>
  </si>
  <si>
    <t xml:space="preserve"> @PeterSchiff Why do you accept Bitcoin from your SchiffGold store?</t>
  </si>
  <si>
    <t xml:space="preserve"> jooncrypto</t>
  </si>
  <si>
    <t xml:space="preserve"> Sat Feb 03 2018 20:55:08</t>
  </si>
  <si>
    <t xml:space="preserve"> @_TheCivilRight Which Bitcoin wallet are you using?</t>
  </si>
  <si>
    <t xml:space="preserve"> yummyamii</t>
  </si>
  <si>
    <t xml:space="preserve"> Sat Feb 03 2018 20:55:16</t>
  </si>
  <si>
    <t xml:space="preserve"> @jebus911 I can send you some Bitcoin Clashic $BCL if it helps you out</t>
  </si>
  <si>
    <t xml:space="preserve"> clashicly</t>
  </si>
  <si>
    <t xml:space="preserve"> Edinburgh, Scotland</t>
  </si>
  <si>
    <t xml:space="preserve"> Sat Feb 03 2018 20:55:30</t>
  </si>
  <si>
    <t xml:space="preserve"> Bitcoins making its way back up by the looks of things...  Where does it go from here?  $btc #btc #bitcoin #bitcoincrash</t>
  </si>
  <si>
    <t xml:space="preserve"> Grap3fruit3</t>
  </si>
  <si>
    <t xml:space="preserve"> South West, England</t>
  </si>
  <si>
    <t xml:space="preserve"> Sat Feb 03 2018 20:55:36</t>
  </si>
  <si>
    <t xml:space="preserve"> bitcoin recovers, good time to get on to the upwards train</t>
  </si>
  <si>
    <t xml:space="preserve"> MichelFontanive</t>
  </si>
  <si>
    <t xml:space="preserve"> Zrich &amp; Basel, Schweiz</t>
  </si>
  <si>
    <t xml:space="preserve"> Sat Feb 03 2018 20:55:43</t>
  </si>
  <si>
    <t xml:space="preserve"> @jacksonwoodHQ Stable and bitcoin can never be accurately used in the same sentence without a not in there.</t>
  </si>
  <si>
    <t xml:space="preserve"> OnceUponAPiano</t>
  </si>
  <si>
    <t xml:space="preserve"> on a rock floating in space</t>
  </si>
  <si>
    <t xml:space="preserve"> Sat Feb 03 2018 20:55:56</t>
  </si>
  <si>
    <t xml:space="preserve"> It is ironic that I believe that one day Bitcoin will pop yet I'm still heavily invested in it? </t>
  </si>
  <si>
    <t xml:space="preserve"> nicnyx</t>
  </si>
  <si>
    <t xml:space="preserve"> Sat Feb 03 2018 20:56:03</t>
  </si>
  <si>
    <t xml:space="preserve"> @rogerkver BTC=BITCOIN</t>
  </si>
  <si>
    <t xml:space="preserve"> BoersmaJappie</t>
  </si>
  <si>
    <t xml:space="preserve"> Sat Feb 03 2018 20:57:09</t>
  </si>
  <si>
    <t xml:space="preserve"> @MTopkat3852 Sweet, I'm into injecting Bitcoin directly into my bloodstream these days.</t>
  </si>
  <si>
    <t xml:space="preserve"> metalhanded</t>
  </si>
  <si>
    <t xml:space="preserve"> now</t>
  </si>
  <si>
    <t xml:space="preserve"> Sat Feb 03 2018 20:57:23</t>
  </si>
  <si>
    <t xml:space="preserve"> refuel the Jets #Bitcoin</t>
  </si>
  <si>
    <t xml:space="preserve"> Sat Feb 03 2018 20:57:31</t>
  </si>
  <si>
    <t xml:space="preserve"> @WajAhsan Really? Bitcoin is decentralized? Then why is it run by a handful of developers if it's so decentralized?</t>
  </si>
  <si>
    <t xml:space="preserve"> Sat Feb 03 2018 20:57:39</t>
  </si>
  <si>
    <t xml:space="preserve"> @wolfofwallst Jordan, weve heard your stance on bitcoin. Any thoughts on Ethereum? $ETH</t>
  </si>
  <si>
    <t xml:space="preserve"> WolfofEthereum</t>
  </si>
  <si>
    <t xml:space="preserve"> Wolves Den</t>
  </si>
  <si>
    <t xml:space="preserve"> Sat Feb 03 2018 20:57:50</t>
  </si>
  <si>
    <t xml:space="preserve"> Refuel the jets #Bitcoin</t>
  </si>
  <si>
    <t xml:space="preserve"> Sat Feb 03 2018 20:58:52</t>
  </si>
  <si>
    <t xml:space="preserve"> @jarue369 @noBScrypto @cryptocowbell Lol what? Bitcoin pizza fiat, what?</t>
  </si>
  <si>
    <t xml:space="preserve"> subtlpalindrome</t>
  </si>
  <si>
    <t xml:space="preserve"> Macon, GA</t>
  </si>
  <si>
    <t xml:space="preserve"> Sat Feb 03 2018 20:59:01</t>
  </si>
  <si>
    <t xml:space="preserve"> .@_Cheatengine you guys are 1 big fraud, I used cheat engine on my bitcoin wallet, changed it to 500 SO WHY CANT I SENT 500??</t>
  </si>
  <si>
    <t xml:space="preserve"> DonHaci</t>
  </si>
  <si>
    <t xml:space="preserve"> Itali</t>
  </si>
  <si>
    <t xml:space="preserve"> Sat Feb 03 2018 20:59:08</t>
  </si>
  <si>
    <t xml:space="preserve"> so bitcoin is dead, right</t>
  </si>
  <si>
    <t xml:space="preserve"> 0Teridax</t>
  </si>
  <si>
    <t xml:space="preserve"> Sat Feb 03 2018 20:59:21</t>
  </si>
  <si>
    <t xml:space="preserve"> Bitcoin machines bring cryptocurrency to bars, other Fox Valley businesses #Bitcoin #BTC #ETH #LTC #BCH</t>
  </si>
  <si>
    <t xml:space="preserve"> Sat Feb 03 2018 20:59:23</t>
  </si>
  <si>
    <t xml:space="preserve"> I sure do miss those gloating tweets by the BitCoin champions saying how dumb everyone is not buying Bitcoins</t>
  </si>
  <si>
    <t xml:space="preserve"> mynropmail</t>
  </si>
  <si>
    <t xml:space="preserve"> Sat Feb 03 2018 21:00:00</t>
  </si>
  <si>
    <t xml:space="preserve"> You can buy 2191 Big Macs with 1 Bitcoin </t>
  </si>
  <si>
    <t xml:space="preserve"> @ #1, Bitcoin with unit price of $9,291.12, market cap of $156,495,444,276 (34.59%), and 24 hr vol. of $7,439,890,000 (31.03%)</t>
  </si>
  <si>
    <t xml:space="preserve"> Sat Feb 03 2018 21:00:01</t>
  </si>
  <si>
    <t xml:space="preserve"> Average Bitcoin market price is: USD 9,252.89, EUR 7,467.22</t>
  </si>
  <si>
    <t xml:space="preserve"> The average price of Bitcoin across all exchanges is 9,312.62 USD</t>
  </si>
  <si>
    <t xml:space="preserve"> Sat Feb 03 2018 21:00:02</t>
  </si>
  <si>
    <t xml:space="preserve"> Current BTC Dominance: 34.59% #Bitcoin #Altcoin #Cryptocurrency</t>
  </si>
  <si>
    <t xml:space="preserve"> Bitcoin:$9312.62 Ethereum:$973.359 Bitcoin Cash:$1291.26 Litecoin:$159.261 Ripple:$0.930434 IOTA:$1.97203</t>
  </si>
  <si>
    <t xml:space="preserve"> Sat Feb 03 2018 21:00:06</t>
  </si>
  <si>
    <t xml:space="preserve"> Feb 03, 2018 01:00PM #Bitcoin Price: USD 8896.26 | EUR 7178.27 | JPY 955642.69</t>
  </si>
  <si>
    <t xml:space="preserve"> Sat Feb 03 2018 21:00:14</t>
  </si>
  <si>
    <t xml:space="preserve"> Top 6 BTC/USD Exchange Orderbooks: Resistance til $9500:$15.3M; Support til $9000:$19.3M $BTC $BTCUSD #bitcoin #orderbook #markets #news</t>
  </si>
  <si>
    <t xml:space="preserve"> Sat Feb 03 2018 21:00:17</t>
  </si>
  <si>
    <t xml:space="preserve"> Those upset about the FIAT price of bitcoin going down CLEARLY  dont get the point of Bitcoin....I havent lost anything</t>
  </si>
  <si>
    <t xml:space="preserve"> pyrodaG0D</t>
  </si>
  <si>
    <t xml:space="preserve"> Far Far AwayVille</t>
  </si>
  <si>
    <t xml:space="preserve"> Sat Feb 03 2018 21:00:29</t>
  </si>
  <si>
    <t xml:space="preserve"> @waynecrypto @Bitfinexed @Cryptobonsaquet I'm not the only one making tether then and getting free bitcoin.</t>
  </si>
  <si>
    <t xml:space="preserve"> johnnybtc2</t>
  </si>
  <si>
    <t xml:space="preserve"> All Over</t>
  </si>
  <si>
    <t xml:space="preserve"> Sat Feb 03 2018 21:00:30</t>
  </si>
  <si>
    <t xml:space="preserve"> BTC hourly update $9268.73    |    -0.0064% $BTC #BTCUSD #Bitcoin</t>
  </si>
  <si>
    <t xml:space="preserve"> Sat Feb 03 2018 21:00:57</t>
  </si>
  <si>
    <t xml:space="preserve"> Current price of Bitcoin is $9310.00 #Bitcoin #Bithound</t>
  </si>
  <si>
    <t xml:space="preserve"> Sat Feb 03 2018 21:00:58</t>
  </si>
  <si>
    <t xml:space="preserve"> Bitcoin 9274.36 $</t>
  </si>
  <si>
    <t xml:space="preserve"> Sat Feb 03 2018 21:00:59</t>
  </si>
  <si>
    <t xml:space="preserve"> I sure do miss those gloating tweets by the BitCoin champions saying how dumb everyone is not buying Bitcoins  /snark off</t>
  </si>
  <si>
    <t xml:space="preserve"> Sat Feb 03 2018 21:01:14</t>
  </si>
  <si>
    <t xml:space="preserve"> @outragedhuman please god, let there be bitcoin in it</t>
  </si>
  <si>
    <t xml:space="preserve"> pepenaut</t>
  </si>
  <si>
    <t xml:space="preserve"> Sat Feb 03 2018 21:01:21</t>
  </si>
  <si>
    <t xml:space="preserve"> This whole bitcoin thing really isn't helpful when I genuinely need a new graphics card *sigh* how long am I supposed to wait? :(</t>
  </si>
  <si>
    <t xml:space="preserve"> MartiBennett</t>
  </si>
  <si>
    <t xml:space="preserve"> Sat Feb 03 2018 21:01:25</t>
  </si>
  <si>
    <t xml:space="preserve"> Current price of Bitcoin is $9274.36 Like if thats good for you and retweet if thats not good for you #bitcoin #btc #bitcoinprice</t>
  </si>
  <si>
    <t xml:space="preserve"> Sat Feb 03 2018 21:01:29</t>
  </si>
  <si>
    <t xml:space="preserve"> Current price of Bitcoin is $9274.36</t>
  </si>
  <si>
    <t xml:space="preserve"> Sat Feb 03 2018 21:01:30</t>
  </si>
  <si>
    <t xml:space="preserve"> Current price of #Bitcoin is $9274.36</t>
  </si>
  <si>
    <t xml:space="preserve"> Sat Feb 03 2018 21:01:48</t>
  </si>
  <si>
    <t xml:space="preserve"> Anonymous bitcoin philanthropist donates $5 million to medicine foundation</t>
  </si>
  <si>
    <t xml:space="preserve"> khuseykoljn</t>
  </si>
  <si>
    <t xml:space="preserve"> Sat Feb 03 2018 21:02:25</t>
  </si>
  <si>
    <t xml:space="preserve"> @MJerven @mininghistory People tend to be wrong assuming prices only go in one direction (e.g. housing, tech stocks, and probably Bitcoin)</t>
  </si>
  <si>
    <t xml:space="preserve"> AndrewJonelis</t>
  </si>
  <si>
    <t xml:space="preserve"> Kentucky, USA</t>
  </si>
  <si>
    <t xml:space="preserve"> Sat Feb 03 2018 21:02:34</t>
  </si>
  <si>
    <t xml:space="preserve"> I wonder how many people are going to complain about not getting some sub10K bitcoin at the end of this year.</t>
  </si>
  <si>
    <t xml:space="preserve"> Bitcoin_Bryson</t>
  </si>
  <si>
    <t xml:space="preserve"> Sat Feb 03 2018 21:02:56</t>
  </si>
  <si>
    <t xml:space="preserve"> @CommunityBlockV  Sleeping Giant from Switzerland  great report. #BLOCKv   #blockchain #crypto #cryptocurrency #bitcoin #BTC</t>
  </si>
  <si>
    <t xml:space="preserve"> YLDRMVRL0803</t>
  </si>
  <si>
    <t xml:space="preserve"> Frankfurt am Main, Deutschland</t>
  </si>
  <si>
    <t xml:space="preserve"> Sat Feb 03 2018 21:03:03</t>
  </si>
  <si>
    <t xml:space="preserve"> The #BitcoinPizza would be worth US$94,174,600.00 right now (up 9.12% in the last 24 hours): #Bitcoin</t>
  </si>
  <si>
    <t xml:space="preserve"> Sat Feb 03 2018 21:03:15</t>
  </si>
  <si>
    <t xml:space="preserve"> THE BATTLE BETWEEN THE BANKS AND CRYPTOCURRENCIES HAS BEGUN. BANKS HAVE PRESSURED PAYPAL NOT TO ACCEPT BITCOIN IN EXCHANGE FOR US DOLLARS.</t>
  </si>
  <si>
    <t xml:space="preserve"> rogue2889</t>
  </si>
  <si>
    <t xml:space="preserve"> Sat Feb 03 2018 21:03:17</t>
  </si>
  <si>
    <t xml:space="preserve"> Sat Feb 03 2018 21:03:20</t>
  </si>
  <si>
    <t xml:space="preserve"> @SamuelPatt Bitcoin with lighting is the future of money. The rest is history.</t>
  </si>
  <si>
    <t xml:space="preserve"> Sat Feb 03 2018 21:03:24</t>
  </si>
  <si>
    <t xml:space="preserve"> @ivangelion68 Bitcoin $9274.36</t>
  </si>
  <si>
    <t xml:space="preserve"> ivangelion68</t>
  </si>
  <si>
    <t xml:space="preserve"> Santiago, Chile</t>
  </si>
  <si>
    <t xml:space="preserve"> Sat Feb 03 2018 21:03:31</t>
  </si>
  <si>
    <t xml:space="preserve"> Current price of Bitcoin is $9274.36.</t>
  </si>
  <si>
    <t xml:space="preserve"> Sat Feb 03 2018 21:03:40</t>
  </si>
  <si>
    <t xml:space="preserve"> (1) Bitcoin is a scam:  Its not backed by anything. The gov has backdoor options to steal it.   #GreatAwakening</t>
  </si>
  <si>
    <t xml:space="preserve"> LBF777</t>
  </si>
  <si>
    <t xml:space="preserve"> @mynropmail Your dumb for not buying bitcoin! Read this again Dec 2018. Don't worry I'll remind you!</t>
  </si>
  <si>
    <t xml:space="preserve"> breakmywig</t>
  </si>
  <si>
    <t xml:space="preserve"> Sat Feb 03 2018 21:03:42</t>
  </si>
  <si>
    <t xml:space="preserve"> #Bitcoin #BTC $BTC #Ethereum #ETH $ETH #Crypto #cryptocurrency  It is absoluetely #Deadcatbounce</t>
  </si>
  <si>
    <t xml:space="preserve"> seahawkalkmaar</t>
  </si>
  <si>
    <t xml:space="preserve"> Crypto Ocean</t>
  </si>
  <si>
    <t xml:space="preserve"> Sat Feb 03 2018 21:04:04</t>
  </si>
  <si>
    <t xml:space="preserve"> #Bitcoin is now worth $9274.36, increase your #gains by a further 10% when you buy #Amazon #GiftCard from @giftbac</t>
  </si>
  <si>
    <t xml:space="preserve"> giftbac</t>
  </si>
  <si>
    <t xml:space="preserve"> Sat Feb 03 2018 21:04:22</t>
  </si>
  <si>
    <t xml:space="preserve"> Current price of #Bitcoin is $9274.36 via Chain #BTCUSD #cryptocurrencies #blockchain</t>
  </si>
  <si>
    <t xml:space="preserve"> Current price of Bitcoin is $9274.36 #btc #bitcoin #cryptocurrency #cryptocurrencynews #crypto #cryptonews</t>
  </si>
  <si>
    <t xml:space="preserve"> Sat Feb 03 2018 21:04:29</t>
  </si>
  <si>
    <t xml:space="preserve"> Still winning with the crypto, but oooh bitcoin. Damn.</t>
  </si>
  <si>
    <t xml:space="preserve"> K3ndl3</t>
  </si>
  <si>
    <t xml:space="preserve"> Sat Feb 03 2018 21:04:58</t>
  </si>
  <si>
    <t xml:space="preserve"> Constantly trying to get you to sign up with his Bitcoin opportunity. #SignsOfANeighborFromHell</t>
  </si>
  <si>
    <t xml:space="preserve"> JWr1ghtBra1n</t>
  </si>
  <si>
    <t xml:space="preserve"> Sat Feb 03 2018 21:05:04</t>
  </si>
  <si>
    <t xml:space="preserve"> @jjofsf @AskRobinhood @RobinhoodApp This dude clearly has no idea that bitcoin and the stock market are different things</t>
  </si>
  <si>
    <t xml:space="preserve"> zv</t>
  </si>
  <si>
    <t xml:space="preserve"> Alabama, USA</t>
  </si>
  <si>
    <t xml:space="preserve"> Sat Feb 03 2018 21:05:06</t>
  </si>
  <si>
    <t xml:space="preserve"> Weak hands out! #crypto #bitcoin</t>
  </si>
  <si>
    <t xml:space="preserve"> EdgarLo47806281</t>
  </si>
  <si>
    <t xml:space="preserve"> Sat Feb 03 2018 21:05:20</t>
  </si>
  <si>
    <t xml:space="preserve"> $btc if you have more than 2 btc you are in the top 5% of bitcoin wallets.. Pretty crazy. We're the new 1%ers eventually</t>
  </si>
  <si>
    <t xml:space="preserve"> crypto_ElmerFud</t>
  </si>
  <si>
    <t xml:space="preserve"> Sat Feb 03 2018 21:05:21</t>
  </si>
  <si>
    <t xml:space="preserve"> @X_Zayyy Also, yall will soon be annoyed by us again in months to come, when the prices go to ATH. #trx #tron $trx #bitcoin #btc #XVG $xvg</t>
  </si>
  <si>
    <t xml:space="preserve"> CORIEBITCH</t>
  </si>
  <si>
    <t xml:space="preserve"> Mo City, Texas HOE</t>
  </si>
  <si>
    <t xml:space="preserve"> Sat Feb 03 2018 21:05:22</t>
  </si>
  <si>
    <t xml:space="preserve"> @CarpeNoctom Bitcoin PLZ!!</t>
  </si>
  <si>
    <t xml:space="preserve"> BTCOlN</t>
  </si>
  <si>
    <t xml:space="preserve"> Sat Feb 03 2018 21:05:25</t>
  </si>
  <si>
    <t xml:space="preserve"> Bitcoin Price Surge Continues, Prices Look Towards $8K #news #bitcoin</t>
  </si>
  <si>
    <t xml:space="preserve"> Sat Feb 03 2018 21:05:31</t>
  </si>
  <si>
    <t xml:space="preserve"> The amount of debt fiat has racked up, people would rather invest in #cryptocurrency or #Bitcoin</t>
  </si>
  <si>
    <t xml:space="preserve"> Sagar__Sethi</t>
  </si>
  <si>
    <t xml:space="preserve"> Sat Feb 03 2018 21:05:38</t>
  </si>
  <si>
    <t xml:space="preserve"> If the #bitcoin prices hit 17k by March will you sell and wait for it to crash or Hodl keeping in mind it lost 60%  value in Jan crash</t>
  </si>
  <si>
    <t xml:space="preserve"> Sat Feb 03 2018 21:05:41</t>
  </si>
  <si>
    <t xml:space="preserve"> @BitsofBee Thanks. I'll check it out. I read that it's going down and is hard to offload. I have many questions about Bitcoin.</t>
  </si>
  <si>
    <t xml:space="preserve"> bcfamilyca</t>
  </si>
  <si>
    <t xml:space="preserve"> British Columbia, Canada</t>
  </si>
  <si>
    <t xml:space="preserve"> Sat Feb 03 2018 21:05:42</t>
  </si>
  <si>
    <t xml:space="preserve"> @DanDarkPill I hope you know him and that Asian dude can bring the price of bitcoin down to almost nothing if they wanted to</t>
  </si>
  <si>
    <t xml:space="preserve"> vorfreudc</t>
  </si>
  <si>
    <t xml:space="preserve"> Oxford, England</t>
  </si>
  <si>
    <t xml:space="preserve"> Sat Feb 03 2018 21:05:44</t>
  </si>
  <si>
    <t xml:space="preserve"> @the_real_rotor Fascist scam Bitcoin was created to prevent significant penetration of the anti fascist Wolfenstein brand.</t>
  </si>
  <si>
    <t xml:space="preserve"> jaytingle</t>
  </si>
  <si>
    <t xml:space="preserve"> New Haven</t>
  </si>
  <si>
    <t xml:space="preserve"> Sat Feb 03 2018 21:05:55</t>
  </si>
  <si>
    <t xml:space="preserve"> saferbegbcprya1</t>
  </si>
  <si>
    <t xml:space="preserve"> Sat Feb 03 2018 21:06:13</t>
  </si>
  <si>
    <t xml:space="preserve"> Instead of Ambien doctors should just prescribed husbands that continuously talked about bitcoin.</t>
  </si>
  <si>
    <t xml:space="preserve"> difficultmommy</t>
  </si>
  <si>
    <t xml:space="preserve"> Sat Feb 03 2018 21:06:17</t>
  </si>
  <si>
    <t xml:space="preserve"> Bitcoin is only worth $2 you can read it when she stalks my Twitter .</t>
  </si>
  <si>
    <t xml:space="preserve"> Julesdottxt</t>
  </si>
  <si>
    <t xml:space="preserve"> Sat Feb 03 2018 21:06:19</t>
  </si>
  <si>
    <t xml:space="preserve"> The Bitcoin chart the last month looks just like my online poker results.</t>
  </si>
  <si>
    <t xml:space="preserve"> CaddieKev</t>
  </si>
  <si>
    <t xml:space="preserve"> Lake Chuck, LA</t>
  </si>
  <si>
    <t xml:space="preserve"> What's up with bitcoin? Is it turning into one of those things where people saw a get rich quick scheme and over-saturated the market?</t>
  </si>
  <si>
    <t xml:space="preserve"> comicsexplained</t>
  </si>
  <si>
    <t xml:space="preserve"> Kentucky</t>
  </si>
  <si>
    <t xml:space="preserve"> Sat Feb 03 2018 21:06:31</t>
  </si>
  <si>
    <t xml:space="preserve"> Current price of Bitcoin is $9274.36 via Chain</t>
  </si>
  <si>
    <t xml:space="preserve"> hendriech_</t>
  </si>
  <si>
    <t xml:space="preserve"> Sat Feb 03 2018 21:06:50</t>
  </si>
  <si>
    <t xml:space="preserve"> I meant to say Bitcoin, but it's the Buttcoin thread. Keeping it.</t>
  </si>
  <si>
    <t xml:space="preserve"> Sat Feb 03 2018 21:07:02</t>
  </si>
  <si>
    <t xml:space="preserve"> Everything is in the green today!   #crypto #bitcoin #btc #eth #bch #trx #neo #xrb #xvg #eos #ADA #Qtum #Binance</t>
  </si>
  <si>
    <t xml:space="preserve"> cryptoriginal</t>
  </si>
  <si>
    <t xml:space="preserve"> Sat Feb 03 2018 21:07:17</t>
  </si>
  <si>
    <t xml:space="preserve"> @rory_macdonald July 11, 2015 just saying perhaps it was bitcoin and flip phone powa!!??</t>
  </si>
  <si>
    <t xml:space="preserve"> coingun</t>
  </si>
  <si>
    <t xml:space="preserve"> Sat Feb 03 2018 21:07:21</t>
  </si>
  <si>
    <t xml:space="preserve"> #mining with follow #Fastcoin #Emerald #GameCredits #VERGE #Nyancoin #Bitbar #Zetacoin #PRUX #TAGCOIN #Bitcoin #Belacoin #BTC</t>
  </si>
  <si>
    <t xml:space="preserve"> Sat Feb 03 2018 21:07:36</t>
  </si>
  <si>
    <t xml:space="preserve"> @warboat1 @bitclockwork @Skyline1224 @Bitcoin That was indeed pretty dumb. Thanks! </t>
  </si>
  <si>
    <t xml:space="preserve"> Sat Feb 03 2018 21:07:41</t>
  </si>
  <si>
    <t xml:space="preserve"> somewhere out there in the world there is a baby named bitcoin.............</t>
  </si>
  <si>
    <t xml:space="preserve"> glctcsm</t>
  </si>
  <si>
    <t xml:space="preserve"> Munich, Bavaria</t>
  </si>
  <si>
    <t xml:space="preserve"> Sat Feb 03 2018 21:07:52</t>
  </si>
  <si>
    <t xml:space="preserve"> @aantonoq @aantonop if it were real it would be bitcoin surly ?</t>
  </si>
  <si>
    <t xml:space="preserve"> tonafaulds</t>
  </si>
  <si>
    <t xml:space="preserve"> Ek</t>
  </si>
  <si>
    <t xml:space="preserve"> Sat Feb 03 2018 21:08:13</t>
  </si>
  <si>
    <t xml:space="preserve"> Instead of Ambien doctors should just prescribe husbands that continuously talk about bitcoin.</t>
  </si>
  <si>
    <t xml:space="preserve"> Sat Feb 03 2018 21:08:54</t>
  </si>
  <si>
    <t xml:space="preserve"> @DilemmaBeats @reevesjw @paulkrugman How much is this in Bitcoin? How about now? Now?</t>
  </si>
  <si>
    <t xml:space="preserve"> Saytata</t>
  </si>
  <si>
    <t xml:space="preserve"> Tall Cotton</t>
  </si>
  <si>
    <t xml:space="preserve"> Sat Feb 03 2018 21:09:00</t>
  </si>
  <si>
    <t xml:space="preserve"> CryptoCompare Bitcoin price changed -1.03% to $9216.06 #bitcoin</t>
  </si>
  <si>
    <t xml:space="preserve"> Sat Feb 03 2018 21:09:14</t>
  </si>
  <si>
    <t xml:space="preserve"> If I dont get 2000 followers soon @barneytheboi is going to drop #Bitcoin back to below $8000</t>
  </si>
  <si>
    <t xml:space="preserve"> MoonOverlord</t>
  </si>
  <si>
    <t xml:space="preserve"> Sat Feb 03 2018 21:10:02</t>
  </si>
  <si>
    <t xml:space="preserve"> @LynxPro_UK Follow @Hashtags_Trends for the latest news &amp; #trading trends about #bitcoin &amp; #crypto world.</t>
  </si>
  <si>
    <t xml:space="preserve"> Sat Feb 03 2018 21:10:04</t>
  </si>
  <si>
    <t xml:space="preserve"> #Bitcoin $1 USD is currently worth 0.00010896 BTC! #GoldCoinJar</t>
  </si>
  <si>
    <t xml:space="preserve"> Sat Feb 03 2018 21:10:05</t>
  </si>
  <si>
    <t xml:space="preserve"> Bitcoin BTC Current Price: $9291.12 1 Hour: -0.06 % | 24 Hours: 7.52 % | 7 Days: -19.15 % #btc #bitcoin</t>
  </si>
  <si>
    <t xml:space="preserve"> Sat Feb 03 2018 21:10:07</t>
  </si>
  <si>
    <t xml:space="preserve"> @cryptotradingc Follow @Hashtags_Trends for the latest news &amp; #trading trends about #bitcoin &amp; #crypto world.</t>
  </si>
  <si>
    <t xml:space="preserve"> Sat Feb 03 2018 21:10:14</t>
  </si>
  <si>
    <t xml:space="preserve"> @MoonPumpGroup Follow @Hashtags_Trends for the latest news &amp; #trading trends about #bitcoin &amp; #crypto world.</t>
  </si>
  <si>
    <t xml:space="preserve"> Sat Feb 03 2018 21:10:20</t>
  </si>
  <si>
    <t xml:space="preserve"> Cryptocurrency: #Bitcoin Price USD: 9266.06 Price BTC: 1.0 24h Volume USD: 7419490000.0 Percent change 24h: 7.17</t>
  </si>
  <si>
    <t xml:space="preserve"> Sat Feb 03 2018 21:10:21</t>
  </si>
  <si>
    <t xml:space="preserve"> If I dont get 2000 followers soon @barneytheboi is going to drop #Bitcoin back below $8000</t>
  </si>
  <si>
    <t xml:space="preserve"> Sat Feb 03 2018 21:10:25</t>
  </si>
  <si>
    <t xml:space="preserve"> @Bitcoin Its sad to see @rogerkver using this account to promote brash!!!</t>
  </si>
  <si>
    <t xml:space="preserve"> Razueck</t>
  </si>
  <si>
    <t xml:space="preserve"> Sat Feb 03 2018 21:10:32</t>
  </si>
  <si>
    <t xml:space="preserve"> I'm motivated by the positive ways in which Bitcoin use being widespread will make the world a better place. - Roger Ver #quote #bitcoin</t>
  </si>
  <si>
    <t xml:space="preserve"> Sat Feb 03 2018 21:11:17</t>
  </si>
  <si>
    <t xml:space="preserve"> @The_Real_Fly Hey Fly, i just bought some more bitcoin. You think that's a good idea or not?</t>
  </si>
  <si>
    <t xml:space="preserve"> JoeMoma05128689</t>
  </si>
  <si>
    <t xml:space="preserve"> Sat Feb 03 2018 21:11:21</t>
  </si>
  <si>
    <t xml:space="preserve"> ;[ ;[ ;[ ;[...&gt;.&lt; ....[Bitcoin performance assessment (-51.39%)] #bitcoin</t>
  </si>
  <si>
    <t xml:space="preserve"> Sat Feb 03 2018 21:12:01</t>
  </si>
  <si>
    <t xml:space="preserve"> Curious about demographics of my followers. What age group do you belong in?   #Bitcoin $BTC</t>
  </si>
  <si>
    <t xml:space="preserve"> 8bitandstuff</t>
  </si>
  <si>
    <t xml:space="preserve"> Sat Feb 03 2018 21:12:34</t>
  </si>
  <si>
    <t xml:space="preserve"> United Parcel Service (UPS) Patents Decentralized Locker Bank That Accepts Bitcoin - Bitcoinist</t>
  </si>
  <si>
    <t xml:space="preserve"> Sat Feb 03 2018 21:12:38</t>
  </si>
  <si>
    <t xml:space="preserve"> bitcoin emazing</t>
  </si>
  <si>
    <t xml:space="preserve"> Geoserver1</t>
  </si>
  <si>
    <t xml:space="preserve"> Sat Feb 03 2018 21:12:53</t>
  </si>
  <si>
    <t xml:space="preserve"> You can buy Bitcoin on the Cash app now?</t>
  </si>
  <si>
    <t xml:space="preserve"> JhalilC</t>
  </si>
  <si>
    <t xml:space="preserve"> Newark, DE/Brick City, ND</t>
  </si>
  <si>
    <t xml:space="preserve"> Sat Feb 03 2018 21:13:51</t>
  </si>
  <si>
    <t xml:space="preserve"> I am playing bitcoin trade, a loss of $ 300,000. My life is over. #bitcoin #givemebitcoin #help  BCH 1BRmxV95HehWwYHLqjqBXfR4 #pleasert</t>
  </si>
  <si>
    <t xml:space="preserve"> bitcoin_3000man</t>
  </si>
  <si>
    <t xml:space="preserve"> Sat Feb 03 2018 21:14:21</t>
  </si>
  <si>
    <t xml:space="preserve"> @MrCahill_ what about bitcoin lightning ?</t>
  </si>
  <si>
    <t xml:space="preserve"> whippet6b</t>
  </si>
  <si>
    <t xml:space="preserve"> Sat Feb 03 2018 21:14:29</t>
  </si>
  <si>
    <t xml:space="preserve"> Still can't believe they had Suge Knight investing in bitcoin in the Tupac movie</t>
  </si>
  <si>
    <t xml:space="preserve"> _rorre1</t>
  </si>
  <si>
    <t xml:space="preserve"> Sat Feb 03 2018 21:14:50</t>
  </si>
  <si>
    <t xml:space="preserve"> #BBNaija I swear Bitcoin abi Bitto Neva near club b4...biko arrange bottles</t>
  </si>
  <si>
    <t xml:space="preserve"> juliux575</t>
  </si>
  <si>
    <t xml:space="preserve"> Nigeria /Enugu</t>
  </si>
  <si>
    <t xml:space="preserve"> Sat Feb 03 2018 21:15:02</t>
  </si>
  <si>
    <t xml:space="preserve"> The current price of Bitcoin is $9240.15. The current price of BCash is $1284.27, or 0.137993 BTC</t>
  </si>
  <si>
    <t xml:space="preserve"> Sat Feb 03 2018 21:15:14</t>
  </si>
  <si>
    <t xml:space="preserve"> Will  #ada #cardano reach 1 $ by monday? #cardanoroadmap is coming #btc #bitcoin #eth #ethereum vote and retweet winner is YES so far !!!</t>
  </si>
  <si>
    <t xml:space="preserve"> Sat Feb 03 2018 21:15:25</t>
  </si>
  <si>
    <t xml:space="preserve"> Bitcoin and meat doesnt mix. Stop it .</t>
  </si>
  <si>
    <t xml:space="preserve"> cryptocodecooln</t>
  </si>
  <si>
    <t xml:space="preserve"> 10 years from now</t>
  </si>
  <si>
    <t xml:space="preserve"> Sat Feb 03 2018 21:15:38</t>
  </si>
  <si>
    <t xml:space="preserve"> Our Economy will one day represent living and breathing entities working harmony. #BitCoin #digitalcurrency</t>
  </si>
  <si>
    <t xml:space="preserve"> kinetiktrader</t>
  </si>
  <si>
    <t xml:space="preserve"> Sat Feb 03 2018 21:16:14</t>
  </si>
  <si>
    <t xml:space="preserve"> @fanfare100 @CryptoChoe ethereum will soon hold its own on the market. Same with xrp. Bitcoin wont die but it wont be big dog forever.</t>
  </si>
  <si>
    <t xml:space="preserve"> theJBullfrog</t>
  </si>
  <si>
    <t xml:space="preserve"> San Diego,California,Earth,Sol</t>
  </si>
  <si>
    <t xml:space="preserve"> Sat Feb 03 2018 21:16:23</t>
  </si>
  <si>
    <t xml:space="preserve"> List bitcoin token Pls @gladkos</t>
  </si>
  <si>
    <t xml:space="preserve"> seunadenugba</t>
  </si>
  <si>
    <t xml:space="preserve"> Sat Feb 03 2018 21:16:33</t>
  </si>
  <si>
    <t xml:space="preserve"> Changes in price are just a mechanism to move bitcoin from one persons hands to another persons hands.</t>
  </si>
  <si>
    <t xml:space="preserve"> btc_joe</t>
  </si>
  <si>
    <t xml:space="preserve"> Sat Feb 03 2018 21:16:38</t>
  </si>
  <si>
    <t xml:space="preserve"> @Awyee707 @btcfork @ECBCHMeetup Because we support the #Bitcoin Protocol. It is open-source and #BitcoinCash is a project built on it.</t>
  </si>
  <si>
    <t xml:space="preserve"> Sat Feb 03 2018 21:16:55</t>
  </si>
  <si>
    <t xml:space="preserve"> @BillWinterberg You got it. The waiter is a Finance major, he asked me about...Bitcoin :)</t>
  </si>
  <si>
    <t xml:space="preserve"> feeonlyplanner</t>
  </si>
  <si>
    <t xml:space="preserve"> Novi, Michigan</t>
  </si>
  <si>
    <t xml:space="preserve"> Sat Feb 03 2018 21:17:05</t>
  </si>
  <si>
    <t xml:space="preserve"> Bitcoin Cash BCH Current Price: $1284.27 1 Hour: -0.87 % | 24 Hours: 10.09 % | 7 Days: -21.92 % #bch #bitcoin cash</t>
  </si>
  <si>
    <t xml:space="preserve"> Sat Feb 03 2018 21:17:22</t>
  </si>
  <si>
    <t xml:space="preserve"> Which will go live first? $btc $eth $rdn #Ethereum #bitcoin #raidennetwork #cryptocurrency #LightningNetwork</t>
  </si>
  <si>
    <t xml:space="preserve"> Sat Feb 03 2018 21:17:46</t>
  </si>
  <si>
    <t xml:space="preserve"> @Huobi_Pro Bitcoin in 2019 = $0</t>
  </si>
  <si>
    <t xml:space="preserve"> O_Great_One</t>
  </si>
  <si>
    <t xml:space="preserve"> Ottawa</t>
  </si>
  <si>
    <t xml:space="preserve"> Sat Feb 03 2018 21:17:49</t>
  </si>
  <si>
    <t xml:space="preserve"> @btc_joe So are changes in the ledger, in fact that is all bitcoin is about.</t>
  </si>
  <si>
    <t xml:space="preserve"> Sat Feb 03 2018 21:17:57</t>
  </si>
  <si>
    <t xml:space="preserve"> Which one is better: bitcoin or infographic?</t>
  </si>
  <si>
    <t>&lt;Enter your student id # in C1&gt;</t>
  </si>
  <si>
    <t>unknown</t>
  </si>
  <si>
    <t>unknown2</t>
  </si>
  <si>
    <t>unknown3</t>
  </si>
  <si>
    <t>unknown4</t>
  </si>
  <si>
    <t>jimM</t>
  </si>
  <si>
    <t>Aakriti</t>
  </si>
  <si>
    <t>The information in the tab "courseD" comes from these pages</t>
  </si>
  <si>
    <t>Brandon</t>
  </si>
  <si>
    <t>Soudeh</t>
  </si>
  <si>
    <t>Homa</t>
  </si>
  <si>
    <t xml:space="preserve">Mahdiyar </t>
  </si>
  <si>
    <t>Amir</t>
  </si>
  <si>
    <t>Jian</t>
  </si>
  <si>
    <t>Chen</t>
  </si>
  <si>
    <t>Armeen</t>
  </si>
  <si>
    <t>Grace</t>
  </si>
  <si>
    <t>m</t>
  </si>
  <si>
    <t>Emma</t>
  </si>
  <si>
    <t>Jiayi</t>
  </si>
  <si>
    <t>Mohamad</t>
  </si>
  <si>
    <t>Linqi</t>
  </si>
  <si>
    <t>Shitong</t>
  </si>
  <si>
    <t>We would like to create a simple search interface that lists all the course titles whose description contain a specified keyword.</t>
  </si>
  <si>
    <t>Yilei</t>
  </si>
  <si>
    <t>Pavle</t>
  </si>
  <si>
    <t>Xiaoshan</t>
  </si>
  <si>
    <t>Jordan Matthew</t>
  </si>
  <si>
    <t>Jiate</t>
  </si>
  <si>
    <t>Wai Sze</t>
  </si>
  <si>
    <t>Xiangyuan</t>
  </si>
  <si>
    <t>Stephanie</t>
  </si>
  <si>
    <t>MingXuan</t>
  </si>
  <si>
    <t>Wenkaixuan</t>
  </si>
  <si>
    <t>Kandy</t>
  </si>
  <si>
    <t>Reshad</t>
  </si>
  <si>
    <t>Brendan David</t>
  </si>
  <si>
    <t>Jiahao</t>
  </si>
  <si>
    <t>Valerie Simone</t>
  </si>
  <si>
    <t>SIDDHARTH</t>
  </si>
  <si>
    <t>Shu</t>
  </si>
  <si>
    <t>Xueying</t>
  </si>
  <si>
    <t>Haoni</t>
  </si>
  <si>
    <t>Shaojie</t>
  </si>
  <si>
    <t>Yongcheng</t>
  </si>
  <si>
    <t>Liyi</t>
  </si>
  <si>
    <t>Yueyue</t>
  </si>
  <si>
    <t>Bradley David Reese</t>
  </si>
  <si>
    <t>Yangsijia</t>
  </si>
  <si>
    <t>Matthew James</t>
  </si>
  <si>
    <t>Haoyu</t>
  </si>
  <si>
    <t>Jinyang</t>
  </si>
  <si>
    <t>Rongdan</t>
  </si>
  <si>
    <t>Xin</t>
  </si>
  <si>
    <t>Xianzhu</t>
  </si>
  <si>
    <t>Yuhan</t>
  </si>
  <si>
    <t>Xiaoai</t>
  </si>
  <si>
    <t>Mengyu</t>
  </si>
  <si>
    <t>Zhengwen</t>
  </si>
  <si>
    <t>Shenghua</t>
  </si>
  <si>
    <t>Karsten Lucas</t>
  </si>
  <si>
    <t>Nathen</t>
  </si>
  <si>
    <t>Ziyi</t>
  </si>
  <si>
    <t>Xunqi</t>
  </si>
  <si>
    <t>Junming</t>
  </si>
  <si>
    <t>Yan</t>
  </si>
  <si>
    <t>Chang</t>
  </si>
  <si>
    <t>Yabin</t>
  </si>
  <si>
    <t>Shiyao</t>
  </si>
  <si>
    <t>Yaning</t>
  </si>
  <si>
    <t>Tianhao</t>
  </si>
  <si>
    <t>Jingyu</t>
  </si>
  <si>
    <t>Alaa Mohamad</t>
  </si>
  <si>
    <t>Wenjing</t>
  </si>
  <si>
    <t>Danielle</t>
  </si>
  <si>
    <t>David</t>
  </si>
  <si>
    <t>Allan James</t>
  </si>
  <si>
    <t>Jiawang</t>
  </si>
  <si>
    <t>Bryan Kenneth</t>
  </si>
  <si>
    <t>Fengying</t>
  </si>
  <si>
    <t>Yuki</t>
  </si>
  <si>
    <t>Shiyuan</t>
  </si>
  <si>
    <t>Gurleen Kaur</t>
  </si>
  <si>
    <t>Rishi Kumar</t>
  </si>
  <si>
    <t>Ke</t>
  </si>
  <si>
    <t>Weizhi</t>
  </si>
  <si>
    <t>Zihui</t>
  </si>
  <si>
    <t>Yoshan</t>
  </si>
  <si>
    <t>Yuan</t>
  </si>
  <si>
    <t>Yihan</t>
  </si>
  <si>
    <t>Feijie</t>
  </si>
  <si>
    <t>Jingwen</t>
  </si>
  <si>
    <t>Fiona</t>
  </si>
  <si>
    <t>Emily Hannah</t>
  </si>
  <si>
    <t>Tinglin</t>
  </si>
  <si>
    <t>Mausam</t>
  </si>
  <si>
    <t>Prishni</t>
  </si>
  <si>
    <t>Zhiqian</t>
  </si>
  <si>
    <t>Guo Han</t>
  </si>
  <si>
    <t>Vu Luong Hoan</t>
  </si>
  <si>
    <t>Yifan</t>
  </si>
  <si>
    <t>Jiake</t>
  </si>
  <si>
    <t>Yifei</t>
  </si>
  <si>
    <t>Catherine Xiwen</t>
  </si>
  <si>
    <t>Lingya</t>
  </si>
  <si>
    <t>Ethan</t>
  </si>
  <si>
    <t>Tian Le</t>
  </si>
  <si>
    <t>Nicole</t>
  </si>
  <si>
    <t>Catherine</t>
  </si>
  <si>
    <t>Faiez</t>
  </si>
  <si>
    <t>Rachel</t>
  </si>
  <si>
    <t>Ernest Zhongyao</t>
  </si>
  <si>
    <t>Brianna Lynne</t>
  </si>
  <si>
    <t>Xiaoyi</t>
  </si>
  <si>
    <t>Yuanming</t>
  </si>
  <si>
    <t>Katelynn</t>
  </si>
  <si>
    <t>Jun An</t>
  </si>
  <si>
    <t>Roxana</t>
  </si>
  <si>
    <t>Martin</t>
  </si>
  <si>
    <t>Michael D</t>
  </si>
  <si>
    <t>Cathy</t>
  </si>
  <si>
    <t>Bona</t>
  </si>
  <si>
    <t>Brian Yi-Kun</t>
  </si>
  <si>
    <t>Guanjie</t>
  </si>
  <si>
    <t>Zixuan</t>
  </si>
  <si>
    <t>Michael Joseph</t>
  </si>
  <si>
    <t>Terry Yi Fan</t>
  </si>
  <si>
    <t>Yidan</t>
  </si>
  <si>
    <t>Boxuan</t>
  </si>
  <si>
    <t>Tracy</t>
  </si>
  <si>
    <t>Zoe Kristen</t>
  </si>
  <si>
    <t>Geoffrey</t>
  </si>
  <si>
    <t>Briana</t>
  </si>
  <si>
    <t>Nishta</t>
  </si>
  <si>
    <t>Xinyan</t>
  </si>
  <si>
    <t>Anne</t>
  </si>
  <si>
    <t>Samuel Henry</t>
  </si>
  <si>
    <t>Alan</t>
  </si>
  <si>
    <t>Chloe Ellen</t>
  </si>
  <si>
    <t>Judy</t>
  </si>
  <si>
    <t>Basil</t>
  </si>
  <si>
    <t>Cindy Jia</t>
  </si>
  <si>
    <t>Nicholas Jun</t>
  </si>
  <si>
    <t>Sophia</t>
  </si>
  <si>
    <t>Sienna</t>
  </si>
  <si>
    <t>Lili</t>
  </si>
  <si>
    <t>Sharon Ding Jiaoyi</t>
  </si>
  <si>
    <t>Emily Yiran</t>
  </si>
  <si>
    <t>Chloe</t>
  </si>
  <si>
    <t>Joseph Arthur</t>
  </si>
  <si>
    <t>Prachi Niteshkumar</t>
  </si>
  <si>
    <t>Yuting</t>
  </si>
  <si>
    <t>Jax</t>
  </si>
  <si>
    <t>Michael</t>
  </si>
  <si>
    <t>Angela</t>
  </si>
  <si>
    <t>Da Xin</t>
  </si>
  <si>
    <t>Yiran</t>
  </si>
  <si>
    <t>Stuart Atton</t>
  </si>
  <si>
    <t>Kelly</t>
  </si>
  <si>
    <t>James Ben-Jin</t>
  </si>
  <si>
    <t>Linda</t>
  </si>
  <si>
    <t>Avril</t>
  </si>
  <si>
    <t>Seth Joshua</t>
  </si>
  <si>
    <t>Youngwon</t>
  </si>
  <si>
    <t>Deanna</t>
  </si>
  <si>
    <t>Hamneet</t>
  </si>
  <si>
    <t>Nicholas John</t>
  </si>
  <si>
    <t>Luke Fredrick Peter</t>
  </si>
  <si>
    <t>Yuzhou</t>
  </si>
  <si>
    <t>Alishan</t>
  </si>
  <si>
    <t>Tyler</t>
  </si>
  <si>
    <t>Varun</t>
  </si>
  <si>
    <t>Amay</t>
  </si>
  <si>
    <t>Avanti</t>
  </si>
  <si>
    <t>Lan</t>
  </si>
  <si>
    <t>Chenfei</t>
  </si>
  <si>
    <t>Liam</t>
  </si>
  <si>
    <t>Allison</t>
  </si>
  <si>
    <t>Derek</t>
  </si>
  <si>
    <t>Erick</t>
  </si>
  <si>
    <t>Julien Andrew</t>
  </si>
  <si>
    <t>Resham</t>
  </si>
  <si>
    <t>Yunong</t>
  </si>
  <si>
    <t>Boris</t>
  </si>
  <si>
    <t>Muhammad Jibran</t>
  </si>
  <si>
    <t>Anny</t>
  </si>
  <si>
    <t>Yaodan</t>
  </si>
  <si>
    <t>Michael Fengwei</t>
  </si>
  <si>
    <t>David Chi-Ho</t>
  </si>
  <si>
    <t>Julia</t>
  </si>
  <si>
    <t>Yoonjae</t>
  </si>
  <si>
    <t>Xiaoci</t>
  </si>
  <si>
    <t>Ali</t>
  </si>
  <si>
    <t>Rahul</t>
  </si>
  <si>
    <t>Jannatul Mawa</t>
  </si>
  <si>
    <t>Henry Yu Heng</t>
  </si>
  <si>
    <t>Jared Mitchell</t>
  </si>
  <si>
    <t>Jacky</t>
  </si>
  <si>
    <t>Dexter</t>
  </si>
  <si>
    <t>Benjamin Talbot</t>
  </si>
  <si>
    <t>Xuen</t>
  </si>
  <si>
    <t>Kristen Victoria</t>
  </si>
  <si>
    <t>Shanshan</t>
  </si>
  <si>
    <t>Tianyu</t>
  </si>
  <si>
    <t>Wenhao</t>
  </si>
  <si>
    <t>Liam Patrick</t>
  </si>
  <si>
    <t>Austin</t>
  </si>
  <si>
    <t>Christopher</t>
  </si>
  <si>
    <t>Sandy</t>
  </si>
  <si>
    <t>Lingyu</t>
  </si>
  <si>
    <t>Lucas Frank</t>
  </si>
  <si>
    <t>Emmeline</t>
  </si>
  <si>
    <t>Shajan</t>
  </si>
  <si>
    <t>Irfan Rahul</t>
  </si>
  <si>
    <t>Valarie</t>
  </si>
  <si>
    <t>Jacob Matthew</t>
  </si>
  <si>
    <t>Eyoel Asfaw</t>
  </si>
  <si>
    <t>Tomas</t>
  </si>
  <si>
    <t>Jialing</t>
  </si>
  <si>
    <t>Aryan</t>
  </si>
  <si>
    <t>Nan</t>
  </si>
  <si>
    <t>Max De</t>
  </si>
  <si>
    <t>Prabhneet</t>
  </si>
  <si>
    <t>Yanmiao</t>
  </si>
  <si>
    <t>Xuying</t>
  </si>
  <si>
    <t>Linyin</t>
  </si>
  <si>
    <t>Marwan</t>
  </si>
  <si>
    <t>Baizhou</t>
  </si>
  <si>
    <t>Tingyan</t>
  </si>
  <si>
    <t>Truman Alexander</t>
  </si>
  <si>
    <t>Hannah Taylor</t>
  </si>
  <si>
    <t>Alim Karim</t>
  </si>
  <si>
    <t>Ruoyun</t>
  </si>
  <si>
    <t>Zhikang</t>
  </si>
  <si>
    <t>Rafael</t>
  </si>
  <si>
    <t>Yangxuan</t>
  </si>
  <si>
    <t>Minzhe</t>
  </si>
  <si>
    <t>Miren</t>
  </si>
  <si>
    <t>Qingling</t>
  </si>
  <si>
    <t>Yi</t>
  </si>
  <si>
    <t>Minhyeok</t>
  </si>
  <si>
    <t>Landen</t>
  </si>
  <si>
    <t>Wesley</t>
  </si>
  <si>
    <t>Steve</t>
  </si>
  <si>
    <t>Haoyuan</t>
  </si>
  <si>
    <t>Daniel Victor</t>
  </si>
  <si>
    <t>Yue</t>
  </si>
  <si>
    <t>Zakir</t>
  </si>
  <si>
    <t>Xiaowei</t>
  </si>
  <si>
    <t>Sehaj</t>
  </si>
  <si>
    <t>Zeiad</t>
  </si>
  <si>
    <t>Antaeus Julien</t>
  </si>
  <si>
    <t>Kenneth Jonathan</t>
  </si>
  <si>
    <t>John Guangxu</t>
  </si>
  <si>
    <t>Derica</t>
  </si>
  <si>
    <t>Annie</t>
  </si>
  <si>
    <t>Yuxuan</t>
  </si>
  <si>
    <t>Justin</t>
  </si>
  <si>
    <t>Jason</t>
  </si>
  <si>
    <t>Kevin</t>
  </si>
  <si>
    <t>Rodolfo Enrique</t>
  </si>
  <si>
    <t>Wenxi</t>
  </si>
  <si>
    <t>Emily Michelle</t>
  </si>
  <si>
    <t>Eric Xinming</t>
  </si>
  <si>
    <t>Mingxuan</t>
  </si>
  <si>
    <t>Weihao</t>
  </si>
  <si>
    <t>Sean Xian Jia</t>
  </si>
  <si>
    <t>Kevin Hua</t>
  </si>
  <si>
    <t>Matthew Owen</t>
  </si>
  <si>
    <t>Brian</t>
  </si>
  <si>
    <t>Anuj</t>
  </si>
  <si>
    <t>Arjun S</t>
  </si>
  <si>
    <t>Hanxin</t>
  </si>
  <si>
    <t>Wenlong</t>
  </si>
  <si>
    <t>Zixin</t>
  </si>
  <si>
    <t>Runzi</t>
  </si>
  <si>
    <t>Tong</t>
  </si>
  <si>
    <t>Yang</t>
  </si>
  <si>
    <t>Aviv</t>
  </si>
  <si>
    <t>Sena</t>
  </si>
  <si>
    <t>Jane</t>
  </si>
  <si>
    <t>Ryan</t>
  </si>
  <si>
    <t>Gradyn Day</t>
  </si>
  <si>
    <t>Yuewei</t>
  </si>
  <si>
    <t>Yulin</t>
  </si>
  <si>
    <t>Kiana</t>
  </si>
  <si>
    <t>Balan Jayaraj</t>
  </si>
  <si>
    <t>Hengming</t>
  </si>
  <si>
    <t>Keawna Rose</t>
  </si>
  <si>
    <t>Christian</t>
  </si>
  <si>
    <t>Brielle</t>
  </si>
  <si>
    <t>Mason Basilio</t>
  </si>
  <si>
    <t>Isaiah</t>
  </si>
  <si>
    <t>Xinyi</t>
  </si>
  <si>
    <t>Wasilij</t>
  </si>
  <si>
    <t>Jun</t>
  </si>
  <si>
    <t>Luke Patrick Paul</t>
  </si>
  <si>
    <t>Jiali</t>
  </si>
  <si>
    <t>Sage Derek Christopher</t>
  </si>
  <si>
    <t>Natalie</t>
  </si>
  <si>
    <t>RUNZE</t>
  </si>
  <si>
    <t>Zahin</t>
  </si>
  <si>
    <t>Jingyi</t>
  </si>
  <si>
    <t>ID</t>
  </si>
  <si>
    <t>Positive</t>
  </si>
  <si>
    <t>Negative</t>
  </si>
  <si>
    <t>beauty</t>
  </si>
  <si>
    <t>bad</t>
  </si>
  <si>
    <t>believe</t>
  </si>
  <si>
    <t>ban</t>
  </si>
  <si>
    <t>bought</t>
  </si>
  <si>
    <t>crash</t>
  </si>
  <si>
    <t>buy</t>
  </si>
  <si>
    <t>crashing</t>
  </si>
  <si>
    <t>buying</t>
  </si>
  <si>
    <t>disappear</t>
  </si>
  <si>
    <t>buys</t>
  </si>
  <si>
    <t>dive</t>
  </si>
  <si>
    <t>comeback</t>
  </si>
  <si>
    <t>down</t>
  </si>
  <si>
    <t>correction</t>
  </si>
  <si>
    <t>fall</t>
  </si>
  <si>
    <t>defeat</t>
  </si>
  <si>
    <t>fraud</t>
  </si>
  <si>
    <t>excellent</t>
  </si>
  <si>
    <t>freefall</t>
  </si>
  <si>
    <t>faith</t>
  </si>
  <si>
    <t>hate</t>
  </si>
  <si>
    <t>fortune</t>
  </si>
  <si>
    <t>hates</t>
  </si>
  <si>
    <t>gain</t>
  </si>
  <si>
    <t>hell</t>
  </si>
  <si>
    <t>gains</t>
  </si>
  <si>
    <t>hoax</t>
  </si>
  <si>
    <t>good</t>
  </si>
  <si>
    <t>kill</t>
  </si>
  <si>
    <t>great</t>
  </si>
  <si>
    <t>killing</t>
  </si>
  <si>
    <t>growing</t>
  </si>
  <si>
    <t>lose</t>
  </si>
  <si>
    <t>growth</t>
  </si>
  <si>
    <t>losing</t>
  </si>
  <si>
    <t>happy</t>
  </si>
  <si>
    <t>lost</t>
  </si>
  <si>
    <t>haven</t>
  </si>
  <si>
    <t>low</t>
  </si>
  <si>
    <t>help</t>
  </si>
  <si>
    <t>meltdown</t>
  </si>
  <si>
    <t>high</t>
  </si>
  <si>
    <t>negative</t>
  </si>
  <si>
    <t>hope</t>
  </si>
  <si>
    <t>never</t>
  </si>
  <si>
    <t>invest</t>
  </si>
  <si>
    <t>nightmare</t>
  </si>
  <si>
    <t>millionaire</t>
  </si>
  <si>
    <t>outrage</t>
  </si>
  <si>
    <t>oversold</t>
  </si>
  <si>
    <t>overbought</t>
  </si>
  <si>
    <t>plugs</t>
  </si>
  <si>
    <t xml:space="preserve">overvalued </t>
  </si>
  <si>
    <t>positive</t>
  </si>
  <si>
    <t>panic</t>
  </si>
  <si>
    <t>progress</t>
  </si>
  <si>
    <t>plunges</t>
  </si>
  <si>
    <t>protect</t>
  </si>
  <si>
    <t>ponzi</t>
  </si>
  <si>
    <t>push</t>
  </si>
  <si>
    <t>poor</t>
  </si>
  <si>
    <t>rally</t>
  </si>
  <si>
    <t>risk</t>
  </si>
  <si>
    <t>rebound</t>
  </si>
  <si>
    <t>rout</t>
  </si>
  <si>
    <t>recover</t>
  </si>
  <si>
    <t>sad</t>
  </si>
  <si>
    <t>recovery</t>
  </si>
  <si>
    <t>scam</t>
  </si>
  <si>
    <t>remedies</t>
  </si>
  <si>
    <t>scheme</t>
  </si>
  <si>
    <t>repair</t>
  </si>
  <si>
    <t>scrutiny</t>
  </si>
  <si>
    <t>reward</t>
  </si>
  <si>
    <t>sell</t>
  </si>
  <si>
    <t>rich</t>
  </si>
  <si>
    <t>selloff</t>
  </si>
  <si>
    <t>rise</t>
  </si>
  <si>
    <t>sell-off</t>
  </si>
  <si>
    <t>rises</t>
  </si>
  <si>
    <t>sells</t>
  </si>
  <si>
    <t>safe</t>
  </si>
  <si>
    <t>sinks</t>
  </si>
  <si>
    <t>save</t>
  </si>
  <si>
    <t>slides</t>
  </si>
  <si>
    <t>stabilize</t>
  </si>
  <si>
    <t>slump</t>
  </si>
  <si>
    <t>success</t>
  </si>
  <si>
    <t>sold</t>
  </si>
  <si>
    <t>successful</t>
  </si>
  <si>
    <t>steal</t>
  </si>
  <si>
    <t>surge</t>
  </si>
  <si>
    <t>stealing</t>
  </si>
  <si>
    <t>transparent</t>
  </si>
  <si>
    <t>struggles</t>
  </si>
  <si>
    <t>undervalued</t>
  </si>
  <si>
    <t>tanks</t>
  </si>
  <si>
    <t>up</t>
  </si>
  <si>
    <t>tumbles</t>
  </si>
  <si>
    <t>welcomes</t>
  </si>
  <si>
    <t>violent</t>
  </si>
  <si>
    <t>win</t>
  </si>
  <si>
    <t>worse</t>
  </si>
  <si>
    <t>winning</t>
  </si>
  <si>
    <t>worst</t>
  </si>
  <si>
    <t>8745.02$ per now</t>
  </si>
  <si>
    <t>Current price of is $8745.02</t>
  </si>
  <si>
    <t>Current price of Bitcoin is $8745.02 via Chain</t>
  </si>
  <si>
    <t>Current price of Bitcoin is $8745.02</t>
  </si>
  <si>
    <t>Also waiting for CNBC to make a new tutorial on How to short Bitcoin with 100x Leverage on BitMex</t>
  </si>
  <si>
    <t xml:space="preserve">Current price of Bitcoin is $8844.61 </t>
  </si>
  <si>
    <t xml:space="preserve">Always Hodl </t>
  </si>
  <si>
    <t>Whiskey is the new bitcoin</t>
  </si>
  <si>
    <t xml:space="preserve">Bitcoin BTC Current Price: $8795.54 1 Hour: -1.06 % | 24 Hours: 7.03 % | 7 Days: -21.56 % </t>
  </si>
  <si>
    <t xml:space="preserve">how to bitcoin </t>
  </si>
  <si>
    <t xml:space="preserve">Bitcoin laugh </t>
  </si>
  <si>
    <t>is the real and around Feb 10-15 it will be known by all</t>
  </si>
  <si>
    <t xml:space="preserve">The market is so low today that I panic sold all my INR </t>
  </si>
  <si>
    <t>Bitcoin is over finished haha</t>
  </si>
  <si>
    <t>Bitcoin Cash BCH Current Price: $1177.43 1 Hour: 0.26 % | 24 Hours: 8.4 % | 7 Days: -26.79 % cash</t>
  </si>
  <si>
    <t xml:space="preserve">CryptoCompare Bitcoin price changed +1.04% to $8874.57 </t>
  </si>
  <si>
    <t>This is just absurd</t>
  </si>
  <si>
    <t xml:space="preserve">Bitcoin will do to banks what email did to the postal industry </t>
  </si>
  <si>
    <t>i dont care about bitcoin can i just got my phone 3 months ago</t>
  </si>
  <si>
    <t xml:space="preserve">Don't forget crypto is coming to robinhood </t>
  </si>
  <si>
    <t xml:space="preserve">Health Information System </t>
  </si>
  <si>
    <t>Bitcoin advert scam</t>
  </si>
  <si>
    <t xml:space="preserve">Looks like is on the rise again </t>
  </si>
  <si>
    <t>Doesn't he owe bitcoin to whoever catches him still tweeting</t>
  </si>
  <si>
    <t>Bitcoin isn't gold</t>
  </si>
  <si>
    <t>Bitcoin:$8880.99 Ethereum:$943.405 Bitcoin Cash:$1190.65 Litecoin:$134.139 Ripple:$0.873894 IOTA:$1.88541</t>
  </si>
  <si>
    <t xml:space="preserve">Press Release: Silvertoken: A Stabilizing Currency in an armed raid in rural England </t>
  </si>
  <si>
    <t xml:space="preserve">CryptoCompare Bitcoin price changed +1.00% to $8963.56 </t>
  </si>
  <si>
    <t>We are buying bitcoin this morning RT for that person looking for buyer thanks</t>
  </si>
  <si>
    <t>I have no doubts you can become a unique bitcoin expert please join</t>
  </si>
  <si>
    <t>Sanduskygate bitcoin guy 2 tidies dittos 2 all g string rico parties mo than 2x every dime 18 Times return</t>
  </si>
  <si>
    <t xml:space="preserve">Be the big  </t>
  </si>
  <si>
    <t>i hope people stop talking about crypto/bitcoin before I have to learn what it is</t>
  </si>
  <si>
    <t>F your Bitcoin female enticer bs</t>
  </si>
  <si>
    <t>HODL retweet</t>
  </si>
  <si>
    <t>Bitcoin</t>
  </si>
  <si>
    <t xml:space="preserve">Bitcoin percentage of market cap: 34.8 % </t>
  </si>
  <si>
    <t>Cryptocurrency: Price USD: 8971.2 Price BTC: 1.0 24h Volume USD: 10259800000.0 Percent change 24h: 10.51</t>
  </si>
  <si>
    <t>Nothing is wrong with bitcoin</t>
  </si>
  <si>
    <t xml:space="preserve">Taipei Taps IOTA Blockchain Tech for Smart City Upgrade  </t>
  </si>
  <si>
    <t>Cant wait to see the fomo this next month jump back in after they shat themselves and sold out $trx</t>
  </si>
  <si>
    <t xml:space="preserve">The Current Bitcoin Price is 0.00011236 BTC for $1 USD </t>
  </si>
  <si>
    <t xml:space="preserve">Be a big </t>
  </si>
  <si>
    <t>This is the spirit behind bitcoin</t>
  </si>
  <si>
    <t>buy when there's blood in the streets $btc</t>
  </si>
  <si>
    <t xml:space="preserve">So if satoshi sells his bitcoins does that mean bitcoin will die </t>
  </si>
  <si>
    <t xml:space="preserve">CryptoCompare Bitcoin price changed +1.01% to $9053.92 </t>
  </si>
  <si>
    <t xml:space="preserve">Current BTC Dominance: 34.78% </t>
  </si>
  <si>
    <t>Bitcoin:$8954.81 Ethereum:$949.575 Bitcoin Cash:$1215.91 Litecoin:$134.939 Ripple:$0.880439 IOTA:$1.91307</t>
  </si>
  <si>
    <t>The price of is currently $8954.8100 $BTC</t>
  </si>
  <si>
    <t>1 Bitcoin = 7335 Euro</t>
  </si>
  <si>
    <t>just unistall bitcoin core and switch to bitcoin abc</t>
  </si>
  <si>
    <t xml:space="preserve">Bitcoin Price: $8954.81 [USD] 1hr - change: 1.95% 1day - trend: 10.22% 1week - trend: -20.36% Remaining Supply: 19.796% </t>
  </si>
  <si>
    <t xml:space="preserve">BTC hourly update $9062.60 | +0.0270% $BTC </t>
  </si>
  <si>
    <t xml:space="preserve">Current price of Bitcoin is $9028.00 Like if thats good for you and retweet if thats not good for you </t>
  </si>
  <si>
    <t xml:space="preserve">Latest Bitcoin Price: $9051.47 USD for 1 BTC </t>
  </si>
  <si>
    <t>Current price of Bitcoin is $9028.00</t>
  </si>
  <si>
    <t xml:space="preserve">Current price of Bitcoin is $9028.00 - please Like/RT - Thanks </t>
  </si>
  <si>
    <t>Insult - You are a Bitcoin</t>
  </si>
  <si>
    <t xml:space="preserve">is going down down </t>
  </si>
  <si>
    <t>Bitcoin ve posw var</t>
  </si>
  <si>
    <t>alamat Bitcoin 1AP49EXSASd17P9wBPYBs26iVtWowUY6kn</t>
  </si>
  <si>
    <t>Current price of is $9028.00</t>
  </si>
  <si>
    <t xml:space="preserve">Retweet if you want $QASH on $binance or $kucoin  </t>
  </si>
  <si>
    <t>The ethereum network can overcome bitcoin in that year//</t>
  </si>
  <si>
    <t>0xEc82Ff7BE0F93BA98398EB4438DC4A36B566d999</t>
  </si>
  <si>
    <t>Bitcoin address 1AP49EXSASd17P9wBPYBs26iVtWowUY6kn</t>
  </si>
  <si>
    <t>Bitcoin cyrpto currency</t>
  </si>
  <si>
    <t>Bitcoin is a scam and those promoting it should be exposed</t>
  </si>
  <si>
    <t xml:space="preserve">Bitcoin BTC Current Price: $8976.74 1 Hour: 2.19 % | 24 Hours: 10.31 % | 7 Days: -20.17 % </t>
  </si>
  <si>
    <t>Bitcoin under financial scrutiny to be bann for example Ico from face book</t>
  </si>
  <si>
    <t>Like Bitcoin right now</t>
  </si>
  <si>
    <t xml:space="preserve">Current price of Bitcoin is $9028.00 </t>
  </si>
  <si>
    <t xml:space="preserve">Now it is hurting PC gamers by pushing up $GPU prices </t>
  </si>
  <si>
    <t>Bitcoin Cash BCH Current Price: $1226.81 1 Hour: 3.82 % | 24 Hours: 14.43 % | 7 Days: -23.88 % cash</t>
  </si>
  <si>
    <t>Bitcoin has these morons buying a bunch of penny stocks and posting em everyday cause they think they the wolf of Wall Street now</t>
  </si>
  <si>
    <t>BTC-RCN AskRate: 0.00002298 $RCN Credit Network FOLLOW for PROFIT</t>
  </si>
  <si>
    <t>At first glance i thought that was the bitcoin chart</t>
  </si>
  <si>
    <t>feel bad for the all people that bought a bunch of bitcoin after hearing about it on talk radio for the first time like 2 months ago</t>
  </si>
  <si>
    <t>Take two bitcoin with water</t>
  </si>
  <si>
    <t>why is there a unicode bitcoin symbol</t>
  </si>
  <si>
    <t xml:space="preserve">Current price of Bitcoin is $8745.02 </t>
  </si>
  <si>
    <t>because the government and bitcoin are best friends</t>
  </si>
  <si>
    <t>I joked about Bitcoin in my Tinder bio and it has ruined my targeted ads</t>
  </si>
  <si>
    <t>Bitcoin:$8980.5 Ethereum:$948.876 Bitcoin Cash:$1216.6 Litecoin:$135.342 Ripple:$0.892628 IOTA:$1.88966</t>
  </si>
  <si>
    <t xml:space="preserve">Bitcoin boom is a 'gold rush' for cybercriminals </t>
  </si>
  <si>
    <t>Nope</t>
  </si>
  <si>
    <t>Apple co-founder Steve Wozniak bought bitcoin at $700</t>
  </si>
  <si>
    <t>Look up bitcoin news on google the price is falling</t>
  </si>
  <si>
    <t>Only if they pay me in Bitcoin</t>
  </si>
  <si>
    <t>Ohhh Bitcoin</t>
  </si>
  <si>
    <t>you don't have to buy a stock in bitcoin when you make cootie catchers</t>
  </si>
  <si>
    <t>Cryptocurrency: Price USD: 8966.6 Price BTC: 1.0 24h Volume USD: 9904820000.0 Percent change 24h: 9.59</t>
  </si>
  <si>
    <t>Just checked slightly up and the other crypto currencies are up hope this is recovery</t>
  </si>
  <si>
    <t xml:space="preserve">could entirely change the way our means of exchange works </t>
  </si>
  <si>
    <t xml:space="preserve">More bad pushes bitcoin's value could get bitcoin rich off of the $NFL playoffs this weekend </t>
  </si>
  <si>
    <t>New post: Crypto Rich and Paranoid: Threats Prompt Radical Security in Bitcoin Land</t>
  </si>
  <si>
    <t>How much of your income tax check u getting flipped and how much going to bitcoin</t>
  </si>
  <si>
    <t>bitcoin founder</t>
  </si>
  <si>
    <t>A bitcoin</t>
  </si>
  <si>
    <t xml:space="preserve">Liquidity Purchase Trend Myrend </t>
  </si>
  <si>
    <t>As I said its going up</t>
  </si>
  <si>
    <t xml:space="preserve">CLOUT Is Set To Attract Attention As A Of The North American Bitcoin </t>
  </si>
  <si>
    <t>So take a cash advance and buy Bitcoin</t>
  </si>
  <si>
    <t xml:space="preserve">Why Wall Street's Angry About the Bitcoin Gold Rush -- The Motley Fool </t>
  </si>
  <si>
    <t>Its just bitcoin so it doesnt count</t>
  </si>
  <si>
    <t xml:space="preserve">Yo memo is so stupid it thinks Trump is on the face of Bitcoin </t>
  </si>
  <si>
    <t>because people do many more illegal things with than the US dollar</t>
  </si>
  <si>
    <t xml:space="preserve">When &amp; go to the moon together it will be a beautiful sight </t>
  </si>
  <si>
    <t xml:space="preserve">The Current Bitcoin Price is 0.00011093 BTC for $1 USD </t>
  </si>
  <si>
    <t xml:space="preserve">wow great video thanks for the information using the following hashtags: </t>
  </si>
  <si>
    <t xml:space="preserve">happy to join with ths project using the following hashtags: </t>
  </si>
  <si>
    <t>Bitcoin about to skyrocket in the coming weeks imo</t>
  </si>
  <si>
    <t>I keep hear about bitcoin mining and I'm expecting to see an onion article about Bitcoin miners plan to unionize</t>
  </si>
  <si>
    <t>I have $40 in bitcoin Im just going to leave until it blows up again</t>
  </si>
  <si>
    <t>Ooooh do sell bitcoin next</t>
  </si>
  <si>
    <t xml:space="preserve">mobileye iverge bitcoin android 8.1 exynos 9 series fake news </t>
  </si>
  <si>
    <t xml:space="preserve">Current BTC Dominance: 34.72% </t>
  </si>
  <si>
    <t>Bitcoin:$9025.89 Ethereum:$953.352 Bitcoin Cash:$1224.49 Litecoin:$137.318 Ripple:$0.91132 IOTA:$1.88866</t>
  </si>
  <si>
    <t xml:space="preserve">BTC hourly update $9078.44 | +0.0017% $BTC </t>
  </si>
  <si>
    <t>In the next Mario you wont collect coins youll just collect Bitcoin investments</t>
  </si>
  <si>
    <t>Current price of Bitcoin is $9029.81</t>
  </si>
  <si>
    <t xml:space="preserve">Current price of is $9029.81 via Chain </t>
  </si>
  <si>
    <t xml:space="preserve">Current price of Bitcoin is $9029.81 </t>
  </si>
  <si>
    <t xml:space="preserve">Anonymous bitcoin philanthropist donates $5 million to medicine foundation </t>
  </si>
  <si>
    <t xml:space="preserve">Bitcoin Ban Expands Across Credit Cards as Big US Banks Recoil </t>
  </si>
  <si>
    <t xml:space="preserve">PSA: No India hasn't banned Bitcoin but it's still talking tough on crypto </t>
  </si>
  <si>
    <t xml:space="preserve">Bitcoin Mining Comes To New York As Lawmakers Approve Power Allocation </t>
  </si>
  <si>
    <t>ps bitcoin</t>
  </si>
  <si>
    <t>Current price of is $9029.81 $btc</t>
  </si>
  <si>
    <t>Current price of Bitcoin is $9029.81 via Chain</t>
  </si>
  <si>
    <t>1 is currently worth $9029.81. $BTC $BTCUSD [via ]</t>
  </si>
  <si>
    <t>Current price of is $9029.81</t>
  </si>
  <si>
    <t>Today's Bitcoin Price 9029.81 USD via Chain</t>
  </si>
  <si>
    <t>Bitcoin 9029.81 $</t>
  </si>
  <si>
    <t xml:space="preserve">Current price of Bitcoin is $9029.81 Like if thats good for you and retweet if thats not good for you </t>
  </si>
  <si>
    <t>Grow your bitcoin Get $200 bonus free instantly Earn 0.5btc every 5days Comment info isabellagmez079.com</t>
  </si>
  <si>
    <t>Price Alert: Current price of $BTC is $9029.81 USD</t>
  </si>
  <si>
    <t>Bitcoin Candy</t>
  </si>
  <si>
    <t xml:space="preserve">amazing payouts paid great work guys </t>
  </si>
  <si>
    <t xml:space="preserve">Bitcoin BTC Current Price: $9033.37 1 Hour: 0.46 % | 24 Hours: 8.9 % | 7 Days: -19.74 % </t>
  </si>
  <si>
    <t>**green emoji rain dance to appease the bitcoin green candle gods**</t>
  </si>
  <si>
    <t>look just srop emailing me pk ok spam bitcoin afs and that likr i onlu ha e so much data storage in my cuboid pyrisium</t>
  </si>
  <si>
    <t>How bout my bitcoin</t>
  </si>
  <si>
    <t>Don't let Bitcoin distract you from the fact football is on Saturday</t>
  </si>
  <si>
    <t>my friend won't make it to the bitcoin meetup so i have to go alone and i'm kinda scared Ha</t>
  </si>
  <si>
    <t>Bitcoin Cash BCH Current Price: $1220.36 1 Hour: - | 24 Hours: 12.02 % | 7 Days: -24.37 % cash</t>
  </si>
  <si>
    <t xml:space="preserve">Bitcoin Bien </t>
  </si>
  <si>
    <t xml:space="preserve">Bitcoin dropped and so did registrations for this year's Should've cashed you greedy degenerates </t>
  </si>
  <si>
    <t>8:19am the journey to get another 8k in bitcoin begins</t>
  </si>
  <si>
    <t>go to the moon 20000$ buy guys</t>
  </si>
  <si>
    <t>Cryptocurrency: Price USD: 8979.15 Price BTC: 1.0 24h Volume USD: 8804650000.0 Percent change 24h: 7.71</t>
  </si>
  <si>
    <t>$xvg next bitcoin please</t>
  </si>
  <si>
    <t>I made a 4 dollar profit off bitcoin ask me anything</t>
  </si>
  <si>
    <t>a btc tatoo is something you have to make fun of :D worse than wearing a bitcoin t-shirt haha</t>
  </si>
  <si>
    <t xml:space="preserve">pikpoint == bitcoin </t>
  </si>
  <si>
    <t>what</t>
  </si>
  <si>
    <t>should invest will be as valuable as bitcoin soon</t>
  </si>
  <si>
    <t xml:space="preserve">Bitcoin Dives As Cryptocurrency's Top Market Is Still Very Cheap Bitcoin Mining </t>
  </si>
  <si>
    <t>You wish</t>
  </si>
  <si>
    <t>Get that BITCOIN AFF</t>
  </si>
  <si>
    <t xml:space="preserve">Retweet if you agree that Bitcoin is the new gold </t>
  </si>
  <si>
    <t xml:space="preserve">Yes I think that bitcoin will become great again  </t>
  </si>
  <si>
    <t>Scammmm</t>
  </si>
  <si>
    <t>Bitcoin will fall below $5000 before mid Feb</t>
  </si>
  <si>
    <t>Bitcoin:$8992.3 Ethereum:$952.641 Bitcoin Cash:$1220.28 Litecoin:$142.191 Ripple:$0.910786 IOTA:$1.88248</t>
  </si>
  <si>
    <t>Easy now tell me how you plan on easily selling the bitcoin you bought</t>
  </si>
  <si>
    <t xml:space="preserve">The Current Bitcoin Price is 0.00011074 BTC for $1 USD </t>
  </si>
  <si>
    <t xml:space="preserve">Bitcoin is about to break out from its FIRST BULL TRIANGLE since its dip to $7600. </t>
  </si>
  <si>
    <t>I should've bought Bitcoin stock when it was at 8k yesterday</t>
  </si>
  <si>
    <t xml:space="preserve">Welcome back to the green zone </t>
  </si>
  <si>
    <t xml:space="preserve">Announcing the Tru Reputation Protocol - the future of Digital Reputation </t>
  </si>
  <si>
    <t>BITCOIN 9107 switch to UPTREND TARGET higher ~~~ &gt; 9364</t>
  </si>
  <si>
    <t xml:space="preserve">goes 1% up and heyyyyyy heyyyyyy heyyyyyy anthem starts playing in air </t>
  </si>
  <si>
    <t xml:space="preserve">CryptoCompare Bitcoin price changed +1.21% to $9163.26 </t>
  </si>
  <si>
    <t xml:space="preserve"># altCoin Soon will regularate </t>
  </si>
  <si>
    <t>CS2034b and DH2144b Assignment 2 for winter 2019</t>
  </si>
  <si>
    <t>how do I stop the bitcoin ads</t>
  </si>
  <si>
    <t xml:space="preserve">Easy ass Bitcoin bounce lmaooo </t>
  </si>
  <si>
    <t xml:space="preserve">Bitcoin </t>
  </si>
  <si>
    <t>Bitcoin in a way to $10000</t>
  </si>
  <si>
    <t>1 Bitcoin = 7450 Euro</t>
  </si>
  <si>
    <t>help please send me little eth 0x8e83d0348279faa3bbacf99b09c43b2ffe8b2dd0 needs a new home</t>
  </si>
  <si>
    <t xml:space="preserve">Bitcoin percentage of market cap: 34.56 % </t>
  </si>
  <si>
    <t>best I can tell 102% of the bay area now works at a bitcoin startup</t>
  </si>
  <si>
    <t>Currency besides bitcoin</t>
  </si>
  <si>
    <t xml:space="preserve">CryptoCompare Bitcoin price changed +1.19% to $9272.29 </t>
  </si>
  <si>
    <t>Keep selling your bitcoin</t>
  </si>
  <si>
    <t xml:space="preserve">The best part of hodling crypto during crashes is how relatable all the memes become </t>
  </si>
  <si>
    <t>Hahaha so is ready to soar it seems let's be ready to sell as soon as it reaches 17k can be smarter than banks for sure</t>
  </si>
  <si>
    <t>Bitcoin panic selloff crash 530 and Lower</t>
  </si>
  <si>
    <t xml:space="preserve">You misspelled counterfeit scams of bitcoin </t>
  </si>
  <si>
    <t>I hate bitcoin miners stealing all the gpus</t>
  </si>
  <si>
    <t xml:space="preserve">Troubleshooting Bitcoin Gold and Bitcoin Candy Expected Soon </t>
  </si>
  <si>
    <t xml:space="preserve">The bounce back is Real  </t>
  </si>
  <si>
    <t>Unfollowed</t>
  </si>
  <si>
    <t>Finally bitcoin broke nine this is going be a good month</t>
  </si>
  <si>
    <t>Your temperature is like bitcoin over the past 2 months lol</t>
  </si>
  <si>
    <t xml:space="preserve">we thought its about $btc and not $bch </t>
  </si>
  <si>
    <t xml:space="preserve">The recovery continues </t>
  </si>
  <si>
    <t>Join this when bitcoin</t>
  </si>
  <si>
    <t>Please stop investing in Bitcoin so I can afford a new graphics card please</t>
  </si>
  <si>
    <t>And the next article will say bitcoin makes massive recovery amd no mention of xrp</t>
  </si>
  <si>
    <t>bitcoin is good</t>
  </si>
  <si>
    <t>Bitcoin adress: 18exsJrjdzSassKC516ff74g1TWodKViQw Eth adress: 0x56b1156004c39e7430f0d04475a8de7f5995409c Would love to get it</t>
  </si>
  <si>
    <t>Need to buy some bitcoin</t>
  </si>
  <si>
    <t xml:space="preserve">The government can't stop Bitcoin </t>
  </si>
  <si>
    <t>I would rather become a homeless bum than buy bitcoin</t>
  </si>
  <si>
    <t xml:space="preserve">Current BTC Dominance: 34.53% </t>
  </si>
  <si>
    <t>Bitcoin:$9209.09 Ethereum:$972.376 Bitcoin Cash:$1251.59 Litecoin:$145.196 Ripple:$0.940616 IOTA:$1.91887</t>
  </si>
  <si>
    <t xml:space="preserve">BTC hourly update $9284.07 | +0.0226% $BTC </t>
  </si>
  <si>
    <t>Current price of Bitcoin is $9260.01 via Chain</t>
  </si>
  <si>
    <t>Current price of Bitcoin is $9260.01</t>
  </si>
  <si>
    <t>Current price of is $9260.01</t>
  </si>
  <si>
    <t>Today's Bitcoin Price 9260.01 USD via Chain</t>
  </si>
  <si>
    <t xml:space="preserve">Current price of Bitcoin is $9260.01 Like if thats good for you and retweet if thats not good for you </t>
  </si>
  <si>
    <t>does it show ur bitcoin amount</t>
  </si>
  <si>
    <t>Current price: $9260.01 USD</t>
  </si>
  <si>
    <t>Current price of is $9260.01 via Chain</t>
  </si>
  <si>
    <t>Bitcoin 9260.01 $</t>
  </si>
  <si>
    <t xml:space="preserve">Current price of Bitcoin is $9260.01 </t>
  </si>
  <si>
    <t>He has been to bitcoin college</t>
  </si>
  <si>
    <t>BITCOIN AFF</t>
  </si>
  <si>
    <t>Jack Rodwell pretends he bought Bitcoin</t>
  </si>
  <si>
    <t>He also just got banned on 2p2 again for trolling the Bitcoin thread</t>
  </si>
  <si>
    <t>Bitcoin nice bounce</t>
  </si>
  <si>
    <t>Cryptocurrency: Price USD: 9202.81 Price BTC: 1.0 24h Volume USD: 8524490000.0 Percent change 24h: 8.36</t>
  </si>
  <si>
    <t>Blame bitcoin miners</t>
  </si>
  <si>
    <t>i need bitcoin over 11k &amp; the eagles w/ a ring by Monday tyvm</t>
  </si>
  <si>
    <t xml:space="preserve">go suck a </t>
  </si>
  <si>
    <t>can you share a bitcoin with me and help me get started in cryptocurrency</t>
  </si>
  <si>
    <t xml:space="preserve">Bitcoin BTC Current Price: $9208.89 1 Hour: 2.25 % | 24 Hours: 8.76 % | 7 Days: -18.31 % </t>
  </si>
  <si>
    <t>Bitcoin is the Beanie Babies of this decade</t>
  </si>
  <si>
    <t xml:space="preserve">Worlds biggest Bitcoin exchange security under scrutiny in Indonesian island of Bali </t>
  </si>
  <si>
    <t>he made millions with bitcoin</t>
  </si>
  <si>
    <t>I thought you guys only accepted Bitcoin Cash</t>
  </si>
  <si>
    <t>Checkin my while I'm in the Taipei airport Satisfied with my -$150 return</t>
  </si>
  <si>
    <t xml:space="preserve">I honestly believe whatever happens to global markets Monday will determine if $btc breaks bullish </t>
  </si>
  <si>
    <t xml:space="preserve">CryptoCompare Bitcoin price changed +1.07% to $9371.17 </t>
  </si>
  <si>
    <t xml:space="preserve">You can earn btc without any investment  </t>
  </si>
  <si>
    <t xml:space="preserve">Opinion on the </t>
  </si>
  <si>
    <t>Cryptos like Bitcoin could help</t>
  </si>
  <si>
    <t xml:space="preserve">Bitcoin currently at $9400 come on one final push to $10000 to disband all this FUD nonsense </t>
  </si>
  <si>
    <t>bitcoin</t>
  </si>
  <si>
    <t>Bitcoin Cash BCH Current Price: $1245.46 1 Hour: 1.96 % | 24 Hours: 10.33 % | 7 Days: -22.98 % cash</t>
  </si>
  <si>
    <t xml:space="preserve">LOOKING GOOD THIS MORNING GUYS $BTC $ETH $LTC LONG AND STRONG </t>
  </si>
  <si>
    <t>make sure you have the latest version of the Bitcoin app on your Nano S</t>
  </si>
  <si>
    <t>i follow one bitcoin instagram account just for fun and everyone there is freaking out over the drop</t>
  </si>
  <si>
    <t>10K bitcoin by Monday will be perfect</t>
  </si>
  <si>
    <t>1 reson it's not - $bcash</t>
  </si>
  <si>
    <t>BTC-GAME AskRate: 0.00029621 $GAME  FOLLOW for PROFIT</t>
  </si>
  <si>
    <t xml:space="preserve">$10k $BTC tomorrow </t>
  </si>
  <si>
    <t xml:space="preserve">All the way to $10k again </t>
  </si>
  <si>
    <t>I bought more bitcoin</t>
  </si>
  <si>
    <t>1 Bitcoin = 7532 Euro</t>
  </si>
  <si>
    <t>The virgin Bitcoin tattoo at the ATH vs the Chad Link tattoo at 45 cents</t>
  </si>
  <si>
    <t>Just Put A Lil Sum In Bitcoin</t>
  </si>
  <si>
    <t>1st is brexit 2 is bitcoin i've looked at the brexit crash too many times not to recognise it</t>
  </si>
  <si>
    <t xml:space="preserve">Buy bitcoin as low as $9000 </t>
  </si>
  <si>
    <t xml:space="preserve">Ethereum Price Forecast: ETH/USD Making Progress But Not Out of Woods Yet </t>
  </si>
  <si>
    <t>i see sky so blue bitcoin too and i said to myself what a wonderfull world~</t>
  </si>
  <si>
    <t xml:space="preserve">Project start soon </t>
  </si>
  <si>
    <t>fragger is a bitcoin rich guy tbh</t>
  </si>
  <si>
    <t>flash crash bitcoin sell bitcoin buy altcoin and real btc</t>
  </si>
  <si>
    <t>Bitcoin:$9320.15 Ethereum:$980.562 Bitcoin Cash:$1265.9 Litecoin:$147.618 Ripple:$0.954427 IOTA:$1.95818</t>
  </si>
  <si>
    <t xml:space="preserve">One day Im going to buy some </t>
  </si>
  <si>
    <t xml:space="preserve">this is a suckers rally </t>
  </si>
  <si>
    <t>League = Bitcoin Cash Dota = Bitcoin</t>
  </si>
  <si>
    <t xml:space="preserve">'this is a sucker's rally' </t>
  </si>
  <si>
    <t xml:space="preserve">Losing 74% of your crypto portfolio in 3 weeks is fun </t>
  </si>
  <si>
    <t>Hodl is a future STAY off Bitcoin</t>
  </si>
  <si>
    <t xml:space="preserve">how is the money </t>
  </si>
  <si>
    <t>Bitcoin 30k</t>
  </si>
  <si>
    <t>I'll give you $10 for that Bitcoin in the window</t>
  </si>
  <si>
    <t>self taught trader aka you made 30p through bitcoin</t>
  </si>
  <si>
    <t xml:space="preserve">FOMO is just heating up the engines before WARP mode </t>
  </si>
  <si>
    <t>Bitcoin downside target $btc</t>
  </si>
  <si>
    <t>I felt aelf will become next to bitcoin</t>
  </si>
  <si>
    <t>gotta use the bitcoin for sumthn man</t>
  </si>
  <si>
    <t xml:space="preserve">Yo memo is so worthless no ones gonna pay a single Bitcoin for it </t>
  </si>
  <si>
    <t>Looks like Bitcoin markets affects horses too</t>
  </si>
  <si>
    <t>I have faith in bitcoin with LN and smart contracts</t>
  </si>
  <si>
    <t xml:space="preserve">Let's make together </t>
  </si>
  <si>
    <t>Bitcoin for olds</t>
  </si>
  <si>
    <t>U would walk away when Bitcoin was 0.08 and went op x20 lmao</t>
  </si>
  <si>
    <t xml:space="preserve">looking good </t>
  </si>
  <si>
    <t>Still better investment than bitcoin</t>
  </si>
  <si>
    <t>Please follow 'BTCpx' to keep updated on the latest Bitcoin price $BTC</t>
  </si>
  <si>
    <t>Get bitcoin and beyblades confused don't you</t>
  </si>
  <si>
    <t>Joke: Bitcoin prices are volatile Woke: Yu-Gi-Oh card prices are volatile</t>
  </si>
  <si>
    <t xml:space="preserve">why cant i see a normal bitcoin address when trying to pay </t>
  </si>
  <si>
    <t>Bitcoin 9400</t>
  </si>
  <si>
    <t xml:space="preserve">And I lost 1 Bitcoin by clicking on the link </t>
  </si>
  <si>
    <t>Bitcoin braces for worst week since 2013</t>
  </si>
  <si>
    <t>ITIS NO BUBBLE NOMINELL BITCOIN WORTH ISS 450$</t>
  </si>
  <si>
    <t>Cryptocurrency: Price USD: 9345.59 Price BTC: 1.0 24h Volume USD: 8192620000.0 Percent change 24h: 7.17</t>
  </si>
  <si>
    <t>I had a feeling bitcoin was going to spike right back up</t>
  </si>
  <si>
    <t>NORMAL WORTH OFA BITCOIN 200-450$ NOW 8000 OF 20.000 1 COIN  I USED TO ORDER IN DARKNET ILLEGAL DRUGZ</t>
  </si>
  <si>
    <t>I will be tweeting about and in English and Turkish</t>
  </si>
  <si>
    <t>Ayyy bitcoin with da pump againnn</t>
  </si>
  <si>
    <t>It's like the same story of fake satoshi now Bcash wants to be the original BITCOIN</t>
  </si>
  <si>
    <t xml:space="preserve">You can buy 2216 Big Macs with 1 Bitcoin </t>
  </si>
  <si>
    <t xml:space="preserve">Current BTC Dominance: 34.58% </t>
  </si>
  <si>
    <t>Bitcoin:$9341.28 Ethereum:$982.927 Bitcoin Cash:$1265.06 Litecoin:$148.386 Ripple:$0.952644 IOTA:$1.98101</t>
  </si>
  <si>
    <t xml:space="preserve">BTC hourly update $9388.13 | +0.0112% $BTC </t>
  </si>
  <si>
    <t xml:space="preserve">Current price of $Bitcoin is $9370.50 via </t>
  </si>
  <si>
    <t xml:space="preserve">Current price of Bitcoin is $9370.50 $btc </t>
  </si>
  <si>
    <t xml:space="preserve">Current price of Bitcoin is $9370.50 </t>
  </si>
  <si>
    <t>Current price of Bitcoin is $9370.50</t>
  </si>
  <si>
    <t>1 Bitcoin = 7619 Euro</t>
  </si>
  <si>
    <t>1 Bitcoin = 9370.50$ $BTC</t>
  </si>
  <si>
    <t xml:space="preserve">CryptoCompare Bitcoin price changed +1.07% to $9471.78 </t>
  </si>
  <si>
    <t>Current price of Bitcoin is $9370.50 via Chain</t>
  </si>
  <si>
    <t xml:space="preserve">Current price of Bitcoin is $9370.50 Like if thats good for you and retweet if thats not good for you </t>
  </si>
  <si>
    <t xml:space="preserve">Current price of is $9370.50 </t>
  </si>
  <si>
    <t>Current price of is $9370.50</t>
  </si>
  <si>
    <t xml:space="preserve">Current price of is $9370.50 via Chain </t>
  </si>
  <si>
    <t>Bitcoin will be worth more than 1 Million USD in 2025 - Crypto Dwight Schrute* *this is not financial advice</t>
  </si>
  <si>
    <t>Because people never experienced financial freedom and independence pre-bitcoin</t>
  </si>
  <si>
    <t xml:space="preserve">Bitcoin BTC Current Price: $9348.28 1 Hour: 1.6 % | 24 Hours: 7.01 % | 7 Days: -17.29 % </t>
  </si>
  <si>
    <t xml:space="preserve">Latest Bitcoin Price: $9413.11 USD for 1 BTC </t>
  </si>
  <si>
    <t>U MUSST SEEN BITCOIN A YEAR ORSO AGO WASS 400$ HYPED TILL NEAR 20.000$ ISSNO REAL LOSS ON 9000$ NOW</t>
  </si>
  <si>
    <t>Cant wait for to leave behind</t>
  </si>
  <si>
    <t>Bitcoin Cash BCH Current Price: $1274.37 1 Hour: 1.97 % | 24 Hours: 8.54 % | 7 Days: -21.38 % cash</t>
  </si>
  <si>
    <t>No incentive to run node same as iota bitcoin is not about tech</t>
  </si>
  <si>
    <t xml:space="preserve">'s price at exchange listing after $wan </t>
  </si>
  <si>
    <t>Bitcoin: 7582 EUR</t>
  </si>
  <si>
    <t>*reading that the Bitcoin is not liquid* duh its a COIN</t>
  </si>
  <si>
    <t>Do you like bitcoin</t>
  </si>
  <si>
    <t>*reading that the Bitcoin is not very liquid* duh its a COIN</t>
  </si>
  <si>
    <t>Just waiting for bitcoin typosquatting forks</t>
  </si>
  <si>
    <t xml:space="preserve">Get the F**k out of bitcoin and get into gold man c'mon </t>
  </si>
  <si>
    <t>The year is 2050: Sean Kingston is our first Jamacin president Cyber bullying is punishable bt death penalty Gas costs 0.34 bitcoin</t>
  </si>
  <si>
    <t xml:space="preserve">Good Morning America Train pass today </t>
  </si>
  <si>
    <t>Famitory &amp; Fourlung official bitcoin mommies of the Olympic games</t>
  </si>
  <si>
    <t>I believe bitcoin future contract makers prepared a good dip and buying chance for future as they alreadt contracted last ATH around 19K</t>
  </si>
  <si>
    <t>here we go 2018</t>
  </si>
  <si>
    <t xml:space="preserve">CryptoCompare Bitcoin price changed -1.24% to $9354.61 </t>
  </si>
  <si>
    <t>wanted to hear Laura kipnis then had to endure an antic bit about Bitcoin jfc</t>
  </si>
  <si>
    <t>Hope Ali is Bitcoin</t>
  </si>
  <si>
    <t xml:space="preserve">because traditional banks love hearing about </t>
  </si>
  <si>
    <t xml:space="preserve">YOU NEVER KNOW WHOS SWIMMING NAKED UNTIL THE TIDE GOES OUT </t>
  </si>
  <si>
    <t>Just purchased $1 of bitcoin on cash app lol</t>
  </si>
  <si>
    <t xml:space="preserve">$btc $eth </t>
  </si>
  <si>
    <t>I have a mate who lost a couple of 100k on that scam coin because he sold his bitcoin for it</t>
  </si>
  <si>
    <t>Bitcoin:$9404.25 Ethereum:$977.854 Bitcoin Cash:$1271.22 Litecoin:$150.763 Ripple:$0.960072 IOTA:$1.9841</t>
  </si>
  <si>
    <t>You cant buy bitcoin on Venmo tho</t>
  </si>
  <si>
    <t>Buy bitcoin $btc</t>
  </si>
  <si>
    <t>i personally thinc investment in bitcoin will bring the second coming that much quiker lol</t>
  </si>
  <si>
    <t>I am getting tire of seeing this</t>
  </si>
  <si>
    <t>i came this great Old Country Buffet with only the shoes on my feet &amp; a single bitcoin</t>
  </si>
  <si>
    <t>Seems like Bitcoin may be a scam as well</t>
  </si>
  <si>
    <t>Will btc bitcoin hit $5000</t>
  </si>
  <si>
    <t>Bitcoin is pogs</t>
  </si>
  <si>
    <t xml:space="preserve">Bitcoin at $1 Million by 2020: McAfee Doubles Down on Bullish Bet </t>
  </si>
  <si>
    <t xml:space="preserve">Bitconnect is Facing its Second Class Action Lawsuit  </t>
  </si>
  <si>
    <t>Every informed person needs to know about Bitcoin because it's one of the world</t>
  </si>
  <si>
    <t>I ask my grandma and she told me that I have to buy Bitcoin</t>
  </si>
  <si>
    <t>Having 2 different banks and getting money from one account to the next is enough hassle for me to want to use bitcoin</t>
  </si>
  <si>
    <t xml:space="preserve">But can you spend bitcoin $ </t>
  </si>
  <si>
    <t>is greys anatomy really having an episode about bitcoin</t>
  </si>
  <si>
    <t>New support level for bitcoin could be 9k $btc</t>
  </si>
  <si>
    <t>Bitcoin var</t>
  </si>
  <si>
    <t xml:space="preserve">Makes for a great Italian Job sequel </t>
  </si>
  <si>
    <t xml:space="preserve">The Current Bitcoin Price is 0.00010727 BTC for $1 USD </t>
  </si>
  <si>
    <t xml:space="preserve">Bitcoin percentage of market cap: 34.6 % </t>
  </si>
  <si>
    <t>What is poverty Is this once and we'll randomly select Bitcoin value:</t>
  </si>
  <si>
    <t>Cryptocurrency: Price USD: 9272.33 Price BTC: 1.0 24h Volume USD: 8164830000.0 Percent change 24h: 4.85</t>
  </si>
  <si>
    <t>Those bitcoin commercials on snap gives me black mirror vibes</t>
  </si>
  <si>
    <t>Bitflyer Launches Its New Cryptocurrency Exchange to Use Bitcoin Data</t>
  </si>
  <si>
    <t>By injecting small amounts of Bitcoin into central banks scientists were able to completely destroy the tumors</t>
  </si>
  <si>
    <t>Ill be honest I still dont understand bitcoin</t>
  </si>
  <si>
    <t>Hi when will Bitcoin Diamond maintenance finish</t>
  </si>
  <si>
    <t>Wtf is a bitcoin lol</t>
  </si>
  <si>
    <t>I accept Bitcoin &amp; tapioca pudding</t>
  </si>
  <si>
    <t>His last album Get Bitcoin or Die Typing</t>
  </si>
  <si>
    <t xml:space="preserve">Send me BTC: my adress: 1JRDXJCgqYUKRUNrorY3VGV8xuyUMfRsPY </t>
  </si>
  <si>
    <t>Imagine being this philosophically invested in cryptocurrency and still thinking Bitcoin is the best one</t>
  </si>
  <si>
    <t>It's come to a point where I pray that Bitcoin falls so that people can finally ditch their graphics cards and make GPU prices fall</t>
  </si>
  <si>
    <t>There has to be a pimp somewhere who was sending hoes via bitcoin and forgot he had funds in his wallet lol</t>
  </si>
  <si>
    <t xml:space="preserve">Bitcoin price &gt; Finding a Valentine </t>
  </si>
  <si>
    <t xml:space="preserve">CryptoCompare Bitcoin price changed -1.21% to $9241.75 </t>
  </si>
  <si>
    <t xml:space="preserve">Great technical workshop for bitcoin by </t>
  </si>
  <si>
    <t>Guys Has any of you invested in bitcoin or in different cryptocurrencies I need help</t>
  </si>
  <si>
    <t>Biggest scammers I've ever seen lmao DELIVER AT LEAST ONE BATCH OF BITCOIN MINERS FIRST</t>
  </si>
  <si>
    <t>i'm getting you a nice box of Bitcoin shaped chocolate for valentines day</t>
  </si>
  <si>
    <t xml:space="preserve">Current BTC Dominance: 34.84% </t>
  </si>
  <si>
    <t>BTC-XZC AskRate: 0.00652686 $XZC  FOLLOW for PROFIT</t>
  </si>
  <si>
    <t>Bitcoin:$9212.29 Ethereum:$957.606 Bitcoin Cash:$1255.13 Litecoin:$145.142 Ripple:$0.921423 IOTA:$1.93173</t>
  </si>
  <si>
    <t>Current price of is $9208.11</t>
  </si>
  <si>
    <t xml:space="preserve">BTC hourly update $9217.72 | -0.0182% $BTC </t>
  </si>
  <si>
    <t xml:space="preserve">Current price of Bitcoin is $9208.11 Like if thats good for you and retweet if thats not good for you </t>
  </si>
  <si>
    <t xml:space="preserve">Current price of Bitcoin is $9208.11 </t>
  </si>
  <si>
    <t>I still dont know what the hell bitcoin is</t>
  </si>
  <si>
    <t>Current price of Bitcoin is $9208.11 via Chain</t>
  </si>
  <si>
    <t>id recommend ireland and bitcoin at around 8k with a 40k target</t>
  </si>
  <si>
    <t>will write yelp reviews for bitcoin</t>
  </si>
  <si>
    <t>Bitcoin is another ponzi scheme</t>
  </si>
  <si>
    <t>I'm waiting for the bitcoin dip and going all in to Eos</t>
  </si>
  <si>
    <t>Current price of Bitcoin is $9208.11</t>
  </si>
  <si>
    <t>Bitcoin 9208.11 $</t>
  </si>
  <si>
    <t>yall didnt even know what a portfolio was before bitcoin lol</t>
  </si>
  <si>
    <t>ideally we want bitcoin to go up slowly and give enough time for us to make bank off alts</t>
  </si>
  <si>
    <t>Newsflash: Bitcoin Price Gains Boost Nvidia GPU Sales</t>
  </si>
  <si>
    <t>true bitcoin ruined it</t>
  </si>
  <si>
    <t xml:space="preserve">SUMMER SALE NOWON Selling TCC account For sale:10bit If you are interested Please contact or DM me </t>
  </si>
  <si>
    <t xml:space="preserve">Bitcoin BTC Current Price: $9212.29 1 Hour: -1.57 % | 24 Hours: 4.12 % | 7 Days: -18.67 % </t>
  </si>
  <si>
    <t xml:space="preserve">Invested in bitcoin and made 3 cents over night </t>
  </si>
  <si>
    <t xml:space="preserve">Latest Bitcoin Price: $9141.2 USD for 1 BTC </t>
  </si>
  <si>
    <t>id give you a wrestling shirt to pay off 0.00183037% of your bitcoin debt but i dont think you deserve it</t>
  </si>
  <si>
    <t>Bitcoin ban expands across credit cards - Taipei Times</t>
  </si>
  <si>
    <t xml:space="preserve">Because I didnt click on your page for any bitcoin related reason </t>
  </si>
  <si>
    <t xml:space="preserve">CryptoCompare Bitcoin price changed -1.13% to $9137.18 </t>
  </si>
  <si>
    <t>Where's the buy bitcoin guy</t>
  </si>
  <si>
    <t xml:space="preserve">The Current Bitcoin Price is 0.00010975 BTC for $1 USD </t>
  </si>
  <si>
    <t>what the hell is bitcoin</t>
  </si>
  <si>
    <t xml:space="preserve">Looks like we may see $btc 8k again </t>
  </si>
  <si>
    <t>im so rich i bought the moon - bitcoin hodler that got in at 19k</t>
  </si>
  <si>
    <t>That chart looked a lot like the NASDAQ circa 2000</t>
  </si>
  <si>
    <t xml:space="preserve">Tight game to start but we run into half 7-3 vs crosstown rivals </t>
  </si>
  <si>
    <t>At this point every good comment about should be followed up with knock on wood IMO</t>
  </si>
  <si>
    <t>Bitcoin Cash BCH Current Price: $1243.62 1 Hour: -2.03 % | 24 Hours: 4.37 % | 7 Days: -23.41 % cash</t>
  </si>
  <si>
    <t>morning bitcoin investor :</t>
  </si>
  <si>
    <t>DYING FOR SATOSHI'S BITCOIN PROFITS</t>
  </si>
  <si>
    <t>Invest in Bitcoin then</t>
  </si>
  <si>
    <t xml:space="preserve">buy the dips in an uptrend </t>
  </si>
  <si>
    <t>Wtf is a bitcoin</t>
  </si>
  <si>
    <t xml:space="preserve">Dont let the market ruin your weekend is going to be just fine - </t>
  </si>
  <si>
    <t>When did u stop pumping bitcoin</t>
  </si>
  <si>
    <t>I'm gonna get my bitcoin I'm gonna get my bitcoin</t>
  </si>
  <si>
    <t>Yeh go ahead buy bitcoin And watch your face get ripped off - silly fish</t>
  </si>
  <si>
    <t>Bitcoin Cash</t>
  </si>
  <si>
    <t>bitcoin make we life vivid</t>
  </si>
  <si>
    <t>$BTCUSD Will you sell at $10000 or Not $BTC $LTC $LTCUSD</t>
  </si>
  <si>
    <t xml:space="preserve">Would be nice to compare this to a map showing where Bitcoin mining is located </t>
  </si>
  <si>
    <t xml:space="preserve">Cryptocurrency: Litecoin to launch LitePay and rival BitPay in days | City &amp; Business | Finance </t>
  </si>
  <si>
    <t xml:space="preserve">CryptoCompare Bitcoin price changed +1.05% to $9232.85 </t>
  </si>
  <si>
    <t>Cryptocurrency: Price USD: 9116.86 Price BTC: 1.0 24h Volume USD: 7773010000.0 Percent change 24h: 2.79</t>
  </si>
  <si>
    <t>Bitcoin:$9116.86 Ethereum:$950.085 Bitcoin Cash:$1235.59 Litecoin:$144.862 Ripple:$0.922305 IOTA:$1.93121</t>
  </si>
  <si>
    <t>Bitcoin is most valuable because of first mover advantage and that's it - its losing ground daily</t>
  </si>
  <si>
    <t xml:space="preserve">tren up </t>
  </si>
  <si>
    <t>vividcoin bitcoin</t>
  </si>
  <si>
    <t>This is great news</t>
  </si>
  <si>
    <t>Why not just run a lightning node on the bitcoin network instead</t>
  </si>
  <si>
    <t>If you have a cash app that has already passed the bitcoin verified process message me</t>
  </si>
  <si>
    <t>Because people have been requesting this: We will also give away 0.1 $BTC to 1 person who retweets this tweet $NEO $LTC</t>
  </si>
  <si>
    <t>How r u gonna give away bitcoin lol</t>
  </si>
  <si>
    <t>my mom just asked me what a bitcoin was</t>
  </si>
  <si>
    <t xml:space="preserve">Buy when there's blood in the streets </t>
  </si>
  <si>
    <t>Bitcoin Ban Expands Across Credit Cards as Big US Banks Recoil - Bloomberg</t>
  </si>
  <si>
    <t>When hes sad about Bitcoin &gt;</t>
  </si>
  <si>
    <t>something IA and Bitcoin related</t>
  </si>
  <si>
    <t xml:space="preserve">The Current Bitcoin Price is 0.00010858 BTC for $1 USD </t>
  </si>
  <si>
    <t xml:space="preserve">Lord comebacking </t>
  </si>
  <si>
    <t xml:space="preserve">3k in bitcoin yeah right Ian </t>
  </si>
  <si>
    <t>correlation of people who bet on vaporwave and bitcoin in 2014 and have lost literally everything deservedly</t>
  </si>
  <si>
    <t xml:space="preserve">cardano taking off with new expected gains today </t>
  </si>
  <si>
    <t>How to start using a bitcoin savings wallet</t>
  </si>
  <si>
    <t>If Bitcoin goes under 4500 i would sell my home to BTFD</t>
  </si>
  <si>
    <t>Nasdaq Exploring Total Return Bitcoin Futures Contract Expired Today</t>
  </si>
  <si>
    <t>Bitcoin miner</t>
  </si>
  <si>
    <t>In one UK pension company Hargreaves landsdown - you can buy the Swedish bitcoin fund XBT</t>
  </si>
  <si>
    <t xml:space="preserve">CryptoCompare Bitcoin price changed +1.24% to $9347.34 </t>
  </si>
  <si>
    <t xml:space="preserve">JOIN OUR CHANCOIN CITY DISCORD DO YOU NOTICE THE AND SEEMI DIDNT </t>
  </si>
  <si>
    <t>Index: 10802 satoshis = $1 : 0.0013 btc</t>
  </si>
  <si>
    <t xml:space="preserve">Current BTC Dominance: 34.66% </t>
  </si>
  <si>
    <t>Bitcoin:$9230.34 Ethereum:$966.333 Bitcoin Cash:$1253.97 Litecoin:$147.292 Ripple:$0.930634 IOTA:$1.97937</t>
  </si>
  <si>
    <t>Just realised that having moving averages like that would probably make bitcoin 6 figures haha</t>
  </si>
  <si>
    <t xml:space="preserve">BTC hourly update $9290.18 | +0.0079% $BTC </t>
  </si>
  <si>
    <t>The Current price of Bitcoin is $9312.68</t>
  </si>
  <si>
    <t xml:space="preserve">Bitcoin Today - 9312.68 USD </t>
  </si>
  <si>
    <t>Losers never $btc</t>
  </si>
  <si>
    <t>Current price of is $9312.68</t>
  </si>
  <si>
    <t>Bitcoin 9312.68 $</t>
  </si>
  <si>
    <t>Current price of Bitcoin is $9312.68</t>
  </si>
  <si>
    <t xml:space="preserve">Current price of Bitcoin is $9312.68 </t>
  </si>
  <si>
    <t>Bitcoin never fails</t>
  </si>
  <si>
    <t xml:space="preserve">Current price of is $9312.68 via Chain </t>
  </si>
  <si>
    <t xml:space="preserve">Current price of is $9312.68 via </t>
  </si>
  <si>
    <t>Current price of Bitcoin is $9312.68 via Chain</t>
  </si>
  <si>
    <t xml:space="preserve">huge gains today accumulating </t>
  </si>
  <si>
    <t>The ones you paid for with your bitcoin mining money</t>
  </si>
  <si>
    <t xml:space="preserve">Current price of Bitcoin is $9312.68 Like if thats good for you and retweet if thats not good for you </t>
  </si>
  <si>
    <t>will reach to 30k by end of march 2018</t>
  </si>
  <si>
    <t>Yall niggas talking about bitcoin My cryptocurrency is Microsoft Points</t>
  </si>
  <si>
    <t>Bitcoin and ethereum will survive theyre not Ponzi schemes Davor is going disappear with all your money</t>
  </si>
  <si>
    <t>Really just checked my coinbase account and someone been sending me bitcoin &amp; I didn't even know it LMAOOOOOO</t>
  </si>
  <si>
    <t xml:space="preserve">Bitcoin BTC Current Price: $9248.94 1 Hour: 0.11 % | 24 Hours: 4.14 % | 7 Days: -18.51 % </t>
  </si>
  <si>
    <t>my baby is a Bitcoin</t>
  </si>
  <si>
    <t xml:space="preserve">From his tweets it seems Peters emotions has more volatility than </t>
  </si>
  <si>
    <t>Bought me some bitcoin &amp; i let it sit</t>
  </si>
  <si>
    <t xml:space="preserve">because mining bitcoin is very environmentally friendly </t>
  </si>
  <si>
    <t>I lost my bitcoin is the new my mom threw out my baseball cards</t>
  </si>
  <si>
    <t>Better returns on the graphics card than the bitcoin</t>
  </si>
  <si>
    <t>hint bitcoin sites can be confusing also hint we got it in good also hint i probably wouldnt have tweeted about it if i had won</t>
  </si>
  <si>
    <t>You talk about these facts when Bitcoin is down 50%+ but don't mention then when it's going parabolic</t>
  </si>
  <si>
    <t xml:space="preserve">with  </t>
  </si>
  <si>
    <t>Following the chart action last few days has been nothing short of exhilarating</t>
  </si>
  <si>
    <t>Total joke now got better current form than us</t>
  </si>
  <si>
    <t>And you guys been telling people to sell you might as well just give them your bitcoin address</t>
  </si>
  <si>
    <t>Cryptocurrency: Price USD: 9322.66 Price BTC: 1.0 24h Volume USD: 7777970000.0 Percent change 24h: 4.99</t>
  </si>
  <si>
    <t xml:space="preserve">Latest Bitcoin Price: $9328.15 USD for 1 BTC </t>
  </si>
  <si>
    <t>When can the Bitcoin good be claimed on coinomiwallet</t>
  </si>
  <si>
    <t>When can Bitcoin God be claimed on coinomi wallet</t>
  </si>
  <si>
    <t>Bitcoin Cash BCH Current Price: $1261.24 1 Hour: 1.56 % | 24 Hours: 5.38 % | 7 Days: -22.46 % cash</t>
  </si>
  <si>
    <t xml:space="preserve">The Current Bitcoin Price is 0.00010807 BTC for $1 USD </t>
  </si>
  <si>
    <t>Bitcoin Mining Rigs - To facilitate same</t>
  </si>
  <si>
    <t>You are charging normal bank accounts super high fees to buy bitcoin with Terrible</t>
  </si>
  <si>
    <t xml:space="preserve">Breaking News: Traders currently shorting $BTC are barred from subsequent Long profits </t>
  </si>
  <si>
    <t>Do bitcoin fund manager</t>
  </si>
  <si>
    <t>Liberals hate bitcoin but theyll be the first ones asking for redistribution of it post hyperbitcoinization</t>
  </si>
  <si>
    <t>The fundamentals for Bitcoin are getting better every day -- as the price is getting cheaper</t>
  </si>
  <si>
    <t>Yes would like to know all those icons as well</t>
  </si>
  <si>
    <t>Seems</t>
  </si>
  <si>
    <t>it's the perfect time to throw ass for bitcoin</t>
  </si>
  <si>
    <t xml:space="preserve">here is a great app for the space </t>
  </si>
  <si>
    <t>Typical in crypto should have bough Bitcoin yesterday $BTC</t>
  </si>
  <si>
    <t>Bitcoin:$9274.87 Ethereum:$969.453 Bitcoin Cash:$1251.24 Litecoin:$147.505 Ripple:$0.933653 IOTA:$1.98092</t>
  </si>
  <si>
    <t>Bitcoin doesn't actually exist</t>
  </si>
  <si>
    <t>damn i can't believe bitcoin is 50k already hells yeah</t>
  </si>
  <si>
    <t>You can do that with bitcoin paper wallet</t>
  </si>
  <si>
    <t xml:space="preserve">Project to Subsidize Electricity Costs to Cryptocurrency Miners with Inexpensive Hydropower </t>
  </si>
  <si>
    <t>you can mine bitcoin on ubiquity antennas just fyi</t>
  </si>
  <si>
    <t xml:space="preserve">Bitcoin is going to change the world from a money transactional standpoint </t>
  </si>
  <si>
    <t>Dow Jones looking like bitcoin</t>
  </si>
  <si>
    <t xml:space="preserve">Betting Online </t>
  </si>
  <si>
    <t xml:space="preserve">Bitcoin percentage of market cap: 34.67 % </t>
  </si>
  <si>
    <t>LOL I told folks to leave those Bitcoin club or whatever else that folks are hawking online alone lol</t>
  </si>
  <si>
    <t>someone has definitely mined bitcoin on a gas powered blender right</t>
  </si>
  <si>
    <t xml:space="preserve">I do think Bitcoin is the first [encrypted money] that has the potential to do something like change the world </t>
  </si>
  <si>
    <t xml:space="preserve">came free bitcoin to </t>
  </si>
  <si>
    <t>show me the bitcoin</t>
  </si>
  <si>
    <t>Buying bitcoin at 19k</t>
  </si>
  <si>
    <t>tfw you overhear a group of twats in the coffee shoppe discussing their Bitcoin investing/startups</t>
  </si>
  <si>
    <t xml:space="preserve">CryptoCompare Bitcoin price changed -1.23% to $9232.68 </t>
  </si>
  <si>
    <t>Passionate about bitcoin is clear plea for help</t>
  </si>
  <si>
    <t>Think bitcoin</t>
  </si>
  <si>
    <t xml:space="preserve">Looked at my bitcoin and I'm up stupid rn </t>
  </si>
  <si>
    <t>Even wont save and his pothole team</t>
  </si>
  <si>
    <t>If bitcoin blows up and i get money imma buy a benz i dont even know how to drive</t>
  </si>
  <si>
    <t>Asian Longhorn beetle spreading north from New York will make maple syrup prices look like Bitcoin when they make it into Quebec</t>
  </si>
  <si>
    <t>Need to put out more 'noob' articles for new bitcoin investors to read</t>
  </si>
  <si>
    <t>Do some magic pls</t>
  </si>
  <si>
    <t>Front Anus Tentacle Hitler is coincidentally part of my bitcoin wallet key</t>
  </si>
  <si>
    <t>i agree if you look at the charts bitcoin hit the max around 50 days ago and the alts 30 days ago</t>
  </si>
  <si>
    <t xml:space="preserve">You too </t>
  </si>
  <si>
    <t>Crypto Dip Humbles South Korean Bitcoin Premium</t>
  </si>
  <si>
    <t>Someone needs to streak the Super Bowl half time show wearing a buy Bitcoin cape $BTC</t>
  </si>
  <si>
    <t>Someone Needs to streak the Super Bowl half time show wearing a buy bitcoin cape $BTC</t>
  </si>
  <si>
    <t>le bitcoin</t>
  </si>
  <si>
    <t xml:space="preserve">Current BTC Dominance: 34.71% </t>
  </si>
  <si>
    <t>Bitcoin:$9206.08 Ethereum:$962.739 Bitcoin Cash:$1241.63 Litecoin:$147.102 Ripple:$0.918232 IOTA:$1.96907</t>
  </si>
  <si>
    <t>2018-02-03 06:00 UTC Bitcoin Price: 9185.08 USD</t>
  </si>
  <si>
    <t>Depends how you short it - if you use bitcoin futures to short it no need to buy bitcoins to cover</t>
  </si>
  <si>
    <t xml:space="preserve">BTC hourly update $9227.81 | -0.0067% $BTC </t>
  </si>
  <si>
    <t xml:space="preserve">Someone Needs to streak the Super Bowl half time show wearing a buy Bitcoin cape $BTC Plz RT </t>
  </si>
  <si>
    <t xml:space="preserve">Just in time for 'F Trump Coin'  </t>
  </si>
  <si>
    <t>Current price of is $9186.85</t>
  </si>
  <si>
    <t xml:space="preserve">Current price of Bitcoin is $9186.85 </t>
  </si>
  <si>
    <t xml:space="preserve">Venezuela Announces the Creation of Oil-Backed National Cryptocurrency Backed by Fiat </t>
  </si>
  <si>
    <t xml:space="preserve">Current price of Bitcoin is $9186.85 Like if thats good for you and retweet if thats not good for you </t>
  </si>
  <si>
    <t>Cryptocurrency: Price USD: 9179.12 Price BTC: 1.0 24h Volume USD: 7510280000.0 Percent change 24h: 4.45</t>
  </si>
  <si>
    <t>Bitcoin-Adresse 1AP49EXSASd17P9wBPYBs26iVtWowUY6kn</t>
  </si>
  <si>
    <t>They should make an anime about investing in bitcoin</t>
  </si>
  <si>
    <t>Current price of Bitcoin is $9186.85</t>
  </si>
  <si>
    <t>Current price of Bitcoin is $9186.85 $btc</t>
  </si>
  <si>
    <t xml:space="preserve">Current price of Bitcoin is $9186.85 via </t>
  </si>
  <si>
    <t>Someone Needs to streak the Super Bowl half time show wearing a buy Bitcoin cape $BTC Retweet</t>
  </si>
  <si>
    <t xml:space="preserve">Welcome to </t>
  </si>
  <si>
    <t>Bitcoin adres 1AP49EXSASd17P9wBPYBs26iVtWowUY6kn</t>
  </si>
  <si>
    <t>Bitcoin please</t>
  </si>
  <si>
    <t>Nigga we got cosmicpvp bitcoin now xD</t>
  </si>
  <si>
    <t xml:space="preserve">is back </t>
  </si>
  <si>
    <t>I have to do some more research about bitcoin before I'm sure</t>
  </si>
  <si>
    <t xml:space="preserve">Fallow me </t>
  </si>
  <si>
    <t xml:space="preserve">Bitcoin BTC Current Price: $9179.12 1 Hour: -0.85 % | 24 Hours: 4.45 % | 7 Days: -19.33 % </t>
  </si>
  <si>
    <t>There hasn't been a worse time to make a Bitcoin payment</t>
  </si>
  <si>
    <t xml:space="preserve">How I Met Your Bitcoin Soon on </t>
  </si>
  <si>
    <t>Bitcoin is dead</t>
  </si>
  <si>
    <t xml:space="preserve">While everyone was fuddling around i was buying some nice dips </t>
  </si>
  <si>
    <t xml:space="preserve">Make America Trumpless Again </t>
  </si>
  <si>
    <t>bitcoin tha future</t>
  </si>
  <si>
    <t>the latest version of the Bitcoin app for the Nano S is 1.1.18 Update through the Ledger Manager</t>
  </si>
  <si>
    <t>not bitcoin</t>
  </si>
  <si>
    <t>about to take offfffff</t>
  </si>
  <si>
    <t>Bitcoin Cash BCH Current Price: $1240.99 1 Hour: -1.34 % | 24 Hours: 4.62 % | 7 Days: -23.89 % cash</t>
  </si>
  <si>
    <t>Bitcoin and Ethereum</t>
  </si>
  <si>
    <t>ya maaan altcoins neek fakes bitcoin</t>
  </si>
  <si>
    <t xml:space="preserve">Latest Bitcoin Price: $9219.92 USD for 1 BTC </t>
  </si>
  <si>
    <t xml:space="preserve">the only payment solution that makes cash obsolete </t>
  </si>
  <si>
    <t>Tell me why I just invested into bitcoin</t>
  </si>
  <si>
    <t xml:space="preserve">100k end 2018 </t>
  </si>
  <si>
    <t>Bitcoin is dying son</t>
  </si>
  <si>
    <t>Or it has something to do with bitcoin ccard fraud being 10x higher than PayPal</t>
  </si>
  <si>
    <t>YOU HAVE FAILED THIS BITCOIN -- Reddit Arrow</t>
  </si>
  <si>
    <t xml:space="preserve">The lady can buy in bits at the dip always affordable then just </t>
  </si>
  <si>
    <t xml:space="preserve">Bitcoin hitting rock bottom is just an opportunity for a discount </t>
  </si>
  <si>
    <t>Yep to see how bitcoin starts</t>
  </si>
  <si>
    <t>Im currently watching a documentary on bitcoin so in 1h and 22 mins its over for you all</t>
  </si>
  <si>
    <t xml:space="preserve">UsnowacCoin  </t>
  </si>
  <si>
    <t xml:space="preserve">The Current Bitcoin Price is 0.00010902 BTC for $1 USD </t>
  </si>
  <si>
    <t>*buys BitCoin miner after gambling career hits rocks*</t>
  </si>
  <si>
    <t>10k bitcoin btw</t>
  </si>
  <si>
    <t>BUY $btc $bcc $btg $eth $ltc</t>
  </si>
  <si>
    <t>Johnny can you please warn your follows if bitcoin drops fast</t>
  </si>
  <si>
    <t xml:space="preserve">The day bitcoin does a staged crash and yall find out it was a scam </t>
  </si>
  <si>
    <t xml:space="preserve">make money - make money - get slaughtered $btc $eth </t>
  </si>
  <si>
    <t>Bitcoin:$9191.57 Ethereum:$961.379 Bitcoin Cash:$1247.04 Litecoin:$148.929 Ripple:$0.914625 IOTA:$1.97122</t>
  </si>
  <si>
    <t xml:space="preserve">Bitcoin news: Top 10 cryptocurrency predictions for 2018 by Blockchain guru | City &amp; Business | Finance </t>
  </si>
  <si>
    <t>Yeah send me half a bitcoin</t>
  </si>
  <si>
    <t>Lol Ill trade u half a Bitcoin for a whole one</t>
  </si>
  <si>
    <t>Boys have the capacity to turn Bitcoin and Suarez into a two hour conversation</t>
  </si>
  <si>
    <t xml:space="preserve">how did you get 0.00096357 bitcoin hahaha such a random decimal </t>
  </si>
  <si>
    <t>They only accept bitcoin bro not gonna happen</t>
  </si>
  <si>
    <t>i dont have enough money for bitcoin anyway</t>
  </si>
  <si>
    <t>Bitcoin cannot fail because it is a revolutionary way to hide money from governmentsBitcoin expert</t>
  </si>
  <si>
    <t>Bitcoin short Target 12000 $ Litecoin Short Target 250 $</t>
  </si>
  <si>
    <t>bitcoin date deposits make me happy</t>
  </si>
  <si>
    <t>I was trying to say wait until 2019 to buy a bitcoin um harvester machine</t>
  </si>
  <si>
    <t>Bitcoin news: Top 10 cryptocurrency predictions for 2018 by Blockchain guru | City &amp; Business | Finance</t>
  </si>
  <si>
    <t>Forex &lt; bitcoin &lt; fpl</t>
  </si>
  <si>
    <t xml:space="preserve">Good stuff coming  </t>
  </si>
  <si>
    <t xml:space="preserve">Ppl are serious bad READERS to misinterpret and create fud $BTC $ETH </t>
  </si>
  <si>
    <t>How do you invest in bitcoin via the cash app</t>
  </si>
  <si>
    <t xml:space="preserve">CryptoCompare Bitcoin price changed +1.03% to $9327.49 </t>
  </si>
  <si>
    <t xml:space="preserve">It's pronounced: $BTC </t>
  </si>
  <si>
    <t>1 Litecoin = 0.165 Bitcoin</t>
  </si>
  <si>
    <t>I have turned all my bitcoin miners to rendering mnuchin deepfakes</t>
  </si>
  <si>
    <t xml:space="preserve">Great project with great possibilities </t>
  </si>
  <si>
    <t>You can buy with and many more cryptocurrencies</t>
  </si>
  <si>
    <t xml:space="preserve">I am the face of </t>
  </si>
  <si>
    <t xml:space="preserve">Bitcoin is bae </t>
  </si>
  <si>
    <t>February 2018 brought to you by me spending money on a GTX 1060 6gb because it hasn't been price hiked due to bitcoin mining</t>
  </si>
  <si>
    <t>Cryptocurrency: Price USD: 9251.67 Price BTC: 1.0 24h Volume USD: 7495910000.0 Percent change 24h: 6.35</t>
  </si>
  <si>
    <t>if ksi wins I'll give everyone that likes this tweet 1 whole bitcoin</t>
  </si>
  <si>
    <t>BTC-DOPE AskRate: 0.00000990 $DOPE  FOLLOW for PROFIT</t>
  </si>
  <si>
    <t>My bitcoin went back up today lol</t>
  </si>
  <si>
    <t>and Bitcoin</t>
  </si>
  <si>
    <t>I was hoping for a 5k Bitcoin I dont think Ill get iy</t>
  </si>
  <si>
    <t>Sorry dude only have Bitcoin :/</t>
  </si>
  <si>
    <t>Ontario Minimum Wage: 2018 =&gt; $14 2019 =&gt; $15 2022 =&gt; $18 2024 =&gt; $22 2028 =&gt; 0.001 Bitcoin</t>
  </si>
  <si>
    <t xml:space="preserve">The Current Bitcoin Price is 0.00010738 BTC for $1 USD </t>
  </si>
  <si>
    <t xml:space="preserve">CryptoCompare Bitcoin price changed +1.05% to $9425.44 </t>
  </si>
  <si>
    <t>Bitcoin:$9289.03 Ethereum:$968.255 Bitcoin Cash:$1255.59 Litecoin:$155.911 Ripple:$0.92238 IOTA:$1.9808</t>
  </si>
  <si>
    <t xml:space="preserve">Current BTC Dominance: 34.65% </t>
  </si>
  <si>
    <t xml:space="preserve">NEWS: An Innovative Token Is a Wireless US$ Bitcoin Meetup - CoinTelegraph </t>
  </si>
  <si>
    <t>2018-02-03 07:00 UTC Bitcoin Price: 9378.03 USD</t>
  </si>
  <si>
    <t xml:space="preserve">BTC hourly update $9373.08 | +0.0157% $BTC </t>
  </si>
  <si>
    <t>And that's how you know we're in a bitcoin bubble</t>
  </si>
  <si>
    <t>Stfu Roger</t>
  </si>
  <si>
    <t>So you sold your bitcoin on time</t>
  </si>
  <si>
    <t xml:space="preserve">Current price of Bitcoin is $9417.00 </t>
  </si>
  <si>
    <t xml:space="preserve">6 cryptocurrencies that could become the next Bitcoin </t>
  </si>
  <si>
    <t>Current price of Bitcoin is $9417.00</t>
  </si>
  <si>
    <t>Current price of is $9417.00</t>
  </si>
  <si>
    <t>Bitcoin equals 11330.86 US Dollar</t>
  </si>
  <si>
    <t xml:space="preserve">Current price of Bitcoin is $9417.00 Like if thats good for you and retweet if thats not good for you </t>
  </si>
  <si>
    <t>RIP bitcoin</t>
  </si>
  <si>
    <t>Current price of Bitcoin is $9417.00 Please RT if you enjoy this service</t>
  </si>
  <si>
    <t xml:space="preserve">Current price of Bitcoin is $9417.00 via Chain </t>
  </si>
  <si>
    <t xml:space="preserve">Current price of is $9417.00 via Chain </t>
  </si>
  <si>
    <t xml:space="preserve">Shorts on </t>
  </si>
  <si>
    <t>Gonna make a parody of Don't Mine at Night about Bitcoin</t>
  </si>
  <si>
    <t>adresse Bitcoin 1AP49EXSASd17P9wBPYBs26iVtWowUY6kn</t>
  </si>
  <si>
    <t xml:space="preserve">Current price of Bitcoin is 7.542 </t>
  </si>
  <si>
    <t>Being the litecoin receives the EXACT SAME benefit from lightning network that Bitcoin does makes your point completely nonsense</t>
  </si>
  <si>
    <t>nice to see bitcoin coming back a little today</t>
  </si>
  <si>
    <t xml:space="preserve">$LTCUSD entering overbought zone on interval 60m </t>
  </si>
  <si>
    <t>Lmso i just made .36 on bitcoin my money growing</t>
  </si>
  <si>
    <t>my current investment advice is to use your student loan to drop out and count cards on online bitcoin casinos</t>
  </si>
  <si>
    <t xml:space="preserve">EnglishJapanese in low price 1word0.00003bitcoin  </t>
  </si>
  <si>
    <t>wait you guys timeout i just made 3 cents off of bitcoin</t>
  </si>
  <si>
    <t>a bitcoin and $2.75 will get you on the subway</t>
  </si>
  <si>
    <t>BTC-LTC AskRate: 0.01682272 $LTC  FOLLOW for PROFIT</t>
  </si>
  <si>
    <t xml:space="preserve">Bitcoin BTC Current Price: $9289.03 1 Hour: 0.98 % | 24 Hours: 6.97 % | 7 Days: -18.65 % </t>
  </si>
  <si>
    <t>It means Bitcoin's real price is 2000 only</t>
  </si>
  <si>
    <t>Where's my bitcoin</t>
  </si>
  <si>
    <t>friend: bitcoin is at-- me: i only want to hear $5k or $17k</t>
  </si>
  <si>
    <t>1 Litecoin = 0.017 Bitcoin</t>
  </si>
  <si>
    <t>No matter how many different ways it is explained to me I will never understand bitcoin</t>
  </si>
  <si>
    <t>Bitcoin cash is scam</t>
  </si>
  <si>
    <t>Bitcoin Cash BCH Current Price: $1269.73 1 Hour: 2.18 % | 24 Hours: 7.98 % | 7 Days: -22.39 % cash</t>
  </si>
  <si>
    <t xml:space="preserve">He shouldve invested in Bitcoin </t>
  </si>
  <si>
    <t>but he accepts bitcoin now</t>
  </si>
  <si>
    <t>i mean trading above $9000 today</t>
  </si>
  <si>
    <t>THIS FILM SECRETLY PREDICTS BITCOIN</t>
  </si>
  <si>
    <t>If you think gon hit 0 you don't know what your talking bout your just speculating</t>
  </si>
  <si>
    <t>When bitcoin moon sir</t>
  </si>
  <si>
    <t>Btrash not bitcoin</t>
  </si>
  <si>
    <t>elf will be better than bitcoin</t>
  </si>
  <si>
    <t xml:space="preserve">Latest Bitcoin Price: $9295.55 USD for 1 BTC </t>
  </si>
  <si>
    <t>The bitcoin market cap is technically called a trilby</t>
  </si>
  <si>
    <t>Once I get my hands on this bitcoin it's game over lol</t>
  </si>
  <si>
    <t>Bitcoin Core Cash</t>
  </si>
  <si>
    <t>Dogecoin dark is the real bitcoin</t>
  </si>
  <si>
    <t>Buying crypto with a credit card defeats the purpose of bitcoin No wonder its getting declined by the companies</t>
  </si>
  <si>
    <t>Bitcoin was never bcash and will not be</t>
  </si>
  <si>
    <t xml:space="preserve">Flip a Bitcoin </t>
  </si>
  <si>
    <t xml:space="preserve">maybe its because the sub count is pretending to be bitcoin </t>
  </si>
  <si>
    <t>TRON is the real bitcoin</t>
  </si>
  <si>
    <t xml:space="preserve">Bitcoin is The Real Bitcoin </t>
  </si>
  <si>
    <t>Bitcoin wasn't an ICO is what I was trying to say</t>
  </si>
  <si>
    <t xml:space="preserve">So make it unavailable to buy so they can stack bitcoin and when they have it all disable the ban </t>
  </si>
  <si>
    <t xml:space="preserve">This is by far the best justification anyone can give for believing in </t>
  </si>
  <si>
    <t>go buy some tide pods w/ur bitcoin</t>
  </si>
  <si>
    <t>Doge coin is the real Bitcoin</t>
  </si>
  <si>
    <t>Is bitcoin not the fully functioning version of bitcoin</t>
  </si>
  <si>
    <t>Bitcoin:$9336.88 Ethereum:$974.129 Bitcoin Cash:$1271.91 Litecoin:$157.214 Ripple:$0.932047 IOTA:$1.99035</t>
  </si>
  <si>
    <t>Yep blockchain=Bitcoin that's y it's here to stay</t>
  </si>
  <si>
    <t>We need a Bitcoin dossier</t>
  </si>
  <si>
    <t xml:space="preserve">The Current Bitcoin Price is 0.0001069 BTC for $1 USD </t>
  </si>
  <si>
    <t>Ripple /xrp can save Bitcoin</t>
  </si>
  <si>
    <t>Bitcoin tranny is the real btc</t>
  </si>
  <si>
    <t>Bitcoin is not going to have 17 trillion dollars in total value in two years lol</t>
  </si>
  <si>
    <t>The smart thing to do would be to invest the $1.50 in bitcoin</t>
  </si>
  <si>
    <t>Whatever they make after bitcoin is gonna send us into bladerunner</t>
  </si>
  <si>
    <t>Cryptocurrency: Price USD: 9327.2 Price BTC: 1.0 24h Volume USD: 7491990000.0 Percent change 24h: 7.76</t>
  </si>
  <si>
    <t>bitcoin to $25K gonna go - today</t>
  </si>
  <si>
    <t>All in bitcoin All in</t>
  </si>
  <si>
    <t>lapis just as soon as I forgot about the bitcoin tweet and then this</t>
  </si>
  <si>
    <t xml:space="preserve">CryptoCompare Bitcoin price changed -1.16% to $9315.89 </t>
  </si>
  <si>
    <t xml:space="preserve">bitcoin jugg status: success </t>
  </si>
  <si>
    <t>could've made more by buying bitcoin</t>
  </si>
  <si>
    <t>bitcoin going higher today will help</t>
  </si>
  <si>
    <t>the bitcoin tweet was lapis' best tweet smh</t>
  </si>
  <si>
    <t>This bounce seems too perfect to be an actual bounce</t>
  </si>
  <si>
    <t xml:space="preserve">sorry i meant Buy </t>
  </si>
  <si>
    <t xml:space="preserve">Bitcoin percentage of market cap: 34.64 % </t>
  </si>
  <si>
    <t>BTC should rally before the end of feb in anticipation of the Bitcoin Private Hard Fork</t>
  </si>
  <si>
    <t>HAVE TO IMAGINE ALL COINS HAVE BEEN IN A SLUMP AS BITCOIN FALLS IN VALUE OTHERS FOLLOW SUIT BUT ONCE IT POPS UP SO WILL ALTS</t>
  </si>
  <si>
    <t xml:space="preserve">Berlin capital of privacy  </t>
  </si>
  <si>
    <t>Think like a whale</t>
  </si>
  <si>
    <t>If you think Bitcoin was Taken Over then you don't understand bitcoin you melt</t>
  </si>
  <si>
    <t>this diagram for bitcoin not for xrp</t>
  </si>
  <si>
    <t>The fact there is a turf battle going on will push everyone in the crypto world in direction of etherium</t>
  </si>
  <si>
    <t xml:space="preserve">Has your card been declined for Bitcoin purchase </t>
  </si>
  <si>
    <t>The bitcoin tweet was the start of the downfall</t>
  </si>
  <si>
    <t>February 2018 you got bitcoin happy valentine</t>
  </si>
  <si>
    <t xml:space="preserve">Send bitcoin and data </t>
  </si>
  <si>
    <t>I just looked into the increase of GPU prices and now I just hate bitcoin</t>
  </si>
  <si>
    <t>should i buy bitcoin</t>
  </si>
  <si>
    <t>Bitcoin now</t>
  </si>
  <si>
    <t xml:space="preserve">Bitcoin cash is </t>
  </si>
  <si>
    <t xml:space="preserve">If you sold your Bitcoin over the past few days you shouldn't be in the crypto space </t>
  </si>
  <si>
    <t>RESPIRA BITCOIN</t>
  </si>
  <si>
    <t>I'm starting to think you're a bot tweeting an array of pre-made tweets targeting the only and real Bitcoin</t>
  </si>
  <si>
    <t>The 1060 now costs $900 because of bitcoin mining</t>
  </si>
  <si>
    <t>Does more damage than Bitcoin</t>
  </si>
  <si>
    <t xml:space="preserve">Just panic sold all my Euros to BTC </t>
  </si>
  <si>
    <t>how about buying Bitcoin for cash at the stadium with a branded lighting enabled wallet</t>
  </si>
  <si>
    <t xml:space="preserve">Zcash Touts Nuclear Waste-Fueled Random Number Generator  </t>
  </si>
  <si>
    <t>OH: I'd trade you a bitcoin for that dresser</t>
  </si>
  <si>
    <t xml:space="preserve">Society needs more I am certainly looking forward to another discussion about </t>
  </si>
  <si>
    <t xml:space="preserve">not we going back down smh </t>
  </si>
  <si>
    <t>VGhpcyB0ZXh0IHNob3VsZCBiZSBpbiB0aGUgMjAxOSB2ZXJzaW9uIG9mIHRoZSBhc3NpZ25tZW50IGF0IDIwOjAwOjAwLg==</t>
  </si>
  <si>
    <t>Bitcoin:$9290.15 Ethereum:$971.353 Bitcoin Cash:$1277.31 Litecoin:$158.17 Ripple:$0.930165 IOTA:$1.97377</t>
  </si>
  <si>
    <t>can we crowdfund jeff bezos' assasination with bitcoin</t>
  </si>
  <si>
    <t xml:space="preserve">BTC hourly update $9328.46 | -0.0048% $BTC </t>
  </si>
  <si>
    <t>Current price of Bitcoin is $9310.00</t>
  </si>
  <si>
    <t>Current price of Bitcoin is $9310.00 via Chain</t>
  </si>
  <si>
    <t xml:space="preserve">Ill have you KNOW I own .00533992 bitcoin so youre required to call me Mr bada$$ from now on thank you </t>
  </si>
  <si>
    <t xml:space="preserve">It's only up from here $BTC </t>
  </si>
  <si>
    <t xml:space="preserve">Current price of Bitcoin is $9310.00 </t>
  </si>
  <si>
    <t>Bitcoin Cash or Ripple</t>
  </si>
  <si>
    <t>Bitcoin is now as valuable as the entire GDP of the United States -Well trained economists everywhere</t>
  </si>
  <si>
    <t>If Lisk was sharing the same market cap as Bitcoin it's price should be 0.14328381 BTC $LSK</t>
  </si>
  <si>
    <t>Current price of is $9310.00</t>
  </si>
  <si>
    <t>Cashapp got bitcoin now yussss</t>
  </si>
  <si>
    <t>The current Bitcoin Price is 9310.00 USD</t>
  </si>
  <si>
    <t xml:space="preserve">Current price of Bitcoin is $9310.00 Like if thats good for you and retweet if thats not good for you </t>
  </si>
  <si>
    <t>Auto-Triggered 1x Bitcoin Cash on dip for $1000 :D</t>
  </si>
  <si>
    <t xml:space="preserve">Yes that's why they desperately want to destroy that pin </t>
  </si>
  <si>
    <t>Current price of Bitcoin is USD$9310.00 via Chain</t>
  </si>
  <si>
    <t>Bitcoin 9310.00 $</t>
  </si>
  <si>
    <t>its like a bitcoin only worth a lot more</t>
  </si>
  <si>
    <t>Feminine intuition but only 4% of bitcoin users are female</t>
  </si>
  <si>
    <t>trading channel 7500-10000</t>
  </si>
  <si>
    <t xml:space="preserve">CryptoCompare Bitcoin price changed +1.09% to $9417.07 </t>
  </si>
  <si>
    <t>Pretty sure the 2008 crash was a bigger hubble than bitcoin could ever be</t>
  </si>
  <si>
    <t>I LOVE Bitcoin</t>
  </si>
  <si>
    <t>Bitcoin is a barbarous relic</t>
  </si>
  <si>
    <t>Mark Cuban is going to start accepting for tickets</t>
  </si>
  <si>
    <t xml:space="preserve">Courtesy of and </t>
  </si>
  <si>
    <t>Allow cryptocurrency bitcoin is possible</t>
  </si>
  <si>
    <t>What a difference a day or week makes for bitcoin</t>
  </si>
  <si>
    <t>Omg the legend of just followed me back whoooopppp</t>
  </si>
  <si>
    <t xml:space="preserve">Buy Bitcoin </t>
  </si>
  <si>
    <t>GIVE ME MY BITCOIN NOW</t>
  </si>
  <si>
    <t>Vishal Sikka is the opposite of Bitcoin</t>
  </si>
  <si>
    <t>ty for the bitcoin</t>
  </si>
  <si>
    <t>i only accept tips in bitcoin</t>
  </si>
  <si>
    <t xml:space="preserve">Free 1 VIC 1 VIC = $40 airdrop live now  </t>
  </si>
  <si>
    <t xml:space="preserve">Bitcoin BTC Current Price: $9280.03 1 Hour: -0.14 % | 24 Hours: 7.47 % | 7 Days: -18.99 % </t>
  </si>
  <si>
    <t>They are bitcoin mining too hard</t>
  </si>
  <si>
    <t>Japan &amp; Australia are full fledged Bitcoin countries the banks been working with Bitcoin</t>
  </si>
  <si>
    <t>Bitcoin doesnt have a fundamental reason to have skyrocketed 800% in a few months though</t>
  </si>
  <si>
    <t>So you are all bitcoin these days</t>
  </si>
  <si>
    <t>afternoon naps &gt; bitcoin</t>
  </si>
  <si>
    <t>Im disappointed you dont have some hot takes about Bitcoin</t>
  </si>
  <si>
    <t>Bitcoin Cash BCH Current Price: $1295.95 1 Hour: 2.25 % | 24 Hours: 10.96 % | 7 Days: -21.0 % cash</t>
  </si>
  <si>
    <t xml:space="preserve">I want to buy some bitcoin but it's a scam when it's cheap </t>
  </si>
  <si>
    <t>1 Litecoin = 0.0175 Bitcoin</t>
  </si>
  <si>
    <t>1 Bitcoin = 7628 Euro</t>
  </si>
  <si>
    <t>My account dudejohn59.com has deposited bitcoin but there is still nothing</t>
  </si>
  <si>
    <t>time is money blockchain bitcoin</t>
  </si>
  <si>
    <t>Ok restest done lets break 9k6-10k for good news $btc</t>
  </si>
  <si>
    <t xml:space="preserve">hoping for a nice and STEADY climb </t>
  </si>
  <si>
    <t>tell her that's like saying litecoin is almost bitcoin</t>
  </si>
  <si>
    <t>bitcoin went down 700</t>
  </si>
  <si>
    <t>Cryptocurrency: Price USD: 9382.19 Price BTC: 1.0 24h Volume USD: 7512590000.0 Percent change 24h: 8.69</t>
  </si>
  <si>
    <t>Cashapp now using bitcoin</t>
  </si>
  <si>
    <t>Sounds like it could be huge bitcoin on steroids</t>
  </si>
  <si>
    <t>Look up YouTube into bitcoin mining</t>
  </si>
  <si>
    <t>Maher did a bitcoin is beanie babies joke and it totally flopped</t>
  </si>
  <si>
    <t>How does one use Bitcoin some say it's a scam some say it's not</t>
  </si>
  <si>
    <t>Bitcoin pegged to gold</t>
  </si>
  <si>
    <t xml:space="preserve">Scammers Steal Over $1 Million Worth of Ethereum From Bee Token ICO Participants </t>
  </si>
  <si>
    <t>I too am an expert at bitcoin</t>
  </si>
  <si>
    <t>BTC-OK AskRate: 0.00003569 $OK  FOLLOW for PROFIT</t>
  </si>
  <si>
    <t>Bitcoin:$9417.46 Ethereum:$982.05 Bitcoin Cash:$1314.43 Litecoin:$165.555 Ripple:$0.949836 IOTA:$2.01148</t>
  </si>
  <si>
    <t>Bloomberg: Bitcoin Newbies Are Getting Crushed While Old Timers Bemoan Weak Hands</t>
  </si>
  <si>
    <t>I am cheering the bitcoin crash</t>
  </si>
  <si>
    <t xml:space="preserve">The Game-Changing Blockchain Announcement You Probably Missed Last Week | Business Markets and Stocks News </t>
  </si>
  <si>
    <t>I am convinced you can become a fantastic bitcoin expert please join</t>
  </si>
  <si>
    <t xml:space="preserve">$LTC up 28% in 24-hrs - Gotta love this vol $BTC </t>
  </si>
  <si>
    <t xml:space="preserve">Ooooh myth busting coming up now </t>
  </si>
  <si>
    <t>I put up a bitcoin</t>
  </si>
  <si>
    <t>You buy bitcoin cash</t>
  </si>
  <si>
    <t>My reaction when I realize I don't have any more fiat to buy Bitcoin on the January discount</t>
  </si>
  <si>
    <t>Navy reserves: Training Talk about bitcoin Training Eat Talk more about bitcoin Wait for computers to actually work Talk bitcoin Leave</t>
  </si>
  <si>
    <t>Cenk 150 bitcoin</t>
  </si>
  <si>
    <t xml:space="preserve">The Current Bitcoin Price is 0.00010661 BTC for $1 USD </t>
  </si>
  <si>
    <t>Bitcoin is taaaaaanking</t>
  </si>
  <si>
    <t>Bitcoin cash your face its a fork moron</t>
  </si>
  <si>
    <t>more bitcoin</t>
  </si>
  <si>
    <t>is bitcoin truly dying</t>
  </si>
  <si>
    <t>If Ebay adopts bitcoin then BTC price might seriously pump</t>
  </si>
  <si>
    <t>pretty sure rich ross was talking about the 100ma in bitcoin which it is below now</t>
  </si>
  <si>
    <t>Putting your money on Real Madrid conceding is more profitable than putting it in bitcoin</t>
  </si>
  <si>
    <t xml:space="preserve">Garlic coin &gt; Bitcoin  </t>
  </si>
  <si>
    <t>Bitcoin cash = scam Litecoin cash = scam Just using the name to confuse people into buying there scam coins</t>
  </si>
  <si>
    <t xml:space="preserve">CryptoCompare Bitcoin price changed -1.11% to $9312.42 </t>
  </si>
  <si>
    <t>BTC-DOGE AskRate: 0.00000058 $DOGE  FOLLOW for PROFIT</t>
  </si>
  <si>
    <t>He is the bitcoin judas</t>
  </si>
  <si>
    <t>Space Jam computer bitcoin Google Yeezy Boost at teens Cyber offered future a 2-line fix just learned about how people have also fears sha</t>
  </si>
  <si>
    <t>I've enjoyed Let's Talk Bitcoin</t>
  </si>
  <si>
    <t>I just invested in bitcoin</t>
  </si>
  <si>
    <t>I can send you some Bitcoin Clashic $BCL if it helps you out</t>
  </si>
  <si>
    <t>BTC=BITCOIN</t>
  </si>
  <si>
    <t xml:space="preserve">refuel the Jets </t>
  </si>
  <si>
    <t xml:space="preserve">Refuel the jets </t>
  </si>
  <si>
    <t>I sure do miss those gloating tweets by the BitCoin champions saying how dumb everyone is not buying Bitcoins</t>
  </si>
  <si>
    <t xml:space="preserve">You can buy 2191 Big Macs with 1 Bitcoin </t>
  </si>
  <si>
    <t xml:space="preserve">Current BTC Dominance: 34.59% </t>
  </si>
  <si>
    <t>Bitcoin:$9312.62 Ethereum:$973.359 Bitcoin Cash:$1291.26 Litecoin:$159.261 Ripple:$0.930434 IOTA:$1.97203</t>
  </si>
  <si>
    <t xml:space="preserve">BTC hourly update $9268.73 | -0.0064% $BTC </t>
  </si>
  <si>
    <t>Bitcoin 9274.36 $</t>
  </si>
  <si>
    <t>I sure do miss those gloating tweets by the BitCoin champions saying how dumb everyone is not buying Bitcoins /snark off</t>
  </si>
  <si>
    <t xml:space="preserve">Current price of Bitcoin is $9274.36 Like if thats good for you and retweet if thats not good for you </t>
  </si>
  <si>
    <t>Current price of Bitcoin is $9274.36</t>
  </si>
  <si>
    <t>Current price of is $9274.36</t>
  </si>
  <si>
    <t>Anonymous bitcoin philanthropist donates $5 million to medicine foundation</t>
  </si>
  <si>
    <t>Bitcoin $9274.36</t>
  </si>
  <si>
    <t xml:space="preserve">$BTC $ETH It is absoluetely </t>
  </si>
  <si>
    <t xml:space="preserve">Current price of is $9274.36 via Chain </t>
  </si>
  <si>
    <t xml:space="preserve">Current price of Bitcoin is $9274.36 </t>
  </si>
  <si>
    <t>This dude clearly has no idea that bitcoin and the stock market are different things</t>
  </si>
  <si>
    <t>If the prices hit 17k by March will you sell and wait for it to crash or Hodl keeping in mind it lost 60% value in Jan crash</t>
  </si>
  <si>
    <t>I hope you know him and that Asian dude can bring the price of bitcoin down to almost nothing if they wanted to</t>
  </si>
  <si>
    <t>Current price of Bitcoin is $9274.36 via Chain</t>
  </si>
  <si>
    <t xml:space="preserve">with follow  </t>
  </si>
  <si>
    <t xml:space="preserve">CryptoCompare Bitcoin price changed -1.03% to $9216.06 </t>
  </si>
  <si>
    <t>If I dont get 2000 followers soon is going to drop back to below $8000</t>
  </si>
  <si>
    <t xml:space="preserve">Bitcoin BTC Current Price: $9291.12 1 Hour: -0.06 % | 24 Hours: 7.52 % | 7 Days: -19.15 % </t>
  </si>
  <si>
    <t>Cryptocurrency: Price USD: 9266.06 Price BTC: 1.0 24h Volume USD: 7419490000.0 Percent change 24h: 7.17</t>
  </si>
  <si>
    <t>If I dont get 2000 followers soon is going to drop back below $8000</t>
  </si>
  <si>
    <t>bitcoin emazing</t>
  </si>
  <si>
    <t>Still can't believe they had Suge Knight investing in bitcoin in the Tupac movie</t>
  </si>
  <si>
    <t xml:space="preserve">List bitcoin token Pls </t>
  </si>
  <si>
    <t>Bitcoin Cash BCH Current Price: $1284.27 1 Hour: -0.87 % | 24 Hours: 10.09 % | 7 Days: -21.92 % cash</t>
  </si>
  <si>
    <t>Bitcoin in 2019 = $0</t>
  </si>
  <si>
    <t>cleaner text</t>
  </si>
  <si>
    <t>raw text</t>
  </si>
  <si>
    <t xml:space="preserve">Today we can see positive trends for growth but will there be a new fall </t>
  </si>
  <si>
    <t>Think weve hit resistance for Bitcoin now  Will it fully recover Im not sure</t>
  </si>
  <si>
    <t>Today's price is $8745.02 as of February 3 2018 at 11:59AM</t>
  </si>
  <si>
    <t>bitcoin might have been a hoax the issue that the outrage was at these</t>
  </si>
  <si>
    <t xml:space="preserve">I believe the chart would be adoption of 'blockchain technology' rather than bitcoin individually  </t>
  </si>
  <si>
    <t>Compensation Sounds interesting  Like 1 Bitcoin perhaps Maybe a couple of Ethereum  Whatchu got in mind</t>
  </si>
  <si>
    <t>Please send Bitcoin  I'll write it  Spec  Love ya man</t>
  </si>
  <si>
    <t xml:space="preserve">I should be making a killing for mining all this stale DSH coin minergate  </t>
  </si>
  <si>
    <t>Well done Shut the fkn tether down</t>
  </si>
  <si>
    <t xml:space="preserve">When becomes number 2 market cap can I call it an Alt coin </t>
  </si>
  <si>
    <t xml:space="preserve">THE MOST INNOVATIVE AND LUCRATIVE WAY TO EARN BITCOIN JOIN BITCLUB NETWORK  </t>
  </si>
  <si>
    <t>THE MOST INNOVATIVE AND LUCRATIVE WAY TO EARN BITCOIN JOIN BITCLUB NETWORK</t>
  </si>
  <si>
    <t xml:space="preserve">From this line: Bitcoin and/or 5 any other suitable type of payment  Seems like several crypots might be usable </t>
  </si>
  <si>
    <t>$crypto a jacket or some bitcoin Sorry Uo</t>
  </si>
  <si>
    <t>Yeah  It's the bitcoin of politics</t>
  </si>
  <si>
    <t>MGTI: it is amazing that Bitcoin price is more driven more by South Korea and China than any other places</t>
  </si>
  <si>
    <t>No i dont fw bitcoin</t>
  </si>
  <si>
    <t xml:space="preserve">Want to buy account Current price is $7000.82 Send me a  </t>
  </si>
  <si>
    <t>Bitcoin is what they tell you technology is what you get</t>
  </si>
  <si>
    <t>Follow for the latest news &amp; trends about &amp; world</t>
  </si>
  <si>
    <t xml:space="preserve">38820 follows Compensation Sounds interesting  Like 1 Bitcoin perhaps Maybe a couple of Ethereum  Whatch  </t>
  </si>
  <si>
    <t>Nice I have never heard of the first two though :p I have Bitcoin Ethereum and Litecoin since October</t>
  </si>
  <si>
    <t xml:space="preserve">New York town Massena to get 150 jobs in approved mining operation  </t>
  </si>
  <si>
    <t xml:space="preserve">Again a bad day Tron is down and bitcoin too  My balance going towards zero </t>
  </si>
  <si>
    <t>Only dip I know is the one you take in a pool  Just like Bitcoin if I should take that dip I might just drown</t>
  </si>
  <si>
    <t>cmon guys  You supporting the fork for ZCL/bitcoin private or what</t>
  </si>
  <si>
    <t>It's their bitcoin miner just give it some of the crypto currency and you're good to go</t>
  </si>
  <si>
    <t xml:space="preserve">Some people don't believe in God but believe in Bitcoin  </t>
  </si>
  <si>
    <t>I going to stick to locks  Bitcoin Literally decided last night to sell up  Today Up 14%  FML</t>
  </si>
  <si>
    <t>Bitcoin and infographic  What a match</t>
  </si>
  <si>
    <t>The current price of Bitcoin is $8759.54. The current price of BCash is $1177.43 or 0.134622 BTC</t>
  </si>
  <si>
    <t>All that infrastructure  Yeah that is $BCH infrastructure now</t>
  </si>
  <si>
    <t>Ask for it in bitcoin Its a sure thing</t>
  </si>
  <si>
    <t>You are correct bitcoin cash is as close to technological menstruation as a blockchain can get  $bch $btc</t>
  </si>
  <si>
    <t>Bitcoin is a definitely a good investment it's calledmoney reset</t>
  </si>
  <si>
    <t xml:space="preserve">Bitcoin is the new economy movement      </t>
  </si>
  <si>
    <t xml:space="preserve">Buying more $ADA and $XLM for the long term I LOVE THIS WEEK  </t>
  </si>
  <si>
    <t>It's the whole bitcoin drama that's dragging us down  We are in for a massive price explosion very soon</t>
  </si>
  <si>
    <t xml:space="preserve">tis a thing of beauty to see how quickly bitcoin node is downloading on my new unit </t>
  </si>
  <si>
    <t>Wouldnt be as tiring as counting all your Bitcoin Tito</t>
  </si>
  <si>
    <t xml:space="preserve">The only you shouldn't be buying during this dip is $btc </t>
  </si>
  <si>
    <t>MSM 2 days ago: Tether will kill bitcoin where heading to $100 MSM now: buy bitcoin for EZ 70% gains</t>
  </si>
  <si>
    <t>'almost definitely' bag holders of bitcoin frauds lol  29%</t>
  </si>
  <si>
    <t>where can i find information or instruction to buy on the site i have bitcoin and i want to buy siacoin</t>
  </si>
  <si>
    <t xml:space="preserve">The current value of BTC at 21:24:09 on 03/02/2018 AEST is $10800.00 AUD  </t>
  </si>
  <si>
    <t>You don't need my respect you earn money  You are replaceable realize that</t>
  </si>
  <si>
    <t>Don't follow trump</t>
  </si>
  <si>
    <t>How does that in any way ensurte a bottom line You still have to convert your bitcoin to fiat</t>
  </si>
  <si>
    <t>You should look at the bigger picture :</t>
  </si>
  <si>
    <t>Nope  Bitcoin Cash is Bitcoin Cash  Bitcoin is Bitcoin  What's so hard to understand about that</t>
  </si>
  <si>
    <t xml:space="preserve">Man twitter is much quieter without the Bitcoin tossers stinking up every other post  Wonder what happened there </t>
  </si>
  <si>
    <t>almost all currencies look like this even bitcoin looks almost like this LOL</t>
  </si>
  <si>
    <t>Oga spend this bitcoin money loool</t>
  </si>
  <si>
    <t>boss move Bitcoin just broke its fall hard  great risk/reward here w a stop at 8500-7800</t>
  </si>
  <si>
    <t>Hello humans is currently around $8880.99 as of Sat Feb 3 05:31:10 CST 2018</t>
  </si>
  <si>
    <t>Nocoiners coming out of the woodwork to ask me how my is doing    *Remembers 1 Year returns* My corns are just fine Karen</t>
  </si>
  <si>
    <t xml:space="preserve">Maybe it goes down to 850 so Vinny can rebuy without regrets and don't be so salty about Bitcoin anymore  </t>
  </si>
  <si>
    <t>Why does anyone mine any other coin</t>
  </si>
  <si>
    <t xml:space="preserve">Have banks ever dictated what can and cannot be purchased on credit cards before Is it a crime to buy </t>
  </si>
  <si>
    <t>Bitcoin can have the regulation</t>
  </si>
  <si>
    <t>at 9000 again A plus of 11% today</t>
  </si>
  <si>
    <t xml:space="preserve">Once rigged regulators and GOVs are in the weekend $Crypto is going up  What a surprise $BTC $LTC $BCC $BCash </t>
  </si>
  <si>
    <t>Bitcoin historic reversal crash below 530  panic selloff</t>
  </si>
  <si>
    <t xml:space="preserve">Hopefully less haha idk Bcash seems the same as Bitcoin who can say   </t>
  </si>
  <si>
    <t>Bitcoin plunges below $8000 amid rapid plunge in value of cryptocurrency</t>
  </si>
  <si>
    <t>Do bitcoin trade is legal  gr8. then allow Coinbase and GDAX to operate in India</t>
  </si>
  <si>
    <t xml:space="preserve">63894 follows RT : Bitcoin now below $8000 from a December high of $20000 *$125Bn cleared in a day  </t>
  </si>
  <si>
    <t>Lloyds been taking about bitcoin for at least a decade</t>
  </si>
  <si>
    <t>prices will change based on the demand trustworthiness by people  Completely open and is based on the market fluctuations</t>
  </si>
  <si>
    <t>Best bitcoin hot take EVER</t>
  </si>
  <si>
    <t xml:space="preserve">When up up when bitcoin down altcoin down  Bitcoin still commands very strong  </t>
  </si>
  <si>
    <t xml:space="preserve">It might launch my second bitcoin company accordingly  So I will keep watching this    </t>
  </si>
  <si>
    <t xml:space="preserve">Have you written articles on Bitcoin Are you familiar with </t>
  </si>
  <si>
    <t>yeah your are right bitcoin and altcoins still have value but yo memo doesnt</t>
  </si>
  <si>
    <t>There are currently 12197 unconfirmed Bitcoin transactions  $BTC</t>
  </si>
  <si>
    <t>i used to just by new vans when they got dirty but bitcoin crashed</t>
  </si>
  <si>
    <t>Can you at least fix bitcoin</t>
  </si>
  <si>
    <t xml:space="preserve">Top 6 BTC/USD Exchange Orderbooks: Resistance til $8700:$14.5M Support til $8100:$18.4M $BTC $BTCUSD </t>
  </si>
  <si>
    <t xml:space="preserve">Anyone selling nano ledger hardware wallet I'm in England   </t>
  </si>
  <si>
    <t>Good for you  So are there no miners with who believe in bitcoin</t>
  </si>
  <si>
    <t xml:space="preserve">Top 6 BTC/USD Exchange Orderbooks: Resistance til $8600:$15.5M Support til $7900:$40.1M $BTC $BTCUSD </t>
  </si>
  <si>
    <t>Damn fine time for paying personal debt in bitcoin is what Id say</t>
  </si>
  <si>
    <t xml:space="preserve">$xvg good green day guys verge the next bitcoin but better is coming </t>
  </si>
  <si>
    <t>Overheard at an algo trading conference: Why is govt so worried about Bitcoin Ans: Because they cant demonetise it</t>
  </si>
  <si>
    <t xml:space="preserve">BREAKING: calls NOT A SCAM </t>
  </si>
  <si>
    <t xml:space="preserve">Plus bitcoin is more than just a price so yea I'm more than positive while trying to be realisitic </t>
  </si>
  <si>
    <t xml:space="preserve">THS SCAMMM  REAL FRSTBLOOD TWEETTEE ADRESS FRSBLOOD O </t>
  </si>
  <si>
    <t xml:space="preserve">Check out this spreadsheet of high quality  Instant withdrawls of </t>
  </si>
  <si>
    <t>Yup Bitcoin is in fact nothing more than a Cryptokittie</t>
  </si>
  <si>
    <t xml:space="preserve">is real  but will win because of hub-node profit  Bitcoin will explode soon soon    </t>
  </si>
  <si>
    <t>Cheers Barry bitcoin</t>
  </si>
  <si>
    <t xml:space="preserve">You need around 12-13 bitcoin to buy a Huracan  Hope we are going to 6-7k so I can buy a ton  </t>
  </si>
  <si>
    <t xml:space="preserve">Optimal tx fee: 65 satoshi per byte  BTC : $8931 / 7166 / 6324  Block 507423. Market Cap: 148.11B USD  </t>
  </si>
  <si>
    <t>is a criminals playground What are you hiding</t>
  </si>
  <si>
    <t>Bitcoin $BTC Neo $NEO Elastos $ELA Icon $ICX Ethereum Classic $ETC Iota $IOTA Trinity Network Credit $TNC Tron lol just kidding</t>
  </si>
  <si>
    <t>Of course is going over $20k  And going to zero</t>
  </si>
  <si>
    <t>Millennials own Bitcoin</t>
  </si>
  <si>
    <t xml:space="preserve">I want to say Bitcoin is recovering but I only want to say it because if I say it is I might jinx it  </t>
  </si>
  <si>
    <t>Is DEAD seems to think so  Please reply</t>
  </si>
  <si>
    <t>a guide to buy for beginners: don't</t>
  </si>
  <si>
    <t>What are Asian governments doing to crack down on bitcoin Heres  on</t>
  </si>
  <si>
    <t>Bitcoin trying to rally right now   Hopefully your plays are doing well</t>
  </si>
  <si>
    <t>Bitcoin will spoil your milk</t>
  </si>
  <si>
    <t>I thought Bitcoin is different and the hype cycle does not apply  Looks like I was wrong</t>
  </si>
  <si>
    <t>How much AUD is 500 bitcoin I have no idea how it works</t>
  </si>
  <si>
    <t>Zynga Helps Build Bitcoin Buzz But Dont Get Carried Away Yet  - MoneyBeat - WSJ via</t>
  </si>
  <si>
    <t xml:space="preserve">Sell all your bitcoins  It will moonshot  </t>
  </si>
  <si>
    <t>Did you buy on the dip $8879.61 Up 10.733%</t>
  </si>
  <si>
    <t>Got advised to invest in bitcoin so many times and I'm still glad I didn't  Too volatile for me</t>
  </si>
  <si>
    <t>Bitcoin with unit price of $8976.74 market cap of $151193319774 34.78% and 24 hr vol  of $10138100000 31.58%</t>
  </si>
  <si>
    <t>Average Bitcoin market price is: USD 9076.85 EUR 7288.80</t>
  </si>
  <si>
    <t>Market CapitalizationsTotal: $ 432 568 774 635 $BTC Dominance: 34.87%</t>
  </si>
  <si>
    <t>The average price of Bitcoin across all exchanges is 8954.81 USD</t>
  </si>
  <si>
    <t>Feb 03 2018 04:00AM Price: USD 8512.84 | EUR 6850.94 | JPY 917703.70</t>
  </si>
  <si>
    <t xml:space="preserve">Top 6 BTC/USD Exchange Orderbooks: Resistance til $9400:$30.9M Support til $8700:$16.8M $BTC $BTCUSD </t>
  </si>
  <si>
    <t xml:space="preserve">I just put some extra cash onto binance  Thoughts on ideal coins to invest in Or leave it as bitcoin </t>
  </si>
  <si>
    <t>The latest price is $9016.97. Price is up from $8838.29</t>
  </si>
  <si>
    <t>IT's almost time for Tokensale for will start on Feb 7 2018</t>
  </si>
  <si>
    <t>just bitcoin get your fact straights before spewing nonsense  $btc</t>
  </si>
  <si>
    <t xml:space="preserve">Push it up  </t>
  </si>
  <si>
    <t xml:space="preserve">As long as you use you don't fully understand your intervieuw  </t>
  </si>
  <si>
    <t xml:space="preserve">Bitcoin and the whole crypto market could benefit from the Dow crash  </t>
  </si>
  <si>
    <t>unless we close above 9900 on     i'll remain bearish</t>
  </si>
  <si>
    <t>Most positive movements in the last hour 6.69% 6.11% 5.51% Attention Token4.88% Gold4.58%</t>
  </si>
  <si>
    <t>you sir need to get your head checked out</t>
  </si>
  <si>
    <t>$: 9098.00 Huge%MoveUP+ +11% 26DyChgHi:-47% 0NewHi 25:4Accel+ tf:0111111 FirmTrnd-:+100% 5LoDays:55%</t>
  </si>
  <si>
    <t>10k today  $BTC</t>
  </si>
  <si>
    <t>To clarify my percentages are of the approx 3billion Internet users worldwide     the total addressable market for Bitcoin currently</t>
  </si>
  <si>
    <t xml:space="preserve">The amount of sarcastic texts Ive got asking me how my bitcoin is is ridiculous  </t>
  </si>
  <si>
    <t>Hello BTP Team: can I earn my Bitcoin Private coins by holding my ZClassic coins within Bittrex Thank you</t>
  </si>
  <si>
    <t>Praise be the Bitcoin</t>
  </si>
  <si>
    <t>It's official  You will never be able to buy a bitcoin for less than $8000 again</t>
  </si>
  <si>
    <t xml:space="preserve">Let the show begin </t>
  </si>
  <si>
    <t>I keep trying to tap Request Payment button and send myself some bitcoin   1FJn4zTKzy9c6YYKm3AKE1akhDL1QiMSrR</t>
  </si>
  <si>
    <t>what price did you first get into Bitcoin at</t>
  </si>
  <si>
    <t>Does anyone have a very credible daily spot price chart please Tia</t>
  </si>
  <si>
    <t xml:space="preserve">Top 6 BTC/USD Exchange Orderbooks: Resistance til $8800:$15.0M Support til $8200:$26.5M $BTC $BTCUSD </t>
  </si>
  <si>
    <t>Dow plunges 666 points  Worst day in years  Bitcoin: Hold my beer</t>
  </si>
  <si>
    <t>It already has I don't even see bitcoin core listed anywhere</t>
  </si>
  <si>
    <t xml:space="preserve">Top 6 BTC/USD Exchange Orderbooks: Resistance til $8900:$14.9M Support til $8300:$20.3M $BTC $BTCUSD </t>
  </si>
  <si>
    <t>Bitcoin liquidity frozen it see a panic selling  historic reversal selloff below 530</t>
  </si>
  <si>
    <t xml:space="preserve">Dont confuse Bitcoin with bitconnect  </t>
  </si>
  <si>
    <t>Bitcoin beginning to show why it was so volatile to start with looking like it will fall below 6000</t>
  </si>
  <si>
    <t>Haha  Sorry but I already exchanged all my free Bitcoin Cash to Bitcoin  Maybe next time if you catch me early enough</t>
  </si>
  <si>
    <t xml:space="preserve">Lost coins only make everyone else's coins worth slightly more  Think of it as a donation to everyone  - Satoshi Nakamoto </t>
  </si>
  <si>
    <t>Do you think it's over It seems over with bitcoin rising approx 1.5k</t>
  </si>
  <si>
    <t>the coke prices up and down like it's bitcoin holmes - jay z lyric modified for 2018</t>
  </si>
  <si>
    <t>working to disrupt snack bars using augmented reality native apps and Bitcoin</t>
  </si>
  <si>
    <t xml:space="preserve">[ [ [ [   &gt; &lt;     [Bitcoin performance assessment -52.81%] </t>
  </si>
  <si>
    <t>A week away in the French Alps just saw bitcoin    TOLD YOU sigh  How much did you lose because you didn't listen</t>
  </si>
  <si>
    <t xml:space="preserve">bitcoin prediction video still unavailable </t>
  </si>
  <si>
    <t>After a small recovery $xvg going up like a hungry beast  Bitcoin cash will follow</t>
  </si>
  <si>
    <t>No I mean I have about 500 aud of Bitcoin  If I had 500 btc I would be a multimillionaire</t>
  </si>
  <si>
    <t>bitcoin price $9K  now im happy i didn't know how to invest my $200 when it was at $19K LUL</t>
  </si>
  <si>
    <t>New Bitcoin</t>
  </si>
  <si>
    <t>bahahahahaha They all secretly own bitcoin probably all stored in a Ledger Nano hardwallet</t>
  </si>
  <si>
    <t>The current price of Bitcoin is $9028.06. The current price of BCash is $1222.75 or 0.135026 BTC</t>
  </si>
  <si>
    <t>This is great Ivan I think this provides the best quick view of the state of the bitcoin network and dev progress</t>
  </si>
  <si>
    <t>Is Bcash like bitcoin but without the cool stuff</t>
  </si>
  <si>
    <t>Bitcoin Don Crash</t>
  </si>
  <si>
    <t xml:space="preserve">I might of bought your colleagues Bitcoin  Please thank him for me </t>
  </si>
  <si>
    <t xml:space="preserve">So its like Bitcoin but without the developers and users  Got it </t>
  </si>
  <si>
    <t xml:space="preserve">where you can turn your knowledge to real asset  </t>
  </si>
  <si>
    <t>I hope you filled your bags while the sale lasted etc</t>
  </si>
  <si>
    <t xml:space="preserve">Lost password of your valuable Bitcoin password Get help from </t>
  </si>
  <si>
    <t xml:space="preserve">Bitcoin/Crypto decline started after listing of bitcoin futures  There you'll find a key  </t>
  </si>
  <si>
    <t>Shouldn't you be busy mining bitcoin</t>
  </si>
  <si>
    <t xml:space="preserve">Looks like the whole market is bouncing back fron a major correction  Green days ahead  </t>
  </si>
  <si>
    <t>Thank you for recommending it  : Also how long do you think Bitcoin is going to hangout at 9000 range</t>
  </si>
  <si>
    <t>Seems to me you dont what is  but please continue to demonstrate that</t>
  </si>
  <si>
    <t>Did you buy bitcoin :</t>
  </si>
  <si>
    <t xml:space="preserve">$1 USD is currently worth 0.00011173 BTC </t>
  </si>
  <si>
    <t>I swear its like every person involved in Wall Street throws away all common sense when it comes to Bitcoin  They're either afraid or dumb</t>
  </si>
  <si>
    <t>Whats's is this all about Bitcoin Cash is definitely undervalued</t>
  </si>
  <si>
    <t xml:space="preserve">Do not miss the bonus Token sale  </t>
  </si>
  <si>
    <t>Big boost for   Just read that has started accepting Bitcoin as payment</t>
  </si>
  <si>
    <t xml:space="preserve">Bitcoin is crashing rapidly  Cryptocurrency sell-off intensifies  </t>
  </si>
  <si>
    <t>In 2009 Satoshi Nakamoto released the first Bitcoin client and issued the first Bitcoins</t>
  </si>
  <si>
    <t xml:space="preserve">Was your twitter account hacked Even crypto LOL </t>
  </si>
  <si>
    <t>What about a bear market in Bitcoin dominance How long will it last</t>
  </si>
  <si>
    <t xml:space="preserve">I dont trade when I cannot make the market clear  This is seriously important  </t>
  </si>
  <si>
    <t>Shorting Bitcoin is probably the worst financial move that I can think of since it can jump 1000% in a year</t>
  </si>
  <si>
    <t>thoughts on Bitcoin Private Thanks</t>
  </si>
  <si>
    <t xml:space="preserve">Are you really trying to undermine the lightning sign use regarding bitcoin related user namers Damn dude you are pathetic </t>
  </si>
  <si>
    <t>Hello humans is currently around $8966.6 as of Sat Feb 3 06:31:09 CST 2018</t>
  </si>
  <si>
    <t>Bitcoin Atom [BCA] balances 1:1 btc will be added on 505888 block</t>
  </si>
  <si>
    <t xml:space="preserve">Did you saw my tweet yesterday to Buy Bitcoin  price went 20% up next time LISTEN </t>
  </si>
  <si>
    <t>BitCoin miners are buying out cards for mining</t>
  </si>
  <si>
    <t>Haha  This thing is going way faster than Bitcoins price haha</t>
  </si>
  <si>
    <t>Brokerage firms excited about 24/5 trading  LOL  Bitcoin trades 24/7. 365. Even Christmas  Bitcoin never sleeps</t>
  </si>
  <si>
    <t>What do you think about bitcoin dip  It will dip more or its rising time</t>
  </si>
  <si>
    <t>Following your logic you'd also say unconfirmed transactions are IOUs and not Bitcoin</t>
  </si>
  <si>
    <t>unintended effect of bitcoin driving up graphics cards prices is that at least now the games industry will finally die</t>
  </si>
  <si>
    <t>Bitcoin slowly working up through overhead resistance  Expect a quick move up to $10100</t>
  </si>
  <si>
    <t>Seems like bitcoin at 19.000.   :</t>
  </si>
  <si>
    <t>Guy says Bitcoin is the biggest bubble in human history Lie and fortune magazine writes and publishes an article about him  WOW</t>
  </si>
  <si>
    <t>This Twitter account purchase has clearly been an outstanding success  Bravo Roger Bravo</t>
  </si>
  <si>
    <t>I suggest everyone UNFOLLOW this fraud account</t>
  </si>
  <si>
    <t xml:space="preserve">what's my bitcoin acct password </t>
  </si>
  <si>
    <t xml:space="preserve">Time to clean this acc up  No more Facebook posts  Scan the code and have a coffee on me  </t>
  </si>
  <si>
    <t>Dont buy or invest other than Bitcoin the rest is copy ans scam  Would you buy fake or copied usd euro jpy</t>
  </si>
  <si>
    <t xml:space="preserve">63228 follows RT : Crypto and bitcoin has changed my life for the better so heres a random .1 btc giveaway  </t>
  </si>
  <si>
    <t>1 BITCOIN = $8953</t>
  </si>
  <si>
    <t>Better than trading Bitcoin Shorting the stockmarket at the top</t>
  </si>
  <si>
    <t>Bitcoin down to 8k</t>
  </si>
  <si>
    <t>Dude in my part of the country party talk was this is real about taking out HELOCs to buy Bitcoin</t>
  </si>
  <si>
    <t>Ah nigha need ta get some bitcoin  Frfr</t>
  </si>
  <si>
    <t>The most unstable relationship I have ever had has been with $BTC $BCH</t>
  </si>
  <si>
    <t xml:space="preserve">I'll keep trying to post the most relevant tech new : The price is what is the tech revolutionary </t>
  </si>
  <si>
    <t>There are currently 12313 unconfirmed Bitcoin transactions  $BTC</t>
  </si>
  <si>
    <t xml:space="preserve">Sign up to in 60 seconds buy some cryptocurrency 30 seconds later - wow </t>
  </si>
  <si>
    <t>The issue is that 99% of commits are simply copied from the Bitcoin repository  So the video would be identical to Bitcoin</t>
  </si>
  <si>
    <t>Bitcoin is due for a correction The bulls will be taken over and don't say I didn't tell you</t>
  </si>
  <si>
    <t>1. Make fiat 2. Buy Bitcoin 3. Repeat HODL past 2020 Buy the Dip 123 Thanks Tone enjoy your weekend</t>
  </si>
  <si>
    <t>Okay so Bitcoin</t>
  </si>
  <si>
    <t>Please stop reaching my comment for that volatile Bitcoin  Stay away from it</t>
  </si>
  <si>
    <t>Bitcoin is a decentralised currency that is backed by energy that is harvested from traffic on the world wide web or internet</t>
  </si>
  <si>
    <t xml:space="preserve">Agetron biggest digital currency electronic money bitcoin cryptocurrency blockchain via </t>
  </si>
  <si>
    <t>What is bitcoin</t>
  </si>
  <si>
    <t>hardfork portfolio held in proxy by the house speaker</t>
  </si>
  <si>
    <t>favoured by charlatans and swindlers - seems his knowledge of Bitcoin comes from his Sunday paper</t>
  </si>
  <si>
    <t xml:space="preserve">Optimal tx fee: 85 satoshi per byte  BTC : $8944 / 7176 / 6333  Block 507429. Market Cap: 148.11B USD  </t>
  </si>
  <si>
    <t xml:space="preserve">Crypto space is under new management we will go to ATH soon $btc $eth $icx $etc </t>
  </si>
  <si>
    <t>So in o  What exactly is Bitcoin</t>
  </si>
  <si>
    <t>90% of his retirement investments are in Tesla stock What is he doing with the other 10% bitcoin</t>
  </si>
  <si>
    <t xml:space="preserve">I hate how everything is green and Im still -50%  I bought the wrong dip   </t>
  </si>
  <si>
    <t xml:space="preserve">Most are green   I wait </t>
  </si>
  <si>
    <t>I hope they can convert it to cash before bitcoin crashes</t>
  </si>
  <si>
    <t xml:space="preserve">Just because Bitcoin BCH bled out of the one Bitcoin doesn't mean that you should publicly refer to it as a period  </t>
  </si>
  <si>
    <t>Regardless of the FUD: Bitcoin is the Future</t>
  </si>
  <si>
    <t xml:space="preserve">Do you remember centralized exchange  Yes and pogs too  </t>
  </si>
  <si>
    <t>If u sold this week  Thank you</t>
  </si>
  <si>
    <t>Inadvertently my a$$ they need a way to accumulate  while denying it at every turn</t>
  </si>
  <si>
    <t>1 BITCOIN = $9031</t>
  </si>
  <si>
    <t>Im just waiting for the tech to improve so we get counterfeit Bitcoin</t>
  </si>
  <si>
    <t>Buy preserve your wealth from bankster crooks</t>
  </si>
  <si>
    <t xml:space="preserve">Eat sleep bitcoin repeat </t>
  </si>
  <si>
    <t>So   who bought the dip    Which coin will emerge as the big winner</t>
  </si>
  <si>
    <t xml:space="preserve">Better long term HODL $Trac $Man </t>
  </si>
  <si>
    <t xml:space="preserve">One of the worst jobs in the world must be righting about crypto currencies like bitcoin you praise it one day &amp; mock it the next </t>
  </si>
  <si>
    <t>Jared is the real bitcoin Jesus</t>
  </si>
  <si>
    <t xml:space="preserve">Converting Bitcoin to Ethereum  Who is with me </t>
  </si>
  <si>
    <t xml:space="preserve">Niggas was hyped for Bitcoin for like a week lol    yall annoying </t>
  </si>
  <si>
    <t>Bitcoin with unit price of $9025.89 market cap of $152021711386 34.69% and 24 hr vol  of $9536060000 31.81%</t>
  </si>
  <si>
    <t>The average price of Bitcoin across all exchanges is 9025.89 USD</t>
  </si>
  <si>
    <t>Average Bitcoin market price is: USD 9052.46 EUR 7270.65</t>
  </si>
  <si>
    <t xml:space="preserve">One of the worst jobs in the world must be writing articles about crypto currencies like bitcoin you praise it one day &amp; mock it the next </t>
  </si>
  <si>
    <t xml:space="preserve">Lets take a like vote  Do you feel dumb selling your bitcoin now for 7.6 - 8500 If not    wait a few hours   </t>
  </si>
  <si>
    <t>Feb 03 2018 05:00AM Price: USD 8670.92 | EUR 6984.17 | JPY 927689.19</t>
  </si>
  <si>
    <t>Bitcoin ranges from nano-payments to giga-payments on a single network</t>
  </si>
  <si>
    <t xml:space="preserve">2018 will be good for us  Not for everyone    </t>
  </si>
  <si>
    <t>Bitcoin is currently trading at $9074</t>
  </si>
  <si>
    <t xml:space="preserve">Should never buy bitcoin with credit anyway  It's a recipe for disaster Sensible move by the banks I suppose  </t>
  </si>
  <si>
    <t>YO The price of Bitcoin is $9029.81 today</t>
  </si>
  <si>
    <t>Since last week Bolgakov has been playing Quake III and not buying any Bitcoin</t>
  </si>
  <si>
    <t>It's February 3 2018 at 07:59AM and $BTC is $9029.81 Lets make some today</t>
  </si>
  <si>
    <t xml:space="preserve">'If It's Controlled By 1 Party It's Not A Blockchain' Charlie Shrem Lauds Bitcoin </t>
  </si>
  <si>
    <t>Learn how to hash your bitcoin right inside your wallet fast and secured Request for a free ebook</t>
  </si>
  <si>
    <t>the speed of bitcoin now worth $0 000 -100 00% the court approved a bitcoin &amp; eth mining sign up here and earn your elf now</t>
  </si>
  <si>
    <t xml:space="preserve">Forget there is in by  net  Is this similar to # is this safe to use </t>
  </si>
  <si>
    <t>You got a bitcoin tatoo Wtff is wrong with u</t>
  </si>
  <si>
    <t xml:space="preserve">So the current price of Bitcoin is $9029.81. </t>
  </si>
  <si>
    <t xml:space="preserve">1 Bitcoin is currently worth $8991 USD </t>
  </si>
  <si>
    <t>Good morning Enthusiasts  price is currently $9029.81</t>
  </si>
  <si>
    <t>THE MOST INNOVATIVE AND LUCRATIVE WAY TO EARN BITCOIN JOIN BITCLUB NETWORK [Virtual currency mining Encryption currency]</t>
  </si>
  <si>
    <t xml:space="preserve">Dont worry BitCoin speculators Gordon Gekko has a few words of encouragement for your portfolios conversation  </t>
  </si>
  <si>
    <t>The Bitcoin community awaits the return of Satoshi Nakamoto</t>
  </si>
  <si>
    <t xml:space="preserve">Bitcoin tat    respect </t>
  </si>
  <si>
    <t>Ive planned to make another separate video for bitcoin and how blockchain works Stay tuned for that video anytime soon</t>
  </si>
  <si>
    <t>I recieved Bitcoin yesterday  How can I see if my address generator isnt infected and my address was safe</t>
  </si>
  <si>
    <t>I like how right when I invested in bitcoin the bottom fell out  Ill hold it though I have a feeling thats a long term win</t>
  </si>
  <si>
    <t xml:space="preserve">I wonder if there's a grime producer named Bitcoin </t>
  </si>
  <si>
    <t>Explain to a grade schooler: Nunes memo or Bitcoin</t>
  </si>
  <si>
    <t xml:space="preserve">To all of you roadmap incoming   Get your cheap buys in today :  </t>
  </si>
  <si>
    <t xml:space="preserve">Going to the atm to buy some $litecoin : $btc $ltc $eth </t>
  </si>
  <si>
    <t xml:space="preserve">Missed Bitcoin Rally Invest In Dencity Now $3M Raised 1200 Investors Whale Round Ending Soon </t>
  </si>
  <si>
    <t xml:space="preserve">So bitcoin fees hurt them 100x more than Americans  Good point  They need low fees  for Venezuela </t>
  </si>
  <si>
    <t>Just put the Mrs money back into Bitcoin hope the bloodbath is over</t>
  </si>
  <si>
    <t xml:space="preserve">Probably should buy some while its this low  Never thought bitcoin would be deemed too risky by a    literal race car driver  </t>
  </si>
  <si>
    <t>Amazing how much effort the media puts into trashing Bitcoin  Why</t>
  </si>
  <si>
    <t>Bitcoin gold real btc all the rest scam and lie</t>
  </si>
  <si>
    <t>This is a huge problem  How is the fix a not mandated and b not available for non-bitcoin programs</t>
  </si>
  <si>
    <t>He was curious who knew the most about bitcoin</t>
  </si>
  <si>
    <t>you're very close to the sunshine  startengine com/sun-fund</t>
  </si>
  <si>
    <t xml:space="preserve">Is Facebook really gonna stop all posts about Bitcoin and other crypto currencies </t>
  </si>
  <si>
    <t xml:space="preserve">They want to suck as much retail in as they can     </t>
  </si>
  <si>
    <t>bet that helped the DOW DIVE having to raise cash and cover shorts &amp; bitcoin losses</t>
  </si>
  <si>
    <t>What's up with Bitcoin</t>
  </si>
  <si>
    <t xml:space="preserve">Bitcoin White markete ekleyelim mi Should be add Bitcoin White to market </t>
  </si>
  <si>
    <t xml:space="preserve">When you stop chasing the wrong things you give the right things a chance to catch you  </t>
  </si>
  <si>
    <t>The current price of Bitcoin is $9001.79. The current price of BCash is $1220.36 or 0.135413 BTC</t>
  </si>
  <si>
    <t>It almost makes it worthwhile to adopt Bitcoin</t>
  </si>
  <si>
    <t>Bitcoin people how market</t>
  </si>
  <si>
    <t>Did TA ever worked with bitcoin</t>
  </si>
  <si>
    <t xml:space="preserve">What do you mean Who will invest in bitcoin then there is the UGANDA COIN </t>
  </si>
  <si>
    <t xml:space="preserve">I mean given what the price of Bitcoin has been doing lately  </t>
  </si>
  <si>
    <t>The bitcoin bubble which is in the process of bursting boisterously caused a spike in prices - particularly GPUs</t>
  </si>
  <si>
    <t>The french lady however is very anti bitcoin</t>
  </si>
  <si>
    <t>Does Nobody else notice that the Chinese have all the bitcoin   #</t>
  </si>
  <si>
    <t>I just want to use Bitcoin as a currency</t>
  </si>
  <si>
    <t>HAHAHA you must have missed out on bitcoin  Taking over the world with arisebank either you are insane dumb or both</t>
  </si>
  <si>
    <t>Dont buy bitcoin I bought 50 dollars worth and now its worth 25 :-</t>
  </si>
  <si>
    <t xml:space="preserve">excellent team everything is transparent </t>
  </si>
  <si>
    <t>Can't wait to send my car out to be a taxi/Uber and have it come back with more Bitcoin</t>
  </si>
  <si>
    <t>Can you guys PLEASE stop calling all cryptocurrencies Bitcoin There are over 1500 cryptos right now</t>
  </si>
  <si>
    <t>Please listen to me  Buy Bitcoin in two months</t>
  </si>
  <si>
    <t>Dear Bitcoin holders  Panic at below 6 bulls above 12. I have spoken  Nothing else to say  The End</t>
  </si>
  <si>
    <t xml:space="preserve">How To Be a Bitcoin Thought Leader  </t>
  </si>
  <si>
    <t xml:space="preserve">Buy bitcoin for 100$   </t>
  </si>
  <si>
    <t>He's just reading her the Bitcoin price numbers</t>
  </si>
  <si>
    <t>Yo  Lemme know when you feel like a sellout for parting with your for flea market pricing</t>
  </si>
  <si>
    <t xml:space="preserve">Love research like this </t>
  </si>
  <si>
    <t>CSW is Satoshi we are all Satoshi    seriously CSW is Satoshi</t>
  </si>
  <si>
    <t>Bitcoin has the most people who take it the most seriously and that is why it wins</t>
  </si>
  <si>
    <t>These Bitcoin swings are so predictable</t>
  </si>
  <si>
    <t xml:space="preserve">BTG got really hot right now </t>
  </si>
  <si>
    <t>All the bulls will join again once bitcoin reaches 9k $neo $btc $ltc $eth</t>
  </si>
  <si>
    <t>I think Bitcoin is gonna die out soon</t>
  </si>
  <si>
    <t>Proposal: we call currencies like bitcoin math money</t>
  </si>
  <si>
    <t xml:space="preserve">12 reasons Bitcoin Cash is Gash: 1 - 12: Roger Ver and his snakey tactics  </t>
  </si>
  <si>
    <t xml:space="preserve">Adbank $ADB will be listed on Kucoin  </t>
  </si>
  <si>
    <t>now $9035.00 USD</t>
  </si>
  <si>
    <t>Do you check the market price of every day</t>
  </si>
  <si>
    <t>Can bitcoin further go down from here</t>
  </si>
  <si>
    <t>it will certainly not Bitcoin is another levelnot comparable to alts  It is traded like gold</t>
  </si>
  <si>
    <t>You really bought into the bitcoin meme</t>
  </si>
  <si>
    <t xml:space="preserve">Can someone please take those bitcoin under 5k for February lay in 2.6/7x range  </t>
  </si>
  <si>
    <t>Fu and chance your nick to bcash</t>
  </si>
  <si>
    <t>Good weekend to start your Bitcoin taxes  They were harder then I expected</t>
  </si>
  <si>
    <t xml:space="preserve">In March 2018 plans Bitcoin Atom AS Toolkit Release  </t>
  </si>
  <si>
    <t>Can you explain bitcoin to me I just dont get it  -my neighbor at breakfast</t>
  </si>
  <si>
    <t>this name is already taken by Bitcoin Core church</t>
  </si>
  <si>
    <t>Hello humans is currently around $9024.76 as of Sat Feb 3 07:31:09 CST 2018</t>
  </si>
  <si>
    <t>Bitcoin will disappear  get your ass get back of Bitcoin CashBCH R$ 68560</t>
  </si>
  <si>
    <t xml:space="preserve">Don't be scared banks i'm ONLY a new type of asset we can be friends - </t>
  </si>
  <si>
    <t>One positive thing about this correction - the BCH shills shut up  Even they are praying for Bitcoin to rebound  #$BCH #$BTC</t>
  </si>
  <si>
    <t>Bitcoin is tryna give us another chance to afford it Lets all grab this chance</t>
  </si>
  <si>
    <t xml:space="preserve">Please where is Bitto/Bitcoin     only observing </t>
  </si>
  <si>
    <t>What is the Bitcoin Cash Fund wallet address</t>
  </si>
  <si>
    <t xml:space="preserve">It is time to invest now in bitcoin while the price is very low </t>
  </si>
  <si>
    <t xml:space="preserve">back over the $9k mark </t>
  </si>
  <si>
    <t>Invest    invest    invest now in bitcoin</t>
  </si>
  <si>
    <t xml:space="preserve">India has a big share of the cryptocurrency market accounting for about 10 percent of all bitcoin transactions Via </t>
  </si>
  <si>
    <t>Bitcoin can further go down from here BrO</t>
  </si>
  <si>
    <t>Need triangle rotating 007 license tag side 1 BitCoin 2 Dow 31K 3 Bear2018</t>
  </si>
  <si>
    <t>It didn't take a Bitcoin ban to cause the crash - banning Bitcoin propaganda sufficed</t>
  </si>
  <si>
    <t>Oh  Damn  I thought for a moment I might have had a glimmer of understanding as to what bitcoin is</t>
  </si>
  <si>
    <t>This text should be in your assignment</t>
  </si>
  <si>
    <t xml:space="preserve">Seems like the verge hates            </t>
  </si>
  <si>
    <t>A year ago today 1 bitcoin was worth $1000 It's all about perspective</t>
  </si>
  <si>
    <t>$BTC : I smell a little run for bitcoin today if bulls can manage to take a little bit of control back</t>
  </si>
  <si>
    <t>I got into crypto while bitcoin was almost 17k  This has been quite a ride</t>
  </si>
  <si>
    <t>or just leave it in Bitcoin Moooooon</t>
  </si>
  <si>
    <t>No this is the next big thing I swear to god investing in Bitcoin is going to get us out of debt and make us rich Natsuhi</t>
  </si>
  <si>
    <t>$ dta is good buy  I want to put in ny 2 bitcoin in altcoin please advice</t>
  </si>
  <si>
    <t xml:space="preserve">Yo memo so inflated it's the new bitcoin  </t>
  </si>
  <si>
    <t>This bitcoin market never closes  I cant sleep anymore</t>
  </si>
  <si>
    <t xml:space="preserve">I think Bitcoin to be abit unstable  </t>
  </si>
  <si>
    <t>Bitcoin has been on a run since 3 AM EST  Its going to break 9500 soon</t>
  </si>
  <si>
    <t>I added a vital subject  - Regulators have truly inspiring words to withdraw or when bitcoin - prix de la machine minire</t>
  </si>
  <si>
    <t>Had no idea people used their credit cards to buy bitcoin  Why would I do that</t>
  </si>
  <si>
    <t>Whats bitcoin</t>
  </si>
  <si>
    <t>Question: How much did drop of Bitcoin cause sell off by investing fund managers</t>
  </si>
  <si>
    <t xml:space="preserve">A nice green morning  </t>
  </si>
  <si>
    <t>What investment can I do online apart from Blogging or Bitcoin or Online Betting  Serious mind comments only</t>
  </si>
  <si>
    <t>There are currently 11416 unconfirmed Bitcoin transactions  $BTC</t>
  </si>
  <si>
    <t xml:space="preserve">Dead cat bounce or reversal Hmmm </t>
  </si>
  <si>
    <t xml:space="preserve">ye we all know Trump is to be blamed for the coming financial crash    will save many deaths though  go </t>
  </si>
  <si>
    <t>Do I have to understand bitcoin</t>
  </si>
  <si>
    <t>You need to talk about starwars and bitcoin   nothing else</t>
  </si>
  <si>
    <t>1 BITCOIN = $9197</t>
  </si>
  <si>
    <t xml:space="preserve">Optimal tx fee: 65 satoshi per byte  BTC : $9074 / 7281 / 6425  Block 507435. Market Cap: 152.38B USD  </t>
  </si>
  <si>
    <t>Bitcoin prices went up slightly  24hrs range: $8123.62 $9090.00</t>
  </si>
  <si>
    <t xml:space="preserve">with our   </t>
  </si>
  <si>
    <t>$: 9207.00 1mTrending+ 2.5% bars:16 3NearHi 3mMv:+4 16:3Accel+ tf:0111111 FirmTrnd-:+100% 5LoDays:55%</t>
  </si>
  <si>
    <t>I sold some Dav last night at 10:30 to bitcoin and the next day at 9:00 it still didnt go through</t>
  </si>
  <si>
    <t xml:space="preserve">Close the door behind you    </t>
  </si>
  <si>
    <t>Since your bearish that means new highs for Bitcoin Great Your the signal so crypto can go higher lol</t>
  </si>
  <si>
    <t xml:space="preserve">If your brand new idea is immediately accepted by many it's probably not as new as you thought it was </t>
  </si>
  <si>
    <t>Sir I want to work for Bitcoin  Where do i send my resume Thank you in advance</t>
  </si>
  <si>
    <t xml:space="preserve">Someone buy my bitcoin  $9000 </t>
  </si>
  <si>
    <t>Bitcoin is no ponzi there is a way out you can now hash your coin and make it grow right inside your wallet</t>
  </si>
  <si>
    <t xml:space="preserve">$0.10 for Bitcoin ATM  </t>
  </si>
  <si>
    <t>Once a is worth less than the space it takes up on my hard drive I'm all in</t>
  </si>
  <si>
    <t>Keep in mind went from $2000 to $20k in a matter of a few months so a serious correction is in order before the next runup</t>
  </si>
  <si>
    <t xml:space="preserve">Bitcoin mate   </t>
  </si>
  <si>
    <t>Miners are Bitcoin too  More miners = increased difficulty = less profit</t>
  </si>
  <si>
    <t xml:space="preserve">Buy bitcoin contact me if interested </t>
  </si>
  <si>
    <t>But Bitcoin was supposed to be the bank slayer why are you still blaming banks</t>
  </si>
  <si>
    <t>But is there any hope for Bitcoin</t>
  </si>
  <si>
    <t xml:space="preserve">IMO rebounce looks like a wave 4 of wave c down  Therefore one more dip coming  </t>
  </si>
  <si>
    <t>Are you talking about bitcoin</t>
  </si>
  <si>
    <t xml:space="preserve">I am interested in </t>
  </si>
  <si>
    <t xml:space="preserve">ok so thats 600 GB on disk to put bitcoin transactions in a graph  </t>
  </si>
  <si>
    <t>Free ebook on how to hash your bitcoin right inside your blockchain wallet</t>
  </si>
  <si>
    <t>Looking forward to the day we view 4 digit the way we view 3 digit today  A long forgotten memory</t>
  </si>
  <si>
    <t>Bitcoin as an investment explains  The central bankers will do the rest</t>
  </si>
  <si>
    <t>I see /r/Bitcoin is demonstrating their lack of investment knowledge yet again</t>
  </si>
  <si>
    <t>Lower $BTC just makes the that much more pumpy to build me a bigger pile</t>
  </si>
  <si>
    <t xml:space="preserve">i just tried a 'L' pk from a bitcoin wallet and balance is 0 </t>
  </si>
  <si>
    <t xml:space="preserve">Who do you have more disdain for </t>
  </si>
  <si>
    <t>some stoch exaustion on 4h chart  daily chart looking very good we could see break 10k in 2-3 attempt maybe</t>
  </si>
  <si>
    <t>Dr  Bitcoin</t>
  </si>
  <si>
    <t>Bitcoin like life is a 24/7 ongoing event</t>
  </si>
  <si>
    <t>Bitcoin with unit price of $9208.89 market cap of $155104984332 34.53% and 24 hr vol  of $8631150000 31.21%</t>
  </si>
  <si>
    <t>Average Bitcoin market price is: USD 9252.34 EUR 7440.55</t>
  </si>
  <si>
    <t>The average price of Bitcoin across all exchanges is 9209.09 USD</t>
  </si>
  <si>
    <t>Feb 03 2018 06:00AM Price: USD 8724.25 | EUR 7036.41 | JPY 934064.38</t>
  </si>
  <si>
    <t xml:space="preserve">Top 6 BTC/USD Exchange Orderbooks: Resistance til $9500:$24.1M Support til $9000:$18.6M $BTC $BTCUSD </t>
  </si>
  <si>
    <t xml:space="preserve">This is the best company for your investment  </t>
  </si>
  <si>
    <t xml:space="preserve">3-day technical analysis on REQ Request Network is 10x HUGE on Binance  </t>
  </si>
  <si>
    <t xml:space="preserve">Market is GREEN right now  </t>
  </si>
  <si>
    <t xml:space="preserve">Top 6 BTC/USD Exchange Orderbooks: Resistance til $9000:$20.6M Support til $8400:$27.2M $BTC $BTCUSD </t>
  </si>
  <si>
    <t xml:space="preserve">To join the company The team works very good  </t>
  </si>
  <si>
    <t>Why is it the bitcoin I transfered to my wallet hasnt appeared yet Round 3 is just few hours before it starts</t>
  </si>
  <si>
    <t xml:space="preserve">$1 USD is currently worth 0.00010889 BTC </t>
  </si>
  <si>
    <t>They're not accepting Bitcoin at Summit Diner just yet</t>
  </si>
  <si>
    <t xml:space="preserve">So do I  the point is the long run    </t>
  </si>
  <si>
    <t>How can I throw him a couple of pennies without having to split a Bitcoin</t>
  </si>
  <si>
    <t>If you're not in you're out  If you missed Bitcoin don't miss    that'll be a fatal double</t>
  </si>
  <si>
    <t xml:space="preserve">9AM EST price of $BTC today is $9260.01 </t>
  </si>
  <si>
    <t>People forget : Bitcoin is a humanitarian project  Banking the unbanked  Think of how much good that will do</t>
  </si>
  <si>
    <t xml:space="preserve">You must have huge short position in Futures huh  </t>
  </si>
  <si>
    <t>When the cat's away the mouse will play  Another Saturday rally in bitcoin when the futures are closed  $BTC</t>
  </si>
  <si>
    <t xml:space="preserve">Top 6 BTC/USD Exchange Orderbooks: Resistance til $9100:$22.6M Support til $8500:$21.2M $BTC $BTCUSD </t>
  </si>
  <si>
    <t>96%: amount of bitcoin owned by just 4% of addresses containing 2.9 million BTC</t>
  </si>
  <si>
    <t xml:space="preserve">Lots of impatient and amateur investors in Crypto  </t>
  </si>
  <si>
    <t>have you guys heard about bitcoin</t>
  </si>
  <si>
    <t xml:space="preserve">are we supposed to feel better at $9200 </t>
  </si>
  <si>
    <t xml:space="preserve">Just Bought and Hodling lets see how long these lasts   </t>
  </si>
  <si>
    <t>M: You thought you'd buy and never have to face adversity again T: Yep M: Well you're in for a treat</t>
  </si>
  <si>
    <t xml:space="preserve">1 Bitcoin is currently worth $9185.11 USD </t>
  </si>
  <si>
    <t>Good that you stayed away from this  So many people got burned in Bitcoin mania</t>
  </si>
  <si>
    <t>The are at it again America  They're trying to artificially lower the value of bitcoin</t>
  </si>
  <si>
    <t>1 reason it isnt: 1: your opinion doesn't dictate reality</t>
  </si>
  <si>
    <t>Yes they taught me that at Bitcoin troll school  I was there with Roger Ver</t>
  </si>
  <si>
    <t>30874 follows They're not accepting Bitcoin at Summit Diner just yet</t>
  </si>
  <si>
    <t>Look at the bitcoin bear market of 2014 - 2015 into 2016. It might take a year or two  Or more or less</t>
  </si>
  <si>
    <t xml:space="preserve">Im a big fan of   Regulation of money supply needs to be depoliticized  - Al Gore </t>
  </si>
  <si>
    <t>Not when you've got $7000000 in forgotten bitcoin its not</t>
  </si>
  <si>
    <t>Could bitcoin crash but others stabilize</t>
  </si>
  <si>
    <t xml:space="preserve">Do you need a little blockchain sauce for your $corn good sir  </t>
  </si>
  <si>
    <t>I genuinely feel sorry for the dumbasses who are too ignorant to educate themselves on how bitcoin and cryptocurrencies work</t>
  </si>
  <si>
    <t xml:space="preserve">You said brb buying bitcoin 17 hrs later    I was just worried </t>
  </si>
  <si>
    <t>When was the last time you used Bitcoin or any other cryptocurrency as it was originally intended as a currency</t>
  </si>
  <si>
    <t>Please and thank you</t>
  </si>
  <si>
    <t>My moods are now officially correlated with the price of bitcoin</t>
  </si>
  <si>
    <t xml:space="preserve">Any news on the upcoming zclassic fork to bitcoin private will it be supported on bittrex </t>
  </si>
  <si>
    <t>There went their bitcoin dreams</t>
  </si>
  <si>
    <t>I feel bad for all the Millennials that bought into bitcoin at 20000. I really do</t>
  </si>
  <si>
    <t>So its less Bitcoin vs Bolivar and more US$ via Bitcoin</t>
  </si>
  <si>
    <t xml:space="preserve">The window is closing for buying sub 10k </t>
  </si>
  <si>
    <t>Bitcoin is down now o  Buy</t>
  </si>
  <si>
    <t>Excuse me  Bitcoin *is* the regulation</t>
  </si>
  <si>
    <t>The current price of Bitcoin is $9192.88. The current price of BCash is $1245.46 or 0.13504 BTC</t>
  </si>
  <si>
    <t xml:space="preserve">Seems a green weekend at cryptocurrency market  </t>
  </si>
  <si>
    <t xml:space="preserve">Bitcoin jet got power fuel ready to ride $10000 </t>
  </si>
  <si>
    <t>Please wake up   Bitcoin is going up now Can we buy I need you advise   :</t>
  </si>
  <si>
    <t>Bitcoin love on first sight</t>
  </si>
  <si>
    <t xml:space="preserve">Green all over Did the South Korean gov announced a Kimchi chocolate coin  </t>
  </si>
  <si>
    <t>Whats your prediction from here when do we get $100000 for bitcoin</t>
  </si>
  <si>
    <t>invest in bitcoin make gains market crashes cash out break even Wow it really is a store of value</t>
  </si>
  <si>
    <t xml:space="preserve">Looks like people realizing $BTC under $10000 is a damn STEAL  </t>
  </si>
  <si>
    <t>That would put bitcoin about $80000 :D</t>
  </si>
  <si>
    <t>Bitcoin going to zero</t>
  </si>
  <si>
    <t xml:space="preserve">Top 6 BTC/USD Exchange Orderbooks: Resistance til $9100:$27.1M Support til $8500:$15.0M $BTC $BTCUSD </t>
  </si>
  <si>
    <t>Bitcoin will regulate the regulators</t>
  </si>
  <si>
    <t xml:space="preserve">Is it time to FOMO yet $BTC </t>
  </si>
  <si>
    <t xml:space="preserve">Amazing community at in  </t>
  </si>
  <si>
    <t>Does anyone know a way I can turn likes from celebrities into cold hard bitcoin</t>
  </si>
  <si>
    <t>Can i buy bitcoin now :</t>
  </si>
  <si>
    <t>The stock market is just like a bitcoin: Gambling on expectations without any fundations</t>
  </si>
  <si>
    <t xml:space="preserve">The only crucial date for the bitcoin and crypto market is February 6.   any other FUD is baseless </t>
  </si>
  <si>
    <t>Bitcoin crashes to little over 6500 per coin  46% decrease in value in less than 24 hours  Where's all the armchair traders at now</t>
  </si>
  <si>
    <t>Bitcoin cash will fade into oblivion for one simple reason: it's not called Bitcoin</t>
  </si>
  <si>
    <t xml:space="preserve">Anyone else wake up at 5 to think of episodes </t>
  </si>
  <si>
    <t>What about Bitcoin White BTW</t>
  </si>
  <si>
    <t>can I borrow some  I want to buy some tacos  Thanks</t>
  </si>
  <si>
    <t>2017-Trump Las vegas shooting Bitcoin Hurricanes Solar Eclipse 2018- Shower rat</t>
  </si>
  <si>
    <t xml:space="preserve">Have a blessed morning remember seek and you will find ask and it shall be given on to you   </t>
  </si>
  <si>
    <t>please update your Bitcoin app to the latest version on your Nano S through the Ledger Manager</t>
  </si>
  <si>
    <t xml:space="preserve">Are you buying the dip What do you think the high of will be in 2018 </t>
  </si>
  <si>
    <t>Do you think Ether will take over Bitcoin</t>
  </si>
  <si>
    <t>Bitcoin &amp; Cryptocurrency Issues January 2018 alone: loss of value of 46% &amp; now $100bn wiped yesterday  Make Una Receive sense</t>
  </si>
  <si>
    <t xml:space="preserve">Bitcoin is nice  is betta </t>
  </si>
  <si>
    <t>JP Morgan and Citi decide to decline Bitcoin purchases on their credit cards  Who thought that should be ok in the first place</t>
  </si>
  <si>
    <t xml:space="preserve">Forex Trading Signals  </t>
  </si>
  <si>
    <t>Please don't buy back into bitcoin any time soon</t>
  </si>
  <si>
    <t>What's up in Bitcoin</t>
  </si>
  <si>
    <t xml:space="preserve">The wave of buying on digital currencies is a start   </t>
  </si>
  <si>
    <t>Me and a team of useless nerds are robbing banks to raise the price of Bitcoin</t>
  </si>
  <si>
    <t>please update the Bitcoin app to the latest version on your Nano S using the Ledger Manager</t>
  </si>
  <si>
    <t xml:space="preserve">In horizon 3 the word bitcoin as a license plate is considered profanity  Your devs probably use it  just saying </t>
  </si>
  <si>
    <t>I have followed shared this tweet Here is my bitcoin wallet address  15PUbswTXCUe42DkWnUbdxTKB3RadHwjXA</t>
  </si>
  <si>
    <t>Now is probably a good time to get into Bitcoin  You can still catch the falling knife</t>
  </si>
  <si>
    <t xml:space="preserve">The worst evils which mankind has ever had to endure were inflicted by bad governments  - Ludwig von Mises </t>
  </si>
  <si>
    <t>Once we understand the fundamentals which make Bitcoin work we can more accurately perceive what the impacts of development decisions are</t>
  </si>
  <si>
    <t>Bitcoin 50000 Vertcoin +1000 we in the GREEN $VTC</t>
  </si>
  <si>
    <t>$DNAX $BTCS $SING $BLKCF and $PRELF getting all kinds of love in the and space</t>
  </si>
  <si>
    <t xml:space="preserve">I see a trend in objects with a give name of Tim in my following trends let's go fishing your boi is back  </t>
  </si>
  <si>
    <t>hey would you help a crypto-believer poor student by donating a bitcoin or fraction of it</t>
  </si>
  <si>
    <t>Hello humans is currently around $9320.15 as of Sat Feb 3 08:31:09 CST 2018</t>
  </si>
  <si>
    <t xml:space="preserve">i have bitcoin hashrate on genisis mining can i tranfere to litecoin or ETH     etc </t>
  </si>
  <si>
    <t>Is it that we are waiting on lightning network or whats up with bitcoin price at the moment</t>
  </si>
  <si>
    <t xml:space="preserve">New Options Trade Ideas from Skip Raschke - Webinar Recap  </t>
  </si>
  <si>
    <t xml:space="preserve">Just like 2017 everybody was saying 'oh yeah Bitcoin will hit $5000 by Christmas ' Then what happened  </t>
  </si>
  <si>
    <t>TLDT Too Long Didn't Trade $btc</t>
  </si>
  <si>
    <t>has pushed above resistance  If it can stay there price could keep going up   Yay</t>
  </si>
  <si>
    <t>End of 2017 was the awakening of the world to Bitcoin 2018 will be the year of adoption and application of Bitcoin</t>
  </si>
  <si>
    <t>Do you have any Bitcoin pendants</t>
  </si>
  <si>
    <t xml:space="preserve">I'd like to know what all these icons represent under the 3.0 column  </t>
  </si>
  <si>
    <t>when bitcoin corrects by 85% im putting my lifesavings into it  thatll prob be in 2020</t>
  </si>
  <si>
    <t xml:space="preserve">$1 USD is currently worth 0.00010766 BTC </t>
  </si>
  <si>
    <t>bitcoin go down - Me 2003</t>
  </si>
  <si>
    <t xml:space="preserve">Come on old girl pick your fat ass up and break $9400 resistance  $btc </t>
  </si>
  <si>
    <t>Cool  Hey whats up with the 650000 bitcoin you lost out of curiosity</t>
  </si>
  <si>
    <t>As mentioned in the PDF that only mitigates the risk in the Bitcoin app  What do we do with the other apps</t>
  </si>
  <si>
    <t xml:space="preserve">Pre-sale whitelist is ending in 2 days be sure to check it before it ends </t>
  </si>
  <si>
    <t>Lmfao  Wow hes like a Bitcoin oracle</t>
  </si>
  <si>
    <t>Im back home and is out of the woods for now ^ ^ Good stuff  $btc</t>
  </si>
  <si>
    <t>I just wanna know how much Bitcoin you sold</t>
  </si>
  <si>
    <t xml:space="preserve">60964 follows RT : Crypto and bitcoin has changed my life for the better so heres a random .1 btc giveaway  </t>
  </si>
  <si>
    <t xml:space="preserve">in b4 everyone knows he's the new Oracle of Bitcoin  Sorry </t>
  </si>
  <si>
    <t xml:space="preserve">Volume  I would like to see more volume here  Show me your FOMO  $btc </t>
  </si>
  <si>
    <t>I am Ethereum  The noise is Bitcoin</t>
  </si>
  <si>
    <t>If youre you should have bought like the rest of the and non are</t>
  </si>
  <si>
    <t>Market cap is 4x that of   Wow So Much potential in $BTC  Not even close to a bubble</t>
  </si>
  <si>
    <t>Man I added a new open source P2P e-cash system called Bitcoin  It's completely decentralized with themselves</t>
  </si>
  <si>
    <t>Bitcoin is begin to raise up again From $8500 to $9300 in about 7 hours  Yeay</t>
  </si>
  <si>
    <t>Use to buy bitcoin using cash</t>
  </si>
  <si>
    <t xml:space="preserve">is going back up today  </t>
  </si>
  <si>
    <t xml:space="preserve">There are about 7.4 billion people on   Only 21 million will be released  </t>
  </si>
  <si>
    <t>Overheard at Pret: dont do bitcoin you cant make money it only started last year</t>
  </si>
  <si>
    <t xml:space="preserve">Bitcoin has reached it's highest point since February 1st </t>
  </si>
  <si>
    <t>After the Super Bowl will skyrocket</t>
  </si>
  <si>
    <t>If you purchased and this morning like I suggested you can sell now and thank me for the advise as you made a profit</t>
  </si>
  <si>
    <t xml:space="preserve">I think this trend was too soft in comparion to the rise  My gut tells me we will drop a little more </t>
  </si>
  <si>
    <t>There are currently 11221 unconfirmed Bitcoin transactions  $BTC</t>
  </si>
  <si>
    <t>How about 12 reasons is not the real twitter handle  You guys are ridiculous</t>
  </si>
  <si>
    <t>Thats funny because several reports say bitcoin has fallen of a cliff w/no bottom in sight Therefore bitcoin=</t>
  </si>
  <si>
    <t xml:space="preserve">very nice project and good opportunity to invest inall wishes to the team </t>
  </si>
  <si>
    <t>The Bitcoin and immortality   same difference  Welcome to the New World</t>
  </si>
  <si>
    <t xml:space="preserve">Crypto Rich and Paranoid: Threats Prompt Radical Security in Land  </t>
  </si>
  <si>
    <t xml:space="preserve">Optimal tx fee: 70 satoshi per byte  BTC : $9336 / 7493 / 6610  Block 507441. Market Cap: 152.38B USD  </t>
  </si>
  <si>
    <t>Just started bitcoin farming  Not sure how much water you are supposed to feed them every day</t>
  </si>
  <si>
    <t>On the 1st of March the dollar price of 1 $BTC will be</t>
  </si>
  <si>
    <t xml:space="preserve">Rumors of a cease and desist order from Texas for  Fud or real deal </t>
  </si>
  <si>
    <t xml:space="preserve">When panic sellers are out the path of least resistance is north  </t>
  </si>
  <si>
    <t>Correction: None of them wanted bitcoin that is</t>
  </si>
  <si>
    <t>You will be crashing more if you waste $5000 this fake report  Buy Bitcoin instead</t>
  </si>
  <si>
    <t xml:space="preserve">How much bitcoin do you think those cost   </t>
  </si>
  <si>
    <t>I thought I was following the real bitcoin  Not some shady alt coin that nobody likes</t>
  </si>
  <si>
    <t>I hope yall who invested in bitcoin realize theres nothing to back it up with</t>
  </si>
  <si>
    <t>Does it look like time to buy Bitcoin now</t>
  </si>
  <si>
    <t>Go Litecoin The silver to Bitcoin</t>
  </si>
  <si>
    <t>Bitcoin $BTC | $9374</t>
  </si>
  <si>
    <t>Sounds too good to be true  I'm curious    Would take a Bitcoin pls  3FEkC9dhSwma6XaxnzUgmvGGtvoXv7Hyes</t>
  </si>
  <si>
    <t>Bitcoin or Blockchain</t>
  </si>
  <si>
    <t>How many BitCoin is that</t>
  </si>
  <si>
    <t>If you can work CRISPR in I would totally fund that bitcoin IPO</t>
  </si>
  <si>
    <t xml:space="preserve">I hope everyone was able to buy some crypto while it was on sale Its go time </t>
  </si>
  <si>
    <t>The quicker Bitcoin replaces fiat currency the sooner GDP and productivity will increase</t>
  </si>
  <si>
    <t>Me I ALWAYS thought Bitcoin was a tool of Keyser Sze</t>
  </si>
  <si>
    <t>Logic and simplicity are 2 concepts Bitcoin Core supporters fail to grasp   and they fail epically</t>
  </si>
  <si>
    <t>Isn't LN a kind of blockchain bypass network mounted over the Bitcoin's Blockchain</t>
  </si>
  <si>
    <t xml:space="preserve">Here's to all the newcomers that didn't jump off this rollercoaster  You have passed your first test  </t>
  </si>
  <si>
    <t>A 9y o  an aspiring piano player was sure we were talking about Bethoven not bitcoin</t>
  </si>
  <si>
    <t>For my own entertainment what makes bitcoin cash useless and bitcoin useful</t>
  </si>
  <si>
    <t>What are the Windsor kings up to today $btc</t>
  </si>
  <si>
    <t xml:space="preserve">The would be worth US$93201500.00 right now up 8.1% in the last 24 hours: </t>
  </si>
  <si>
    <t xml:space="preserve">PumaPay - pay anywhere with bitcoin it is very convenient This is the future </t>
  </si>
  <si>
    <t>Do you see Satoshi Nakamoto on Bitcoin</t>
  </si>
  <si>
    <t xml:space="preserve">Hey      Hodl on    It's serious    </t>
  </si>
  <si>
    <t>$btc a moment of silence for the rookies whom sold their bitcoin at $8000.00</t>
  </si>
  <si>
    <t xml:space="preserve">ppl dont talk bout crashing stock market like they talk bout bitcoin lol     Ppl who got bitcoin last January still up thousands   </t>
  </si>
  <si>
    <t xml:space="preserve">- Hey how much is 1 bitcoin worth or cost </t>
  </si>
  <si>
    <t>Well Wily E  Coyote was like  a super genius  The backers of bitcoin were not so rational as he</t>
  </si>
  <si>
    <t>I'll be away from my desk for a little while  You're on your own traders</t>
  </si>
  <si>
    <t>Why dont you buy bitcoin golf balls Im sure youll connect</t>
  </si>
  <si>
    <t>Bitcoin with unit price of $9348.28 market cap of $157453425926 34.58% and 24 hr vol  of $8131910000 31.54%</t>
  </si>
  <si>
    <t>Average Bitcoin market price is: USD 9367.40 EUR 7534.21</t>
  </si>
  <si>
    <t>The average price of Bitcoin across all exchanges is 9341.28 USD</t>
  </si>
  <si>
    <t>Feb 03 2018 07:00AM Price: USD 8759.41 | EUR 7065.58 | JPY 937691.23</t>
  </si>
  <si>
    <t>Hey grandpa time's up  Bitcoin is still up 8000% since your prediction  And we're coming for the banking system next</t>
  </si>
  <si>
    <t xml:space="preserve">What are you currently   </t>
  </si>
  <si>
    <t xml:space="preserve">We welcome all Investors who want to multiply their hard earned money  Our system is very reliable and profitable  </t>
  </si>
  <si>
    <t xml:space="preserve">Why are systems based on Indicators not good Because they TRY to predict the prices  FX News Trader doesn't try it knows  </t>
  </si>
  <si>
    <t xml:space="preserve">For new comers bitcoin-com  bitcoin-cash and this account is SCAM  beware </t>
  </si>
  <si>
    <t xml:space="preserve">Want to buy Bitcoin Current price is $9370.50 </t>
  </si>
  <si>
    <t>And so goes a Bitcoin bubble  The definition of futile chasing after the wind in this case chasing after air the Bitcoin</t>
  </si>
  <si>
    <t xml:space="preserve">SureShot buy $BDG now at 15 cent for 300-400% gain within 1 month </t>
  </si>
  <si>
    <t>The 1000 investors that own 40% of all bitcoin will decide if it was the bottom  Not a poll on twitter</t>
  </si>
  <si>
    <t>I have told you all  Sell your BitCoin    its about to lose another %75 or more  Bye bye</t>
  </si>
  <si>
    <t>Bitcoin historic reversal selloff crash panic reversal fuel for stronger selloff   It can see below 530</t>
  </si>
  <si>
    <t xml:space="preserve">It bitcoin crosses 10k then we have breakout 100%    Fingers crossed    </t>
  </si>
  <si>
    <t xml:space="preserve">Are bitcoin and bitmoji the same thing Asking for a friend  </t>
  </si>
  <si>
    <t>Current price of Bitcoin is $9370.50 February 3 2018 at 08:59AM</t>
  </si>
  <si>
    <t>I can see the headline bitcoin billionaire curates alternate reality for son streams online</t>
  </si>
  <si>
    <t>The Bitcoin Bubble brought dark times</t>
  </si>
  <si>
    <t>$4999 before   CMP 9500$</t>
  </si>
  <si>
    <t>The coins with strong fundamentals will always rebound if they merely got dragged down along with bitcoin</t>
  </si>
  <si>
    <t>Futuristic  Im pretty sure Morpheus had these years ago in the matrix home of the bitcoin</t>
  </si>
  <si>
    <t xml:space="preserve">SureShot buy $BAR Titanium now at 1.3$ for 300-400% gain within 1 month </t>
  </si>
  <si>
    <t>Your right  Bought filthy Bitcoin cash $BCH  $260-300 and dumped for $2800 into mining     you may shut up now</t>
  </si>
  <si>
    <t>gamer white kids getting cucked again lol  first by Trump now by Bitcoin</t>
  </si>
  <si>
    <t xml:space="preserve">Wow what a difference a day makes It looks like the Bulls are charging  Will we see 10K today </t>
  </si>
  <si>
    <t>And the real bubbles start to pop    Don't worry Bitcoin is a safe haven asset to wait out the blood bath    Lol</t>
  </si>
  <si>
    <t>Is this    true Seems wonderful bonkers RT : Okay so Bitcoin</t>
  </si>
  <si>
    <t>Looks cool but question I figured you have a inside scoop on the Bitcoin thing how about you give us some details</t>
  </si>
  <si>
    <t>There's a difference between blockchaintechnology and Bitcoin</t>
  </si>
  <si>
    <t>Na  I didnt realize there was a list until after I posted this  But you can buy Bitcoin on Squarecash now too</t>
  </si>
  <si>
    <t>I love this story is king</t>
  </si>
  <si>
    <t>The people are getting mortgages to buy bitcoin claimIMHOhas never been corroborated in any way either</t>
  </si>
  <si>
    <t>Oh   Bitcoin  Hard to find evidence that its failing</t>
  </si>
  <si>
    <t xml:space="preserve">Nice to see some green today on the charts  Hope everyone bought when blood was in the streets  $BTC $ETH </t>
  </si>
  <si>
    <t xml:space="preserve">just hit 9.5k  i guess 7.5k was the bottom </t>
  </si>
  <si>
    <t xml:space="preserve">Stellar lumens is the future </t>
  </si>
  <si>
    <t xml:space="preserve">Loving this rebound  </t>
  </si>
  <si>
    <t xml:space="preserve">Bitcoin : Instant transactions no account freezes no wire transfer fees no balances worldwide access always open  </t>
  </si>
  <si>
    <t>Don't go up and down like a bitcoin</t>
  </si>
  <si>
    <t xml:space="preserve">Hope you bought the dip welcome to crypto </t>
  </si>
  <si>
    <t xml:space="preserve">Hey Gavin check out this awesome new project called Bitcoin Cash I think it has the potential to be the real Bitcoin </t>
  </si>
  <si>
    <t xml:space="preserve">10k party soon again Poor me some mf whiskey $btc </t>
  </si>
  <si>
    <t>Does that account for the estimated 2-3 Million lost Bitcoin That would skew those numbers</t>
  </si>
  <si>
    <t>Is heating up Now $9433.00 USD</t>
  </si>
  <si>
    <t>1-2 sat/B fee transactions are getting included in blocks now  Consolidate your dust while you can</t>
  </si>
  <si>
    <t xml:space="preserve">Bitcoin at 9500 Ethereum at 1000. Now up 25% and 35% from their respective lows  </t>
  </si>
  <si>
    <t>Do you see tons of Koreans investing and Bitcoin reaching ATH after reopening exchanges on Korea this week</t>
  </si>
  <si>
    <t xml:space="preserve">$1 USD is currently worth 0.00010627 BTC </t>
  </si>
  <si>
    <t>Bitcoin and Litecoin go together like chocolate and peanut butter</t>
  </si>
  <si>
    <t>The utility made possible by will far exceed the cost of electricity  Therefore not having Bitcoin would be a net waste -Satoshi</t>
  </si>
  <si>
    <t>So that even China may think of legalizing it   Bitcoin to the moon</t>
  </si>
  <si>
    <t>Bitcoin is math  Math is speech  Bitcoin is a first amendment right</t>
  </si>
  <si>
    <t>Talk to us in a year  when is back up at the $18k range  Then well see whos laughing at who</t>
  </si>
  <si>
    <t>Lol I call bitcoin the God-Father  Whatever it does the others follow suite</t>
  </si>
  <si>
    <t>Its not the Bitcoin currency thats shadyits the aggressive peddlers of Bitcoin to the uninformed that are shady</t>
  </si>
  <si>
    <t>Invest in bitcoin doh LOL</t>
  </si>
  <si>
    <t>are you guys gonna add more coins to the app or just bitcoin</t>
  </si>
  <si>
    <t>Add to that all the lost Bitcoin and the exchange wallets</t>
  </si>
  <si>
    <t>have you considered investing in bitcoin</t>
  </si>
  <si>
    <t>The current price of Bitcoin is $9415.37. The current price of BCash is $1274.52 or 0.134945 BTC</t>
  </si>
  <si>
    <t xml:space="preserve">when i'm a bitcoin hundredaire you guys will be soooo jealous  </t>
  </si>
  <si>
    <t>rip bitcoin</t>
  </si>
  <si>
    <t>Bitcoin eating that $9500 wall Go go Next wall at 10k</t>
  </si>
  <si>
    <t>Bitcoin Price Way Down Low  coming back tho man</t>
  </si>
  <si>
    <t>Install Bitcoin mining rigs at compressor stations to keep them warm  Duh</t>
  </si>
  <si>
    <t>Ok you got me    if that $9500 resistance is broken during the next hour I'm bullish</t>
  </si>
  <si>
    <t>A hahahaha hahahaha guy who calls bitcoin speculative when it at 50 dollars now feels vindicated when drops to 8k</t>
  </si>
  <si>
    <t>Bitcoin is not bubble and still very cheap</t>
  </si>
  <si>
    <t>I had a dream  And guess what $crypto twitter we are all rich again in the near future &lt;1 years time  $btc $alts</t>
  </si>
  <si>
    <t>The proper term is BitCoin</t>
  </si>
  <si>
    <t>bitcoin is lowkey fun</t>
  </si>
  <si>
    <t xml:space="preserve">this is cooler than bitcoin      </t>
  </si>
  <si>
    <t>the airport and theres a 35 yr old new yorker talking about how he just got out of bitcoin lol</t>
  </si>
  <si>
    <t xml:space="preserve">Hey when are you gonna allow Bitcoin Diamond deposits </t>
  </si>
  <si>
    <t xml:space="preserve">Ship first your bitcoin miners </t>
  </si>
  <si>
    <t>Send me bitcoin 1FQAfHoryeZBay1F3UXULLMTbHSmPvuoJC look forward to it</t>
  </si>
  <si>
    <t xml:space="preserve">Wel I don't know about you guys but I made a lot back last night  </t>
  </si>
  <si>
    <t>Take it from us veterans of bitcoin who have been in the space for years    There are far more reasons why bcash is NOT Bitcoin</t>
  </si>
  <si>
    <t>Bitcoin cash is a hard fork Alt Coin  People just want it to have the reputation and perceived value of real Bitcoin</t>
  </si>
  <si>
    <t xml:space="preserve">Bitcoin is just a bit of the coin it once was  </t>
  </si>
  <si>
    <t>Hell Yeah $BURST sitting on a Solid C right in between Bitcoin and Cash WE GON GET DAT C+ NEXT</t>
  </si>
  <si>
    <t xml:space="preserve">To the moon </t>
  </si>
  <si>
    <t>Bitcoin rival Ripple making it gets available</t>
  </si>
  <si>
    <t xml:space="preserve">Banks losing that grip on the world finance and they are panicking  </t>
  </si>
  <si>
    <t>What is this new obsession with eating only steaks and deadlifting And why is it somehow connected to bitcoin</t>
  </si>
  <si>
    <t>Fml some bitcoin company offered me a job : thank u</t>
  </si>
  <si>
    <t>Wait I thought the bubble popped Why isn't $0 like Dutch Tulips</t>
  </si>
  <si>
    <t>If Bitcoin is a ponzi then all money is a ponzi  No the difference is actual economic activity</t>
  </si>
  <si>
    <t>BTW how are Mr  Genius's bitcoin positions doing</t>
  </si>
  <si>
    <t xml:space="preserve">The price of has decreased to the values of November last year    </t>
  </si>
  <si>
    <t>Don't look at as just another product    It's not</t>
  </si>
  <si>
    <t>I dont understand Bitcoin and I am happy that I dont</t>
  </si>
  <si>
    <t>I'll be paying with LED light if that's your currency  You're not getting my Bitcoin</t>
  </si>
  <si>
    <t>More like I have extra  Bitcoin is a one time thing  But the Agric stuff is annually</t>
  </si>
  <si>
    <t>Bitcoin is also on beta software  And people trusting real value o it  And much more  Bitcoin gonna change everything not LN</t>
  </si>
  <si>
    <t xml:space="preserve">An opportunity to buy and sell goods and services with cryptocurrency in one place   </t>
  </si>
  <si>
    <t xml:space="preserve">When Bitcoin destroy the dollar I'm gonna read all your messages  It's gonna be fun </t>
  </si>
  <si>
    <t>What if North Korea is behind Bitcoin</t>
  </si>
  <si>
    <t>Can I get my 5000 Bitcoin back lol</t>
  </si>
  <si>
    <t>the guy just cut off Ran poor journalism a month is not a year  bitcoin is a store of value and a medium of exchange</t>
  </si>
  <si>
    <t>Yes Monero and Bitcoin are the most expensive our there</t>
  </si>
  <si>
    <t>There is a company selling bitcoin IRAs</t>
  </si>
  <si>
    <t xml:space="preserve">$SC at mouth watering price so just grab it now at just 3 cent for 100% return with in a week  </t>
  </si>
  <si>
    <t xml:space="preserve">i would sell my kidney to buy bitcoin at 250k in 2023 </t>
  </si>
  <si>
    <t xml:space="preserve">Join  </t>
  </si>
  <si>
    <t>oh good bitcoin is back down below 10k USD</t>
  </si>
  <si>
    <t>my laptop is full of bitcoin gifs :</t>
  </si>
  <si>
    <t xml:space="preserve">Bitcoin Bouta Shoot Up  </t>
  </si>
  <si>
    <t>what to mine cryptocurrency mining profitability comparisons versus Bitcoin mining</t>
  </si>
  <si>
    <t>I was really hoping to get that .02 bitcoin dang it</t>
  </si>
  <si>
    <t>&gt; In 2008 Craig Wright published the Bitcoin whitepapaer Did you use proof-of-power to determine Craig is Satoshi</t>
  </si>
  <si>
    <t>What drives me nuts   Financial advisors who say Bitcoin is a portfolio diversifier  3/8</t>
  </si>
  <si>
    <t>You can't understand bitcoin correctly and still believe it to be a speculative asset</t>
  </si>
  <si>
    <t>Saving and not spending Bitcoin is an economic activity</t>
  </si>
  <si>
    <t xml:space="preserve">Which would you rather have </t>
  </si>
  <si>
    <t>Bitcoin is so interesting as a monetary phenomenon I can't stop watching and sort of rooting for it  But not an investor</t>
  </si>
  <si>
    <t>Hello humans is currently around $9357.36 as of Sat Feb 3 09:31:08 CST 2018</t>
  </si>
  <si>
    <t>They already earned without having any bitcoin in hand  They earned quickly and prepare for the futur ATH</t>
  </si>
  <si>
    <t>Bitcoin bounced off the .618 Fibonacci level during it's low yesterday  We are near the bottom of this retracement  :</t>
  </si>
  <si>
    <t>What drives me nuts   Financial advisors who give price targets and dates for Bitcoin  Just stop  7/8</t>
  </si>
  <si>
    <t xml:space="preserve">The recovery </t>
  </si>
  <si>
    <t xml:space="preserve">What Ever Jamie Dimon Morgan Staney Bid For Russia's Nevsky Center I'll raise it by 1  $JPM </t>
  </si>
  <si>
    <t xml:space="preserve">I wish an anonymous philanthropist would make a donation to me # </t>
  </si>
  <si>
    <t>Any idea on if there is an issue with the bitcoin payments its been pending on mine for a while</t>
  </si>
  <si>
    <t>Bitcoin will never need a taxpayer bailout to stay afloat</t>
  </si>
  <si>
    <t xml:space="preserve">anything that gives bitcoin a C is not worth mentioning     sorry i do like bitshares </t>
  </si>
  <si>
    <t>In bitcoin history there is big price losts and big gains later  I say this drop prepares the bitcoin for new and bigger ath in the future</t>
  </si>
  <si>
    <t>Tell us Richard what you did with your bitcoin did you hold did you sell and buy back cheaper do tell</t>
  </si>
  <si>
    <t>nasdaq dot-com bubble took years bitcoin is doing all that in 2 months</t>
  </si>
  <si>
    <t xml:space="preserve">Capitulation around 5k  WDYT </t>
  </si>
  <si>
    <t>The bitcoin standard where you get that Ive a preorder on amazon for April earliest</t>
  </si>
  <si>
    <t>You got that right Peter  Bitcoin isnt the bubble its the pin</t>
  </si>
  <si>
    <t>Still way too high for that clip  Roll it when Bitcoin hits $1000</t>
  </si>
  <si>
    <t>screw bitcoin Im investing in flamethrowers</t>
  </si>
  <si>
    <t xml:space="preserve">What happened to 6k bitcoin You're fans losing out Bc you Don't know wtf you're talking about </t>
  </si>
  <si>
    <t xml:space="preserve">Thanks for the free bitcoin giveaway its not everyday someone does something this generous </t>
  </si>
  <si>
    <t>Bitcoin Mining Comes To New York As Lawmakers Approve Power Allocation</t>
  </si>
  <si>
    <t>1 BITCOIN = $9337</t>
  </si>
  <si>
    <t>arrived mocking bitcoin day traders now a fully fledged bitmex degen</t>
  </si>
  <si>
    <t xml:space="preserve">RT : What are you currently   </t>
  </si>
  <si>
    <t xml:space="preserve">Don't think we're out of the woods yet    </t>
  </si>
  <si>
    <t>Its called bitcoin the whole reason the crypto sphere exists and the coin all coins trade</t>
  </si>
  <si>
    <t>We can say the same thing about you when it comes to your comments about Bitcoin</t>
  </si>
  <si>
    <t xml:space="preserve">Somebody wanna educate me on how bitcoin works Im interested </t>
  </si>
  <si>
    <t xml:space="preserve">Investment bank is the backbone of economic and financial system   </t>
  </si>
  <si>
    <t xml:space="preserve">To all haters which would have loved to see bitcoin below 8k  will never die Mr  </t>
  </si>
  <si>
    <t xml:space="preserve">Do you have your own podcast Or a YouTube channel That'd be nice  </t>
  </si>
  <si>
    <t xml:space="preserve">Quit McDonalds this morning  We back boys </t>
  </si>
  <si>
    <t>bitcoin is the better way :- We've got this from here</t>
  </si>
  <si>
    <t>Please don't link Bitcoin to all-meat diet that's ridiculous</t>
  </si>
  <si>
    <t xml:space="preserve">Will Bitcoin ever be below $4000 again </t>
  </si>
  <si>
    <t>Bitcoin already dropped by 50% from ATH  The bubble has burst  Stock up</t>
  </si>
  <si>
    <t>Bitcoin only really uptrend when it is above the $ 13100 price range  At present the risk remains latent</t>
  </si>
  <si>
    <t xml:space="preserve">just a matter of time    </t>
  </si>
  <si>
    <t xml:space="preserve">Everyones going on about investing in bitcoin  Killie are 20/1 to win the Scottish Cup </t>
  </si>
  <si>
    <t xml:space="preserve">Optimal tx fee: 85 satoshi per byte  BTC : $9403 / 7545 / 6658  Block 507444. Market Cap: 152.38B USD  </t>
  </si>
  <si>
    <t>It's that barbarous relic that is required to mine bitcoin</t>
  </si>
  <si>
    <t>does not erase borders  It ignores them</t>
  </si>
  <si>
    <t>Oh cool  Bitcoin mining captchas  This is fine  Totally fine</t>
  </si>
  <si>
    <t>You've turned into the BITCOIN FUD Manager    time to let you go    Bitcoin is ready to take off   TA is solid</t>
  </si>
  <si>
    <t>Can you look at AML Bitcoin</t>
  </si>
  <si>
    <t>There are currently 14072 unconfirmed Bitcoin transactions  $BTC</t>
  </si>
  <si>
    <t>Lol reading through tweets  I'm no noob  I don't sell at losses</t>
  </si>
  <si>
    <t>Bitcoin needed    I need bitcoin</t>
  </si>
  <si>
    <t>The bitcoin comment Losing him also made JT have to play more penalty kill minutes Kulemin is missed greatly</t>
  </si>
  <si>
    <t xml:space="preserve">is the tech  is merely the first mainstream manifestation of its potential </t>
  </si>
  <si>
    <t>Lol well   it's not 5 million Bitcoin</t>
  </si>
  <si>
    <t xml:space="preserve">FOMO time is very close for those who say $BTC is dead  Added some $SYS  $DGB and $STRAT </t>
  </si>
  <si>
    <t>Take note that BitPay is currently charging about $5.00 transaction fees for processing Bitcoin transactions that take ages to confirm</t>
  </si>
  <si>
    <t>bitcoin is now available at a discounted price  what some people see as a failure other see as opportunity</t>
  </si>
  <si>
    <t>What's the exchange rate of Bitcoin to Schrute Buck</t>
  </si>
  <si>
    <t>Bitcoin dropped from 18k to 8k in a month  Bitcoin also met an accident  :p</t>
  </si>
  <si>
    <t>I also think bitcoin is nothing but a scam  Talk about there is no there there</t>
  </si>
  <si>
    <t>Just need them to support Bitcoin Cash</t>
  </si>
  <si>
    <t>Dear  I was starting my burger flipper job at McDonalds on Monday  Should I show up or not Please give me some clue</t>
  </si>
  <si>
    <t xml:space="preserve">Seems like we are going back up from here  Marketcap is rising really steady now </t>
  </si>
  <si>
    <t>is under 10k USD pos coins should go up as it was before : $may $lana $aerm $dvrs $bitb $elite $xios $buzz $emb</t>
  </si>
  <si>
    <t>How much is bitcoin now</t>
  </si>
  <si>
    <t>Yesterday was a shakeout day Shakeout the weak hands and lets know who the real bitcoin believers are</t>
  </si>
  <si>
    <t>was it a bitcoin payment :D</t>
  </si>
  <si>
    <t>A 2% drop in Dow is a ridiculous comparison to the collapse of bitcoin</t>
  </si>
  <si>
    <t>Bitcoin have lost $38bl in market cap this week  Global stocks have lost $1.8tn in market cap this week</t>
  </si>
  <si>
    <t xml:space="preserve">I do wonder whether the crash in bitcoin &amp; mkt correction are somehow related maybe in that there's a general reduction in risk appetite  </t>
  </si>
  <si>
    <t>Krugman you are a brilliant economist but I suspect you have not researched Bitcoin</t>
  </si>
  <si>
    <t>Damn  Stop with this MSM truthiness  Its killing my bitcoin portfolio</t>
  </si>
  <si>
    <t xml:space="preserve">On what Alt coin would you invest more between Cardano ADA or Power Ledger POWR </t>
  </si>
  <si>
    <t>another proof that bcash is the real bitcoin is that it moves same way as bitcoin does</t>
  </si>
  <si>
    <t xml:space="preserve">Glad I didnt recommend to any new people before the crash  </t>
  </si>
  <si>
    <t>Good morning to everyone and everything including bitcoin</t>
  </si>
  <si>
    <t xml:space="preserve">roses are red violets are blue criptos are green and im happy like u : </t>
  </si>
  <si>
    <t>Like every time I see Bitcoin prices go up I get pissed</t>
  </si>
  <si>
    <t>I know you like Bitcoin  Buy Ada and dbix along with your Bitcoin</t>
  </si>
  <si>
    <t>$: 9188.27 3mAccelBandTrap- 1xAvg hi:9353.07 lo:9205.21 bars:9 6:1Accel- tf:0111010 FirmTrnd-:+100%</t>
  </si>
  <si>
    <t>CAN YOU LEAVE ME ALONE ABOUT BITCOIN</t>
  </si>
  <si>
    <t xml:space="preserve">Has bitcoin finally bounced back $btc $eth </t>
  </si>
  <si>
    <t xml:space="preserve">$BTC rising back after major dip in the last few days </t>
  </si>
  <si>
    <t>By 2020 or so it will become clear that Bitcoins impact on the economy has been no greater than the fax machine's</t>
  </si>
  <si>
    <t>With this tweet I hereby invent the term: Bitcoin is a COMMORENCY  $btc $eth $xmr $dash $ICX $xrp $mana $wabi</t>
  </si>
  <si>
    <t xml:space="preserve">Where will bounce Or find support $trx </t>
  </si>
  <si>
    <t>if you want a high return bitcoin got you</t>
  </si>
  <si>
    <t>Let us not forget   Almost half of all Bitcoin is held by 1k people  Hold  Why Fear early on driving prices</t>
  </si>
  <si>
    <t>Bitcoin is a big bubble  E-currency serves a useful purpose but the money invested in Bitcoin is ludicrous</t>
  </si>
  <si>
    <t>He's just trying to sell his GoldCard bs  The dollar is collapsing bitcoin has no value only GOLD is real money bla bla bla</t>
  </si>
  <si>
    <t>Did you not see what happened to BITCOIN and the rest of the market</t>
  </si>
  <si>
    <t xml:space="preserve">How many bitcorns do you own How many bitcorns do you fear  </t>
  </si>
  <si>
    <t>There is alot of reasons that make bitcoin greater</t>
  </si>
  <si>
    <t>prof  who have you backed for the 6N and have you bought any bitcoin</t>
  </si>
  <si>
    <t>Why do i have to use lighting network when i can use eth or bitcoin cash</t>
  </si>
  <si>
    <t xml:space="preserve">Id figure lmao look at bitcoin     just wait till it goes low af and buy  </t>
  </si>
  <si>
    <t>This isn't bitcoin   money flowing to the safest asset us equities  Dow 30000</t>
  </si>
  <si>
    <t>He sounds rather butthurt about Bitcoin rising in the first place</t>
  </si>
  <si>
    <t>Didnt Bitcoin die this week</t>
  </si>
  <si>
    <t>I knew it was a Ponzi when Bitcoin was neither a commodity or a service</t>
  </si>
  <si>
    <t>People must stop attributing bitcoin to the millennial generation  Technology knows no age logic knows no age</t>
  </si>
  <si>
    <t>Havent backed anyone in the rugby yet  Havent bought or sold Bitcoin</t>
  </si>
  <si>
    <t xml:space="preserve">and would be greatest President ever  </t>
  </si>
  <si>
    <t xml:space="preserve">Domestos is very cheap to buy   If you dilute it down there's more money in it than </t>
  </si>
  <si>
    <t>Bitcoin with unit price of $9212.29 market cap of $155163171632 34.84% and 24 hr vol  of $8029860000 31.54%</t>
  </si>
  <si>
    <t>Average Bitcoin market price is: USD 9200.46 EUR 7417.59</t>
  </si>
  <si>
    <t>The average price of Bitcoin across all exchanges is 9261.82 USD</t>
  </si>
  <si>
    <t>Feb 03 2018 08:00AM Price: USD 8788.51 | EUR 7093.98 | JPY 942262.91</t>
  </si>
  <si>
    <t>Just make sure you know what Bitcoin is</t>
  </si>
  <si>
    <t xml:space="preserve">Top 6 BTC/USD Exchange Orderbooks: Resistance til $9500:$20.6M Support til $8900:$27.0M $BTC $BTCUSD </t>
  </si>
  <si>
    <t xml:space="preserve">Good morning Friends </t>
  </si>
  <si>
    <t>Cant decide if everything happening with bitcoin is funny or sad  But Im leaning towards funny</t>
  </si>
  <si>
    <t>In Cryptocurrencies - Bitcoin has more market value than `Netflix and 21st Century Fox` COMBINED</t>
  </si>
  <si>
    <t>Rockefellers vow to destroy Bitcoin and Alts The govt works for us not vice versa  It has all gotten so misconstrued</t>
  </si>
  <si>
    <t>It seems like the Bitcoin Bubble has crashed even before we all expected</t>
  </si>
  <si>
    <t>Im the guy who sold my bitcoin at $19000</t>
  </si>
  <si>
    <t xml:space="preserve">Blockchain Bitcoin cryptocurrency and all the things we think we know but are probably faking </t>
  </si>
  <si>
    <t>Please buy more bitcoin</t>
  </si>
  <si>
    <t xml:space="preserve">Just like this dump is a much anticipated market correction  Funny how that works both ways  </t>
  </si>
  <si>
    <t># THIS IS A FRAUDSTERS GAME TO INTRODUCE THE BITCOIN</t>
  </si>
  <si>
    <t>For only 3 bitcoin you can own your very own moon condo 1/6th the gravity 1/6th the price</t>
  </si>
  <si>
    <t>New word for economics: Cryptofreude n  The pleasure derived from watching Bitcoin deflate  Invented by Krugman I think</t>
  </si>
  <si>
    <t>Well 40% we're completely wrong and 7% were right  poll</t>
  </si>
  <si>
    <t xml:space="preserve">Yo memo so inflated that even bitcoin shorted it  </t>
  </si>
  <si>
    <t>I really wish CNBC would record a segment on how to scalp bitcoin using 5-15m sticks right now</t>
  </si>
  <si>
    <t>Buying Bitcoin to lift retirement funds is not very good advice  lift</t>
  </si>
  <si>
    <t xml:space="preserve">Does it matter  the thing is useless  </t>
  </si>
  <si>
    <t>If Bitcoin skyrocketed that fast then surely the value of it can plummet just as quickly if not faster</t>
  </si>
  <si>
    <t xml:space="preserve">Bitcoin mining  Couldnt happen to a nicer blog </t>
  </si>
  <si>
    <t>Ummm    please dont use Goku for Siacoin hes reserved for Bitcoin mmmkay</t>
  </si>
  <si>
    <t xml:space="preserve">Finance has been an industry void of innovation for a long time  Time to let us into the game  </t>
  </si>
  <si>
    <t>What do people think about bitcoin these days Will it make a comeback</t>
  </si>
  <si>
    <t>Bitcoin is owned by Blockstream  Blockstream is a for profit organization  BTC is not truly decentralize anymore</t>
  </si>
  <si>
    <t>I wish Bitcoin luck if it turns into are main currency over the weak dollar</t>
  </si>
  <si>
    <t>Might want to do more tx's per second than doge before you start dreaming of 7 million</t>
  </si>
  <si>
    <t xml:space="preserve">Buy now currently $0.00013 grab &amp; 20xs faster than </t>
  </si>
  <si>
    <t xml:space="preserve">Bitcoin price slowly going up And Im all in </t>
  </si>
  <si>
    <t>Why would you use 1 week chart for bitcoin It's way to volatile</t>
  </si>
  <si>
    <t>the bulls be fightin' but the bears are takin' it back  time for some sunshine  TTYL $btc</t>
  </si>
  <si>
    <t>2619 05:51:02 what is the result of forty years underground</t>
  </si>
  <si>
    <t>Wow very fancy In we do not need these  We have 's Random Number Generator  Way more robust</t>
  </si>
  <si>
    <t>I ll forget about bitcoin and generally speaking cryptos  .1k to 20k back to 10k    now 9k Never know when to enjoy earnings</t>
  </si>
  <si>
    <t>Is this a parody account Bcash was literally created out of greed and anger towards bitcoin lol</t>
  </si>
  <si>
    <t xml:space="preserve">Join with a project that will go to Moon  Invest now Find out details </t>
  </si>
  <si>
    <t>Now that all the hype ya died down I gotta say it  Bitcoin is the veganism of the financial world</t>
  </si>
  <si>
    <t>And just a reminder Dogecoin was started as a literal joke</t>
  </si>
  <si>
    <t xml:space="preserve">The last time i checked is climbing up </t>
  </si>
  <si>
    <t xml:space="preserve">11281 follows RT : Thanks to we have another great chart showing the adoption of Bitcoin in i  </t>
  </si>
  <si>
    <t>Now that all they hype has died down I gotta say it  Bitcoin is the veganism of the financial world</t>
  </si>
  <si>
    <t>And the people who bought Bitcoin for like $30 back in the day are STILL eating  Just the newcomers are taking a huuuuuge L rn</t>
  </si>
  <si>
    <t>Since the stock market and bitcoin just crashed    wish I had more money because it is buying season</t>
  </si>
  <si>
    <t>Bitcoin ponele</t>
  </si>
  <si>
    <t>I wish youtube would stop trying to advertise me bloody bitcoin I don't care and wish it never got as big as it did</t>
  </si>
  <si>
    <t>Bitcoins future implications on the World are not stranger than you imagine theyre stranger than you can imagine</t>
  </si>
  <si>
    <t>ETH price will always go up  POS once used  Every ETH use will be gone forever  Bitcoin will always be 21million forever  ETH no</t>
  </si>
  <si>
    <t xml:space="preserve">Ohh jeez just saw an ad for bitcoin ira  I don't even know what to say   </t>
  </si>
  <si>
    <t>BUY LOW    SELL HIGH Bitcoin $25-30K Still in Play 2018</t>
  </si>
  <si>
    <t>Bitcoin we got a problem</t>
  </si>
  <si>
    <t>is today the day i finally read an explainer about bitcoin stay tuned</t>
  </si>
  <si>
    <t>Dragonmint Bitcoin miners or this other nonsense miner</t>
  </si>
  <si>
    <t>can I pay in bitcoin</t>
  </si>
  <si>
    <t xml:space="preserve">Yo memo so stupid it bought Bitcoin  </t>
  </si>
  <si>
    <t>I don't know what bitcoin actually is please nobody explain it to me ever I'm dead serious</t>
  </si>
  <si>
    <t>The current price of Bitcoin is $9177.25. The current price of BCash is $1243.62 or 0.134341 BTC</t>
  </si>
  <si>
    <t>Bitcoin is more than digital money and a payment network  It's an entirely new innovation</t>
  </si>
  <si>
    <t>A basic instinct: attack what you don't understand  They will be surprised to know Bitcoin may save their crumbling business</t>
  </si>
  <si>
    <t>Bitcoin isnt the bubble its the pin</t>
  </si>
  <si>
    <t>Bitcoin will go up</t>
  </si>
  <si>
    <t xml:space="preserve">Bitcoin isnt the bubble its the pin  - </t>
  </si>
  <si>
    <t xml:space="preserve">I think Bitcoin is following the physics  When an object goes up In the air fall down  </t>
  </si>
  <si>
    <t>My hunch too  Remember  'Bitcoin might be weaponized'</t>
  </si>
  <si>
    <t xml:space="preserve">$ada could reasonably end the day settled at $0.53 per coin  </t>
  </si>
  <si>
    <t xml:space="preserve">Y u think that </t>
  </si>
  <si>
    <t>Slept for 15 hrs   who am I what year is this and what is a bitcoin</t>
  </si>
  <si>
    <t>Bitcoin looks bubblier than a bubble bath what's the deal</t>
  </si>
  <si>
    <t>Woke up today not covered in blood  Strange  $btc $eth</t>
  </si>
  <si>
    <t xml:space="preserve">Youre in the game since    </t>
  </si>
  <si>
    <t xml:space="preserve">can never apply to or USD because both have unlimited money/token supply unlike </t>
  </si>
  <si>
    <t xml:space="preserve">has edged above $USD 9100 in what *might* be a recovery  Time will tell  $BTC </t>
  </si>
  <si>
    <t xml:space="preserve">Get ready to apologise to  you non-believing heretics  </t>
  </si>
  <si>
    <t>Bitcoin Rises 7.5% to $9211 Litecoin Up 15%</t>
  </si>
  <si>
    <t>Ask yourself    did bitcoin hit 8k last night Was that the predicted floor</t>
  </si>
  <si>
    <t>Tried venmo requesting 20+ people with the caption help or memos burrito hoping to make a few shameless big ones  Stick with Bitcoin</t>
  </si>
  <si>
    <t>ExpectBitcoin fall again below $9000</t>
  </si>
  <si>
    <t xml:space="preserve">If you are a beginner crypto investor you should pay attention to this project  </t>
  </si>
  <si>
    <t xml:space="preserve">1 Bitcoin = 160854 </t>
  </si>
  <si>
    <t xml:space="preserve">To ripple or not  under a buck That is the question    </t>
  </si>
  <si>
    <t>Bitcoin is not meant to ever be sold  The second feeling is just an indicator to add to position</t>
  </si>
  <si>
    <t xml:space="preserve">The average person should pick up bitcoin to experience the future of money </t>
  </si>
  <si>
    <t>there is no monitor button on my bitcoin app why is this As far as i can see the app is up to date</t>
  </si>
  <si>
    <t xml:space="preserve">When are we going to build a Wakanda </t>
  </si>
  <si>
    <t>Interest rates and stocks will rise in stutter-step this year  Bitcoin Not so much</t>
  </si>
  <si>
    <t>That still doesnt point to massive impact of bitcoin value tanking</t>
  </si>
  <si>
    <t xml:space="preserve">Can you tell us the winner of the other bitcoin give away So we can congratulate him/her </t>
  </si>
  <si>
    <t>Bitcoin is a joke  Please</t>
  </si>
  <si>
    <t>Bitcoin Rises 7.5% to $9211</t>
  </si>
  <si>
    <t xml:space="preserve">I pity the people who bought bitcoin at the rate of 1bitcoin=$16000 </t>
  </si>
  <si>
    <t>Bitcoin's just getting ready to run for that $1 million mark can't wait  One day</t>
  </si>
  <si>
    <t>462 mined since last tweet  It represents $4211592 At $9116 per $BTC  New Supply: 16843062 Progress: 80.21 %</t>
  </si>
  <si>
    <t>Lets hope so Maybe they are long because of the bearish momentum Bitcoin havent seen since 2 years</t>
  </si>
  <si>
    <t>Used to respect him  But how can someone deny a force as undeniable as Bitcoin Deal breaker</t>
  </si>
  <si>
    <t>Just switch bitcoin with fiat and that quote is perfect</t>
  </si>
  <si>
    <t>Anyone wanna give me one whole bitcoin</t>
  </si>
  <si>
    <t>Bitcoin is the worst piece of a technology thats just not useful  Burning money to buy right now</t>
  </si>
  <si>
    <t>Can you withdraw bitcoin</t>
  </si>
  <si>
    <t xml:space="preserve">Any chance that Mobile Vikings will accept Bitcoin Cash as a payment option in the near future </t>
  </si>
  <si>
    <t>Arent bitcoin miners using mostly I think youre getting rich from the trend :</t>
  </si>
  <si>
    <t>You find any bitcoin in there</t>
  </si>
  <si>
    <t xml:space="preserve">Is it bad that a 10k red arrow hurts more than the 10k I lost in Bitcoin this month </t>
  </si>
  <si>
    <t>Hello humans is currently around $9153.84 as of Sat Feb 3 10:31:09 CST 2018</t>
  </si>
  <si>
    <t>Why don't you contact to me I'm learning about bitcoin</t>
  </si>
  <si>
    <t>I've developed a new open source P2P e-cash system called Bitcoin  It's completely decentralized with</t>
  </si>
  <si>
    <t>May be coming</t>
  </si>
  <si>
    <t xml:space="preserve">Bitcoin Millionaires buying more at These Levels  Fire Sale prices    Are YOU Buy Low    Sell High HODL to $100K+ </t>
  </si>
  <si>
    <t xml:space="preserve">zOMG       it's Bitcoin Flash </t>
  </si>
  <si>
    <t>Will Bitcoin reach $20000 again within 1 month</t>
  </si>
  <si>
    <t>Lol thats my screenshot  Proud to contribute to the real Bitcoin</t>
  </si>
  <si>
    <t xml:space="preserve">Good to See Stocks Down -666 pts on Friday    More will Flow into </t>
  </si>
  <si>
    <t>The reminds me of is only powerful until you actually see it</t>
  </si>
  <si>
    <t>You're scared of Bitcoin  we get it</t>
  </si>
  <si>
    <t xml:space="preserve">How to Make Money Online With Photographs  </t>
  </si>
  <si>
    <t>when listed Bitcoin White</t>
  </si>
  <si>
    <t>The current price of bitcoin is 1 bitcoin the current price of bcash is 1 hard fork</t>
  </si>
  <si>
    <t>If you want to ruin Vivaldis Four Seasons next time you listen imagine that its about Bitcoin</t>
  </si>
  <si>
    <t xml:space="preserve">I never see Bitcoin core trying to explain why they are the real bitcoin    Cuz they don't need to  </t>
  </si>
  <si>
    <t xml:space="preserve">Who is selling 1 day before  </t>
  </si>
  <si>
    <t>I got some fractions of a bitcoin and a decent amount of ripple right now</t>
  </si>
  <si>
    <t>Krugster's NYT piece on $BTC Bubble Bubble Fraud and Trouble is so dumb it hurts</t>
  </si>
  <si>
    <t>Ha the guy that predicts bitcoin to be $1000000</t>
  </si>
  <si>
    <t xml:space="preserve">Optimal tx fee: 65 satoshi per byte  BTC : $9142 / 7335 / 6473  Block 507452. Market Cap: 160B USD  </t>
  </si>
  <si>
    <t>Exodus and Gemini Say Stop Using Bitcoin / Bitcoin Cash Forks TODAY / Bitcoin Gold Launched</t>
  </si>
  <si>
    <t>Its ok PayPal I have Bitcoin</t>
  </si>
  <si>
    <t>Well    For a scam someone must benefit right Who's benefiting from the Bitcoin scam</t>
  </si>
  <si>
    <t>Could you please open BTG Bitcoin Gold exchange soon  thank you  88</t>
  </si>
  <si>
    <t xml:space="preserve">Wtf is bitcoin Seriously I dont get it  And I even googled it  </t>
  </si>
  <si>
    <t xml:space="preserve">No way man I'm selling all my index funds and buying  </t>
  </si>
  <si>
    <t xml:space="preserve">Thought they were all into bitcoin these days    </t>
  </si>
  <si>
    <t>Ethereum is the mirror image of Bitcoin it is more than a coincidence</t>
  </si>
  <si>
    <t>Good And return our etherium zcash and bitcoin  and dollars</t>
  </si>
  <si>
    <t>Cash app take bitcoin now  Wow times are changing</t>
  </si>
  <si>
    <t>It seems impossible for Krugman or Shiller etc to comprehend that many people into Bitcoin are really not in for the money</t>
  </si>
  <si>
    <t xml:space="preserve">60956 follows RT : Crypto and bitcoin has changed my life for the better so heres a random .1 btc giveaway  </t>
  </si>
  <si>
    <t xml:space="preserve">Making Money Online - It's No Myth  </t>
  </si>
  <si>
    <t xml:space="preserve">general sale is LIVE Buy there coin and get 15% bonus  </t>
  </si>
  <si>
    <t xml:space="preserve">Bitcoins price could drop to $1 the impact is already here and here to stay: </t>
  </si>
  <si>
    <t>New 53 Acre $75 Million Bitcoin hedge fund ETF  Two other in to write</t>
  </si>
  <si>
    <t xml:space="preserve">Top 6 BTC/USD Exchange Orderbooks: Resistance til $8900:$18.1M Support til $8300:$23.0M $BTC $BTCUSD </t>
  </si>
  <si>
    <t xml:space="preserve">Glad turned up a little  I was out of vaseline  </t>
  </si>
  <si>
    <t>Bitcoin and chill</t>
  </si>
  <si>
    <t xml:space="preserve">Will the Bitcoin Bubble Burst Should I Invest in Bitcoin  </t>
  </si>
  <si>
    <t>Whenever I hear someone say they trade bitcoin now I immediately think that they're a pseudointellectual that's tryna cash in on a trend</t>
  </si>
  <si>
    <t>Just Bitcoin for now</t>
  </si>
  <si>
    <t>There are currently 10877 unconfirmed Bitcoin transactions  $BTC</t>
  </si>
  <si>
    <t xml:space="preserve">Should you buy or sell today Check our YouTube channel We analyze over 30 pairs also Gold Silver Oil and Bitcoin </t>
  </si>
  <si>
    <t xml:space="preserve">The is centralized is the new The earth is flat  </t>
  </si>
  <si>
    <t>The bio says donate bitcoin    youre delusional if u think account is genuine  Clearly very disrespectful</t>
  </si>
  <si>
    <t>nah supreme changed their form of transaction u can only use bitcoin now</t>
  </si>
  <si>
    <t>Of course they fail to mention where Bitcoin was at the beginning of 2017</t>
  </si>
  <si>
    <t>Bitcoin bubble go boom</t>
  </si>
  <si>
    <t>Disstrack mp4 An ALLE YOUTUBER und BITCOIN MINER</t>
  </si>
  <si>
    <t>right hold on if you get a kinetic power source and some bitcoin mining ASICs you might be onto something</t>
  </si>
  <si>
    <t xml:space="preserve">Top 6 BTC/USD Exchange Orderbooks: Resistance til $8900:$17.9M Support til $8300:$21.3M $BTC $BTCUSD </t>
  </si>
  <si>
    <t xml:space="preserve">Remember when Bitcoin was 19k Those were the good days  </t>
  </si>
  <si>
    <t>Anyone who did not see Bitcoin for what it is a pump-and-dump scam is deluded stupid or disgustingly greedy</t>
  </si>
  <si>
    <t>Bitcoin bounce is good for now  Calling tops  13k in a week or so  Overall continuation of downward trend for a few weeks  $BTC</t>
  </si>
  <si>
    <t>U seriously thinks xrp is dead its definitely not you might as well say bitcoin is dead if you think that</t>
  </si>
  <si>
    <t>when bitcoin hit $20k WOW i hodl'd i didnt sell a single satoshi all he way down to $8k my expected target for 2018 is $100k</t>
  </si>
  <si>
    <t>Bitcoin will live forever in the hearts of the libertarian capitalist techbros</t>
  </si>
  <si>
    <t>Um 5 I have no effing clue how bitcoin works</t>
  </si>
  <si>
    <t>Bitcoin cash = bitcoin cash and bitcoin = bitcoin  Stop wining</t>
  </si>
  <si>
    <t>That will never happen is a bitcoin maximalist  Bcash is just another alt-coin anyways</t>
  </si>
  <si>
    <t>yeah  respect to u both part of bitcoin history  well done  i'm a bit jealous :-</t>
  </si>
  <si>
    <t>Crypto and Twitter go together like     $BTC $LTC $ETH</t>
  </si>
  <si>
    <t>beauty of it is if you don't like lightning then don't use it  Bitcoin still Bitcoin</t>
  </si>
  <si>
    <t xml:space="preserve">Everybody starts somewhere  How many daily txs on bitcoin 6-9 months after implementation </t>
  </si>
  <si>
    <t>Contain Bitcoin but never withdraw from that position Dude  The bloodiest day  2/</t>
  </si>
  <si>
    <t xml:space="preserve">People just need to not sell their too see prices surge up    Its not only an investment but an asset  </t>
  </si>
  <si>
    <t>Me neither I just like offering people payment in bitcoin to see their reaction</t>
  </si>
  <si>
    <t>The real occupy Wall Street was/is bitcoin</t>
  </si>
  <si>
    <t xml:space="preserve">And Bitcoin is among the most primitive  </t>
  </si>
  <si>
    <t>Bitcoin mining uses less energy than all the home appliances on standby in the US and they're not doing anything</t>
  </si>
  <si>
    <t>My parents keep fighting over bitcoin    what is wrong with them</t>
  </si>
  <si>
    <t>for developers technically are the same coin just different block size and fee  but people is sentimental</t>
  </si>
  <si>
    <t>If bitcoin loses the first place some people will finally realize the future of blockchain is bigger than bitcoin</t>
  </si>
  <si>
    <t xml:space="preserve">never go all in  correction not over yet    </t>
  </si>
  <si>
    <t>I heard Putin is paying them with bitcoin suckers</t>
  </si>
  <si>
    <t>Bitcoin isn't a bubble all the other cryptos are</t>
  </si>
  <si>
    <t>What did bitcoin do to you</t>
  </si>
  <si>
    <t>Do the Russians pay in dollars rubles or bitcoin</t>
  </si>
  <si>
    <t>No it has been only implemented for Bitcoin wallet</t>
  </si>
  <si>
    <t xml:space="preserve">You know how people who do CrossFit always tell you that they do CrossFit Its the same with bitcoin  - </t>
  </si>
  <si>
    <t>Trustless networks are further driving a wedge between people soon we won't need to trust any human</t>
  </si>
  <si>
    <t xml:space="preserve">you know bitcoin made it when elderly start using it : </t>
  </si>
  <si>
    <t>Anything bitcoin-related to check out in Vail Colorado</t>
  </si>
  <si>
    <t xml:space="preserve">I guess I'm officially broke now  No more fiat left      </t>
  </si>
  <si>
    <t>Who knows any random hex number of the right length could be a future Bitcoin</t>
  </si>
  <si>
    <t>Bitcoin - Support = $9216 Resistance = $9472 $BTC</t>
  </si>
  <si>
    <t xml:space="preserve">value over 3 months: --53.51% $-10670.49 [Currently $9269.515] </t>
  </si>
  <si>
    <t xml:space="preserve">Bitcoin isn't an asset it's a speculation floating around in the ether literally  </t>
  </si>
  <si>
    <t>$btc is like MacOS and $bch is the copy windows</t>
  </si>
  <si>
    <t xml:space="preserve">Out of fiat  No breakfast place around that takes   </t>
  </si>
  <si>
    <t>Were receiving reports is rejecting Bitcoin purchases made via credit card</t>
  </si>
  <si>
    <t>So you're saying bitcoin forked off bcash</t>
  </si>
  <si>
    <t>Try nano and many more coins .1000x better thb bitcoin cash</t>
  </si>
  <si>
    <t xml:space="preserve">Paul Krugman recommends not buying Bitcoin    I may have to buy Bitcoin  </t>
  </si>
  <si>
    <t xml:space="preserve">Expecting a 1-4 candle pull back on the hourly chart and then we go higher </t>
  </si>
  <si>
    <t>Accurately MediBloc is more popular than Bitcoin on the Coinral exchange in Korea</t>
  </si>
  <si>
    <t xml:space="preserve">I believe the Bitcoin bottom is in  Game time  </t>
  </si>
  <si>
    <t xml:space="preserve">Bitcoin Cash BCH is a lightning network built on the blockchain  </t>
  </si>
  <si>
    <t>So with bitcoin dropping   will we start seeing a price drop for GPU's</t>
  </si>
  <si>
    <t>bcash is not the real bitcoin</t>
  </si>
  <si>
    <t>$: 9271.29 3mSMA50touch- 9274.06 12:1Accel+ tf:0110001 FirmTrnd-:+125% ch:+8.3% DyVol:12T:0.3x:0.7x</t>
  </si>
  <si>
    <t>Russian Oligarch will simply state: I got into bitcoin before it was cool  Wealth Explained</t>
  </si>
  <si>
    <t xml:space="preserve">Crypto Rich and Paranoid: Threats Prompt Radical Security in Bitcoin Land  </t>
  </si>
  <si>
    <t>Bitcoin is the best investment because most people are going to start buying more opioids on the black market</t>
  </si>
  <si>
    <t>Bitcoin with unit price of $9230.34 market cap of $155468111935 34.59% and 24 hr vol  of $7786920000 31.39%</t>
  </si>
  <si>
    <t>The average price of Bitcoin across all exchanges is 9230.34 USD</t>
  </si>
  <si>
    <t>Average Bitcoin market price is: USD 9285.70 EUR 7461.96</t>
  </si>
  <si>
    <t>Feb 03 2018 09:00AM Price: USD 8788.20 | EUR 7090.65 | JPY 944244.41</t>
  </si>
  <si>
    <t xml:space="preserve">Top 6 BTC/USD Exchange Orderbooks: Resistance til $9600:$28.7M Support til $9000:$18.1M $BTC $BTCUSD </t>
  </si>
  <si>
    <t xml:space="preserve">Bitcoin going up The rest of cryptos will follow </t>
  </si>
  <si>
    <t xml:space="preserve">12PM EST price of $BTC today is $9312.68 </t>
  </si>
  <si>
    <t>Its funny that every attempt to attack Bitcoin has only resulted in it coming back more resilient</t>
  </si>
  <si>
    <t>Reason number 1 bcash is not bitcoin - when you consistently have to tell people its the real one generally it mean its not</t>
  </si>
  <si>
    <t>What is BITCOIN Can I make money with Bitcoin GUARANTEED LeadtheWays</t>
  </si>
  <si>
    <t>It's 2018 and y'all still investing in Bitcoin I just spent my life's earnings on cattle  On my FFA hustle</t>
  </si>
  <si>
    <t>*as of right now  Bitcoin has some issues with the tech to have mainstream adoption  Mostly price to make and mine</t>
  </si>
  <si>
    <t xml:space="preserve">RI: can you hear that sound of the ratings going up Its rivalling bitcoin right now LSM: bitcoin is going down these days </t>
  </si>
  <si>
    <t>The likelihood is that blockchain technology will have a future not bitcoin</t>
  </si>
  <si>
    <t>How about a visual of the bitcoin cash network</t>
  </si>
  <si>
    <t>Good morning  Current price of Bitcoin is $9312.68</t>
  </si>
  <si>
    <t>Mate did you see Richs +6550 point bitcoin short A totally awesome trade</t>
  </si>
  <si>
    <t>The current Price is 9312.68USD</t>
  </si>
  <si>
    <t>Total Losses since November 2017 - 36.13811144 Bitcoin and - 34.138111678 Bitcoins cash and - 11388.12236788 ether    How am I doing guys</t>
  </si>
  <si>
    <t>Current price of Bitcoin is $9312.68 'Like'  $BTC</t>
  </si>
  <si>
    <t>Current price of is $9312.68 with transactions of 160/second is aming to reach 347222/second</t>
  </si>
  <si>
    <t xml:space="preserve">'s 2nd Pre-ICO has Started Join with us Last chance to get BONUS  </t>
  </si>
  <si>
    <t>Yo Does why Bitcoin is going down on USD value    because you shaved</t>
  </si>
  <si>
    <t>what's you opinion about Tether scandal could Tether crash Bitcoin</t>
  </si>
  <si>
    <t xml:space="preserve">Did you know in January 2016 one Bitcoin was worth USD$350 and is now worth over USD$2000 </t>
  </si>
  <si>
    <t>People call a bubble for a number of reasons  Most commonly: 1 Uneducated 2 Lazy 3 Scared</t>
  </si>
  <si>
    <t xml:space="preserve">You can get into an accident tomorrow doesn't mean you stop driving </t>
  </si>
  <si>
    <t>Yo that's why Bitcoin is loosing USD value    because you shaved</t>
  </si>
  <si>
    <t xml:space="preserve">There is awesome project named   Join bounty program and help them  </t>
  </si>
  <si>
    <t xml:space="preserve">SMA 14 close Crossing above SMA 50 close on $BTCUSD 1h </t>
  </si>
  <si>
    <t>*goes to check Bitcoin balance the account is empty* Somebody toucha ma Bitcoin</t>
  </si>
  <si>
    <t xml:space="preserve">BTC &amp; ETH is start to rising again guyz  </t>
  </si>
  <si>
    <t>Bitcoin Target 9800 to $10500.  volume is looking good at the moment</t>
  </si>
  <si>
    <t xml:space="preserve">1730GMT Has the bubble burst asks our panel on </t>
  </si>
  <si>
    <t>Bitcoin is such an opportunity for people to set up their future  Dont miss out on this</t>
  </si>
  <si>
    <t xml:space="preserve">Correcting wrong or strange Kanji tattoo designs  1revision0.00005bitcoin Give me DM or reply  </t>
  </si>
  <si>
    <t>Most of them probably don't know what are a bitcoin and a bubble</t>
  </si>
  <si>
    <t xml:space="preserve">LONG LIVE BITCOIN  And the BANKER KILLER POPULOUS  GO PPT </t>
  </si>
  <si>
    <t>Wait I heard there was backed by bananas  My advisor suggests I should go ballz deep  Yeah sure mate  What ever you say</t>
  </si>
  <si>
    <t xml:space="preserve">Bitfortip will help more people get into   It's the killer that everyone is looking for to spread and </t>
  </si>
  <si>
    <t>it's the new bitcoin</t>
  </si>
  <si>
    <t>My recording and distribution costs were $1 and so far I've made $2. 100% profit baby  I'm basically a young Bitcoin</t>
  </si>
  <si>
    <t>why havent I received the bitcoin cash I was apparently promised from the fork</t>
  </si>
  <si>
    <t xml:space="preserve">Can you lend me some bitcoin Sure let me check my fridge </t>
  </si>
  <si>
    <t>You also should believe in the separation of money and state and emrace Bitcoin</t>
  </si>
  <si>
    <t>shall look into bitcoin If so can you give me a heads up where</t>
  </si>
  <si>
    <t xml:space="preserve">Watch this video to understand how Cibus will change the FOOD Industry  </t>
  </si>
  <si>
    <t>We had bitcoin in 1977 already</t>
  </si>
  <si>
    <t>The current price of Bitcoin is $9304.71. The current price of BCash is $1261.24 or 0.135106 BTC</t>
  </si>
  <si>
    <t xml:space="preserve">G20 is about regulating ICOs and KYC  Not about banning   $btc </t>
  </si>
  <si>
    <t>No further detail is needed  Its no to all points</t>
  </si>
  <si>
    <t>Force people onto the Lightning Network by capping the Bitcoin blocksize to 1 megabyte simple</t>
  </si>
  <si>
    <t>Everyone stopped talking about bitcoin really quick</t>
  </si>
  <si>
    <t>Bitcoin will force people to educate them self on security and IT in general  This is really a blessing</t>
  </si>
  <si>
    <t>[i spray hairspray into my bitcoin to someone back in</t>
  </si>
  <si>
    <t>Yassss China will not ban bitcoin</t>
  </si>
  <si>
    <t>Help do I sell bitcoin</t>
  </si>
  <si>
    <t>well I found where you can track bitcoin in the app but its not tracking the growth of what we purchased right</t>
  </si>
  <si>
    <t>a population of just over 7 billion people today  On average this means the average person owns just under 0.003 bitcoin  lmao</t>
  </si>
  <si>
    <t xml:space="preserve">Correlation between price of yeezys &amp; price of bitcoin </t>
  </si>
  <si>
    <t>I believe in the concept of Bitcoin but I don't believe in any logic of its trading</t>
  </si>
  <si>
    <t>when are u going to sync the bitcoin holders addresses</t>
  </si>
  <si>
    <t>Its crazy but its a trend that wont last so expect to see a lot of used cards on the market whenever bitcoin fails</t>
  </si>
  <si>
    <t>Be nice to   Today's nocoiners are tomorrow's Bitcoin proponents  In a long enough timeline everyone is a Bitcoiner</t>
  </si>
  <si>
    <t>And at the same time rallies and cryptocurrencies start an uptrend  See the connection</t>
  </si>
  <si>
    <t>More like the hair of Bitcoin amirite</t>
  </si>
  <si>
    <t xml:space="preserve">Hacker Steals $150000 From Cryptocurrency ICO Participants Via Breach And Phishing Attack </t>
  </si>
  <si>
    <t>0051 bitcoin</t>
  </si>
  <si>
    <t>`bbcnews SSHHH Bitcoin has been taking off again but those who rely on corpmedia to inform and educate are left in the dark UNLESS it dives</t>
  </si>
  <si>
    <t>John what do you think about BCH BITCOIN CASH IN THE NEXT 6 MOS</t>
  </si>
  <si>
    <t xml:space="preserve">Yesterday kissed low of $ 7540 Now at $ 9476 </t>
  </si>
  <si>
    <t>People learn things like 2FA because of Bitcoin  This is so much more than money</t>
  </si>
  <si>
    <t xml:space="preserve">Will $BTCUSD be at $10000 by Monday  </t>
  </si>
  <si>
    <t>&gt; liquidating shorts Yep  That'll happen if you short the 200 SMA touch</t>
  </si>
  <si>
    <t>ln short there bitcoin vision is not bitcoin</t>
  </si>
  <si>
    <t>Hodl rhymes with coddle I coddle my bitcoin by hodl-ing them in a cold storage hardware wallet of course</t>
  </si>
  <si>
    <t>Hacking satoshi wallet Good idea</t>
  </si>
  <si>
    <t>Bitcoin vs BCash   anyone</t>
  </si>
  <si>
    <t>As of September 2017 one bitcoin was equal to nearly $4000 USD and $4900 Canadian according to the CoinDesk calculator</t>
  </si>
  <si>
    <t>I bet that he already has Bitcoin and wants it for even cheaper</t>
  </si>
  <si>
    <t xml:space="preserve">I bumped into the guy who i told to buy Bitcoin at 14k  He gave me a kiss </t>
  </si>
  <si>
    <t xml:space="preserve">The current value of BTC at 03:24:08 on 04/02/2018 AEST is $11349.00 AUD  </t>
  </si>
  <si>
    <t>If you have to use a separate network with a different wallet it's not   In before is the real $BTC</t>
  </si>
  <si>
    <t>Here's what I always see: Bitcoin is a bubble *Has bank full of Fiat currency*</t>
  </si>
  <si>
    <t>LOL there's a lot of people like this Bella please ignore them all you have to do is buy Bitcoin below 9k and your good</t>
  </si>
  <si>
    <t>looking at these bitcoin charts   and its like the cloud doesnt even matter at this point   just basics  support resistance volume</t>
  </si>
  <si>
    <t>Can you photoshop Bitcoin logo hitting him in the end like a cannonball</t>
  </si>
  <si>
    <t xml:space="preserve">Yo Memo was so overvalued it makes bitcoin seem like a good deal  </t>
  </si>
  <si>
    <t>People put all the faith in the world on smart contracts but adopting flies right under their radar  SMH</t>
  </si>
  <si>
    <t xml:space="preserve">$bcpt looking to hit a $1.00 today  </t>
  </si>
  <si>
    <t>Will they take bitcoin or litecoin for payment :-</t>
  </si>
  <si>
    <t>The problem with seeing that future for bitcoin is that technology obsoletes</t>
  </si>
  <si>
    <t>Going to gift some bitcoin to the newlyweds</t>
  </si>
  <si>
    <t>Bitcoin is buy more ripple</t>
  </si>
  <si>
    <t>Wow  I had not checked bitcoin price since late last night and we have bounced up from a low of 7625.25 to an intraday high of 9443.96</t>
  </si>
  <si>
    <t>Let's change it  Let's call it hoarding  Or hoard bitcoin  Is that better</t>
  </si>
  <si>
    <t>Could we see a cryptoUSD Sure maybe  But that would be used instead of bitcoin</t>
  </si>
  <si>
    <t>BITCOIN GOING CRAZY TODAY  WOOOOOOOO</t>
  </si>
  <si>
    <t xml:space="preserve">And Bitcoin </t>
  </si>
  <si>
    <t>Bitcoin price is dependent on tether which is backed by a single company  Doesn't sound like Ripple at all</t>
  </si>
  <si>
    <t>Happy as hell Bitcoin going back up and its all star Saturdays tonight at opyum</t>
  </si>
  <si>
    <t xml:space="preserve">In This Storm Be Hopeful   </t>
  </si>
  <si>
    <t>Says Bitcoin is a bubble    Has bank full of Fiat debtor currency     Seems legit</t>
  </si>
  <si>
    <t xml:space="preserve">Crypto is up its the weekend what more do you want  </t>
  </si>
  <si>
    <t>Maybe you should read the Bitcoin whitepaper  Its only 8 pages</t>
  </si>
  <si>
    <t>Hello humans is currently around $9274.87 as of Sat Feb 3 11:31:08 CST 2018</t>
  </si>
  <si>
    <t>Cmon mate thats quite normal for bitcoin :</t>
  </si>
  <si>
    <t xml:space="preserve">Here we go again  </t>
  </si>
  <si>
    <t xml:space="preserve">Keep    the fun still not their yet     wait </t>
  </si>
  <si>
    <t>I just found out about the 19-year-old Bitcoin millionaire and I'm ready to be euthanized now</t>
  </si>
  <si>
    <t>Exactly bitcoin got game too the moon</t>
  </si>
  <si>
    <t>Waiting for Bitcoin to take off so I can get a used 2014 Toyota Camry  Treat yourself</t>
  </si>
  <si>
    <t>is recovering from thr flu</t>
  </si>
  <si>
    <t>Great  like POTUS boast about the DJI up  but no jobs  who cares  has no use</t>
  </si>
  <si>
    <t>Are you sure this is not a bitcoin address</t>
  </si>
  <si>
    <t>It is as much a weakness as a strength but the defining nature of bitcoin is that of a story  A story written in immutable code</t>
  </si>
  <si>
    <t>You understand that bitcoin was at 3k 6 months ago right Or do you just refuse to open daily candlesticks</t>
  </si>
  <si>
    <t>Whose burning We are up more than 10X since Krugman called bitcoin evil</t>
  </si>
  <si>
    <t xml:space="preserve">Bitcoin is up over 700% since last year and moving up again now  Get your facts straight </t>
  </si>
  <si>
    <t>Bitcoin cannot fail: It can only be failed</t>
  </si>
  <si>
    <t>Bitcoin is a commodity and offers many services  You can call it a ponzi but just makes you look foolish</t>
  </si>
  <si>
    <t>ZEBPAY BITCOIN WALLET HOW TO BUY BITCOIN INSTANTLY || :</t>
  </si>
  <si>
    <t>This is my first time seeing a bitcoin correction like this  I will be more prepared and educated for the next one</t>
  </si>
  <si>
    <t>Blockchain Bitcoin cryptocurrency and all the things we think we know but are probably faking | Ladders</t>
  </si>
  <si>
    <t xml:space="preserve">Optimal tx fee: 60 satoshi per byte  BTC : $9282 / 7448 / 6572  Block 507463. Market Cap: 158.49B USD  </t>
  </si>
  <si>
    <t xml:space="preserve">Better money  FTW </t>
  </si>
  <si>
    <t>Bitcoin should tip back over to $10k this weekend if it holds    We're back  :-</t>
  </si>
  <si>
    <t>Investier in Bitcoin</t>
  </si>
  <si>
    <t>No record    Err    We talking about the same Bitcoin here</t>
  </si>
  <si>
    <t>Not safe   Bitcoin mile honge</t>
  </si>
  <si>
    <t>How long until a bitcoin style rise in white racial consciousness</t>
  </si>
  <si>
    <t>Many of the original minds behind Bitcoin were pushed out by Blockstream  I'm with them</t>
  </si>
  <si>
    <t>Can this also mean that big Bitcoin investers liquidated big positions so they are ready for the bear market</t>
  </si>
  <si>
    <t xml:space="preserve">FireFly Coin FFC is about to take off </t>
  </si>
  <si>
    <t>bitcoin cash is the real bitcoin bitcoin should change name to Bitcoin Core peace</t>
  </si>
  <si>
    <t>I understand blockchain  I am an advisor to a blockchain company  Bitcoin is a scam</t>
  </si>
  <si>
    <t xml:space="preserve">Hey guys did you delete your article that just copy and pasted my one about bittrex </t>
  </si>
  <si>
    <t>Let's see January contains: - Spaghet - Ugandan Knuckles - Tide Pods - Logan Paul - Bitcoin  What did I miss</t>
  </si>
  <si>
    <t>looking at these bitcoin charts   and its like my butt doesnt even matter at this point   just basics  support resistance volume</t>
  </si>
  <si>
    <t xml:space="preserve">33144 follows Its the Final Countdown 14 Days until the Bitcoin Ethereum and Blockchain Super Conference https:/  </t>
  </si>
  <si>
    <t xml:space="preserve">Alp'te bitcoin bitermi : </t>
  </si>
  <si>
    <t>Yes  So hard to have people see that Bitcoin is not a mesh</t>
  </si>
  <si>
    <t>Which books have you read that were written more than 30 years ago that are relevant to bitcoin</t>
  </si>
  <si>
    <t>Hahaha  Bitcoin has no measurable value</t>
  </si>
  <si>
    <t xml:space="preserve">If a falls in the forest does anyone hear </t>
  </si>
  <si>
    <t xml:space="preserve">Interesting to see that no longer has premium status on Korean exchanges when compared to or   </t>
  </si>
  <si>
    <t>BItcoin trash is also down 48% for the month   let that sink in</t>
  </si>
  <si>
    <t xml:space="preserve">FireFly Coin FFC very cheap and about to sky rocket 200000% estimated returns </t>
  </si>
  <si>
    <t>Bitcoin seems like one big social experiment   greed vs fear</t>
  </si>
  <si>
    <t>short bitcoin right here 9288 stop above 9500 looking for new lows sub 7400 may hold a piece for the puke lower from there</t>
  </si>
  <si>
    <t xml:space="preserve">Is regulation    </t>
  </si>
  <si>
    <t>Roger  NO is plenty</t>
  </si>
  <si>
    <t xml:space="preserve">If you think bulge bracket banks will bank the 4 billion unbanked people around the world you're a fool  will   </t>
  </si>
  <si>
    <t>Bitcoin Cash is Bitcoin  Executing the vision of Satoshi in the original white paper</t>
  </si>
  <si>
    <t>Exactly Bitcoin becomes Core and Cash  In time we see the results</t>
  </si>
  <si>
    <t>It's downright religious and the spread of bitcoin on the internet is not unlike the spread of the bible on the printing press</t>
  </si>
  <si>
    <t>There are currently 11556 unconfirmed Bitcoin transactions  $BTC</t>
  </si>
  <si>
    <t>bitcoin is also delicious with salt avocado and a slice of toasted bread plus maybe some cheese or cold cuts</t>
  </si>
  <si>
    <t>Bitcoin has been banned by Facebook  Someone please explain to me why this would happen if Bitcoin was just a bubble</t>
  </si>
  <si>
    <t>100k bitcoin hell yeah   possibly more once the mainstream starts using it globally</t>
  </si>
  <si>
    <t>Can you mine bitcoin on it</t>
  </si>
  <si>
    <t>Hehehe    Im ok  Bitcoin is a mess  Buy Cardano</t>
  </si>
  <si>
    <t>Bitcoin Bull Trap forming  Dont be fooled  Heading to 7k in the next 2 weeks THAN its go time towards 35k by end of March</t>
  </si>
  <si>
    <t>Wordcount fluctuating so much it's beginning to resemble the bitcoin exchange rate</t>
  </si>
  <si>
    <t>bitcoin should change name to BITCOIN CORE</t>
  </si>
  <si>
    <t xml:space="preserve">Special offer for cr gems $43/14k gems 5-10mins load time Payment only by skrillwestern union or bitcoin  </t>
  </si>
  <si>
    <t xml:space="preserve">A fun afternoon spreading 10k across 10 coins I wish I had more fiat to play with </t>
  </si>
  <si>
    <t>If bitcoin fails 99% of alts will probably fail as well</t>
  </si>
  <si>
    <t>I prefer Bitcoin is bch than bch is Bitcoin  I dont know if you notice the suttle difference but i think its better that way</t>
  </si>
  <si>
    <t>They pay in Bitcoin which is why they invented it</t>
  </si>
  <si>
    <t>Advise can lead to a lawsuit lol if youre thinking of mining try out hashflare Im receiving nearly 0.25 bitcoin per day</t>
  </si>
  <si>
    <t>meh  we stuffed a bitcoin wallet and a TOR exit node on the SkySat-1 before it launched</t>
  </si>
  <si>
    <t xml:space="preserve">Buy Sell Or wait Daily Forecasts for EURUSD GBPUSD USDJPY Bitcoin etc  on Daily Weekly and Monthly charts  </t>
  </si>
  <si>
    <t>The tech isn't the bottleneck here  The fact that you can't pay fines and taxes in bitcoin is</t>
  </si>
  <si>
    <t>To understand Bitcoin read Atlas Shrugged</t>
  </si>
  <si>
    <t>I have transferred 5000 money on 22 Jan but still I not got   Give me my BTC</t>
  </si>
  <si>
    <t xml:space="preserve">$1 USD is currently worth 0.00010899 BTC </t>
  </si>
  <si>
    <t>used DGB or Bitcoin Cash far better than Bitcoin AKA Bitcoin Core</t>
  </si>
  <si>
    <t xml:space="preserve">Bitcoin Gold Go go go </t>
  </si>
  <si>
    <t>may present one more good buying opportunity before getting out of reach  I'd keep some shopping budget until Tuesday night</t>
  </si>
  <si>
    <t>Graph is key to Bitcoin topology  Mesh is not Bitcoin</t>
  </si>
  <si>
    <t>I am very positive on the bitcoin but the twitter is just a fad</t>
  </si>
  <si>
    <t>&amp; yes may the all powerful Allah grant justice for this atrocity  Insha Allah</t>
  </si>
  <si>
    <t>Should I get Polis bitcoin lightning or bitcoin gold</t>
  </si>
  <si>
    <t>Bitcoin is Beanie Babies  Go on be the greater fool</t>
  </si>
  <si>
    <t>and : What You Need to Know</t>
  </si>
  <si>
    <t xml:space="preserve">First $5k after we can get a lambo  </t>
  </si>
  <si>
    <t>Looks like the square cash app for bitcoin is a SCAM You buy bitcoin from them and they dont let you witbdrawl  STAY AWAY</t>
  </si>
  <si>
    <t>Dont buy BTC from square cash app  Takes weeks to withdrawal your bitcoin</t>
  </si>
  <si>
    <t>It still is and what does bitcoin cash has to offer more then bitcoin diamond or bitcoin gold</t>
  </si>
  <si>
    <t xml:space="preserve">Yo Memo has lost so much value since it was hyped theyre calling it bitcoin  </t>
  </si>
  <si>
    <t xml:space="preserve">Will the Raiden Network solve Ethereums scaling issues in 2018 $btc $rdn$eth $xrp </t>
  </si>
  <si>
    <t xml:space="preserve">If they had bought when all their gamer nerds told them too then the higher GPU prices wouldn't be a problem  </t>
  </si>
  <si>
    <t>Bitcoin with unit price of $9179.12 market cap of $154606782045 34.71% and 24 hr vol  of $7510280000 31.36%</t>
  </si>
  <si>
    <t>03Feb2018 18:00 UTC status - Last 24h: 162 blocks mined - 1015535 BTC output - 203781 transactions</t>
  </si>
  <si>
    <t>Average Bitcoin market price is: USD 9188.82 EUR 7399.19</t>
  </si>
  <si>
    <t>The average price of Bitcoin across all exchanges is 9179.12 USD</t>
  </si>
  <si>
    <t xml:space="preserve">The price of 1 Bitcoin is $9203.78. That is 614 large pizzas </t>
  </si>
  <si>
    <t>Feb 03 2018 10:00AM Price: USD 8803.67 | EUR 7100.12 | JPY 947386.06</t>
  </si>
  <si>
    <t xml:space="preserve">Top 6 BTC/USD Exchange Orderbooks: Resistance til $9400:$14.9M Support til $8900:$23.9M $BTC $BTCUSD </t>
  </si>
  <si>
    <t xml:space="preserve">I made $850k in 18 months on one REAL account only you can do the same using our robot  Check other accounts LIVE on our website  </t>
  </si>
  <si>
    <t xml:space="preserve">Not selling lot's of futures contracts about 6 weeks ago  </t>
  </si>
  <si>
    <t xml:space="preserve">If they had bought when all their gamer nerds told them to then the higher GPU prices wouldn't be a problem  </t>
  </si>
  <si>
    <t>Bitcoin mining for noobs</t>
  </si>
  <si>
    <t xml:space="preserve">Looking forward to tron's coin burn in march  $trx  </t>
  </si>
  <si>
    <t xml:space="preserve">As if Bitcoin and Crypto wasn't an issue for GPU prices already now there's gonna be Deepfake farms   </t>
  </si>
  <si>
    <t>New post Bitcoin: Here Are My last interview with that   and everything for</t>
  </si>
  <si>
    <t xml:space="preserve">If they had bought when all their nerd friends told them to years ago then the higher GPU prices wouldn't be a problem  </t>
  </si>
  <si>
    <t xml:space="preserve">Wwwwoooww   PINKCOIN BIG SIGNAL  </t>
  </si>
  <si>
    <t>Daily price update  worth $9186.85</t>
  </si>
  <si>
    <t>What do you think of LItecoin Or do you just own Bitcoin</t>
  </si>
  <si>
    <t>wow projek amazing Hope to win these time  Thanks bitcoin token 0x1c6ce3e75c1529759030d7dafa8dbb4583e32da9</t>
  </si>
  <si>
    <t xml:space="preserve">Who run the world Old white businessmen  Whats the solution </t>
  </si>
  <si>
    <t>Most negative movements in the last hour -3.10% -2.93% -2.66% Gold-2.47% -2.37%</t>
  </si>
  <si>
    <t>do you guys take bitcoin sir you can't buy Paddington 2 tickets with bitcoin</t>
  </si>
  <si>
    <t>And he's running scared of bitcoin/crypto</t>
  </si>
  <si>
    <t xml:space="preserve">Is anyone able to give me a invite </t>
  </si>
  <si>
    <t>But why Bitcoin Why not $LTC or something quick</t>
  </si>
  <si>
    <t>when dollar lose its value what will be the value of bitcoin</t>
  </si>
  <si>
    <t>Current price of Bitcoin is $9186.85 February 3 2018 at 10:00AM</t>
  </si>
  <si>
    <t xml:space="preserve">BTCETHETCLTCBCHMONA Please send someone virtual currency </t>
  </si>
  <si>
    <t>Looks like the 0.01 was regarding only bitcoin  Sorry for missinformation I was told something else on previous discord chat</t>
  </si>
  <si>
    <t>i want to feel alive  how many bitcoin should i put on the eagles</t>
  </si>
  <si>
    <t>You took your Bitcoin profits when he said to right</t>
  </si>
  <si>
    <t>Nooo    who will talk about bitcoin going forward</t>
  </si>
  <si>
    <t>The reach of Bitcoin has hit a wall and now myst evolve/grow in order for the next cycle to begin</t>
  </si>
  <si>
    <t>i was going to invest in bitcoin today but it's only like 9k now wtf am i too late</t>
  </si>
  <si>
    <t>remember bitcoin</t>
  </si>
  <si>
    <t xml:space="preserve">A growing number of big U S  credit-card issuers are deciding they dont want to finance a falling knife  </t>
  </si>
  <si>
    <t>Based on your cheat sheet  Looks like a shooting star pattern is forming for Bitcoin on the 4H  Am i right</t>
  </si>
  <si>
    <t xml:space="preserve">Sattiniz mi  Are you sell  Are you kola  what are you   </t>
  </si>
  <si>
    <t>You can pay me in Bitcoin if you prefer  Shot</t>
  </si>
  <si>
    <t xml:space="preserve">718 follows RT : Important chart from Fundstrat  Shared by first  Bitcoin experienced a 43% cor  </t>
  </si>
  <si>
    <t xml:space="preserve">If you don't believe me or don't get it I don't have time to try to convince you sorry  - Satoshi Nakamoto </t>
  </si>
  <si>
    <t>Also us on are wondering if you guys have a specific release date set yet :D</t>
  </si>
  <si>
    <t xml:space="preserve">With how much fiat money are you invested in the cryptomarket  </t>
  </si>
  <si>
    <t>The button monitor button is available on the latest version of the Bitcoin app on the Nano S  You can try to update it</t>
  </si>
  <si>
    <t>From the 5k miners we should net $1 mil maybe even $2mil Per Month if Bitcoin goes back up  Just my opinion</t>
  </si>
  <si>
    <t>Just so you know I don't accept Bitcoin</t>
  </si>
  <si>
    <t xml:space="preserve">We all should get unite to tell the haters and media the power of unity  </t>
  </si>
  <si>
    <t xml:space="preserve">I dont have any bitcoin   Its all about XRP </t>
  </si>
  <si>
    <t>Ray Dalio founder of the world's largest hedge fund says bitcoin is a bubble</t>
  </si>
  <si>
    <t>She can finally afford to feed her kids invest in Bitcoin and start her own business  Thanks Donald</t>
  </si>
  <si>
    <t xml:space="preserve">Give your eyes on this great project and don't miss it  Join now and gain profit </t>
  </si>
  <si>
    <t>It's Bigby the Bitcoin Dog Bigby is short for Bigger Idiot of course</t>
  </si>
  <si>
    <t>bitcoin cash will stay either you like it or not bitcoin should change name to Bitcoin Core hahahaha</t>
  </si>
  <si>
    <t xml:space="preserve">How do I get long on twitter  </t>
  </si>
  <si>
    <t xml:space="preserve">Blockchains Greatest Impact Will Be in Developing Countries Says UPenn Lecturer </t>
  </si>
  <si>
    <t xml:space="preserve">11. In politics you have your word and your friends go back on either and you're dead   Blackwell </t>
  </si>
  <si>
    <t>The current price of Bitcoin is $9157.27. The current price of BCash is $1240.99 or 0.134905 BTC</t>
  </si>
  <si>
    <t>Did you update to the latest version of the Nano S bitcoin app</t>
  </si>
  <si>
    <t>Seriously I thought the butt was the official mascot of Bitcoin</t>
  </si>
  <si>
    <t>Prince = centralized authority  Bitcoin = decentralized  You are really missing the whats going on here</t>
  </si>
  <si>
    <t>Dont trust bitcoin</t>
  </si>
  <si>
    <t xml:space="preserve">People call a bubble for a number of reasons  Most commonly: 1 Uneducated 2 Lazy 3 Scared by </t>
  </si>
  <si>
    <t>People may use to buy or to buy  Perfectly fine</t>
  </si>
  <si>
    <t xml:space="preserve">Equity markets crash but surges   are people nuts to replace hedge with </t>
  </si>
  <si>
    <t>The price to satisfy American voters is dropping faster than Bitcoin</t>
  </si>
  <si>
    <t xml:space="preserve">Peak bitcoin evidently  </t>
  </si>
  <si>
    <t>Maybe in 9 more years it will double to $8 000 per bitcoin and you want to buy it right now while it's cheap</t>
  </si>
  <si>
    <t>pray 4 bitcoin death then we will have a glut of 1080tis on ebay</t>
  </si>
  <si>
    <t>Why will I use my bitcoin to purchase anything  when I can double it in few weeks  Well I mean x10 it</t>
  </si>
  <si>
    <t>1.1.18 is the latest  You can check on the Ledger itself by going into the Bitcoin app and then down into About</t>
  </si>
  <si>
    <t>Seriously  Surrender your civiliaztion  You can't even generate brains able to see how much stupid bitcoin is</t>
  </si>
  <si>
    <t>What will happen first $BTC $ETH $NEO</t>
  </si>
  <si>
    <t>Funny that this happens around the time Jamie Dimon stops insisting that Bitcoin is a bubble</t>
  </si>
  <si>
    <t>Ahhhaa Satoshis real name is Milton He must've created bitcoin before he left and traveled to the next universe</t>
  </si>
  <si>
    <t>Bitcoin doesn't fit what he explained eCash  Another crypto will fill that role may take several years to fully see it unfold</t>
  </si>
  <si>
    <t>Nothing cotton's up the ole vag like hearing a white dude talk about bitcoin</t>
  </si>
  <si>
    <t>HK free community discussion at education and much more:</t>
  </si>
  <si>
    <t>Imagine hodling Bcash right now because you think Bitcoin is antiquated</t>
  </si>
  <si>
    <t xml:space="preserve">How many ppl lost faith in litecoin I bought ethereum and Bitcoin cash in the dip   </t>
  </si>
  <si>
    <t xml:space="preserve">So what is your overall portfolio  </t>
  </si>
  <si>
    <t>Bitcoin Price Prediction: up to $26516.1 - BTC/USD Forecast Long-Term</t>
  </si>
  <si>
    <t>Lightening your Bitcoin blues</t>
  </si>
  <si>
    <t>I invented bitcoin about 15y ago  I was stupid then  What part you don't understand</t>
  </si>
  <si>
    <t>is some sort of digital Ponzi scheme  because how is it going to drop several 100 in one day based on what</t>
  </si>
  <si>
    <t>Little GYBE things: trading in your fiat currency for a bitcoin wallet full of blood</t>
  </si>
  <si>
    <t>I'm trying to put together a script explaining just the bare essentials of Bitcoin and I can't make it not sound like coke ravings</t>
  </si>
  <si>
    <t>Bitcoin ban expands across credit cards  falls below $8000 ~news</t>
  </si>
  <si>
    <t>Of course please dont tell anyone that Mossad invented Bitcoin as it is a secret</t>
  </si>
  <si>
    <t>Imagine a vegan crossfitter who trades bitcoin</t>
  </si>
  <si>
    <t>Thinking of releasing the playlists I listen to when Im studying Bitcoin</t>
  </si>
  <si>
    <t>let take it with an ex  - Is Bitcoin trading allowed in India</t>
  </si>
  <si>
    <t xml:space="preserve">abhi we need more tweets from you full support </t>
  </si>
  <si>
    <t>fancy a date</t>
  </si>
  <si>
    <t xml:space="preserve">Bitcoin is patience  It is preparation  Learn that and you have taken your first steps  </t>
  </si>
  <si>
    <t>Hello humans is currently around $9184.27 as of Sat Feb 3 12:31:10 CST 2018</t>
  </si>
  <si>
    <t>Youre trying to make things more complicated than they are</t>
  </si>
  <si>
    <t xml:space="preserve">Optimal tx fee: 60 satoshi per byte  BTC : $9230 / 7406 / 6535  Block 507468. Market Cap: 158.5B USD  </t>
  </si>
  <si>
    <t>The people who believe in bitcoin are the same people who in the 70s bought a pet rock</t>
  </si>
  <si>
    <t xml:space="preserve">Are you short in bitcoin future that you post a lot of old and panic news Nobody written today about that       Please stop </t>
  </si>
  <si>
    <t>But that's not true XD  Neither is the original and both are the new coin</t>
  </si>
  <si>
    <t>Earn approximately $2500 in 10 days from Bitcoin Mining  No Risk  no investment and dont send your money to anyone</t>
  </si>
  <si>
    <t xml:space="preserve">Im glad to watch how an experienced team is developing such a long-term product   </t>
  </si>
  <si>
    <t>Well I'd argue preventing noobs from buying bitcoin on credit is a good step</t>
  </si>
  <si>
    <t xml:space="preserve">And the influence of social media even has some big names in the investing world believing in   </t>
  </si>
  <si>
    <t>ligi 100. 100 leagues  im your bitcoin jesus</t>
  </si>
  <si>
    <t>Stay tuned for more updates  Support and be one of us</t>
  </si>
  <si>
    <t>End of 2018 Predictions: Bitcoin: $65000 Ethereum: $25000 Litecoin: $15000 NEO: $23000</t>
  </si>
  <si>
    <t xml:space="preserve">When will the ascension be Bitcoin </t>
  </si>
  <si>
    <t xml:space="preserve">Talk is cheap especially from a s   s   stutterer </t>
  </si>
  <si>
    <t>The earth being flat has nothing to do with   And the Earth is flat you like it or not</t>
  </si>
  <si>
    <t>MGTI: Bitcoin $9.3k now  MGTI should have a good comeback</t>
  </si>
  <si>
    <t>BITCOIN collapses :- US and Europe already asked for collaboration on shutting the Ponzi down</t>
  </si>
  <si>
    <t>3/ every single core value bitcoin was designed to bring into the world  That should at least raise some red flags</t>
  </si>
  <si>
    <t>Have we started a fire Yes  The fire rises - two guys buying bitcoin from an ATM in a pita shop</t>
  </si>
  <si>
    <t xml:space="preserve">I don't care about the price I want </t>
  </si>
  <si>
    <t xml:space="preserve">63229 follows RT : Crypto and bitcoin has changed my life for the better so heres a random .1 btc giveaway  </t>
  </si>
  <si>
    <t>Bitcoin initial price was $0.08 it is now $9230.00 And a few weeks ago it hit its highest peak at $13601.43</t>
  </si>
  <si>
    <t>Interesting to see how many people left Crypto     SO AMAZING yet we need you  Don't let Bitcoin become centralized</t>
  </si>
  <si>
    <t>You know LN doesn't have tokens  You know it's still bitcoin  You're only fooling the noobs which is messed up</t>
  </si>
  <si>
    <t>How do i buy bitcoin</t>
  </si>
  <si>
    <t>Bitcoin robbery proof</t>
  </si>
  <si>
    <t xml:space="preserve">We heard you are THE bitcoin Oracle      we need a partnership right now  </t>
  </si>
  <si>
    <t>Lmao I just checked coinbase  Ethereum is up 9% Bitcoin is up 8% and Litecoin is up 21% today</t>
  </si>
  <si>
    <t>F' it I don't care about the price    I want Bitcoin You missing the point</t>
  </si>
  <si>
    <t>Bitcoin carnivores arguing with bitcoin vegans is why Twitter exists</t>
  </si>
  <si>
    <t>Roubini finally declared bitcoin a bubble</t>
  </si>
  <si>
    <t>In these days money moves from less trusted bitcoin investors to more trusted bitcoin holders as always</t>
  </si>
  <si>
    <t>There are currently 10997 unconfirmed Bitcoin transactions  $BTC</t>
  </si>
  <si>
    <t xml:space="preserve">So    is Etherium a Bitcoin competitor or  </t>
  </si>
  <si>
    <t>Just watch as many episodes as humanly possible from any year  That'll be 3 Bitcoin please</t>
  </si>
  <si>
    <t>That's pretty spectacular mate send me all your and I'll send you more back - seems to be trending on Twitter recently</t>
  </si>
  <si>
    <t>Just put 14000 BitCoin on Joe Weller  Get in lad</t>
  </si>
  <si>
    <t xml:space="preserve">is at 9k    can I you now or later </t>
  </si>
  <si>
    <t xml:space="preserve">You really needed a its Bitcoin who the hell knows button  </t>
  </si>
  <si>
    <t>And I can give you one reason why even if you sometimes support the right idea most people will still reject you</t>
  </si>
  <si>
    <t>Wrong  After Mt Gox bitcoin dropped 92%  Last January was nothing  Get your facts straight</t>
  </si>
  <si>
    <t>thoughts on cryptocurrency and bitcoin in general</t>
  </si>
  <si>
    <t>Just explained Bitcoin to my friend as fake electronic money</t>
  </si>
  <si>
    <t xml:space="preserve">In we use to say dont quit your job to be a poker player now it should be dont quit your job to be a trader </t>
  </si>
  <si>
    <t xml:space="preserve">Hurry to join Pre-Sale working with a 45% discount until March 5 </t>
  </si>
  <si>
    <t>Because the NASDAQ and BitCoin are the same thing   and the timeline doesnt fit</t>
  </si>
  <si>
    <t>How to invest in Bitcoin Tip - Don't</t>
  </si>
  <si>
    <t>On a side note really enjoy your youtube channel  Different take on bitcoin great fun</t>
  </si>
  <si>
    <t>Life is rough but could you imagine having bought like 17 bitcoin back in the day to buy drugs and hating yourself today for not saving it</t>
  </si>
  <si>
    <t xml:space="preserve">AI  Bitcoin soon becomes self aware </t>
  </si>
  <si>
    <t xml:space="preserve">Bitcoin feat  H Love - by PBH &amp; Jack Shizzle </t>
  </si>
  <si>
    <t>Scamity scam scam scam     $BTC</t>
  </si>
  <si>
    <t>Ill give you 4 now but you give me back 40 when Bitcoin is at new highs</t>
  </si>
  <si>
    <t>I should add why is the book relevant to bitcoin</t>
  </si>
  <si>
    <t xml:space="preserve">People are getting bearish on   You know what that means  </t>
  </si>
  <si>
    <t xml:space="preserve">Bitcoin is a techno tour de force  Bill Gates Founder of Microsoft </t>
  </si>
  <si>
    <t>So what's the prize for bitcoin at the moment</t>
  </si>
  <si>
    <t>Todays the day to buy bitcoin</t>
  </si>
  <si>
    <t>Jealousy is corrosive  Bitcoin evokes strong emotions from both supporters and in this case detractors</t>
  </si>
  <si>
    <t>Can someone explain to me how bitcoin is expected to rise later on</t>
  </si>
  <si>
    <t>The Short Squeeze - 2018 sequel - staring and in the role of Satoshi Nakamoto  Producer Willy the Whale</t>
  </si>
  <si>
    <t xml:space="preserve">Easy: Bitcoin is a crypto scams are all scams  </t>
  </si>
  <si>
    <t xml:space="preserve">&amp; are three things i could do with hearing less about  </t>
  </si>
  <si>
    <t>Bitcoin taxes are a nightmare</t>
  </si>
  <si>
    <t>Just enjoying the dance music and bitcoin is actually in a track Two worlds collide</t>
  </si>
  <si>
    <t xml:space="preserve">' Stop use for illicit purposes' Finish the Indian's Minister of finance statement in full   Wtf  Bitcoin news or bitcoin fud </t>
  </si>
  <si>
    <t>A million people saw me tweet about being financially responsible the day after Bitcoin peaked  What did you do buddy</t>
  </si>
  <si>
    <t>Morning Mr  Machine  How BITCOIN TODAY sir</t>
  </si>
  <si>
    <t>You should do a year really  Like the Bitcoin bet you made if I recall</t>
  </si>
  <si>
    <t>Bitcoin with unit price of $9289.03 market cap of $156458494919 34.65% and 24 hr vol  of $7496140000 31.23%</t>
  </si>
  <si>
    <t>Average Bitcoin market price is: USD 9388.62 EUR 7542.92</t>
  </si>
  <si>
    <t>The average price of Bitcoin across all exchanges is 9252.70 USD</t>
  </si>
  <si>
    <t xml:space="preserve">Looking at joining the revolution has anyone got any pointers on how to start </t>
  </si>
  <si>
    <t>Feb 03 2018 11:00AM Price: USD 8848.23 | EUR 7140.16 | JPY 951273.16</t>
  </si>
  <si>
    <t xml:space="preserve">Top 6 BTC/USD Exchange Orderbooks: Resistance til $9700:$35.2M Support til $9100:$16.1M $BTC $BTCUSD </t>
  </si>
  <si>
    <t>Bitcoin is currency not a equity  You dont pay taxes on cash in hand</t>
  </si>
  <si>
    <t>Better than Bitcoin</t>
  </si>
  <si>
    <t>Old black guys hate bitcoin too lets not be racists here lol</t>
  </si>
  <si>
    <t>Now is a really bad time to pick a pc together Thanks to BitCoin</t>
  </si>
  <si>
    <t xml:space="preserve">The buzz of bitcoin: Cryptocurrency for sale at vape shops bars and gas stations </t>
  </si>
  <si>
    <t xml:space="preserve">Get Ready for the Bitcoin Recovery  Technicians Point to Rebound </t>
  </si>
  <si>
    <t xml:space="preserve">Dead again In Reality Bitcoin Is Up 729% Since Last February </t>
  </si>
  <si>
    <t>I have no idea what blockchain freelancing is but I can only assume it makes freelancing as precarious as Bitcoin    Sign me up</t>
  </si>
  <si>
    <t>Paul Ryans the kind of guy that writes invest in Bitcoin on the tip line of a restaurant receipt</t>
  </si>
  <si>
    <t>did someone check the bitcoin for me</t>
  </si>
  <si>
    <t>The first decentralized   was created in 2009 by pseudonymous developer Satoshi Nakamoto  It used SHA-256</t>
  </si>
  <si>
    <t>i was discussing bitcoin with my friend and he said Lets make this interesting  so we stopped discussing bitcoin</t>
  </si>
  <si>
    <t>Ive made .73 on Bitcoin so far I should sell huh</t>
  </si>
  <si>
    <t xml:space="preserve">Just lost 14000 BitCoin  Thanks a lot idiot </t>
  </si>
  <si>
    <t>Bitcoin bounces are more than the price of gold  Learn how to trade Peter</t>
  </si>
  <si>
    <t>you know how much bitcoin that could've bought 10 years ago</t>
  </si>
  <si>
    <t>If anyone sells their bitcoin right now theyre going to miss a massive spike in volume and upward price action</t>
  </si>
  <si>
    <t>That's because bitcoin keeps wrecking itself dragging down the whole market you mad man</t>
  </si>
  <si>
    <t>Am I the only one who has noticed the impeccable fud timing that bitcoin news has had in the last few weeks</t>
  </si>
  <si>
    <t xml:space="preserve">Mining a coin kills a polar bear  </t>
  </si>
  <si>
    <t>Bitcoin Held $8000 looks like bottom is in</t>
  </si>
  <si>
    <t>Do you guys have a bitcoin address for donations Love the game worth way more than $15</t>
  </si>
  <si>
    <t>Feeling reckless No this is normal   Getting into Bitcoin back in the day was reckless</t>
  </si>
  <si>
    <t>So your saying ripple needs bitcoin</t>
  </si>
  <si>
    <t xml:space="preserve">I was planning to go out and socialize a bit with good normies     but than bitcoin got high  </t>
  </si>
  <si>
    <t>Bitcoin's records of history will become glorious and a high prize for future people</t>
  </si>
  <si>
    <t>Agreed Gen X'ers gravitate to Bitcoin Millennials to ETH</t>
  </si>
  <si>
    <t xml:space="preserve">I'm unfollowing you because you are a liar  You didn't keep to your promise on   Learn to be a honest person  </t>
  </si>
  <si>
    <t>No problem  You can safely remove and reinstall the Bitcoin app through the Ledger Manager</t>
  </si>
  <si>
    <t xml:space="preserve">The only good use of is to buy an Antminer so you can mine </t>
  </si>
  <si>
    <t xml:space="preserve">The first edition of the project was published All the fun is here  </t>
  </si>
  <si>
    <t>Best advice for bitcoin trading  Buy Low Sell High I promise it works  Buying high and panic selling lower is not a proven strategy</t>
  </si>
  <si>
    <t xml:space="preserve">9528 follows Everyone is focused on the price of bitcoin but people should focus on the amazing companies now being buil  </t>
  </si>
  <si>
    <t>12 reasons why you are a scam</t>
  </si>
  <si>
    <t>[Garrubot] With the power of bitcoin I purchase pants</t>
  </si>
  <si>
    <t>They said the same thing about Bitcoin this time last year</t>
  </si>
  <si>
    <t>$: 9352.59 1mTrending+ 1.2% bars:10 12:3Accel+ tf:0111111 FirmTrnd-:+125% 5LoDays:55% TLM:0.1 ILM:1.1</t>
  </si>
  <si>
    <t>Bitcoin transactions are around 5 sats/byte and people are screaming that fees are too high    wtf do you want from us</t>
  </si>
  <si>
    <t>is dow like the stock market version of bitcoin</t>
  </si>
  <si>
    <t>a 1.50 bitcoin can more than pay for Costco membership</t>
  </si>
  <si>
    <t>I gotta figure this thing out</t>
  </si>
  <si>
    <t>BUT banks offer a credit line aswell I can buy tomatoes bitcoin or nickels with that credit line</t>
  </si>
  <si>
    <t>Theyre will be hell to pay if he keeps making my bitcoin drop</t>
  </si>
  <si>
    <t>The current price of Bitcoin is $9345.61. The current price of BCash is $1269.73 or 0.135083 BTC</t>
  </si>
  <si>
    <t>But we tax cristo heavily    Like it or not India won't approve Crypto or Bitcoin</t>
  </si>
  <si>
    <t>Being of a sadistic nature I'm currently enjoying Cryptofreude pleasure derived from watching Bitcoin collapse</t>
  </si>
  <si>
    <t>Yeah ok dont buy bitcoin guys cause it crashes it is amazing how much OUT OF TOUCH WITH REALITY YOU GUYS ARE</t>
  </si>
  <si>
    <t>I'm thirty years old  I don't do CrossFit  I barely even know what Bitcoin is  Am I even real</t>
  </si>
  <si>
    <t>Bitcoin rises 10% to $9387 while litecoin up 24% today after massive plunge recently</t>
  </si>
  <si>
    <t>Bro youve gone full Vinny  First rule of bitcoin is that you NEVER go full Vinny</t>
  </si>
  <si>
    <t xml:space="preserve">Krugman's tweets Filling seats Nocoiners' teet  </t>
  </si>
  <si>
    <t xml:space="preserve">cant wait for the next bitcoin update song </t>
  </si>
  <si>
    <t>Legit just tweeted about the same thing this a m  Bitcoin bros storyline is gettin tiiiired</t>
  </si>
  <si>
    <t>The media will still attack bitcoin so the price will change erratically  Regulations will not save it</t>
  </si>
  <si>
    <t xml:space="preserve">Do you guys think is over and market is bouncing back # crypto </t>
  </si>
  <si>
    <t>Cannabis and bout to have me laying on black sand beaches eating copious amounts fresh seafood &amp; wearing exceptional quality wigs</t>
  </si>
  <si>
    <t>More specifically Bitcoin is a statement there *is* a better way</t>
  </si>
  <si>
    <t>Let me know how you can spend that block of gold in a few years whens bitcoin is 50k  See you at the ranch</t>
  </si>
  <si>
    <t>Well Bcore is still not Bitcoin either looks to me like the race is still very much on</t>
  </si>
  <si>
    <t>Are you even in your late 20s if you dont spend Saturday night in a glittery blue bath with mismatched candles and a podcast about bitcoin</t>
  </si>
  <si>
    <t>Said it before many times Ill say it again  Bitcoin will reach its true value when it hits zero</t>
  </si>
  <si>
    <t>Bitcoin Diamond is the real Bitcoin Cash</t>
  </si>
  <si>
    <t>Can someone help me short some Bitcoin please</t>
  </si>
  <si>
    <t>I am the new bitcoin</t>
  </si>
  <si>
    <t xml:space="preserve">as safe as BitCoin     </t>
  </si>
  <si>
    <t>BCash is NOT Bitcoin  Your only competition is LiteCoin and its WAY better than BCash  Sell your BCash for LTC or BTC</t>
  </si>
  <si>
    <t xml:space="preserve">$BTC to 10k in the next 24 hours </t>
  </si>
  <si>
    <t>Anyone on here know what cryptocurrency to buy apart from Bitcoin</t>
  </si>
  <si>
    <t>What do you think about Bitcoin Cache</t>
  </si>
  <si>
    <t>Bitcoin trash sucks</t>
  </si>
  <si>
    <t>If youre going to fake Roger Ver at least use bitcoin cash</t>
  </si>
  <si>
    <t xml:space="preserve">Long &amp; Bullish on AND   Yes you cheer for both   </t>
  </si>
  <si>
    <t>Honest question: Is BitCoin Cash capable of being inflated/deflated</t>
  </si>
  <si>
    <t>My brudda da BCashers are da true radicals tryin to hijack da real Bitcoin</t>
  </si>
  <si>
    <t>If it's real why does it have name after Bitcoin</t>
  </si>
  <si>
    <t>What's the exchange rate for Bitcoin to SoonerSense</t>
  </si>
  <si>
    <t>Bitcoin infighting makes me lolzo  All groups seem to eventually eat each other alive</t>
  </si>
  <si>
    <t>Selling all my belongings and buying bitcoin here  I'll sell the top later</t>
  </si>
  <si>
    <t xml:space="preserve">Long &amp; Bullish on AND   Yes I can cheer for both   </t>
  </si>
  <si>
    <t xml:space="preserve">Another Low For Is coming  </t>
  </si>
  <si>
    <t>I want to see you crying salt when Bitcoin is 100K   will buy your tears at 1USDT/TEAR</t>
  </si>
  <si>
    <t>$litecoin finally broke free of following bitcoin trends up 30%today</t>
  </si>
  <si>
    <t xml:space="preserve">Bitcoin is the central utilisation of the blockchain  You can't have one without the other  </t>
  </si>
  <si>
    <t>It's that is important not bitcoin or the other so called currencies</t>
  </si>
  <si>
    <t>Very good In Bitcoin Cash we trust Bitcoin Cash is Bitcoin</t>
  </si>
  <si>
    <t>You also do your research  Blockchain=Bitcoin  Joker</t>
  </si>
  <si>
    <t>It is hijacked by greeds  Bitcoin core has degraded to trading token from electronic cash</t>
  </si>
  <si>
    <t>you know what I still love you     bitcoin  I ain't ever gonna stop lovinnnn you     biiitcoin</t>
  </si>
  <si>
    <t>Lol Bitcoin Cash is the real Bitcoin      There's a contradiction on that phrase</t>
  </si>
  <si>
    <t>Cool I bet you are not mining Bitcoin though</t>
  </si>
  <si>
    <t>In Bitcoin Cash we trust Bitcoin Cash is Bitcoin</t>
  </si>
  <si>
    <t>But the question really is did you buy the dip</t>
  </si>
  <si>
    <t>Unless something stops working in the Bitcoin code that cant be fixed the essentials are no different at $2000 than they were at $1</t>
  </si>
  <si>
    <t>BCH is the real Bitcoin   wait n watch for next couple of months</t>
  </si>
  <si>
    <t xml:space="preserve">youre a badass  I just read the story about how you used pesos at the grocery store growing up  Keep it up  </t>
  </si>
  <si>
    <t xml:space="preserve">Optimal tx fee: 70 satoshi per byte  BTC : $9371 / 7520 / 6635  Block 507475. Market Cap: 158.5B USD  </t>
  </si>
  <si>
    <t>I NEVER TRADE BITCOIN BUT WATCH INTERESTING TO SEE ISEVERY SATURDAY BITCOIN IS UP</t>
  </si>
  <si>
    <t xml:space="preserve">What's the plan to decouple XRP from bitcoin Is it more fiat pairs </t>
  </si>
  <si>
    <t>Hello humans is currently around $9326.75 as of Sat Feb 3 13:31:09 CST 2018</t>
  </si>
  <si>
    <t xml:space="preserve">Has the Bitcoin bubble finally popped I was getting tired of cryptocurrency promoted ads  </t>
  </si>
  <si>
    <t>Segwit Bitcoin isn't Bitcoin</t>
  </si>
  <si>
    <t>People getting mugged and kidnapped for the bitcoin xfer or die  Not funny</t>
  </si>
  <si>
    <t xml:space="preserve">If you could add from to the jaxx app this would be nice </t>
  </si>
  <si>
    <t>But the article doesn't say that Bitcoin was an ICO  It doesn't say forget Bitcoin ICO  It only says forget Bitcoin</t>
  </si>
  <si>
    <t xml:space="preserve">Benefits of Using Binary Options Trading Software  </t>
  </si>
  <si>
    <t xml:space="preserve">Buy btc  </t>
  </si>
  <si>
    <t xml:space="preserve">I care more for my Bitcoin-Testnet coins than for </t>
  </si>
  <si>
    <t>If Bitcoin gets rejected before 10000 and dumps to below 7900 that would be epic</t>
  </si>
  <si>
    <t>please enable selling things for   Ill list everything</t>
  </si>
  <si>
    <t>yep i hold barry-coins as if they were bitcoin themselves lol</t>
  </si>
  <si>
    <t>Now that the Bitcoin price gap of $8400 has been filled let's hope price can continue on its merry way to the moon :D</t>
  </si>
  <si>
    <t>You will never overtake Bitcoin  Bcash is bcash  Get over ityou investment is screwed</t>
  </si>
  <si>
    <t>I checked bitcoin prices and it seems with the price up and also moving up strong the correction may be over  Is it Christmas :</t>
  </si>
  <si>
    <t>Bitcoin is at this airport Jk I'm not a donut I'm not really cuz im gonna play bidya bames</t>
  </si>
  <si>
    <t xml:space="preserve">This is my humble opinion but litecoin is better than bitcoin cash  Why dont you switch to litecoin </t>
  </si>
  <si>
    <t xml:space="preserve">value dropped like stone based on a rumour  Imagine what could happen if that rumour turns to fact  </t>
  </si>
  <si>
    <t>You are right  Let's hope that Bitcoin becomes more than a currency and helps in these objectives</t>
  </si>
  <si>
    <t>Because banks care about what youre doing with your money Bitcoin dosent</t>
  </si>
  <si>
    <t>I thought currencies were supposed to be stable  Bitcoin seems like a guaranteed loss</t>
  </si>
  <si>
    <t>Niggas musta been swipin for Bitcoin BoA fed up</t>
  </si>
  <si>
    <t xml:space="preserve">Medicalchain $MTN will be listed on Kucoin  </t>
  </si>
  <si>
    <t>Excuse me i'm korean and i am your fan  i want to listen your thought about bitcoin  Please tell me</t>
  </si>
  <si>
    <t>There is something left to find a gift from the solver and it isnt bitcoin  :</t>
  </si>
  <si>
    <t>Prepare for the mother of all bounces   Bitcoin has repeated this cycle many times since its birth</t>
  </si>
  <si>
    <t xml:space="preserve">Just have him ride a BitCoin    u know 21st Century Bro   </t>
  </si>
  <si>
    <t>what do you think of bitcoin private</t>
  </si>
  <si>
    <t>There is nothing worse than 13 minute bitcoin or consulting advertisements when you're in the shower trying to listen to tunes on youtube</t>
  </si>
  <si>
    <t>Question is bitcoin legit</t>
  </si>
  <si>
    <t>I read that is gluten free  Is this true</t>
  </si>
  <si>
    <t xml:space="preserve">My friends invested in bitcoin awhile ago so if they make it I make it Im not even tripping </t>
  </si>
  <si>
    <t xml:space="preserve">I am experimenting whether I can live only with bit coins donated  Please cooperate  3NKbfJuuMKzNMYMcLqCf5w8TgeGvue7A5 # </t>
  </si>
  <si>
    <t>Oh look its the Bitcoin cash shill too  How vile</t>
  </si>
  <si>
    <t xml:space="preserve">[ [ [ [   &gt; &lt;     [Bitcoin performance assessment -50.76%] </t>
  </si>
  <si>
    <t>I do not understand people laughing about the possibility of bitcoin failing  Can someone please let me know Im missing something</t>
  </si>
  <si>
    <t xml:space="preserve">Agreed no reason to bring drama focus on Bitcoin   we have enough enemies as it is  </t>
  </si>
  <si>
    <t>buying Bitcoin</t>
  </si>
  <si>
    <t xml:space="preserve">is recovering there's no day off in </t>
  </si>
  <si>
    <t>Lol  this is dumb  How is it the real bitcoin if it is not bitcoin</t>
  </si>
  <si>
    <t>Wouldn't 5% mean that 1 in 20 people on Earth has bitcoin Because I am highly sceptical of that</t>
  </si>
  <si>
    <t>There are currently 11996 unconfirmed Bitcoin transactions  $BTC</t>
  </si>
  <si>
    <t>Just seeing the news about the Bitcoin value plunge  So glad most of my investment portfolio is in gold and guns hidden in my doom bunker</t>
  </si>
  <si>
    <t>Remeber to leave the bitcoin passwords on the dresser</t>
  </si>
  <si>
    <t xml:space="preserve">Is Rogger ver gonna suicide after this </t>
  </si>
  <si>
    <t>What is Bitcoin Without the Tech Jargon</t>
  </si>
  <si>
    <t>I'm pretty confident right now that if I buy some it will go down and if I sell it will go up</t>
  </si>
  <si>
    <t>You guys are pathetic</t>
  </si>
  <si>
    <t>Bitcoin isn't mined with GPUs anymore it's Ethereum they're after now</t>
  </si>
  <si>
    <t>why should anyone want to pay via bitcoin in these days      nonsense</t>
  </si>
  <si>
    <t>Who thinks Bitcoin has bottomed at $7500</t>
  </si>
  <si>
    <t>Bitconnect is everything that bitcoin cash was supposed to be</t>
  </si>
  <si>
    <t xml:space="preserve">And Litecoin LTC is everything Bitcoin Cash wishes it was </t>
  </si>
  <si>
    <t xml:space="preserve">1 Reason Bitcoin Cash is not Real Bitcoin Bitcoin is Real BITCOIN </t>
  </si>
  <si>
    <t>I have to tell you guys something    I couldn't stand more dumping and I have sold all my                        Fiats</t>
  </si>
  <si>
    <t xml:space="preserve">Should we close our accounts with the banks that block crypto purchases  </t>
  </si>
  <si>
    <t>almost anything you guys say applies to almost every other alt coin in the market making Bcash another alt coin</t>
  </si>
  <si>
    <t>Those Bitcoin miners hijacked the entire market for those gpu</t>
  </si>
  <si>
    <t xml:space="preserve">is the tech  is merely the first mainstream manifestation of its potential  </t>
  </si>
  <si>
    <t>Have the attorneys lined up to sue the Bitcoin Ponzi scheme  Rules change daily which is unlawful</t>
  </si>
  <si>
    <t>Fast Then it's Bitcoin Cash not Bitcoin Core</t>
  </si>
  <si>
    <t>The only solution is for people to eventually realise that blockchain isn't all about Bitcoin</t>
  </si>
  <si>
    <t xml:space="preserve">I'm curious  Why are there ads on /r/bitcoin promoting tweets from you This really seems weird </t>
  </si>
  <si>
    <t>SVT I bought your product and my voice still sounds like a rusty diesel engine  I'll take my money back in bitcoin</t>
  </si>
  <si>
    <t>How does Bitcoin mining work Ok its like trying to find a humble slay queen n then getn 12.5 btc when she gives u her number</t>
  </si>
  <si>
    <t>It's fine it's easy to assume Bitcoin because that's one of the most well-known cryptocurrencies</t>
  </si>
  <si>
    <t>The CEO of recently stated he has full confidence in our 1:1 backing of Tether to USD</t>
  </si>
  <si>
    <t>They are finally doing the right thing to handle bitcoin  Will we do anything</t>
  </si>
  <si>
    <t xml:space="preserve">Typo : inverted the the word bitcoin cash ans the word bitcoin  </t>
  </si>
  <si>
    <t>Someone mine their bitcoin wallet</t>
  </si>
  <si>
    <t xml:space="preserve">All my nocoiner friends keep asking if I'm bringing dip to the superbowl party tomorrow with really smug looks  </t>
  </si>
  <si>
    <t>Well well  I see you decreasing and then increasing in value rapidly</t>
  </si>
  <si>
    <t xml:space="preserve">down the Bitcoin is  </t>
  </si>
  <si>
    <t>Bitcoin isn't a war on money it's a revolution</t>
  </si>
  <si>
    <t xml:space="preserve">If someone could help me get onto bittrex id great appreciate the help Please </t>
  </si>
  <si>
    <t>So better than you would have done buying Bitcoin at ATH and holding   what's your point</t>
  </si>
  <si>
    <t xml:space="preserve">F Trump Coin is here to prior Bitcoin up  Just give us a </t>
  </si>
  <si>
    <t>Bitcoin is a bubble</t>
  </si>
  <si>
    <t>I like the concept and the Bitcoin design is just amazing  Maybe it can be the best choice for something  I kind of hope so</t>
  </si>
  <si>
    <t>Bitcoin Cash is the real Bitcoin scam</t>
  </si>
  <si>
    <t>bitcoin as the first big one has just kind of become the umbrella term for them  Even if incorrect</t>
  </si>
  <si>
    <t>Whats your opinion on this Is it possible that the Bitcoin bubble bursts and other cryptos take over</t>
  </si>
  <si>
    <t xml:space="preserve">Interested in learning more about blockchain and cryptocurrency like Bitcoin Come join me and IBM at the IBM Coder Program </t>
  </si>
  <si>
    <t>You started investing in bitcoin then it more than halved in value   coincidence I think not</t>
  </si>
  <si>
    <t>you should accept bitcoin</t>
  </si>
  <si>
    <t xml:space="preserve">What will be the next target price for Bitcoin </t>
  </si>
  <si>
    <t xml:space="preserve">Gna put all my earnings from crypto into shorting bitcoin till March it will hit 5k  </t>
  </si>
  <si>
    <t xml:space="preserve">Its a bottom for now     is it the bottom this month Probably not  $btc </t>
  </si>
  <si>
    <t xml:space="preserve">My Uber driver is trying to convince this other passenger not to get eyelash extensions and buy bitcoin  </t>
  </si>
  <si>
    <t xml:space="preserve">any chance Bitcoin Hush gets listed on an exchange </t>
  </si>
  <si>
    <t>I also dont do CrossFit and am kinda anti bitcoin  Am I real</t>
  </si>
  <si>
    <t xml:space="preserve">Who is holding onto their coins still </t>
  </si>
  <si>
    <t xml:space="preserve">Probably because it's gone mainstream  Now everyone will play it for what it really is    another fiat currency  </t>
  </si>
  <si>
    <t>What percentage of the bitcoin market is owned by people who live in India $ETH $XRP $NEO $BTC $LTC</t>
  </si>
  <si>
    <t>I told before bitcoin is not an profitable investment same as Usd:its not a profitable currency   blockchain cryptocurrency is</t>
  </si>
  <si>
    <t xml:space="preserve">Well       good thing the only coin i stock up like bitcoin is litecoin     </t>
  </si>
  <si>
    <t xml:space="preserve">The number one currency used by criminals around the world is the US dollar - not bitcoin  panel at </t>
  </si>
  <si>
    <t>How about being hit by gold-bricks platinum will do too     joking  Or maybe for some bitcoin LOL</t>
  </si>
  <si>
    <t>How much do you watch bitcoin while trading trx or other alts</t>
  </si>
  <si>
    <t xml:space="preserve">$INSN Price: $0.117202 / 0.00001254 BTC Volume 24h: $3 736.45 / 0.40 BTC  </t>
  </si>
  <si>
    <t>The average price of Bitcoin across all exchanges is 9290.15 USD</t>
  </si>
  <si>
    <t>Average Bitcoin market price is: USD 9308.31 EUR 7490.77</t>
  </si>
  <si>
    <t>Feb 03 2018 12:00PM Price: USD 8862.45 | EUR 7152.02 | JPY 952837.79</t>
  </si>
  <si>
    <t>The fundamental code behind Bitcoin solves a very old dilemma in computer science  Distributed consensus</t>
  </si>
  <si>
    <t xml:space="preserve">Top 6 BTC/USD Exchange Orderbooks: Resistance til $9600:$27.6M Support til $9000:$22.3M $BTC $BTCUSD </t>
  </si>
  <si>
    <t>2m worth of Bitcoin I'm selling for 50k  DM</t>
  </si>
  <si>
    <t xml:space="preserve">Everybody knows that trading during news might be very profitable but nobody has a robot except for us and you can have it too  </t>
  </si>
  <si>
    <t>You on behalf of the Bitcoin cashing in Japan   Sell a circle  and send in your favorite way the amount minus the fee   It passes directl</t>
  </si>
  <si>
    <t>i agree to your terms however i will need additional time to exchange my bitcoin for said eggs</t>
  </si>
  <si>
    <t>Bitcoin is the new mmm  Bitcoin experts are springing up every way</t>
  </si>
  <si>
    <t xml:space="preserve">Love the semantics &amp; almost new language that comes with Bitcoin  Cryptofreude </t>
  </si>
  <si>
    <t>Current price of Bitcoin is $9310.00 - is that good for you $btc</t>
  </si>
  <si>
    <t>Most positive movements in the last hour Cash2.81% 2.68% Cash2.62% 2.45% Cash2.43%</t>
  </si>
  <si>
    <t>Bitcoin can fall for the whole of Feb and still be at 70k by end of year</t>
  </si>
  <si>
    <t>Everyone who is not investing in Bitcoin is an idiot    An idiot who still has all his money</t>
  </si>
  <si>
    <t>Bitcoin is at 9327.27 US Dollar  Now I really regret not getting in when it was $19000</t>
  </si>
  <si>
    <t>He's lying  Bitcoin is a scam  Do not believe him</t>
  </si>
  <si>
    <t xml:space="preserve">BTCETHETCLTCBCHMONA Someone may do it so please send it </t>
  </si>
  <si>
    <t>I assume your referring to the relevant Bitcoin chain BCH right</t>
  </si>
  <si>
    <t xml:space="preserve">$1 USD is currently worth 0.00010692 BTC </t>
  </si>
  <si>
    <t>You can't stop huh Bitcoin fees are cheaper than BCash Now and Dogecoin is the real BCash</t>
  </si>
  <si>
    <t>made $1.40 on bitcoin im balling</t>
  </si>
  <si>
    <t xml:space="preserve">Give it a few years  Itll be </t>
  </si>
  <si>
    <t>I just rewatched dope  Bitcoin asap mob and all</t>
  </si>
  <si>
    <t>In bitcoin you have to know who you are</t>
  </si>
  <si>
    <t>I bought bitcoin cash since I was told it was bitcoin  Wtf is this  Was I lied to</t>
  </si>
  <si>
    <t xml:space="preserve">Great ICO  It's a real company and with a great project project  Wish them good luck </t>
  </si>
  <si>
    <t>What's with bitcoin lite #</t>
  </si>
  <si>
    <t>Bitcoin volatility is seen as a risk for merchants  But volatility averages out over time</t>
  </si>
  <si>
    <t>$ltc had almost a 50% gain from the current bottom  Definitely a better play than bitcoin and ethereum</t>
  </si>
  <si>
    <t>Prediction within the next couple months the stock market tanks which causes to surge</t>
  </si>
  <si>
    <t>hasn't even rallied yet   first bitcoin now litecoin next should be eth  patience  it will rally soon enough</t>
  </si>
  <si>
    <t>I just rewatched dope  Molly asap mob bitcoin sick concept</t>
  </si>
  <si>
    <t xml:space="preserve">Some things    even bitcoin cant buy  </t>
  </si>
  <si>
    <t>YES YOU VIRGINS WILL BE WRONG AGAIN BITCOIN WILL WIN SUBMIT TO THE PARABOLA OR ELSE</t>
  </si>
  <si>
    <t xml:space="preserve">DID THIS OLD MAN INVEST IN BITCOIN </t>
  </si>
  <si>
    <t>Bitcoin has 99.99% uptime just saying</t>
  </si>
  <si>
    <t>Just need to Bitcoin to crash and then it will be something worth getting into again</t>
  </si>
  <si>
    <t>If Black Panther REALLY wanna make some money    let people purchase tickets via bitcoin</t>
  </si>
  <si>
    <t>When There Are BitCoin Baba</t>
  </si>
  <si>
    <t>There is a better way just not bitcoin or Austrian school commodity money</t>
  </si>
  <si>
    <t>Im e famous wheres my e money bitcoin</t>
  </si>
  <si>
    <t>buy litecoin not bitcoin</t>
  </si>
  <si>
    <t>The current price of Bitcoin is $9329.53. The current price of BCash is $1295.95 or 0.138167 BTC</t>
  </si>
  <si>
    <t xml:space="preserve">Keep going up bircoin yay  </t>
  </si>
  <si>
    <t xml:space="preserve">Bitcoin:I feel so uncomfortable with my big moves    Dow Jones: Hodl my beer  </t>
  </si>
  <si>
    <t xml:space="preserve">ACCORDING TO THIS CURVE BITCOIN MAY BE BULISH NXT WEEK    LET'S SEE   </t>
  </si>
  <si>
    <t>VIBE Product placement on Monster's ads at the 2018 Superbowl</t>
  </si>
  <si>
    <t>What do you prefer enigma machine like OR bitcoin network share</t>
  </si>
  <si>
    <t>I was all set to read some genius type stuff on Bitcoin mining  I've never heard of this blockchain type  Thanks</t>
  </si>
  <si>
    <t xml:space="preserve">What the heck is NULS It's definitely not a bitcoin fork does not appear to be a NXT fork as well but it's Java  Hm  </t>
  </si>
  <si>
    <t>Huh go to Japan and Australia all of the banks work with Bitcoin this is well known</t>
  </si>
  <si>
    <t xml:space="preserve">Thrive has planned to bring much-needed premium decentralization to the digital advertising landscape  </t>
  </si>
  <si>
    <t>Did you notice O'leary slyly turning the Bitcoin conversation back into one about the product he was pitching</t>
  </si>
  <si>
    <t>I still dont even understand what Bitcoin is</t>
  </si>
  <si>
    <t xml:space="preserve">Yes I would like to make between 1000 and 5000 dollars a day  Just joined the Bitcoin Casting Couch </t>
  </si>
  <si>
    <t>And Bitcoin will be the defacto backing crypto of nation state cryptos</t>
  </si>
  <si>
    <t>Bitcoin will go down 5k</t>
  </si>
  <si>
    <t>hi why is the price of other crypro is Depending on the price of bitcoin</t>
  </si>
  <si>
    <t xml:space="preserve">Thats how market tops work right </t>
  </si>
  <si>
    <t xml:space="preserve">BB Bands are tight on the 15min  C'mon </t>
  </si>
  <si>
    <t xml:space="preserve">Finally a decent team has appeared l will definiteiy participate in this project  </t>
  </si>
  <si>
    <t>hi why is the price of other crypro is Depending on the price of bitcoin bests</t>
  </si>
  <si>
    <t>You're a BitCON supporter</t>
  </si>
  <si>
    <t>It hasn't so far  Bitcoin already has far too few nodes</t>
  </si>
  <si>
    <t xml:space="preserve">I cant wait for the day when people will say    should have invested more in when it was $8k    </t>
  </si>
  <si>
    <t xml:space="preserve">Watching bitcoin this month like  </t>
  </si>
  <si>
    <t>BCH is the real Bitcoin  BTC has become BitCON</t>
  </si>
  <si>
    <t xml:space="preserve">1 Bitcoin is currently worth $9453.74 USD </t>
  </si>
  <si>
    <t>The $9500 bitcoin wall is almost down in a few minutes  Ready to get in Set your goals in 9800</t>
  </si>
  <si>
    <t>Bitcoin about to bounce back hard 50k</t>
  </si>
  <si>
    <t>Does bitcoin count as cash</t>
  </si>
  <si>
    <t>pats win but eagles cover is the superbowl version of blockchain not bitcoin</t>
  </si>
  <si>
    <t xml:space="preserve">You got BitCoin my tax professional asks after looking at my membership receipts  </t>
  </si>
  <si>
    <t>We need much more Vitalik bashing  He is one of Bitcoins worst enemies</t>
  </si>
  <si>
    <t>Sing like no one is listening  Love like youve never been hurt  Dance like nobodys watching and live like Bitcoin held its worth</t>
  </si>
  <si>
    <t xml:space="preserve">Will reach 1 $ by monday is coming </t>
  </si>
  <si>
    <t>And again - how can a cash settled future impact the price of bitcoin</t>
  </si>
  <si>
    <t>The irony of Bitcoin being portrayed as real coins when its everything but</t>
  </si>
  <si>
    <t>Okay so is this to liquidate short meaning higher To actually short Bitcoin which is higher</t>
  </si>
  <si>
    <t xml:space="preserve">People always ask whats the best way to get started in bitcoin I say to get started </t>
  </si>
  <si>
    <t>UFO _ Newz  Bitcoin // Wrld human technology gets // better by the day // - revolios</t>
  </si>
  <si>
    <t>Bitcoin  Can it break through that downtrend line</t>
  </si>
  <si>
    <t>Means people are betting against bitcoin</t>
  </si>
  <si>
    <t>So is to liquidate short meaning higher prices or Actual shorts meaning bitcoin down Anyone know</t>
  </si>
  <si>
    <t xml:space="preserve">Is everyone now a Bitcoin expert  </t>
  </si>
  <si>
    <t xml:space="preserve">Optimal tx fee: 60 satoshi per byte  BTC : $9383 / 7529 / 6644  Block 507479. Market Cap: 158.45B USD  </t>
  </si>
  <si>
    <t>Saw somebody eating trash after calling themselves bitcoin millionaires life comes at you fast</t>
  </si>
  <si>
    <t>Said the dude who spent his bitcoin on a $4 million dollar pizza</t>
  </si>
  <si>
    <t>Hello humans is currently around $9417.46 as of Sat Feb 3 14:31:10 CST 2018</t>
  </si>
  <si>
    <t xml:space="preserve">Tweet   </t>
  </si>
  <si>
    <t>Up to you I am not arguing with religious extremists or Bitcoin/LTC extremists</t>
  </si>
  <si>
    <t>Afaik nobody's ever died or been trapped in a mine  $BTC</t>
  </si>
  <si>
    <t xml:space="preserve">Bitcoin doing hype man for the Dj   </t>
  </si>
  <si>
    <t>Superbowl Bitcoin Ad</t>
  </si>
  <si>
    <t>Because they can't accept the competition to their beloved Bitcoin  Really sad</t>
  </si>
  <si>
    <t xml:space="preserve">Anyone in the US have a recommended tax service for crypto </t>
  </si>
  <si>
    <t>Thats why Id never sell my bitcoin  Ill be bitter forever</t>
  </si>
  <si>
    <t>Bitcoin price fell $ 8000</t>
  </si>
  <si>
    <t>Senderon SDRN Senderon is releasing an updated roadmap this week</t>
  </si>
  <si>
    <t>does it still take about 12 hours for payments to be processed with bitcoin</t>
  </si>
  <si>
    <t xml:space="preserve">TB fair most addresses hold 0 Bitcoin  </t>
  </si>
  <si>
    <t>This is BS  Theyre not getting paid in rubles its gotta be bitcoin</t>
  </si>
  <si>
    <t>Someone is trying to shake up our Bitcoin rally</t>
  </si>
  <si>
    <t>Smh i feel like a pro bitcoin person</t>
  </si>
  <si>
    <t>Lol right on time  Do you see the future Is it a good time to buy bitcoin</t>
  </si>
  <si>
    <t xml:space="preserve">Nice  Wishing you all the success in the world  </t>
  </si>
  <si>
    <t xml:space="preserve">60954 follows RT : Crypto and bitcoin has changed my life for the better so heres a random .1 btc giveaway  </t>
  </si>
  <si>
    <t>Bitcoin value reached bottom in Korea</t>
  </si>
  <si>
    <t xml:space="preserve">I rather use  and </t>
  </si>
  <si>
    <t>Looks like he bought Bitcoin</t>
  </si>
  <si>
    <t xml:space="preserve">Niggas get a sale job at Best Buy Buy a Bitcoin and think they got the secrets to life </t>
  </si>
  <si>
    <t>Basscoin better than bitcoin</t>
  </si>
  <si>
    <t xml:space="preserve">Do you think fed reserve owns some bitcoin  Nice fans </t>
  </si>
  <si>
    <t xml:space="preserve">Any cool lottery ideas let me know  </t>
  </si>
  <si>
    <t>is just a video game :-D ~i knew it</t>
  </si>
  <si>
    <t xml:space="preserve">So youre saying BCash shouldnt exist I agree  </t>
  </si>
  <si>
    <t>Absolutely true he's not about consensus  Hence his malformed attacks on Bitcoin</t>
  </si>
  <si>
    <t>AKA Roger Ver Dont You Ever Get Tired Of Misleading And Lying To New Buyers Of  Your So Full Of Crap</t>
  </si>
  <si>
    <t>There are currently 10834 unconfirmed Bitcoin transactions  $BTC</t>
  </si>
  <si>
    <t>You are obviously sub-optimal in comprehension</t>
  </si>
  <si>
    <t>Why bitcoin diamond</t>
  </si>
  <si>
    <t>Yep even more what bitcoin has  Lots of newbies has been lured into that next bitcoin thing</t>
  </si>
  <si>
    <t xml:space="preserve">I think that Bitcoin Cash is a better Bitcoin  The more that I look into it the more I like Bitcoin Cash  </t>
  </si>
  <si>
    <t>If you see that chart for Bitcoin from the day it was released prices have always been wild</t>
  </si>
  <si>
    <t>What a crazy write up why not want to buy bitcoin</t>
  </si>
  <si>
    <t>Novel honest question do you think bitcoin came out a couple of months ago</t>
  </si>
  <si>
    <t>There is only one answer Bitcoin</t>
  </si>
  <si>
    <t>Who is the bitcoin whale</t>
  </si>
  <si>
    <t>Can't imagine myself trusting anyone with my wallet</t>
  </si>
  <si>
    <t>Bitcoin Cash BCH</t>
  </si>
  <si>
    <t>If you dont understand BITCOIN take time and get yourself educated you will be glad you did Message me for details</t>
  </si>
  <si>
    <t>Who needs when people actually drop cash in the streets</t>
  </si>
  <si>
    <t>Danny treated that pick like Bitcoin  Sold it for 20k now it's worth 8</t>
  </si>
  <si>
    <t>Univ Penn lecturer David Crosbie argues in Bitcoin Magazine interview Blockchain technology holds major benefits for developing countries</t>
  </si>
  <si>
    <t>Gold investors dislike bitcoin  Turkeys dislike Christmas  Ground breaking revelations here</t>
  </si>
  <si>
    <t>I predict an epic short squeeze on Monday if Sunday buying continues - shorts will get rekt Margin calls on futures</t>
  </si>
  <si>
    <t>Bitcoin is a near complete system  When it is not a small world near complete system it is no longer bitcoin</t>
  </si>
  <si>
    <t>Tweet from 2014 Dont tell novel bitcoin was around back then</t>
  </si>
  <si>
    <t>Rather buy on breakouts then try and buy the bottom</t>
  </si>
  <si>
    <t>Maybe you should have an eye on $BITG bitcoin green  2500 $BITG required for a MN</t>
  </si>
  <si>
    <t>It's a humongous waste of energy  Bitcoin's failure is a win for the planet</t>
  </si>
  <si>
    <t>You mean also twitter site same issue</t>
  </si>
  <si>
    <t xml:space="preserve">Under the pretext of technical changes    They have stolen millions from all of you  </t>
  </si>
  <si>
    <t xml:space="preserve">Want to get into crypto DO IT NOW  </t>
  </si>
  <si>
    <t>Why do you accept Bitcoin from your SchiffGold store</t>
  </si>
  <si>
    <t>Which Bitcoin wallet are you using</t>
  </si>
  <si>
    <t xml:space="preserve">Bitcoins making its way back up by the looks of things    Where does it go from here $btc </t>
  </si>
  <si>
    <t>bitcoin recovers good time to get on to the upwards train</t>
  </si>
  <si>
    <t>Stable and bitcoin can never be accurately used in the same sentence without a not in there</t>
  </si>
  <si>
    <t xml:space="preserve">It is ironic that I believe that one day Bitcoin will pop yet I'm still heavily invested in it </t>
  </si>
  <si>
    <t>Sweet I'm into injecting Bitcoin directly into my bloodstream these days</t>
  </si>
  <si>
    <t>Really Bitcoin is decentralized Then why is it run by a handful of developers if it's so decentralized</t>
  </si>
  <si>
    <t>Jordan weve heard your stance on bitcoin  Any thoughts on Ethereum $ETH</t>
  </si>
  <si>
    <t>Lol what Bitcoin pizza fiat what</t>
  </si>
  <si>
    <t>you guys are 1 big fraud I used cheat engine on my bitcoin wallet changed it to 500 SO WHY CANT I SENT 500</t>
  </si>
  <si>
    <t>so bitcoin is dead right</t>
  </si>
  <si>
    <t xml:space="preserve">Bitcoin machines bring cryptocurrency to bars other Fox Valley businesses </t>
  </si>
  <si>
    <t>Bitcoin with unit price of $9291.12 market cap of $156495444276 34.59% and 24 hr vol  of $7439890000 31.03%</t>
  </si>
  <si>
    <t>Average Bitcoin market price is: USD 9252.89 EUR 7467.22</t>
  </si>
  <si>
    <t>The average price of Bitcoin across all exchanges is 9312.62 USD</t>
  </si>
  <si>
    <t>Feb 03 2018 01:00PM Price: USD 8896.26 | EUR 7178.27 | JPY 955642.69</t>
  </si>
  <si>
    <t xml:space="preserve">Top 6 BTC/USD Exchange Orderbooks: Resistance til $9500:$15.3M Support til $9000:$19.3M $BTC $BTCUSD </t>
  </si>
  <si>
    <t>Those upset about the FIAT price of bitcoin going down CLEARLY dont get the point of Bitcoin    I havent lost anything</t>
  </si>
  <si>
    <t>I'm not the only one making tether then and getting free bitcoin</t>
  </si>
  <si>
    <t>please god let there be bitcoin in it</t>
  </si>
  <si>
    <t>This whole bitcoin thing really isn't helpful when I genuinely need a new graphics card *sigh* how long am I supposed to wait :</t>
  </si>
  <si>
    <t>People tend to be wrong assuming prices only go in one direction e g  housing tech stocks and probably Bitcoin</t>
  </si>
  <si>
    <t>I wonder how many people are going to complain about not getting some sub10K bitcoin at the end of this year</t>
  </si>
  <si>
    <t xml:space="preserve">Sleeping Giant from Switzerland great report   </t>
  </si>
  <si>
    <t xml:space="preserve">The would be worth US$94174600.00 right now up 9.12% in the last 24 hours: </t>
  </si>
  <si>
    <t>THE BATTLE BETWEEN THE BANKS AND CRYPTOCURRENCIES HAS BEGUN  BANKS HAVE PRESSURED PAYPAL NOT TO ACCEPT BITCOIN IN EXCHANGE FOR US DOLLARS</t>
  </si>
  <si>
    <t>Bitcoin with lighting is the future of money  The rest is history</t>
  </si>
  <si>
    <t xml:space="preserve">1 Bitcoin is a scam: Its not backed by anything  The gov has backdoor options to steal it  </t>
  </si>
  <si>
    <t>Your dumb for not buying bitcoin Read this again Dec 2018. Don't worry I'll remind you</t>
  </si>
  <si>
    <t xml:space="preserve">is now worth $9274.36 increase your by a further 10% when you buy from </t>
  </si>
  <si>
    <t>Still winning with the crypto but oooh bitcoin  Damn</t>
  </si>
  <si>
    <t xml:space="preserve">Constantly trying to get you to sign up with his Bitcoin opportunity  </t>
  </si>
  <si>
    <t xml:space="preserve">Weak hands out </t>
  </si>
  <si>
    <t>$btc if you have more than 2 btc you are in the top 5% of bitcoin wallets   Pretty crazy  We're the new 1%ers eventually</t>
  </si>
  <si>
    <t>Also yall will soon be annoyed by us again in months to come when the prices go to ATH  $trx $xvg</t>
  </si>
  <si>
    <t>Bitcoin PLZ</t>
  </si>
  <si>
    <t xml:space="preserve">Bitcoin Price Surge Continues Prices Look Towards $8K </t>
  </si>
  <si>
    <t xml:space="preserve">The amount of debt fiat has racked up people would rather invest in or </t>
  </si>
  <si>
    <t>Thanks  I'll check it out  I read that it's going down and is hard to offload  I have many questions about Bitcoin</t>
  </si>
  <si>
    <t>Fascist scam Bitcoin was created to prevent significant penetration of the anti fascist Wolfenstein brand</t>
  </si>
  <si>
    <t>Instead of Ambien doctors should just prescribed husbands that continuously talked about bitcoin</t>
  </si>
  <si>
    <t xml:space="preserve">Bitcoin is only worth $2 you can read it when she stalks my Twitter </t>
  </si>
  <si>
    <t>The Bitcoin chart the last month looks just like my online poker results</t>
  </si>
  <si>
    <t>What's up with bitcoin Is it turning into one of those things where people saw a get rich quick scheme and over-saturated the market</t>
  </si>
  <si>
    <t>I meant to say Bitcoin but it's the Buttcoin thread  Keeping it</t>
  </si>
  <si>
    <t xml:space="preserve">Everything is in the green today   </t>
  </si>
  <si>
    <t>July 11 2015 just saying perhaps it was bitcoin and flip phone powa</t>
  </si>
  <si>
    <t xml:space="preserve">That was indeed pretty dumb  Thanks </t>
  </si>
  <si>
    <t xml:space="preserve">somewhere out there in the world there is a baby named bitcoin            </t>
  </si>
  <si>
    <t xml:space="preserve">if it were real it would be bitcoin surly </t>
  </si>
  <si>
    <t>Instead of Ambien doctors should just prescribe husbands that continuously talk about bitcoin</t>
  </si>
  <si>
    <t>How much is this in Bitcoin How about now Now</t>
  </si>
  <si>
    <t xml:space="preserve">$1 USD is currently worth 0.00010896 BTC </t>
  </si>
  <si>
    <t>Its sad to see using this account to promote brash</t>
  </si>
  <si>
    <t xml:space="preserve">I'm motivated by the positive ways in which Bitcoin use being widespread will make the world a better place  - Roger Ver </t>
  </si>
  <si>
    <t>Hey Fly i just bought some more bitcoin  You think that's a good idea or not</t>
  </si>
  <si>
    <t xml:space="preserve">[ [ [ [   &gt; &lt;     [Bitcoin performance assessment -51.39%] </t>
  </si>
  <si>
    <t>Curious about demographics of my followers  What age group do you belong in $BTC</t>
  </si>
  <si>
    <t>United Parcel Service UPS Patents Decentralized Locker Bank That Accepts Bitcoin - Bitcoinist</t>
  </si>
  <si>
    <t>You can buy Bitcoin on the Cash app now</t>
  </si>
  <si>
    <t xml:space="preserve">I am playing bitcoin trade a loss of $ 300000. My life is over  BCH 1BRmxV95HehWwYHLqjqBXfR4 </t>
  </si>
  <si>
    <t xml:space="preserve">what about bitcoin lightning </t>
  </si>
  <si>
    <t>I swear Bitcoin abi Bitto Neva near club b4.  biko arrange bottles</t>
  </si>
  <si>
    <t>The current price of Bitcoin is $9240.15. The current price of BCash is $1284.27 or 0.137993 BTC</t>
  </si>
  <si>
    <t xml:space="preserve">Will reach 1 $ by monday is coming vote and retweet winner is YES so far </t>
  </si>
  <si>
    <t xml:space="preserve">Bitcoin and meat doesnt mix  Stop it </t>
  </si>
  <si>
    <t xml:space="preserve">Our Economy will one day represent living and breathing entities working harmony  </t>
  </si>
  <si>
    <t>ethereum will soon hold its own on the market  Same with xrp  Bitcoin wont die but it wont be big dog forever</t>
  </si>
  <si>
    <t>Changes in price are just a mechanism to move bitcoin from one persons hands to another persons hands</t>
  </si>
  <si>
    <t>Because we support the Protocol  It is open-source and is a project built on it</t>
  </si>
  <si>
    <t>You got it  The waiter is a Finance major he asked me about   Bitcoin :</t>
  </si>
  <si>
    <t xml:space="preserve">Which will go live first $btc $eth $rdn </t>
  </si>
  <si>
    <t>So are changes in the ledger in fact that is all bitcoin is about</t>
  </si>
  <si>
    <t>Which one is better: bitcoin or infographic</t>
  </si>
  <si>
    <t>A large number of tweets related to Bitcoin were dumped into a table and this assignment we will try to make some sense out of them.</t>
  </si>
  <si>
    <t>Task 3</t>
  </si>
  <si>
    <t>Task 1</t>
  </si>
  <si>
    <t>How many tweets?</t>
  </si>
  <si>
    <t>What's the time frame?</t>
  </si>
  <si>
    <t>Where are the from?</t>
  </si>
  <si>
    <t>Do the same for screen_name as you did for location. This time put it in scratch!D:D</t>
  </si>
  <si>
    <t>How would describe the language breakdown?</t>
  </si>
  <si>
    <t>Do the same for screen_name as you did for lang. This time put it in scratch!J:J</t>
  </si>
  <si>
    <t>Task 2</t>
  </si>
  <si>
    <t>Secondary Text cleaning using VBA</t>
  </si>
  <si>
    <t>The tweets have gone through an intial level of cleaning. This next level will attempt to remove "essentially" duplicates rather than exact duplicates.</t>
  </si>
  <si>
    <t>The intial Text cleaning transformed the raw text from column B into the "cleaner text" in column K</t>
  </si>
  <si>
    <t>Describe the differences between tweets!B:B and tweets!K:K</t>
  </si>
  <si>
    <t>What tool could have done this tool? How? Give some details.</t>
  </si>
  <si>
    <t xml:space="preserve">Write a VBA Function to count the words in a String.  </t>
  </si>
  <si>
    <t>(Hint: use Split)</t>
  </si>
  <si>
    <t>Label tweets!L:L as "text word count" and fill the column with the word counts of tweets!K:K</t>
  </si>
  <si>
    <t>Label tweets!M:M as "length of text" and fill the column with the Len() of tweets!K:K</t>
  </si>
  <si>
    <t>Sort the tweets table using first column L, then column M, and then column K</t>
  </si>
  <si>
    <t>Write a VBA function that counts the unique words in a string</t>
  </si>
  <si>
    <t>Test this  Function   (should return 6)</t>
  </si>
  <si>
    <t>Test this  Function   (should return 4)</t>
  </si>
  <si>
    <t>liquidity</t>
  </si>
  <si>
    <t>Bitcoin and = BitcoinCash and = DogeCoin    must I go on Unbelievable</t>
  </si>
  <si>
    <t>Joke of the Day: What do you call a teenage Bitcoin Zitcoin</t>
  </si>
  <si>
    <t>Also use the VBA function, LCASE(), to remove the case distinction (it behaves like Excel's LOWER())</t>
  </si>
  <si>
    <t>Copy this down the whole table</t>
  </si>
  <si>
    <t>We can say that if any number &gt;0.8 will be essentially duplicate text</t>
  </si>
  <si>
    <t>Textual Sentiment Analysis using VBA</t>
  </si>
  <si>
    <t>Our final step will be be assess the text of tweet and rate it in terms of the its sentiment. We do this by counting up the “positive” or “negative” keywords and simply summing up a score based on the number of each.</t>
  </si>
  <si>
    <t>Write a VBA function, WordListCount, that counts words in a string that are also in the range</t>
  </si>
  <si>
    <t>This will be similar to UniqueWordCount.</t>
  </si>
  <si>
    <t>Yay</t>
  </si>
  <si>
    <t>Use the WordListCount function (twice) in calculate a rating for each cleaner Text in tweets!K:K using your unique keywords found in the tab "keywords"</t>
  </si>
  <si>
    <t>Initial view of the data With Excel formulas</t>
  </si>
  <si>
    <t>Task 4</t>
  </si>
  <si>
    <t>Summarize with Excel</t>
  </si>
  <si>
    <t>Use the not  "essentially duplcated" criteria</t>
  </si>
  <si>
    <t xml:space="preserve"> "&gt;0" for positive sentiment</t>
  </si>
  <si>
    <t xml:space="preserve"> "&lt;0" for positive sentiment</t>
  </si>
  <si>
    <t xml:space="preserve"> "0" for neutral  sentiment</t>
  </si>
  <si>
    <t>true for verified sentiment (column E)</t>
  </si>
  <si>
    <t>"&gt;3000" for Follower sentiment (Column F)</t>
  </si>
  <si>
    <t>Save a copy of your formula in steps!c81 with a ' in front so that you have a copy</t>
  </si>
  <si>
    <t>Make a scatterplot of time vs cummulative sentiment.</t>
  </si>
  <si>
    <r>
      <t>Using countif</t>
    </r>
    <r>
      <rPr>
        <b/>
        <sz val="11"/>
        <color theme="1"/>
        <rFont val="等线"/>
        <family val="2"/>
        <scheme val="minor"/>
      </rPr>
      <t>s</t>
    </r>
    <r>
      <rPr>
        <sz val="11"/>
        <color theme="1"/>
        <rFont val="等线"/>
        <family val="2"/>
        <scheme val="minor"/>
      </rPr>
      <t>, and averageif</t>
    </r>
    <r>
      <rPr>
        <b/>
        <sz val="11"/>
        <color theme="1"/>
        <rFont val="等线"/>
        <family val="2"/>
        <scheme val="minor"/>
      </rPr>
      <t>s</t>
    </r>
    <r>
      <rPr>
        <sz val="11"/>
        <color theme="1"/>
        <rFont val="等线"/>
        <family val="2"/>
        <scheme val="minor"/>
      </rPr>
      <t xml:space="preserve"> create the following tables (your data will be a bit different since the keywords are different for everyone)</t>
    </r>
  </si>
  <si>
    <t>First sort the tweets table using posted (tweets!A:A)</t>
  </si>
  <si>
    <t>In column tweets!Q:Q, make a cummulative column.  Set tweets!Q2 = O2, then tweets!Q3 = Q2+O3, then copy it down the column</t>
  </si>
  <si>
    <t>"Insert" a scatterplot (with a connecting line) using tweets!P:Q</t>
  </si>
  <si>
    <t>Since "where" is tricky to get a for, copy the entire column from tweets!D:D into scratch!A:A and sort, remove duplicates, and that find how many of each case with countif() and then sort again on the count from largest to smallest.</t>
  </si>
  <si>
    <t>What can you conclude about the location field?</t>
  </si>
  <si>
    <t>How many users have 5 or less tweets and how many have more than 5 tweets?</t>
  </si>
  <si>
    <t>Put your formula in tweets!O:O.  Before copying this down the whole column make sure that it is correct (will be time consuming calculation)</t>
  </si>
  <si>
    <t>Find an example where this assessment isn't perfect because of a misspelling or a place where a term negative or positive word should be added to keywords.</t>
  </si>
  <si>
    <r>
      <t xml:space="preserve">How does this scatterplot compare with the bitcoin values (both BTC and BCH) referred to in the Tweets of </t>
    </r>
    <r>
      <rPr>
        <b/>
        <i/>
        <sz val="11"/>
        <color theme="1"/>
        <rFont val="等线"/>
        <family val="2"/>
        <scheme val="minor"/>
      </rPr>
      <t>aWebAnalysis?</t>
    </r>
  </si>
  <si>
    <t>`</t>
  </si>
  <si>
    <t>(hint: use a filter on the table to see these tweets) Suggest why this might be the case?</t>
  </si>
  <si>
    <r>
      <t xml:space="preserve">For later sorting, we need to fix the values in tweets!N:N so copy Column and </t>
    </r>
    <r>
      <rPr>
        <sz val="11"/>
        <color rgb="FFFF0000"/>
        <rFont val="等线"/>
        <family val="2"/>
        <scheme val="minor"/>
      </rPr>
      <t xml:space="preserve">"paste values" </t>
    </r>
    <r>
      <rPr>
        <sz val="11"/>
        <color theme="1"/>
        <rFont val="等线"/>
        <family val="2"/>
        <scheme val="minor"/>
      </rPr>
      <t>overtop of column N</t>
    </r>
  </si>
  <si>
    <r>
      <t xml:space="preserve">We are going to write a VBA Function called </t>
    </r>
    <r>
      <rPr>
        <b/>
        <sz val="11"/>
        <color theme="0"/>
        <rFont val="等线"/>
        <family val="2"/>
        <scheme val="minor"/>
      </rPr>
      <t>CleanString</t>
    </r>
    <r>
      <rPr>
        <sz val="11"/>
        <color theme="0"/>
        <rFont val="等线"/>
        <family val="2"/>
        <scheme val="minor"/>
      </rPr>
      <t xml:space="preserve"> to remove some unwanted elements. In this case, we are going to use it to remove punctuation.</t>
    </r>
  </si>
  <si>
    <t>Marks</t>
  </si>
  <si>
    <t>2018 Feb 03, 11:00 to 22:00</t>
    <phoneticPr fontId="21" type="noConversion"/>
  </si>
  <si>
    <t>worldwide</t>
    <phoneticPr fontId="21" type="noConversion"/>
  </si>
  <si>
    <t>Times</t>
    <phoneticPr fontId="21" type="noConversion"/>
  </si>
  <si>
    <t>5 or less</t>
    <phoneticPr fontId="21" type="noConversion"/>
  </si>
  <si>
    <t>more than 5</t>
    <phoneticPr fontId="21" type="noConversion"/>
  </si>
  <si>
    <t>English takes the majority</t>
    <phoneticPr fontId="21" type="noConversion"/>
  </si>
  <si>
    <t>Tweets that from US and null takes one third of total. There are 940 tweets from undefined location</t>
    <phoneticPr fontId="21" type="noConversion"/>
  </si>
  <si>
    <t xml:space="preserve">Cleaner tax got rid of puctuations (excluding pricing and decimal symbols) and tags like #bitcoin </t>
    <phoneticPr fontId="21" type="noConversion"/>
  </si>
  <si>
    <t>Trim(str) to eliminate spaces leading and trailing
LCase(str) to lower case the whole sentence
Split(str, delim) to separate sentences into word list, and determine tag location by seting # as delim
Replace(str, find, with) to replace tag content
newSentence = newSentence &amp; word(i)</t>
    <phoneticPr fontId="21" type="noConversion"/>
  </si>
  <si>
    <t>text word count</t>
    <phoneticPr fontId="20" type="noConversion"/>
  </si>
  <si>
    <t xml:space="preserve"> </t>
    <phoneticPr fontId="21" type="noConversion"/>
  </si>
  <si>
    <t>Length of text</t>
    <phoneticPr fontId="20" type="noConversion"/>
  </si>
  <si>
    <t>In tweets!N3 put the following formula  =UniqueWordCount(K2)/UniqueWordCount(K2&amp;" "&amp;K3)</t>
    <phoneticPr fontId="21" type="noConversion"/>
  </si>
  <si>
    <t>should return 3</t>
    <phoneticPr fontId="21" type="noConversion"/>
  </si>
  <si>
    <t>=WordListCount(K2,keywords!$A$2:$A$31)-WordListCount(K2,keywords!$B$2:$B$31)</t>
    <phoneticPr fontId="21" type="noConversion"/>
  </si>
  <si>
    <t>Overall Sentiment</t>
    <phoneticPr fontId="21" type="noConversion"/>
  </si>
  <si>
    <t>Average</t>
  </si>
  <si>
    <t>Average</t>
    <phoneticPr fontId="21" type="noConversion"/>
  </si>
  <si>
    <t>Total Negative</t>
  </si>
  <si>
    <t>Total Negative</t>
    <phoneticPr fontId="21" type="noConversion"/>
  </si>
  <si>
    <t>Total Positive</t>
  </si>
  <si>
    <t>Total Positive</t>
    <phoneticPr fontId="21" type="noConversion"/>
  </si>
  <si>
    <t>Total Neutral</t>
  </si>
  <si>
    <t>Total Neutral</t>
    <phoneticPr fontId="21" type="noConversion"/>
  </si>
  <si>
    <t>Verified Sentiment</t>
    <phoneticPr fontId="21" type="noConversion"/>
  </si>
  <si>
    <t>Over 3,000 Follower Sentiment</t>
    <phoneticPr fontId="21" type="noConversion"/>
  </si>
  <si>
    <t>in tweets!K139 (under sorted by Column K) says "A nice green morning", where the word "nice" is not in keyword sheet. On the other hand, the word "nice" could sometimes be negative when expressing irony.</t>
    <phoneticPr fontId="21" type="noConversion"/>
  </si>
  <si>
    <t>In column tweets!P:P, make a time column.  Set tweets!P2 = TIMEVALUE(RIGHT(A2,8)), then copy it down the column</t>
    <phoneticPr fontId="21" type="noConversion"/>
  </si>
  <si>
    <t>Overall, the scatterplot trend matches the botcoin value trend, including a delayed reaction on falling in price. 
At the end of the day, the sentiment is still at a high level of increasing, compared with the falling in price.
This suggests that most people are satisfied about the trend that day.</t>
    <phoneticPr fontId="21" type="noConversion"/>
  </si>
  <si>
    <t xml:space="preserve"> true</t>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</si>
</sst>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F800]dddd\,\ mmmm\ dd\,\ yyyy"/>
    <numFmt numFmtId="177" formatCode="[$-F400]h:mm:ss\ AM/PM"/>
    <numFmt numFmtId="178" formatCode="[$-1009]d/mmm/yy;@"/>
    <numFmt numFmtId="179" formatCode="hh:mm:ss;@"/>
  </numFmts>
  <fonts count="23" x14ac:knownFonts="1">
    <font>
      <sz val="11"/>
      <color theme="1"/>
      <name val="等线"/>
      <family val="2"/>
      <scheme val="minor"/>
    </font>
    <font>
      <sz val="11"/>
      <color theme="1"/>
      <name val="等线"/>
      <family val="2"/>
      <scheme val="minor"/>
    </font>
    <font>
      <sz val="18"/>
      <color theme="3"/>
      <name val="等线 Light"/>
      <family val="2"/>
      <scheme val="major"/>
    </font>
    <font>
      <b/>
      <sz val="15"/>
      <color theme="3"/>
      <name val="等线"/>
      <family val="2"/>
      <scheme val="minor"/>
    </font>
    <font>
      <b/>
      <sz val="13"/>
      <color theme="3"/>
      <name val="等线"/>
      <family val="2"/>
      <scheme val="minor"/>
    </font>
    <font>
      <b/>
      <sz val="11"/>
      <color theme="3"/>
      <name val="等线"/>
      <family val="2"/>
      <scheme val="minor"/>
    </font>
    <font>
      <sz val="11"/>
      <color rgb="FF006100"/>
      <name val="等线"/>
      <family val="2"/>
      <scheme val="minor"/>
    </font>
    <font>
      <sz val="11"/>
      <color rgb="FF9C0006"/>
      <name val="等线"/>
      <family val="2"/>
      <scheme val="minor"/>
    </font>
    <font>
      <sz val="11"/>
      <color rgb="FF9C5700"/>
      <name val="等线"/>
      <family val="2"/>
      <scheme val="minor"/>
    </font>
    <font>
      <sz val="11"/>
      <color rgb="FF3F3F76"/>
      <name val="等线"/>
      <family val="2"/>
      <scheme val="minor"/>
    </font>
    <font>
      <b/>
      <sz val="11"/>
      <color rgb="FF3F3F3F"/>
      <name val="等线"/>
      <family val="2"/>
      <scheme val="minor"/>
    </font>
    <font>
      <b/>
      <sz val="11"/>
      <color rgb="FFFA7D00"/>
      <name val="等线"/>
      <family val="2"/>
      <scheme val="minor"/>
    </font>
    <font>
      <sz val="11"/>
      <color rgb="FFFA7D00"/>
      <name val="等线"/>
      <family val="2"/>
      <scheme val="minor"/>
    </font>
    <font>
      <b/>
      <sz val="11"/>
      <color theme="0"/>
      <name val="等线"/>
      <family val="2"/>
      <scheme val="minor"/>
    </font>
    <font>
      <sz val="11"/>
      <color rgb="FFFF0000"/>
      <name val="等线"/>
      <family val="2"/>
      <scheme val="minor"/>
    </font>
    <font>
      <i/>
      <sz val="11"/>
      <color rgb="FF7F7F7F"/>
      <name val="等线"/>
      <family val="2"/>
      <scheme val="minor"/>
    </font>
    <font>
      <b/>
      <sz val="11"/>
      <color theme="1"/>
      <name val="等线"/>
      <family val="2"/>
      <scheme val="minor"/>
    </font>
    <font>
      <sz val="11"/>
      <color theme="0"/>
      <name val="等线"/>
      <family val="2"/>
      <scheme val="minor"/>
    </font>
    <font>
      <b/>
      <i/>
      <sz val="11"/>
      <color theme="1"/>
      <name val="等线"/>
      <family val="2"/>
      <scheme val="minor"/>
    </font>
    <font>
      <b/>
      <sz val="12"/>
      <color theme="1"/>
      <name val="等线"/>
      <family val="2"/>
      <scheme val="minor"/>
    </font>
    <font>
      <sz val="8"/>
      <name val="等线"/>
      <family val="2"/>
      <scheme val="minor"/>
    </font>
    <font>
      <sz val="9"/>
      <name val="等线"/>
      <family val="3"/>
      <charset val="134"/>
      <scheme val="minor"/>
    </font>
    <font>
      <b/>
      <sz val="11"/>
      <color theme="1"/>
      <name val="等线"/>
      <family val="3"/>
      <charset val="134"/>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8" tint="0.59999389629810485"/>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8">
    <xf numFmtId="0" fontId="0" fillId="0" borderId="0" xfId="0"/>
    <xf numFmtId="0" fontId="0" fillId="33" borderId="10" xfId="0" applyFill="1" applyBorder="1" applyAlignment="1">
      <alignment textRotation="45"/>
    </xf>
    <xf numFmtId="0" fontId="0" fillId="0" borderId="12" xfId="0" applyBorder="1"/>
    <xf numFmtId="0" fontId="18" fillId="34" borderId="0" xfId="0" applyFont="1" applyFill="1"/>
    <xf numFmtId="0" fontId="0" fillId="33" borderId="10" xfId="0" applyFill="1" applyBorder="1" applyAlignment="1">
      <alignment horizontal="center" textRotation="45"/>
    </xf>
    <xf numFmtId="0" fontId="0" fillId="0" borderId="0" xfId="0" applyAlignment="1">
      <alignment horizontal="center"/>
    </xf>
    <xf numFmtId="0" fontId="16" fillId="35" borderId="0" xfId="0" applyFont="1" applyFill="1" applyAlignment="1">
      <alignment horizontal="center"/>
    </xf>
    <xf numFmtId="0" fontId="16" fillId="35" borderId="0" xfId="0" applyFont="1" applyFill="1"/>
    <xf numFmtId="0" fontId="19" fillId="36" borderId="0" xfId="0" applyFont="1" applyFill="1"/>
    <xf numFmtId="0" fontId="0" fillId="33" borderId="13" xfId="0" applyFill="1" applyBorder="1" applyAlignment="1">
      <alignment horizontal="center" textRotation="45"/>
    </xf>
    <xf numFmtId="0" fontId="0" fillId="0" borderId="0" xfId="0" quotePrefix="1"/>
    <xf numFmtId="0" fontId="0" fillId="33" borderId="0" xfId="0" applyFill="1"/>
    <xf numFmtId="176" fontId="0" fillId="0" borderId="0" xfId="0" applyNumberFormat="1"/>
    <xf numFmtId="177" fontId="0" fillId="0" borderId="0" xfId="0" applyNumberFormat="1"/>
    <xf numFmtId="178" fontId="0" fillId="0" borderId="0" xfId="0" applyNumberFormat="1"/>
    <xf numFmtId="0" fontId="0" fillId="0" borderId="0" xfId="0" applyNumberFormat="1"/>
    <xf numFmtId="0" fontId="0" fillId="33" borderId="14" xfId="0" applyFill="1" applyBorder="1" applyAlignment="1">
      <alignment horizontal="center" textRotation="45"/>
    </xf>
    <xf numFmtId="0" fontId="17" fillId="0" borderId="10" xfId="0" applyFont="1" applyBorder="1"/>
    <xf numFmtId="0" fontId="17" fillId="0" borderId="10" xfId="0" quotePrefix="1" applyFont="1" applyBorder="1"/>
    <xf numFmtId="0" fontId="17" fillId="0" borderId="0" xfId="0" applyFont="1"/>
    <xf numFmtId="0" fontId="0" fillId="33" borderId="10" xfId="0" applyFill="1" applyBorder="1" applyAlignment="1"/>
    <xf numFmtId="0" fontId="0" fillId="33" borderId="10" xfId="0" applyFill="1" applyBorder="1" applyAlignment="1">
      <alignment horizontal="center"/>
    </xf>
    <xf numFmtId="176" fontId="0" fillId="0" borderId="0" xfId="0" applyNumberFormat="1" applyBorder="1"/>
    <xf numFmtId="0" fontId="0" fillId="0" borderId="0" xfId="0" applyBorder="1"/>
    <xf numFmtId="0" fontId="0" fillId="0" borderId="0" xfId="0" applyBorder="1" applyAlignment="1">
      <alignment horizontal="center"/>
    </xf>
    <xf numFmtId="179" fontId="0" fillId="0" borderId="0" xfId="0" applyNumberFormat="1" applyBorder="1"/>
    <xf numFmtId="0" fontId="19" fillId="36" borderId="0" xfId="0" quotePrefix="1" applyFont="1" applyFill="1"/>
    <xf numFmtId="0" fontId="0" fillId="37" borderId="10" xfId="0" applyNumberFormat="1" applyFill="1" applyBorder="1"/>
    <xf numFmtId="0" fontId="0" fillId="38" borderId="10" xfId="0" applyNumberFormat="1" applyFill="1" applyBorder="1"/>
    <xf numFmtId="0" fontId="0" fillId="35" borderId="10" xfId="0" applyNumberFormat="1" applyFill="1" applyBorder="1"/>
    <xf numFmtId="0" fontId="0" fillId="35" borderId="10" xfId="0" applyFill="1" applyBorder="1"/>
    <xf numFmtId="0" fontId="22" fillId="38" borderId="15" xfId="0" applyNumberFormat="1" applyFont="1" applyFill="1" applyBorder="1" applyAlignment="1"/>
    <xf numFmtId="0" fontId="22" fillId="38" borderId="16" xfId="0" applyNumberFormat="1" applyFont="1" applyFill="1" applyBorder="1" applyAlignment="1"/>
    <xf numFmtId="176" fontId="0" fillId="39" borderId="0" xfId="0" applyNumberFormat="1" applyFill="1"/>
    <xf numFmtId="0" fontId="0" fillId="39" borderId="0" xfId="0" applyFill="1"/>
    <xf numFmtId="0" fontId="0" fillId="39" borderId="0" xfId="0" applyFill="1" applyAlignment="1">
      <alignment horizontal="center"/>
    </xf>
    <xf numFmtId="0" fontId="0" fillId="39" borderId="0" xfId="0" applyFill="1" applyBorder="1"/>
    <xf numFmtId="179" fontId="0" fillId="39" borderId="0" xfId="0" applyNumberFormat="1" applyFill="1" applyBorder="1"/>
    <xf numFmtId="0" fontId="19" fillId="36" borderId="0" xfId="0" applyFont="1" applyFill="1" applyAlignment="1">
      <alignment wrapText="1"/>
    </xf>
    <xf numFmtId="0" fontId="22" fillId="37" borderId="15" xfId="0" applyNumberFormat="1" applyFont="1" applyFill="1" applyBorder="1" applyAlignment="1">
      <alignment horizontal="left"/>
    </xf>
    <xf numFmtId="0" fontId="22" fillId="37" borderId="16" xfId="0" applyNumberFormat="1" applyFont="1" applyFill="1" applyBorder="1" applyAlignment="1">
      <alignment horizontal="left"/>
    </xf>
    <xf numFmtId="0" fontId="22" fillId="35" borderId="15" xfId="0" applyNumberFormat="1" applyFont="1" applyFill="1" applyBorder="1" applyAlignment="1">
      <alignment horizontal="left"/>
    </xf>
    <xf numFmtId="0" fontId="22" fillId="35" borderId="16" xfId="0" applyNumberFormat="1" applyFont="1" applyFill="1" applyBorder="1" applyAlignment="1">
      <alignment horizontal="left"/>
    </xf>
    <xf numFmtId="0" fontId="0" fillId="0" borderId="0" xfId="0" applyAlignment="1">
      <alignment horizontal="left" wrapText="1"/>
    </xf>
    <xf numFmtId="0" fontId="0" fillId="34" borderId="0" xfId="0" applyFill="1" applyAlignment="1">
      <alignment horizontal="center"/>
    </xf>
    <xf numFmtId="0" fontId="0" fillId="34" borderId="11" xfId="0" applyFill="1" applyBorder="1" applyAlignment="1">
      <alignment horizontal="center"/>
    </xf>
    <xf numFmtId="0" fontId="19" fillId="36" borderId="0" xfId="0" applyFont="1" applyFill="1" applyAlignment="1">
      <alignment horizontal="left" wrapText="1"/>
    </xf>
    <xf numFmtId="0" fontId="17" fillId="0" borderId="0" xfId="0" applyFont="1" applyAlignment="1">
      <alignment horizontal="lef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5">
    <dxf>
      <font>
        <strike/>
      </font>
      <fill>
        <patternFill>
          <bgColor rgb="FF00B050"/>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strike/>
      </font>
      <fill>
        <patternFill>
          <bgColor rgb="FF00B050"/>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ltLang="zh-CN" sz="1800" b="0" i="0" baseline="0">
                <a:effectLst/>
              </a:rPr>
              <a:t>Bitcoin Sentiment on Feb 3 2018</a:t>
            </a:r>
            <a:endParaRPr lang="zh-CN" altLang="zh-CN">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tweets!$P$2:$P$2844</c:f>
              <c:numCache>
                <c:formatCode>hh:mm:ss;@</c:formatCode>
                <c:ptCount val="2843"/>
                <c:pt idx="0">
                  <c:v>0.46052083333333332</c:v>
                </c:pt>
                <c:pt idx="1">
                  <c:v>0.46057870370370368</c:v>
                </c:pt>
                <c:pt idx="2">
                  <c:v>0.46060185185185182</c:v>
                </c:pt>
                <c:pt idx="3">
                  <c:v>0.4607060185185185</c:v>
                </c:pt>
                <c:pt idx="4">
                  <c:v>0.46074074074074073</c:v>
                </c:pt>
                <c:pt idx="5">
                  <c:v>0.46084490740740741</c:v>
                </c:pt>
                <c:pt idx="6">
                  <c:v>0.46099537037037036</c:v>
                </c:pt>
                <c:pt idx="7">
                  <c:v>0.46119212962962958</c:v>
                </c:pt>
                <c:pt idx="8">
                  <c:v>0.46127314814814818</c:v>
                </c:pt>
                <c:pt idx="9">
                  <c:v>0.46136574074074077</c:v>
                </c:pt>
                <c:pt idx="10">
                  <c:v>0.46170138888888884</c:v>
                </c:pt>
                <c:pt idx="11">
                  <c:v>0.46190972222222221</c:v>
                </c:pt>
                <c:pt idx="12">
                  <c:v>0.46196759259259257</c:v>
                </c:pt>
                <c:pt idx="13">
                  <c:v>0.46196759259259257</c:v>
                </c:pt>
                <c:pt idx="14">
                  <c:v>0.46211805555555557</c:v>
                </c:pt>
                <c:pt idx="15">
                  <c:v>0.46221064814814811</c:v>
                </c:pt>
                <c:pt idx="16">
                  <c:v>0.46240740740740738</c:v>
                </c:pt>
                <c:pt idx="17">
                  <c:v>0.4624537037037037</c:v>
                </c:pt>
                <c:pt idx="18">
                  <c:v>0.46258101851851857</c:v>
                </c:pt>
                <c:pt idx="19">
                  <c:v>0.46287037037037032</c:v>
                </c:pt>
                <c:pt idx="20">
                  <c:v>0.46300925925925923</c:v>
                </c:pt>
                <c:pt idx="21">
                  <c:v>0.46436342592592594</c:v>
                </c:pt>
                <c:pt idx="22">
                  <c:v>0.46468749999999998</c:v>
                </c:pt>
                <c:pt idx="23">
                  <c:v>0.46469907407407413</c:v>
                </c:pt>
                <c:pt idx="24">
                  <c:v>0.46475694444444443</c:v>
                </c:pt>
                <c:pt idx="25">
                  <c:v>0.46501157407407406</c:v>
                </c:pt>
                <c:pt idx="26">
                  <c:v>0.4651851851851852</c:v>
                </c:pt>
                <c:pt idx="27">
                  <c:v>0.46530092592592592</c:v>
                </c:pt>
                <c:pt idx="28">
                  <c:v>0.46532407407407406</c:v>
                </c:pt>
                <c:pt idx="29">
                  <c:v>0.46535879629629634</c:v>
                </c:pt>
                <c:pt idx="30">
                  <c:v>0.46546296296296297</c:v>
                </c:pt>
                <c:pt idx="31">
                  <c:v>0.46550925925925929</c:v>
                </c:pt>
                <c:pt idx="32">
                  <c:v>0.46556712962962959</c:v>
                </c:pt>
                <c:pt idx="33">
                  <c:v>0.46568287037037037</c:v>
                </c:pt>
                <c:pt idx="34">
                  <c:v>0.46635416666666668</c:v>
                </c:pt>
                <c:pt idx="35">
                  <c:v>0.46650462962962963</c:v>
                </c:pt>
                <c:pt idx="36">
                  <c:v>0.46671296296296294</c:v>
                </c:pt>
                <c:pt idx="37">
                  <c:v>0.46695601851851848</c:v>
                </c:pt>
                <c:pt idx="38">
                  <c:v>0.46718750000000003</c:v>
                </c:pt>
                <c:pt idx="39">
                  <c:v>0.46765046296296298</c:v>
                </c:pt>
                <c:pt idx="40">
                  <c:v>0.46770833333333334</c:v>
                </c:pt>
                <c:pt idx="41">
                  <c:v>0.4679166666666667</c:v>
                </c:pt>
                <c:pt idx="42">
                  <c:v>0.46859953703703705</c:v>
                </c:pt>
                <c:pt idx="43">
                  <c:v>0.46876157407407404</c:v>
                </c:pt>
                <c:pt idx="44">
                  <c:v>0.46907407407407403</c:v>
                </c:pt>
                <c:pt idx="45">
                  <c:v>0.46916666666666668</c:v>
                </c:pt>
                <c:pt idx="46">
                  <c:v>0.46921296296296294</c:v>
                </c:pt>
                <c:pt idx="47">
                  <c:v>0.46952546296296299</c:v>
                </c:pt>
                <c:pt idx="48">
                  <c:v>0.47001157407407407</c:v>
                </c:pt>
                <c:pt idx="49">
                  <c:v>0.47010416666666671</c:v>
                </c:pt>
                <c:pt idx="50">
                  <c:v>0.47018518518518521</c:v>
                </c:pt>
                <c:pt idx="51">
                  <c:v>0.47083333333333338</c:v>
                </c:pt>
                <c:pt idx="52">
                  <c:v>0.47086805555555555</c:v>
                </c:pt>
                <c:pt idx="53">
                  <c:v>0.47099537037037037</c:v>
                </c:pt>
                <c:pt idx="54">
                  <c:v>0.47114583333333332</c:v>
                </c:pt>
                <c:pt idx="55">
                  <c:v>0.47172453703703704</c:v>
                </c:pt>
                <c:pt idx="56">
                  <c:v>0.4718518518518518</c:v>
                </c:pt>
                <c:pt idx="57">
                  <c:v>0.47207175925925932</c:v>
                </c:pt>
                <c:pt idx="58">
                  <c:v>0.47228009259259257</c:v>
                </c:pt>
                <c:pt idx="59">
                  <c:v>0.47280092592592587</c:v>
                </c:pt>
                <c:pt idx="60">
                  <c:v>0.47296296296296297</c:v>
                </c:pt>
                <c:pt idx="61">
                  <c:v>0.47317129629629634</c:v>
                </c:pt>
                <c:pt idx="62">
                  <c:v>0.47361111111111115</c:v>
                </c:pt>
                <c:pt idx="63">
                  <c:v>0.47413194444444445</c:v>
                </c:pt>
                <c:pt idx="64">
                  <c:v>0.47488425925925926</c:v>
                </c:pt>
                <c:pt idx="65">
                  <c:v>0.47517361111111112</c:v>
                </c:pt>
                <c:pt idx="66">
                  <c:v>0.47530092592592593</c:v>
                </c:pt>
                <c:pt idx="67">
                  <c:v>0.47546296296296298</c:v>
                </c:pt>
                <c:pt idx="68">
                  <c:v>0.47549768518518515</c:v>
                </c:pt>
                <c:pt idx="69">
                  <c:v>0.47584490740740737</c:v>
                </c:pt>
                <c:pt idx="70">
                  <c:v>0.47587962962962965</c:v>
                </c:pt>
                <c:pt idx="71">
                  <c:v>0.47681712962962958</c:v>
                </c:pt>
                <c:pt idx="72">
                  <c:v>0.47684027777777777</c:v>
                </c:pt>
                <c:pt idx="73">
                  <c:v>0.47687499999999999</c:v>
                </c:pt>
                <c:pt idx="74">
                  <c:v>0.4773148148148148</c:v>
                </c:pt>
                <c:pt idx="75">
                  <c:v>0.47743055555555558</c:v>
                </c:pt>
                <c:pt idx="76">
                  <c:v>0.47848379629629628</c:v>
                </c:pt>
                <c:pt idx="77">
                  <c:v>0.47869212962962965</c:v>
                </c:pt>
                <c:pt idx="78">
                  <c:v>0.4788425925925926</c:v>
                </c:pt>
                <c:pt idx="79">
                  <c:v>0.47912037037037036</c:v>
                </c:pt>
                <c:pt idx="80">
                  <c:v>0.47918981481481482</c:v>
                </c:pt>
                <c:pt idx="81">
                  <c:v>0.47945601851851855</c:v>
                </c:pt>
                <c:pt idx="82">
                  <c:v>0.47980324074074071</c:v>
                </c:pt>
                <c:pt idx="83">
                  <c:v>0.47986111111111113</c:v>
                </c:pt>
                <c:pt idx="84">
                  <c:v>0.48002314814814812</c:v>
                </c:pt>
                <c:pt idx="85">
                  <c:v>0.48037037037037034</c:v>
                </c:pt>
                <c:pt idx="86">
                  <c:v>0.48049768518518521</c:v>
                </c:pt>
                <c:pt idx="87">
                  <c:v>0.48059027777777774</c:v>
                </c:pt>
                <c:pt idx="88">
                  <c:v>0.48062500000000002</c:v>
                </c:pt>
                <c:pt idx="89">
                  <c:v>0.48082175925925924</c:v>
                </c:pt>
                <c:pt idx="90">
                  <c:v>0.48097222222222219</c:v>
                </c:pt>
                <c:pt idx="91">
                  <c:v>0.48114583333333333</c:v>
                </c:pt>
                <c:pt idx="92">
                  <c:v>0.48190972222222223</c:v>
                </c:pt>
                <c:pt idx="93">
                  <c:v>0.48278935185185184</c:v>
                </c:pt>
                <c:pt idx="94">
                  <c:v>0.48298611111111112</c:v>
                </c:pt>
                <c:pt idx="95">
                  <c:v>0.48320601851851852</c:v>
                </c:pt>
                <c:pt idx="96">
                  <c:v>0.48343749999999996</c:v>
                </c:pt>
                <c:pt idx="97">
                  <c:v>0.48381944444444441</c:v>
                </c:pt>
                <c:pt idx="98">
                  <c:v>0.48409722222222223</c:v>
                </c:pt>
                <c:pt idx="99">
                  <c:v>0.48533564814814811</c:v>
                </c:pt>
                <c:pt idx="100">
                  <c:v>0.48555555555555557</c:v>
                </c:pt>
                <c:pt idx="101">
                  <c:v>0.48557870370370365</c:v>
                </c:pt>
                <c:pt idx="102">
                  <c:v>0.48608796296296292</c:v>
                </c:pt>
                <c:pt idx="103">
                  <c:v>0.48629629629629628</c:v>
                </c:pt>
                <c:pt idx="104">
                  <c:v>0.48648148148148151</c:v>
                </c:pt>
                <c:pt idx="105">
                  <c:v>0.48688657407407404</c:v>
                </c:pt>
                <c:pt idx="106">
                  <c:v>0.48734953703703704</c:v>
                </c:pt>
                <c:pt idx="107">
                  <c:v>0.48774305555555553</c:v>
                </c:pt>
                <c:pt idx="108">
                  <c:v>0.48811342592592594</c:v>
                </c:pt>
                <c:pt idx="109">
                  <c:v>0.48846064814814816</c:v>
                </c:pt>
                <c:pt idx="110">
                  <c:v>0.48905092592592592</c:v>
                </c:pt>
                <c:pt idx="111">
                  <c:v>0.48912037037037037</c:v>
                </c:pt>
                <c:pt idx="112">
                  <c:v>0.48914351851851851</c:v>
                </c:pt>
                <c:pt idx="113">
                  <c:v>0.48953703703703705</c:v>
                </c:pt>
                <c:pt idx="114">
                  <c:v>0.4896064814814815</c:v>
                </c:pt>
                <c:pt idx="115">
                  <c:v>0.48975694444444445</c:v>
                </c:pt>
                <c:pt idx="116">
                  <c:v>0.48976851851851855</c:v>
                </c:pt>
                <c:pt idx="117">
                  <c:v>0.4899189814814815</c:v>
                </c:pt>
                <c:pt idx="118">
                  <c:v>0.48993055555555554</c:v>
                </c:pt>
                <c:pt idx="119">
                  <c:v>0.49001157407407409</c:v>
                </c:pt>
                <c:pt idx="120">
                  <c:v>0.49018518518518522</c:v>
                </c:pt>
                <c:pt idx="121">
                  <c:v>0.49126157407407406</c:v>
                </c:pt>
                <c:pt idx="122">
                  <c:v>0.49133101851851851</c:v>
                </c:pt>
                <c:pt idx="123">
                  <c:v>0.49145833333333333</c:v>
                </c:pt>
                <c:pt idx="124">
                  <c:v>0.49146990740740742</c:v>
                </c:pt>
                <c:pt idx="125">
                  <c:v>0.49160879629629628</c:v>
                </c:pt>
                <c:pt idx="126">
                  <c:v>0.49187500000000001</c:v>
                </c:pt>
                <c:pt idx="127">
                  <c:v>0.49225694444444446</c:v>
                </c:pt>
                <c:pt idx="128">
                  <c:v>0.49245370370370373</c:v>
                </c:pt>
                <c:pt idx="129">
                  <c:v>0.4924884259259259</c:v>
                </c:pt>
                <c:pt idx="130">
                  <c:v>0.49254629629629632</c:v>
                </c:pt>
                <c:pt idx="131">
                  <c:v>0.49259259259259264</c:v>
                </c:pt>
                <c:pt idx="132">
                  <c:v>0.49265046296296294</c:v>
                </c:pt>
                <c:pt idx="133">
                  <c:v>0.49275462962962963</c:v>
                </c:pt>
                <c:pt idx="134">
                  <c:v>0.49281250000000004</c:v>
                </c:pt>
                <c:pt idx="135">
                  <c:v>0.49292824074074071</c:v>
                </c:pt>
                <c:pt idx="136">
                  <c:v>0.49297453703703703</c:v>
                </c:pt>
                <c:pt idx="137">
                  <c:v>0.4934837962962963</c:v>
                </c:pt>
                <c:pt idx="138">
                  <c:v>0.49379629629629629</c:v>
                </c:pt>
                <c:pt idx="139">
                  <c:v>0.49436342592592591</c:v>
                </c:pt>
                <c:pt idx="140">
                  <c:v>0.49451388888888892</c:v>
                </c:pt>
                <c:pt idx="141">
                  <c:v>0.49461805555555555</c:v>
                </c:pt>
                <c:pt idx="142">
                  <c:v>0.49480324074074072</c:v>
                </c:pt>
                <c:pt idx="143">
                  <c:v>0.49513888888888885</c:v>
                </c:pt>
                <c:pt idx="144">
                  <c:v>0.49524305555555559</c:v>
                </c:pt>
                <c:pt idx="145">
                  <c:v>0.49527777777777776</c:v>
                </c:pt>
                <c:pt idx="146">
                  <c:v>0.49532407407407408</c:v>
                </c:pt>
                <c:pt idx="147">
                  <c:v>0.49561342592592594</c:v>
                </c:pt>
                <c:pt idx="148">
                  <c:v>0.49562499999999998</c:v>
                </c:pt>
                <c:pt idx="149">
                  <c:v>0.49614583333333334</c:v>
                </c:pt>
                <c:pt idx="150">
                  <c:v>0.49634259259259261</c:v>
                </c:pt>
                <c:pt idx="151">
                  <c:v>0.49657407407407406</c:v>
                </c:pt>
                <c:pt idx="152">
                  <c:v>0.49709490740740742</c:v>
                </c:pt>
                <c:pt idx="153">
                  <c:v>0.49782407407407409</c:v>
                </c:pt>
                <c:pt idx="154">
                  <c:v>0.49806712962962968</c:v>
                </c:pt>
                <c:pt idx="155">
                  <c:v>0.49828703703703708</c:v>
                </c:pt>
                <c:pt idx="156">
                  <c:v>0.49834490740740739</c:v>
                </c:pt>
                <c:pt idx="157">
                  <c:v>0.49846064814814817</c:v>
                </c:pt>
                <c:pt idx="158">
                  <c:v>0.49861111111111112</c:v>
                </c:pt>
                <c:pt idx="159">
                  <c:v>0.49975694444444446</c:v>
                </c:pt>
                <c:pt idx="160">
                  <c:v>0.5</c:v>
                </c:pt>
                <c:pt idx="161">
                  <c:v>0.50001157407407404</c:v>
                </c:pt>
                <c:pt idx="162">
                  <c:v>0.50001157407407404</c:v>
                </c:pt>
                <c:pt idx="163">
                  <c:v>0.50002314814814819</c:v>
                </c:pt>
                <c:pt idx="164">
                  <c:v>0.50002314814814819</c:v>
                </c:pt>
                <c:pt idx="165">
                  <c:v>0.50003472222222223</c:v>
                </c:pt>
                <c:pt idx="166">
                  <c:v>0.50004629629629627</c:v>
                </c:pt>
                <c:pt idx="167">
                  <c:v>0.50005787037037031</c:v>
                </c:pt>
                <c:pt idx="168">
                  <c:v>0.50005787037037031</c:v>
                </c:pt>
                <c:pt idx="169">
                  <c:v>0.50013888888888891</c:v>
                </c:pt>
                <c:pt idx="170">
                  <c:v>0.5001620370370371</c:v>
                </c:pt>
                <c:pt idx="171">
                  <c:v>0.50020833333333337</c:v>
                </c:pt>
                <c:pt idx="172">
                  <c:v>0.50025462962962963</c:v>
                </c:pt>
                <c:pt idx="173">
                  <c:v>0.50033564814814813</c:v>
                </c:pt>
                <c:pt idx="174">
                  <c:v>0.50035879629629632</c:v>
                </c:pt>
                <c:pt idx="175">
                  <c:v>0.50045138888888896</c:v>
                </c:pt>
                <c:pt idx="176">
                  <c:v>0.50064814814814818</c:v>
                </c:pt>
                <c:pt idx="177">
                  <c:v>0.50065972222222221</c:v>
                </c:pt>
                <c:pt idx="178">
                  <c:v>0.50071759259259252</c:v>
                </c:pt>
                <c:pt idx="179">
                  <c:v>0.50072916666666667</c:v>
                </c:pt>
                <c:pt idx="180">
                  <c:v>0.50074074074074071</c:v>
                </c:pt>
                <c:pt idx="181">
                  <c:v>0.50077546296296294</c:v>
                </c:pt>
                <c:pt idx="182">
                  <c:v>0.50123842592592593</c:v>
                </c:pt>
                <c:pt idx="183">
                  <c:v>0.50127314814814816</c:v>
                </c:pt>
                <c:pt idx="184">
                  <c:v>0.50134259259259262</c:v>
                </c:pt>
                <c:pt idx="185">
                  <c:v>0.50145833333333334</c:v>
                </c:pt>
                <c:pt idx="186">
                  <c:v>0.50151620370370364</c:v>
                </c:pt>
                <c:pt idx="187">
                  <c:v>0.50172453703703701</c:v>
                </c:pt>
                <c:pt idx="188">
                  <c:v>0.5017476851851852</c:v>
                </c:pt>
                <c:pt idx="189">
                  <c:v>0.50178240740740743</c:v>
                </c:pt>
                <c:pt idx="190">
                  <c:v>0.50181712962962965</c:v>
                </c:pt>
                <c:pt idx="191">
                  <c:v>0.50222222222222224</c:v>
                </c:pt>
                <c:pt idx="192">
                  <c:v>0.50228009259259265</c:v>
                </c:pt>
                <c:pt idx="193">
                  <c:v>0.50229166666666669</c:v>
                </c:pt>
                <c:pt idx="194">
                  <c:v>0.50252314814814814</c:v>
                </c:pt>
                <c:pt idx="195">
                  <c:v>0.50258101851851855</c:v>
                </c:pt>
                <c:pt idx="196">
                  <c:v>0.50262731481481482</c:v>
                </c:pt>
                <c:pt idx="197">
                  <c:v>0.50291666666666668</c:v>
                </c:pt>
                <c:pt idx="198">
                  <c:v>0.50292824074074072</c:v>
                </c:pt>
                <c:pt idx="199">
                  <c:v>0.50304398148148144</c:v>
                </c:pt>
                <c:pt idx="200">
                  <c:v>0.50307870370370367</c:v>
                </c:pt>
                <c:pt idx="201">
                  <c:v>0.50331018518518522</c:v>
                </c:pt>
                <c:pt idx="202">
                  <c:v>0.50340277777777775</c:v>
                </c:pt>
                <c:pt idx="203">
                  <c:v>0.50346064814814817</c:v>
                </c:pt>
                <c:pt idx="204">
                  <c:v>0.50364583333333335</c:v>
                </c:pt>
                <c:pt idx="205">
                  <c:v>0.50378472222222226</c:v>
                </c:pt>
                <c:pt idx="206">
                  <c:v>0.50440972222222225</c:v>
                </c:pt>
                <c:pt idx="207">
                  <c:v>0.50465277777777773</c:v>
                </c:pt>
                <c:pt idx="208">
                  <c:v>0.50487268518518513</c:v>
                </c:pt>
                <c:pt idx="209">
                  <c:v>0.505</c:v>
                </c:pt>
                <c:pt idx="210">
                  <c:v>0.50512731481481488</c:v>
                </c:pt>
                <c:pt idx="211">
                  <c:v>0.50542824074074078</c:v>
                </c:pt>
                <c:pt idx="212">
                  <c:v>0.50642361111111112</c:v>
                </c:pt>
                <c:pt idx="213">
                  <c:v>0.50656250000000003</c:v>
                </c:pt>
                <c:pt idx="214">
                  <c:v>0.50670138888888883</c:v>
                </c:pt>
                <c:pt idx="215">
                  <c:v>0.50696759259259261</c:v>
                </c:pt>
                <c:pt idx="216">
                  <c:v>0.50699074074074069</c:v>
                </c:pt>
                <c:pt idx="217">
                  <c:v>0.50707175925925929</c:v>
                </c:pt>
                <c:pt idx="218">
                  <c:v>0.50709490740740748</c:v>
                </c:pt>
                <c:pt idx="219">
                  <c:v>0.50714120370370364</c:v>
                </c:pt>
                <c:pt idx="220">
                  <c:v>0.50724537037037043</c:v>
                </c:pt>
                <c:pt idx="221">
                  <c:v>0.50730324074074074</c:v>
                </c:pt>
                <c:pt idx="222">
                  <c:v>0.50731481481481489</c:v>
                </c:pt>
                <c:pt idx="223">
                  <c:v>0.50732638888888892</c:v>
                </c:pt>
                <c:pt idx="224">
                  <c:v>0.50738425925925923</c:v>
                </c:pt>
                <c:pt idx="225">
                  <c:v>0.5078125</c:v>
                </c:pt>
                <c:pt idx="226">
                  <c:v>0.50789351851851849</c:v>
                </c:pt>
                <c:pt idx="227">
                  <c:v>0.50804398148148155</c:v>
                </c:pt>
                <c:pt idx="228">
                  <c:v>0.5083333333333333</c:v>
                </c:pt>
                <c:pt idx="229">
                  <c:v>0.50839120370370372</c:v>
                </c:pt>
                <c:pt idx="230">
                  <c:v>0.50861111111111112</c:v>
                </c:pt>
                <c:pt idx="231">
                  <c:v>0.50916666666666666</c:v>
                </c:pt>
                <c:pt idx="232">
                  <c:v>0.50947916666666659</c:v>
                </c:pt>
                <c:pt idx="233">
                  <c:v>0.50962962962962965</c:v>
                </c:pt>
                <c:pt idx="234">
                  <c:v>0.50965277777777784</c:v>
                </c:pt>
                <c:pt idx="235">
                  <c:v>0.50982638888888887</c:v>
                </c:pt>
                <c:pt idx="236">
                  <c:v>0.51017361111111115</c:v>
                </c:pt>
                <c:pt idx="237">
                  <c:v>0.51042824074074067</c:v>
                </c:pt>
                <c:pt idx="238">
                  <c:v>0.51053240740740746</c:v>
                </c:pt>
                <c:pt idx="239">
                  <c:v>0.51140046296296293</c:v>
                </c:pt>
                <c:pt idx="240">
                  <c:v>0.51146990740740739</c:v>
                </c:pt>
                <c:pt idx="241">
                  <c:v>0.51168981481481479</c:v>
                </c:pt>
                <c:pt idx="242">
                  <c:v>0.51184027777777785</c:v>
                </c:pt>
                <c:pt idx="243">
                  <c:v>0.51215277777777779</c:v>
                </c:pt>
                <c:pt idx="244">
                  <c:v>0.51255787037037037</c:v>
                </c:pt>
                <c:pt idx="245">
                  <c:v>0.51256944444444441</c:v>
                </c:pt>
                <c:pt idx="246">
                  <c:v>0.51260416666666664</c:v>
                </c:pt>
                <c:pt idx="247">
                  <c:v>0.51371527777777781</c:v>
                </c:pt>
                <c:pt idx="248">
                  <c:v>0.51390046296296299</c:v>
                </c:pt>
                <c:pt idx="249">
                  <c:v>0.51428240740740738</c:v>
                </c:pt>
                <c:pt idx="250">
                  <c:v>0.51442129629629629</c:v>
                </c:pt>
                <c:pt idx="251">
                  <c:v>0.51472222222222219</c:v>
                </c:pt>
                <c:pt idx="252">
                  <c:v>0.51473379629629623</c:v>
                </c:pt>
                <c:pt idx="253">
                  <c:v>0.51483796296296302</c:v>
                </c:pt>
                <c:pt idx="254">
                  <c:v>0.51489583333333333</c:v>
                </c:pt>
                <c:pt idx="255">
                  <c:v>0.51534722222222229</c:v>
                </c:pt>
                <c:pt idx="256">
                  <c:v>0.51570601851851849</c:v>
                </c:pt>
                <c:pt idx="257">
                  <c:v>0.5157870370370371</c:v>
                </c:pt>
                <c:pt idx="258">
                  <c:v>0.51609953703703704</c:v>
                </c:pt>
                <c:pt idx="259">
                  <c:v>0.51671296296296299</c:v>
                </c:pt>
                <c:pt idx="260">
                  <c:v>0.51671296296296299</c:v>
                </c:pt>
                <c:pt idx="261">
                  <c:v>0.51710648148148153</c:v>
                </c:pt>
                <c:pt idx="262">
                  <c:v>0.51715277777777779</c:v>
                </c:pt>
                <c:pt idx="263">
                  <c:v>0.51729166666666659</c:v>
                </c:pt>
                <c:pt idx="264">
                  <c:v>0.51744212962962965</c:v>
                </c:pt>
                <c:pt idx="265">
                  <c:v>0.51788194444444446</c:v>
                </c:pt>
                <c:pt idx="266">
                  <c:v>0.51802083333333326</c:v>
                </c:pt>
                <c:pt idx="267">
                  <c:v>0.51831018518518512</c:v>
                </c:pt>
                <c:pt idx="268">
                  <c:v>0.51909722222222221</c:v>
                </c:pt>
                <c:pt idx="269">
                  <c:v>0.51921296296296293</c:v>
                </c:pt>
                <c:pt idx="270">
                  <c:v>0.51923611111111112</c:v>
                </c:pt>
                <c:pt idx="271">
                  <c:v>0.51928240740740739</c:v>
                </c:pt>
                <c:pt idx="272">
                  <c:v>0.52012731481481478</c:v>
                </c:pt>
                <c:pt idx="273">
                  <c:v>0.52043981481481483</c:v>
                </c:pt>
                <c:pt idx="274">
                  <c:v>0.52085648148148145</c:v>
                </c:pt>
                <c:pt idx="275">
                  <c:v>0.52087962962962964</c:v>
                </c:pt>
                <c:pt idx="276">
                  <c:v>0.52105324074074078</c:v>
                </c:pt>
                <c:pt idx="277">
                  <c:v>0.52114583333333331</c:v>
                </c:pt>
                <c:pt idx="278">
                  <c:v>0.52119212962962969</c:v>
                </c:pt>
                <c:pt idx="279">
                  <c:v>0.52143518518518517</c:v>
                </c:pt>
                <c:pt idx="280">
                  <c:v>0.52164351851851853</c:v>
                </c:pt>
                <c:pt idx="281">
                  <c:v>0.52167824074074076</c:v>
                </c:pt>
                <c:pt idx="282">
                  <c:v>0.52174768518518522</c:v>
                </c:pt>
                <c:pt idx="283">
                  <c:v>0.5218518518518519</c:v>
                </c:pt>
                <c:pt idx="284">
                  <c:v>0.52196759259259262</c:v>
                </c:pt>
                <c:pt idx="285">
                  <c:v>0.52202546296296293</c:v>
                </c:pt>
                <c:pt idx="286">
                  <c:v>0.52230324074074075</c:v>
                </c:pt>
                <c:pt idx="287">
                  <c:v>0.52240740740740743</c:v>
                </c:pt>
                <c:pt idx="288">
                  <c:v>0.52244212962962966</c:v>
                </c:pt>
                <c:pt idx="289">
                  <c:v>0.5224537037037037</c:v>
                </c:pt>
                <c:pt idx="290">
                  <c:v>0.52252314814814815</c:v>
                </c:pt>
                <c:pt idx="291">
                  <c:v>0.52298611111111104</c:v>
                </c:pt>
                <c:pt idx="292">
                  <c:v>0.52318287037037037</c:v>
                </c:pt>
                <c:pt idx="293">
                  <c:v>0.52328703703703705</c:v>
                </c:pt>
                <c:pt idx="294">
                  <c:v>0.52339120370370373</c:v>
                </c:pt>
                <c:pt idx="295">
                  <c:v>0.5237384259259259</c:v>
                </c:pt>
                <c:pt idx="296">
                  <c:v>0.52401620370370372</c:v>
                </c:pt>
                <c:pt idx="297">
                  <c:v>0.52422453703703698</c:v>
                </c:pt>
                <c:pt idx="298">
                  <c:v>0.52461805555555563</c:v>
                </c:pt>
                <c:pt idx="299">
                  <c:v>0.52491898148148153</c:v>
                </c:pt>
                <c:pt idx="300">
                  <c:v>0.52500000000000002</c:v>
                </c:pt>
                <c:pt idx="301">
                  <c:v>0.52534722222222219</c:v>
                </c:pt>
                <c:pt idx="302">
                  <c:v>0.52575231481481477</c:v>
                </c:pt>
                <c:pt idx="303">
                  <c:v>0.52650462962962963</c:v>
                </c:pt>
                <c:pt idx="304">
                  <c:v>0.52701388888888889</c:v>
                </c:pt>
                <c:pt idx="305">
                  <c:v>0.52731481481481479</c:v>
                </c:pt>
                <c:pt idx="306">
                  <c:v>0.52737268518518521</c:v>
                </c:pt>
                <c:pt idx="307">
                  <c:v>0.52768518518518526</c:v>
                </c:pt>
                <c:pt idx="308">
                  <c:v>0.52796296296296297</c:v>
                </c:pt>
                <c:pt idx="309">
                  <c:v>0.52819444444444441</c:v>
                </c:pt>
                <c:pt idx="310">
                  <c:v>0.52908564814814818</c:v>
                </c:pt>
                <c:pt idx="311">
                  <c:v>0.52922453703703709</c:v>
                </c:pt>
                <c:pt idx="312">
                  <c:v>0.52947916666666661</c:v>
                </c:pt>
                <c:pt idx="313">
                  <c:v>0.52953703703703703</c:v>
                </c:pt>
                <c:pt idx="314">
                  <c:v>0.53</c:v>
                </c:pt>
                <c:pt idx="315">
                  <c:v>0.53013888888888883</c:v>
                </c:pt>
                <c:pt idx="316">
                  <c:v>0.53025462962962966</c:v>
                </c:pt>
                <c:pt idx="317">
                  <c:v>0.5308680555555555</c:v>
                </c:pt>
                <c:pt idx="318">
                  <c:v>0.53098379629629633</c:v>
                </c:pt>
                <c:pt idx="319">
                  <c:v>0.53104166666666663</c:v>
                </c:pt>
                <c:pt idx="320">
                  <c:v>0.53127314814814819</c:v>
                </c:pt>
                <c:pt idx="321">
                  <c:v>0.53144675925925922</c:v>
                </c:pt>
                <c:pt idx="322">
                  <c:v>0.53188657407407403</c:v>
                </c:pt>
                <c:pt idx="323">
                  <c:v>0.53195601851851848</c:v>
                </c:pt>
                <c:pt idx="324">
                  <c:v>0.53195601851851848</c:v>
                </c:pt>
                <c:pt idx="325">
                  <c:v>0.53209490740740739</c:v>
                </c:pt>
                <c:pt idx="326">
                  <c:v>0.53238425925925925</c:v>
                </c:pt>
                <c:pt idx="327">
                  <c:v>0.53263888888888888</c:v>
                </c:pt>
                <c:pt idx="328">
                  <c:v>0.53292824074074074</c:v>
                </c:pt>
                <c:pt idx="329">
                  <c:v>0.53300925925925924</c:v>
                </c:pt>
                <c:pt idx="330">
                  <c:v>0.53310185185185188</c:v>
                </c:pt>
                <c:pt idx="331">
                  <c:v>0.53311342592592592</c:v>
                </c:pt>
                <c:pt idx="332">
                  <c:v>0.53319444444444442</c:v>
                </c:pt>
                <c:pt idx="333">
                  <c:v>0.5332986111111111</c:v>
                </c:pt>
                <c:pt idx="334">
                  <c:v>0.53349537037037031</c:v>
                </c:pt>
                <c:pt idx="335">
                  <c:v>0.5335185185185185</c:v>
                </c:pt>
                <c:pt idx="336">
                  <c:v>0.53383101851851855</c:v>
                </c:pt>
                <c:pt idx="337">
                  <c:v>0.53396990740740746</c:v>
                </c:pt>
                <c:pt idx="338">
                  <c:v>0.53437499999999993</c:v>
                </c:pt>
                <c:pt idx="339">
                  <c:v>0.53461805555555553</c:v>
                </c:pt>
                <c:pt idx="340">
                  <c:v>0.53503472222222226</c:v>
                </c:pt>
                <c:pt idx="341">
                  <c:v>0.53531249999999997</c:v>
                </c:pt>
                <c:pt idx="342">
                  <c:v>0.53604166666666664</c:v>
                </c:pt>
                <c:pt idx="343">
                  <c:v>0.53667824074074078</c:v>
                </c:pt>
                <c:pt idx="344">
                  <c:v>0.53678240740740735</c:v>
                </c:pt>
                <c:pt idx="345">
                  <c:v>0.53700231481481475</c:v>
                </c:pt>
                <c:pt idx="346">
                  <c:v>0.53738425925925926</c:v>
                </c:pt>
                <c:pt idx="347">
                  <c:v>0.53741898148148148</c:v>
                </c:pt>
                <c:pt idx="348">
                  <c:v>0.53756944444444443</c:v>
                </c:pt>
                <c:pt idx="349">
                  <c:v>0.5377777777777778</c:v>
                </c:pt>
                <c:pt idx="350">
                  <c:v>0.53810185185185189</c:v>
                </c:pt>
                <c:pt idx="351">
                  <c:v>0.53836805555555556</c:v>
                </c:pt>
                <c:pt idx="352">
                  <c:v>0.53841435185185182</c:v>
                </c:pt>
                <c:pt idx="353">
                  <c:v>0.53880787037037037</c:v>
                </c:pt>
                <c:pt idx="354">
                  <c:v>0.53900462962962969</c:v>
                </c:pt>
                <c:pt idx="355">
                  <c:v>0.53916666666666668</c:v>
                </c:pt>
                <c:pt idx="356">
                  <c:v>0.53930555555555559</c:v>
                </c:pt>
                <c:pt idx="357">
                  <c:v>0.5393634259259259</c:v>
                </c:pt>
                <c:pt idx="358">
                  <c:v>0.53966435185185191</c:v>
                </c:pt>
                <c:pt idx="359">
                  <c:v>0.53968749999999999</c:v>
                </c:pt>
                <c:pt idx="360">
                  <c:v>0.53997685185185185</c:v>
                </c:pt>
                <c:pt idx="361">
                  <c:v>0.54023148148148148</c:v>
                </c:pt>
                <c:pt idx="362">
                  <c:v>0.54030092592592593</c:v>
                </c:pt>
                <c:pt idx="363">
                  <c:v>0.54035879629629624</c:v>
                </c:pt>
                <c:pt idx="364">
                  <c:v>0.54070601851851852</c:v>
                </c:pt>
                <c:pt idx="365">
                  <c:v>0.54083333333333339</c:v>
                </c:pt>
                <c:pt idx="366">
                  <c:v>0.54098379629629634</c:v>
                </c:pt>
                <c:pt idx="367">
                  <c:v>0.54108796296296291</c:v>
                </c:pt>
                <c:pt idx="368">
                  <c:v>0.54109953703703706</c:v>
                </c:pt>
                <c:pt idx="369">
                  <c:v>0.54125000000000001</c:v>
                </c:pt>
                <c:pt idx="370">
                  <c:v>0.54125000000000001</c:v>
                </c:pt>
                <c:pt idx="371">
                  <c:v>0.54163194444444451</c:v>
                </c:pt>
                <c:pt idx="372">
                  <c:v>0.54167824074074067</c:v>
                </c:pt>
                <c:pt idx="373">
                  <c:v>0.54167824074074067</c:v>
                </c:pt>
                <c:pt idx="374">
                  <c:v>0.54167824074074067</c:v>
                </c:pt>
                <c:pt idx="375">
                  <c:v>0.54168981481481482</c:v>
                </c:pt>
                <c:pt idx="376">
                  <c:v>0.54168981481481482</c:v>
                </c:pt>
                <c:pt idx="377">
                  <c:v>0.54168981481481482</c:v>
                </c:pt>
                <c:pt idx="378">
                  <c:v>0.54172453703703705</c:v>
                </c:pt>
                <c:pt idx="379">
                  <c:v>0.54172453703703705</c:v>
                </c:pt>
                <c:pt idx="380">
                  <c:v>0.54173611111111108</c:v>
                </c:pt>
                <c:pt idx="381">
                  <c:v>0.54175925925925927</c:v>
                </c:pt>
                <c:pt idx="382">
                  <c:v>0.5417939814814815</c:v>
                </c:pt>
                <c:pt idx="383">
                  <c:v>0.54188657407407403</c:v>
                </c:pt>
                <c:pt idx="384">
                  <c:v>0.54202546296296295</c:v>
                </c:pt>
                <c:pt idx="385">
                  <c:v>0.54203703703703698</c:v>
                </c:pt>
                <c:pt idx="386">
                  <c:v>0.54210648148148144</c:v>
                </c:pt>
                <c:pt idx="387">
                  <c:v>0.54225694444444439</c:v>
                </c:pt>
                <c:pt idx="388">
                  <c:v>0.54226851851851854</c:v>
                </c:pt>
                <c:pt idx="389">
                  <c:v>0.54228009259259258</c:v>
                </c:pt>
                <c:pt idx="390">
                  <c:v>0.54230324074074077</c:v>
                </c:pt>
                <c:pt idx="391">
                  <c:v>0.54258101851851859</c:v>
                </c:pt>
                <c:pt idx="392">
                  <c:v>0.5426157407407407</c:v>
                </c:pt>
                <c:pt idx="393">
                  <c:v>0.54281250000000003</c:v>
                </c:pt>
                <c:pt idx="394">
                  <c:v>0.54281250000000003</c:v>
                </c:pt>
                <c:pt idx="395">
                  <c:v>0.54282407407407407</c:v>
                </c:pt>
                <c:pt idx="396">
                  <c:v>0.54283564814814811</c:v>
                </c:pt>
                <c:pt idx="397">
                  <c:v>0.54284722222222226</c:v>
                </c:pt>
                <c:pt idx="398">
                  <c:v>0.54292824074074075</c:v>
                </c:pt>
                <c:pt idx="399">
                  <c:v>0.5431597222222222</c:v>
                </c:pt>
                <c:pt idx="400">
                  <c:v>0.54320601851851846</c:v>
                </c:pt>
                <c:pt idx="401">
                  <c:v>0.54321759259259261</c:v>
                </c:pt>
                <c:pt idx="402">
                  <c:v>0.54325231481481484</c:v>
                </c:pt>
                <c:pt idx="403">
                  <c:v>0.54375000000000007</c:v>
                </c:pt>
                <c:pt idx="404">
                  <c:v>0.54376157407407411</c:v>
                </c:pt>
                <c:pt idx="405">
                  <c:v>0.54377314814814814</c:v>
                </c:pt>
                <c:pt idx="406">
                  <c:v>0.54381944444444441</c:v>
                </c:pt>
                <c:pt idx="407">
                  <c:v>0.54383101851851856</c:v>
                </c:pt>
                <c:pt idx="408">
                  <c:v>0.54386574074074068</c:v>
                </c:pt>
                <c:pt idx="409">
                  <c:v>0.54386574074074068</c:v>
                </c:pt>
                <c:pt idx="410">
                  <c:v>0.54407407407407404</c:v>
                </c:pt>
                <c:pt idx="411">
                  <c:v>0.54408564814814808</c:v>
                </c:pt>
                <c:pt idx="412">
                  <c:v>0.54410879629629627</c:v>
                </c:pt>
                <c:pt idx="413">
                  <c:v>0.54421296296296295</c:v>
                </c:pt>
                <c:pt idx="414">
                  <c:v>0.54451388888888885</c:v>
                </c:pt>
                <c:pt idx="415">
                  <c:v>0.54468749999999999</c:v>
                </c:pt>
                <c:pt idx="416">
                  <c:v>0.54478009259259264</c:v>
                </c:pt>
                <c:pt idx="417">
                  <c:v>0.54496527777777781</c:v>
                </c:pt>
                <c:pt idx="418">
                  <c:v>0.54532407407407402</c:v>
                </c:pt>
                <c:pt idx="419">
                  <c:v>0.54548611111111112</c:v>
                </c:pt>
                <c:pt idx="420">
                  <c:v>0.54574074074074075</c:v>
                </c:pt>
                <c:pt idx="421">
                  <c:v>0.54575231481481479</c:v>
                </c:pt>
                <c:pt idx="422">
                  <c:v>0.54636574074074074</c:v>
                </c:pt>
                <c:pt idx="423">
                  <c:v>0.5464930555555555</c:v>
                </c:pt>
                <c:pt idx="424">
                  <c:v>0.54731481481481481</c:v>
                </c:pt>
                <c:pt idx="425">
                  <c:v>0.547337962962963</c:v>
                </c:pt>
                <c:pt idx="426">
                  <c:v>0.54738425925925926</c:v>
                </c:pt>
                <c:pt idx="427">
                  <c:v>0.54754629629629636</c:v>
                </c:pt>
                <c:pt idx="428">
                  <c:v>0.54781250000000004</c:v>
                </c:pt>
                <c:pt idx="429">
                  <c:v>0.54792824074074076</c:v>
                </c:pt>
                <c:pt idx="430">
                  <c:v>0.5479398148148148</c:v>
                </c:pt>
                <c:pt idx="431">
                  <c:v>0.54825231481481485</c:v>
                </c:pt>
                <c:pt idx="432">
                  <c:v>0.5484606481481481</c:v>
                </c:pt>
                <c:pt idx="433">
                  <c:v>0.54863425925925924</c:v>
                </c:pt>
                <c:pt idx="434">
                  <c:v>0.54865740740740743</c:v>
                </c:pt>
                <c:pt idx="435">
                  <c:v>0.5486805555555555</c:v>
                </c:pt>
                <c:pt idx="436">
                  <c:v>0.5486805555555555</c:v>
                </c:pt>
                <c:pt idx="437">
                  <c:v>0.54876157407407411</c:v>
                </c:pt>
                <c:pt idx="438">
                  <c:v>0.54913194444444446</c:v>
                </c:pt>
                <c:pt idx="439">
                  <c:v>0.54939814814814814</c:v>
                </c:pt>
                <c:pt idx="440">
                  <c:v>0.55010416666666673</c:v>
                </c:pt>
                <c:pt idx="441">
                  <c:v>0.55033564814814817</c:v>
                </c:pt>
                <c:pt idx="442">
                  <c:v>0.55053240740740739</c:v>
                </c:pt>
                <c:pt idx="443">
                  <c:v>0.55079861111111106</c:v>
                </c:pt>
                <c:pt idx="444">
                  <c:v>0.55086805555555551</c:v>
                </c:pt>
                <c:pt idx="445">
                  <c:v>0.55086805555555551</c:v>
                </c:pt>
                <c:pt idx="446">
                  <c:v>0.55092592592592593</c:v>
                </c:pt>
                <c:pt idx="447">
                  <c:v>0.55130787037037032</c:v>
                </c:pt>
                <c:pt idx="448">
                  <c:v>0.55151620370370369</c:v>
                </c:pt>
                <c:pt idx="449">
                  <c:v>0.55160879629629633</c:v>
                </c:pt>
                <c:pt idx="450">
                  <c:v>0.55172453703703705</c:v>
                </c:pt>
                <c:pt idx="451">
                  <c:v>0.55209490740740741</c:v>
                </c:pt>
                <c:pt idx="452">
                  <c:v>0.55224537037037036</c:v>
                </c:pt>
                <c:pt idx="453">
                  <c:v>0.55234953703703704</c:v>
                </c:pt>
                <c:pt idx="454">
                  <c:v>0.55249999999999999</c:v>
                </c:pt>
                <c:pt idx="455">
                  <c:v>0.55281250000000004</c:v>
                </c:pt>
                <c:pt idx="456">
                  <c:v>0.5528819444444445</c:v>
                </c:pt>
                <c:pt idx="457">
                  <c:v>0.55290509259259257</c:v>
                </c:pt>
                <c:pt idx="458">
                  <c:v>0.55297453703703703</c:v>
                </c:pt>
                <c:pt idx="459">
                  <c:v>0.55303240740740744</c:v>
                </c:pt>
                <c:pt idx="460">
                  <c:v>0.5531018518518519</c:v>
                </c:pt>
                <c:pt idx="461">
                  <c:v>0.55311342592592594</c:v>
                </c:pt>
                <c:pt idx="462">
                  <c:v>0.55351851851851852</c:v>
                </c:pt>
                <c:pt idx="463">
                  <c:v>0.55356481481481479</c:v>
                </c:pt>
                <c:pt idx="464">
                  <c:v>0.55386574074074069</c:v>
                </c:pt>
                <c:pt idx="465">
                  <c:v>0.55425925925925923</c:v>
                </c:pt>
                <c:pt idx="466">
                  <c:v>0.5545254629629629</c:v>
                </c:pt>
                <c:pt idx="467">
                  <c:v>0.55464120370370373</c:v>
                </c:pt>
                <c:pt idx="468">
                  <c:v>0.55532407407407403</c:v>
                </c:pt>
                <c:pt idx="469">
                  <c:v>0.55570601851851853</c:v>
                </c:pt>
                <c:pt idx="470">
                  <c:v>0.5557523148148148</c:v>
                </c:pt>
                <c:pt idx="471">
                  <c:v>0.55600694444444443</c:v>
                </c:pt>
                <c:pt idx="472">
                  <c:v>0.5560532407407407</c:v>
                </c:pt>
                <c:pt idx="473">
                  <c:v>0.55650462962962965</c:v>
                </c:pt>
                <c:pt idx="474">
                  <c:v>0.55656249999999996</c:v>
                </c:pt>
                <c:pt idx="475">
                  <c:v>0.55663194444444442</c:v>
                </c:pt>
                <c:pt idx="476">
                  <c:v>0.55678240740740736</c:v>
                </c:pt>
                <c:pt idx="477">
                  <c:v>0.5568981481481482</c:v>
                </c:pt>
                <c:pt idx="478">
                  <c:v>0.55718750000000006</c:v>
                </c:pt>
                <c:pt idx="479">
                  <c:v>0.55726851851851855</c:v>
                </c:pt>
                <c:pt idx="480">
                  <c:v>0.55730324074074067</c:v>
                </c:pt>
                <c:pt idx="481">
                  <c:v>0.55733796296296301</c:v>
                </c:pt>
                <c:pt idx="482">
                  <c:v>0.55789351851851854</c:v>
                </c:pt>
                <c:pt idx="483">
                  <c:v>0.55804398148148149</c:v>
                </c:pt>
                <c:pt idx="484">
                  <c:v>0.55833333333333335</c:v>
                </c:pt>
                <c:pt idx="485">
                  <c:v>0.5584027777777778</c:v>
                </c:pt>
                <c:pt idx="486">
                  <c:v>0.55842592592592599</c:v>
                </c:pt>
                <c:pt idx="487">
                  <c:v>0.55849537037037034</c:v>
                </c:pt>
                <c:pt idx="488">
                  <c:v>0.55863425925925925</c:v>
                </c:pt>
                <c:pt idx="489">
                  <c:v>0.55865740740740744</c:v>
                </c:pt>
                <c:pt idx="490">
                  <c:v>0.55866898148148147</c:v>
                </c:pt>
                <c:pt idx="491">
                  <c:v>0.55873842592592593</c:v>
                </c:pt>
                <c:pt idx="492">
                  <c:v>0.55893518518518526</c:v>
                </c:pt>
                <c:pt idx="493">
                  <c:v>0.55928240740740742</c:v>
                </c:pt>
                <c:pt idx="494">
                  <c:v>0.55929398148148146</c:v>
                </c:pt>
                <c:pt idx="495">
                  <c:v>0.55931712962962965</c:v>
                </c:pt>
                <c:pt idx="496">
                  <c:v>0.55938657407407411</c:v>
                </c:pt>
                <c:pt idx="497">
                  <c:v>0.5597685185185185</c:v>
                </c:pt>
                <c:pt idx="498">
                  <c:v>0.56015046296296289</c:v>
                </c:pt>
                <c:pt idx="499">
                  <c:v>0.56055555555555558</c:v>
                </c:pt>
                <c:pt idx="500">
                  <c:v>0.56071759259259257</c:v>
                </c:pt>
                <c:pt idx="501">
                  <c:v>0.56084490740740744</c:v>
                </c:pt>
                <c:pt idx="502">
                  <c:v>0.56135416666666671</c:v>
                </c:pt>
                <c:pt idx="503">
                  <c:v>0.56148148148148147</c:v>
                </c:pt>
                <c:pt idx="504">
                  <c:v>0.56150462962962966</c:v>
                </c:pt>
                <c:pt idx="505">
                  <c:v>0.56180555555555556</c:v>
                </c:pt>
                <c:pt idx="506">
                  <c:v>0.56207175925925923</c:v>
                </c:pt>
                <c:pt idx="507">
                  <c:v>0.56208333333333338</c:v>
                </c:pt>
                <c:pt idx="508">
                  <c:v>0.56215277777777783</c:v>
                </c:pt>
                <c:pt idx="509">
                  <c:v>0.56252314814814819</c:v>
                </c:pt>
                <c:pt idx="510">
                  <c:v>0.56255787037037031</c:v>
                </c:pt>
                <c:pt idx="511">
                  <c:v>0.56256944444444446</c:v>
                </c:pt>
                <c:pt idx="512">
                  <c:v>0.56259259259259264</c:v>
                </c:pt>
                <c:pt idx="513">
                  <c:v>0.56265046296296295</c:v>
                </c:pt>
                <c:pt idx="514">
                  <c:v>0.56276620370370367</c:v>
                </c:pt>
                <c:pt idx="515">
                  <c:v>0.56284722222222217</c:v>
                </c:pt>
                <c:pt idx="516">
                  <c:v>0.56291666666666662</c:v>
                </c:pt>
                <c:pt idx="517">
                  <c:v>0.56315972222222221</c:v>
                </c:pt>
                <c:pt idx="518">
                  <c:v>0.56328703703703698</c:v>
                </c:pt>
                <c:pt idx="519">
                  <c:v>0.56334490740740739</c:v>
                </c:pt>
                <c:pt idx="520">
                  <c:v>0.56335648148148143</c:v>
                </c:pt>
                <c:pt idx="521">
                  <c:v>0.56383101851851858</c:v>
                </c:pt>
                <c:pt idx="522">
                  <c:v>0.56384259259259262</c:v>
                </c:pt>
                <c:pt idx="523">
                  <c:v>0.56385416666666666</c:v>
                </c:pt>
                <c:pt idx="524">
                  <c:v>0.56400462962962961</c:v>
                </c:pt>
                <c:pt idx="525">
                  <c:v>0.56406250000000002</c:v>
                </c:pt>
                <c:pt idx="526">
                  <c:v>0.56414351851851852</c:v>
                </c:pt>
                <c:pt idx="527">
                  <c:v>0.56444444444444442</c:v>
                </c:pt>
                <c:pt idx="528">
                  <c:v>0.56450231481481483</c:v>
                </c:pt>
                <c:pt idx="529">
                  <c:v>0.56478009259259265</c:v>
                </c:pt>
                <c:pt idx="530">
                  <c:v>0.56484953703703711</c:v>
                </c:pt>
                <c:pt idx="531">
                  <c:v>0.56519675925925927</c:v>
                </c:pt>
                <c:pt idx="532">
                  <c:v>0.56530092592592596</c:v>
                </c:pt>
                <c:pt idx="533">
                  <c:v>0.56585648148148149</c:v>
                </c:pt>
                <c:pt idx="534">
                  <c:v>0.56597222222222221</c:v>
                </c:pt>
                <c:pt idx="535">
                  <c:v>0.56634259259259256</c:v>
                </c:pt>
                <c:pt idx="536">
                  <c:v>0.56665509259259261</c:v>
                </c:pt>
                <c:pt idx="537">
                  <c:v>0.56670138888888888</c:v>
                </c:pt>
                <c:pt idx="538">
                  <c:v>0.5668171296296296</c:v>
                </c:pt>
                <c:pt idx="539">
                  <c:v>0.56717592592592592</c:v>
                </c:pt>
                <c:pt idx="540">
                  <c:v>0.56721064814814814</c:v>
                </c:pt>
                <c:pt idx="541">
                  <c:v>0.5678009259259259</c:v>
                </c:pt>
                <c:pt idx="542">
                  <c:v>0.56791666666666674</c:v>
                </c:pt>
                <c:pt idx="543">
                  <c:v>0.56792824074074078</c:v>
                </c:pt>
                <c:pt idx="544">
                  <c:v>0.56811342592592595</c:v>
                </c:pt>
                <c:pt idx="545">
                  <c:v>0.56815972222222222</c:v>
                </c:pt>
                <c:pt idx="546">
                  <c:v>0.56821759259259264</c:v>
                </c:pt>
                <c:pt idx="547">
                  <c:v>0.5683449074074074</c:v>
                </c:pt>
                <c:pt idx="548">
                  <c:v>0.56873842592592594</c:v>
                </c:pt>
                <c:pt idx="549">
                  <c:v>0.56901620370370376</c:v>
                </c:pt>
                <c:pt idx="550">
                  <c:v>0.56907407407407407</c:v>
                </c:pt>
                <c:pt idx="551">
                  <c:v>0.56909722222222225</c:v>
                </c:pt>
                <c:pt idx="552">
                  <c:v>0.56918981481481479</c:v>
                </c:pt>
                <c:pt idx="553">
                  <c:v>0.56951388888888888</c:v>
                </c:pt>
                <c:pt idx="554">
                  <c:v>0.56957175925925929</c:v>
                </c:pt>
                <c:pt idx="555">
                  <c:v>0.56999999999999995</c:v>
                </c:pt>
                <c:pt idx="556">
                  <c:v>0.57002314814814814</c:v>
                </c:pt>
                <c:pt idx="557">
                  <c:v>0.5701504629629629</c:v>
                </c:pt>
                <c:pt idx="558">
                  <c:v>0.57018518518518524</c:v>
                </c:pt>
                <c:pt idx="559">
                  <c:v>0.57025462962962969</c:v>
                </c:pt>
                <c:pt idx="560">
                  <c:v>0.57027777777777777</c:v>
                </c:pt>
                <c:pt idx="561">
                  <c:v>0.57030092592592596</c:v>
                </c:pt>
                <c:pt idx="562">
                  <c:v>0.570775462962963</c:v>
                </c:pt>
                <c:pt idx="563">
                  <c:v>0.57096064814814818</c:v>
                </c:pt>
                <c:pt idx="564">
                  <c:v>0.57123842592592589</c:v>
                </c:pt>
                <c:pt idx="565">
                  <c:v>0.57141203703703702</c:v>
                </c:pt>
                <c:pt idx="566">
                  <c:v>0.57171296296296303</c:v>
                </c:pt>
                <c:pt idx="567">
                  <c:v>0.57185185185185183</c:v>
                </c:pt>
                <c:pt idx="568">
                  <c:v>0.57203703703703701</c:v>
                </c:pt>
                <c:pt idx="569">
                  <c:v>0.57219907407407411</c:v>
                </c:pt>
                <c:pt idx="570">
                  <c:v>0.57289351851851855</c:v>
                </c:pt>
                <c:pt idx="571">
                  <c:v>0.57291666666666663</c:v>
                </c:pt>
                <c:pt idx="572">
                  <c:v>0.57293981481481482</c:v>
                </c:pt>
                <c:pt idx="573">
                  <c:v>0.57296296296296301</c:v>
                </c:pt>
                <c:pt idx="574">
                  <c:v>0.57311342592592596</c:v>
                </c:pt>
                <c:pt idx="575">
                  <c:v>0.57318287037037041</c:v>
                </c:pt>
                <c:pt idx="576">
                  <c:v>0.57393518518518516</c:v>
                </c:pt>
                <c:pt idx="577">
                  <c:v>0.57400462962962961</c:v>
                </c:pt>
                <c:pt idx="578">
                  <c:v>0.57408564814814811</c:v>
                </c:pt>
                <c:pt idx="579">
                  <c:v>0.5741666666666666</c:v>
                </c:pt>
                <c:pt idx="580">
                  <c:v>0.57443287037037039</c:v>
                </c:pt>
                <c:pt idx="581">
                  <c:v>0.57461805555555556</c:v>
                </c:pt>
                <c:pt idx="582">
                  <c:v>0.57476851851851851</c:v>
                </c:pt>
                <c:pt idx="583">
                  <c:v>0.5747916666666667</c:v>
                </c:pt>
                <c:pt idx="584">
                  <c:v>0.57500000000000007</c:v>
                </c:pt>
                <c:pt idx="585">
                  <c:v>0.57528935185185182</c:v>
                </c:pt>
                <c:pt idx="586">
                  <c:v>0.57533564814814808</c:v>
                </c:pt>
                <c:pt idx="587">
                  <c:v>0.57546296296296295</c:v>
                </c:pt>
                <c:pt idx="588">
                  <c:v>0.57555555555555549</c:v>
                </c:pt>
                <c:pt idx="589">
                  <c:v>0.57570601851851855</c:v>
                </c:pt>
                <c:pt idx="590">
                  <c:v>0.57587962962962969</c:v>
                </c:pt>
                <c:pt idx="591">
                  <c:v>0.57589120370370372</c:v>
                </c:pt>
                <c:pt idx="592">
                  <c:v>0.57650462962962956</c:v>
                </c:pt>
                <c:pt idx="593">
                  <c:v>0.57657407407407402</c:v>
                </c:pt>
                <c:pt idx="594">
                  <c:v>0.57664351851851847</c:v>
                </c:pt>
                <c:pt idx="595">
                  <c:v>0.57670138888888889</c:v>
                </c:pt>
                <c:pt idx="596">
                  <c:v>0.57680555555555557</c:v>
                </c:pt>
                <c:pt idx="597">
                  <c:v>0.5771412037037037</c:v>
                </c:pt>
                <c:pt idx="598">
                  <c:v>0.57732638888888888</c:v>
                </c:pt>
                <c:pt idx="599">
                  <c:v>0.57734953703703706</c:v>
                </c:pt>
                <c:pt idx="600">
                  <c:v>0.57747685185185182</c:v>
                </c:pt>
                <c:pt idx="601">
                  <c:v>0.57773148148148146</c:v>
                </c:pt>
                <c:pt idx="602">
                  <c:v>0.57789351851851845</c:v>
                </c:pt>
                <c:pt idx="603">
                  <c:v>0.5779050925925926</c:v>
                </c:pt>
                <c:pt idx="604">
                  <c:v>0.57795138888888886</c:v>
                </c:pt>
                <c:pt idx="605">
                  <c:v>0.57829861111111114</c:v>
                </c:pt>
                <c:pt idx="606">
                  <c:v>0.5785069444444445</c:v>
                </c:pt>
                <c:pt idx="607">
                  <c:v>0.57891203703703698</c:v>
                </c:pt>
                <c:pt idx="608">
                  <c:v>0.57909722222222226</c:v>
                </c:pt>
                <c:pt idx="609">
                  <c:v>0.57916666666666672</c:v>
                </c:pt>
                <c:pt idx="610">
                  <c:v>0.57944444444444443</c:v>
                </c:pt>
                <c:pt idx="611">
                  <c:v>0.57982638888888893</c:v>
                </c:pt>
                <c:pt idx="612">
                  <c:v>0.5798726851851852</c:v>
                </c:pt>
                <c:pt idx="613">
                  <c:v>0.57994212962962965</c:v>
                </c:pt>
                <c:pt idx="614">
                  <c:v>0.57997685185185188</c:v>
                </c:pt>
                <c:pt idx="615">
                  <c:v>0.58005787037037038</c:v>
                </c:pt>
                <c:pt idx="616">
                  <c:v>0.58021990740740736</c:v>
                </c:pt>
                <c:pt idx="617">
                  <c:v>0.58030092592592586</c:v>
                </c:pt>
                <c:pt idx="618">
                  <c:v>0.5803935185185185</c:v>
                </c:pt>
                <c:pt idx="619">
                  <c:v>0.58084490740740746</c:v>
                </c:pt>
                <c:pt idx="620">
                  <c:v>0.58090277777777777</c:v>
                </c:pt>
                <c:pt idx="621">
                  <c:v>0.58107638888888891</c:v>
                </c:pt>
                <c:pt idx="622">
                  <c:v>0.58130787037037035</c:v>
                </c:pt>
                <c:pt idx="623">
                  <c:v>0.5816203703703704</c:v>
                </c:pt>
                <c:pt idx="624">
                  <c:v>0.58164351851851859</c:v>
                </c:pt>
                <c:pt idx="625">
                  <c:v>0.58174768518518516</c:v>
                </c:pt>
                <c:pt idx="626">
                  <c:v>0.58275462962962965</c:v>
                </c:pt>
                <c:pt idx="627">
                  <c:v>0.58276620370370369</c:v>
                </c:pt>
                <c:pt idx="628">
                  <c:v>0.58277777777777773</c:v>
                </c:pt>
                <c:pt idx="629">
                  <c:v>0.58281250000000007</c:v>
                </c:pt>
                <c:pt idx="630">
                  <c:v>0.58287037037037037</c:v>
                </c:pt>
                <c:pt idx="631">
                  <c:v>0.58318287037037042</c:v>
                </c:pt>
                <c:pt idx="632">
                  <c:v>0.58327546296296295</c:v>
                </c:pt>
                <c:pt idx="633">
                  <c:v>0.58333333333333337</c:v>
                </c:pt>
                <c:pt idx="634">
                  <c:v>0.58335648148148145</c:v>
                </c:pt>
                <c:pt idx="635">
                  <c:v>0.58335648148148145</c:v>
                </c:pt>
                <c:pt idx="636">
                  <c:v>0.58335648148148145</c:v>
                </c:pt>
                <c:pt idx="637">
                  <c:v>0.58335648148148145</c:v>
                </c:pt>
                <c:pt idx="638">
                  <c:v>0.58340277777777783</c:v>
                </c:pt>
                <c:pt idx="639">
                  <c:v>0.58348379629629632</c:v>
                </c:pt>
                <c:pt idx="640">
                  <c:v>0.58354166666666674</c:v>
                </c:pt>
                <c:pt idx="641">
                  <c:v>0.58368055555555554</c:v>
                </c:pt>
                <c:pt idx="642">
                  <c:v>0.58369212962962969</c:v>
                </c:pt>
                <c:pt idx="643">
                  <c:v>0.58377314814814818</c:v>
                </c:pt>
                <c:pt idx="644">
                  <c:v>0.58400462962962962</c:v>
                </c:pt>
                <c:pt idx="645">
                  <c:v>0.58403935185185185</c:v>
                </c:pt>
                <c:pt idx="646">
                  <c:v>0.58405092592592589</c:v>
                </c:pt>
                <c:pt idx="647">
                  <c:v>0.58415509259259257</c:v>
                </c:pt>
                <c:pt idx="648">
                  <c:v>0.58422453703703703</c:v>
                </c:pt>
                <c:pt idx="649">
                  <c:v>0.58422453703703703</c:v>
                </c:pt>
                <c:pt idx="650">
                  <c:v>0.58437499999999998</c:v>
                </c:pt>
                <c:pt idx="651">
                  <c:v>0.58439814814814817</c:v>
                </c:pt>
                <c:pt idx="652">
                  <c:v>0.58443287037037039</c:v>
                </c:pt>
                <c:pt idx="653">
                  <c:v>0.58449074074074081</c:v>
                </c:pt>
                <c:pt idx="654">
                  <c:v>0.58482638888888883</c:v>
                </c:pt>
                <c:pt idx="655">
                  <c:v>0.58489583333333328</c:v>
                </c:pt>
                <c:pt idx="656">
                  <c:v>0.58491898148148147</c:v>
                </c:pt>
                <c:pt idx="657">
                  <c:v>0.58543981481481489</c:v>
                </c:pt>
                <c:pt idx="658">
                  <c:v>0.58546296296296296</c:v>
                </c:pt>
                <c:pt idx="659">
                  <c:v>0.58550925925925923</c:v>
                </c:pt>
                <c:pt idx="660">
                  <c:v>0.58557870370370368</c:v>
                </c:pt>
                <c:pt idx="661">
                  <c:v>0.58559027777777783</c:v>
                </c:pt>
                <c:pt idx="662">
                  <c:v>0.58561342592592591</c:v>
                </c:pt>
                <c:pt idx="663">
                  <c:v>0.58568287037037037</c:v>
                </c:pt>
                <c:pt idx="664">
                  <c:v>0.58597222222222223</c:v>
                </c:pt>
                <c:pt idx="665">
                  <c:v>0.58611111111111114</c:v>
                </c:pt>
                <c:pt idx="666">
                  <c:v>0.58620370370370367</c:v>
                </c:pt>
                <c:pt idx="667">
                  <c:v>0.58630787037037035</c:v>
                </c:pt>
                <c:pt idx="668">
                  <c:v>0.58688657407407407</c:v>
                </c:pt>
                <c:pt idx="669">
                  <c:v>0.5870023148148148</c:v>
                </c:pt>
                <c:pt idx="670">
                  <c:v>0.58703703703703702</c:v>
                </c:pt>
                <c:pt idx="671">
                  <c:v>0.58718749999999997</c:v>
                </c:pt>
                <c:pt idx="672">
                  <c:v>0.58724537037037039</c:v>
                </c:pt>
                <c:pt idx="673">
                  <c:v>0.5873032407407407</c:v>
                </c:pt>
                <c:pt idx="674">
                  <c:v>0.58738425925925919</c:v>
                </c:pt>
                <c:pt idx="675">
                  <c:v>0.58741898148148153</c:v>
                </c:pt>
                <c:pt idx="676">
                  <c:v>0.5876851851851852</c:v>
                </c:pt>
                <c:pt idx="677">
                  <c:v>0.5877430555555555</c:v>
                </c:pt>
                <c:pt idx="678">
                  <c:v>0.58778935185185188</c:v>
                </c:pt>
                <c:pt idx="679">
                  <c:v>0.5879050925925926</c:v>
                </c:pt>
                <c:pt idx="680">
                  <c:v>0.58795138888888887</c:v>
                </c:pt>
                <c:pt idx="681">
                  <c:v>0.58824074074074073</c:v>
                </c:pt>
                <c:pt idx="682">
                  <c:v>0.58847222222222217</c:v>
                </c:pt>
                <c:pt idx="683">
                  <c:v>0.58884259259259253</c:v>
                </c:pt>
                <c:pt idx="684">
                  <c:v>0.58912037037037035</c:v>
                </c:pt>
                <c:pt idx="685">
                  <c:v>0.58913194444444439</c:v>
                </c:pt>
                <c:pt idx="686">
                  <c:v>0.58971064814814811</c:v>
                </c:pt>
                <c:pt idx="687">
                  <c:v>0.5897337962962963</c:v>
                </c:pt>
                <c:pt idx="688">
                  <c:v>0.58990740740740744</c:v>
                </c:pt>
                <c:pt idx="689">
                  <c:v>0.59004629629629635</c:v>
                </c:pt>
                <c:pt idx="690">
                  <c:v>0.59031250000000002</c:v>
                </c:pt>
                <c:pt idx="691">
                  <c:v>0.59031250000000002</c:v>
                </c:pt>
                <c:pt idx="692">
                  <c:v>0.59032407407407406</c:v>
                </c:pt>
                <c:pt idx="693">
                  <c:v>0.59033564814814821</c:v>
                </c:pt>
                <c:pt idx="694">
                  <c:v>0.5904166666666667</c:v>
                </c:pt>
                <c:pt idx="695">
                  <c:v>0.59046296296296297</c:v>
                </c:pt>
                <c:pt idx="696">
                  <c:v>0.59046296296296297</c:v>
                </c:pt>
                <c:pt idx="697">
                  <c:v>0.59055555555555561</c:v>
                </c:pt>
                <c:pt idx="698">
                  <c:v>0.59065972222222218</c:v>
                </c:pt>
                <c:pt idx="699">
                  <c:v>0.5907175925925926</c:v>
                </c:pt>
                <c:pt idx="700">
                  <c:v>0.59126157407407409</c:v>
                </c:pt>
                <c:pt idx="701">
                  <c:v>0.59150462962962969</c:v>
                </c:pt>
                <c:pt idx="702">
                  <c:v>0.59179398148148155</c:v>
                </c:pt>
                <c:pt idx="703">
                  <c:v>0.59180555555555558</c:v>
                </c:pt>
                <c:pt idx="704">
                  <c:v>0.59202546296296299</c:v>
                </c:pt>
                <c:pt idx="705">
                  <c:v>0.59207175925925926</c:v>
                </c:pt>
                <c:pt idx="706">
                  <c:v>0.59225694444444443</c:v>
                </c:pt>
                <c:pt idx="707">
                  <c:v>0.59226851851851847</c:v>
                </c:pt>
                <c:pt idx="708">
                  <c:v>0.59237268518518515</c:v>
                </c:pt>
                <c:pt idx="709">
                  <c:v>0.59237268518518515</c:v>
                </c:pt>
                <c:pt idx="710">
                  <c:v>0.59239583333333334</c:v>
                </c:pt>
                <c:pt idx="711">
                  <c:v>0.59255787037037033</c:v>
                </c:pt>
                <c:pt idx="712">
                  <c:v>0.59277777777777774</c:v>
                </c:pt>
                <c:pt idx="713">
                  <c:v>0.59282407407407411</c:v>
                </c:pt>
                <c:pt idx="714">
                  <c:v>0.59284722222222219</c:v>
                </c:pt>
                <c:pt idx="715">
                  <c:v>0.59289351851851857</c:v>
                </c:pt>
                <c:pt idx="716">
                  <c:v>0.59305555555555556</c:v>
                </c:pt>
                <c:pt idx="717">
                  <c:v>0.59313657407407405</c:v>
                </c:pt>
                <c:pt idx="718">
                  <c:v>0.59324074074074074</c:v>
                </c:pt>
                <c:pt idx="719">
                  <c:v>0.59346064814814814</c:v>
                </c:pt>
                <c:pt idx="720">
                  <c:v>0.5935300925925926</c:v>
                </c:pt>
                <c:pt idx="721">
                  <c:v>0.5935879629629629</c:v>
                </c:pt>
                <c:pt idx="722">
                  <c:v>0.59359953703703705</c:v>
                </c:pt>
                <c:pt idx="723">
                  <c:v>0.59377314814814819</c:v>
                </c:pt>
                <c:pt idx="724">
                  <c:v>0.59388888888888891</c:v>
                </c:pt>
                <c:pt idx="725">
                  <c:v>0.59390046296296295</c:v>
                </c:pt>
                <c:pt idx="726">
                  <c:v>0.59409722222222217</c:v>
                </c:pt>
                <c:pt idx="727">
                  <c:v>0.59424768518518511</c:v>
                </c:pt>
                <c:pt idx="728">
                  <c:v>0.59435185185185191</c:v>
                </c:pt>
                <c:pt idx="729">
                  <c:v>0.59515046296296303</c:v>
                </c:pt>
                <c:pt idx="730">
                  <c:v>0.59515046296296303</c:v>
                </c:pt>
                <c:pt idx="731">
                  <c:v>0.59515046296296303</c:v>
                </c:pt>
                <c:pt idx="732">
                  <c:v>0.59518518518518515</c:v>
                </c:pt>
                <c:pt idx="733">
                  <c:v>0.59547453703703701</c:v>
                </c:pt>
                <c:pt idx="734">
                  <c:v>0.5955555555555555</c:v>
                </c:pt>
                <c:pt idx="735">
                  <c:v>0.5955555555555555</c:v>
                </c:pt>
                <c:pt idx="736">
                  <c:v>0.595636574074074</c:v>
                </c:pt>
                <c:pt idx="737">
                  <c:v>0.59605324074074073</c:v>
                </c:pt>
                <c:pt idx="738">
                  <c:v>0.59630787037037036</c:v>
                </c:pt>
                <c:pt idx="739">
                  <c:v>0.59630787037037036</c:v>
                </c:pt>
                <c:pt idx="740">
                  <c:v>0.59640046296296301</c:v>
                </c:pt>
                <c:pt idx="741">
                  <c:v>0.59660879629629626</c:v>
                </c:pt>
                <c:pt idx="742">
                  <c:v>0.59670138888888891</c:v>
                </c:pt>
                <c:pt idx="743">
                  <c:v>0.59684027777777782</c:v>
                </c:pt>
                <c:pt idx="744">
                  <c:v>0.59696759259259258</c:v>
                </c:pt>
                <c:pt idx="745">
                  <c:v>0.59704861111111118</c:v>
                </c:pt>
                <c:pt idx="746">
                  <c:v>0.59712962962962968</c:v>
                </c:pt>
                <c:pt idx="747">
                  <c:v>0.59723379629629625</c:v>
                </c:pt>
                <c:pt idx="748">
                  <c:v>0.59723379629629625</c:v>
                </c:pt>
                <c:pt idx="749">
                  <c:v>0.5975462962962963</c:v>
                </c:pt>
                <c:pt idx="750">
                  <c:v>0.59765046296296298</c:v>
                </c:pt>
                <c:pt idx="751">
                  <c:v>0.5979282407407408</c:v>
                </c:pt>
                <c:pt idx="752">
                  <c:v>0.59824074074074074</c:v>
                </c:pt>
                <c:pt idx="753">
                  <c:v>0.59833333333333327</c:v>
                </c:pt>
                <c:pt idx="754">
                  <c:v>0.59859953703703705</c:v>
                </c:pt>
                <c:pt idx="755">
                  <c:v>0.59873842592592597</c:v>
                </c:pt>
                <c:pt idx="756">
                  <c:v>0.59879629629629627</c:v>
                </c:pt>
                <c:pt idx="757">
                  <c:v>0.59884259259259254</c:v>
                </c:pt>
                <c:pt idx="758">
                  <c:v>0.59887731481481488</c:v>
                </c:pt>
                <c:pt idx="759">
                  <c:v>0.59924768518518523</c:v>
                </c:pt>
                <c:pt idx="760">
                  <c:v>0.5997569444444445</c:v>
                </c:pt>
                <c:pt idx="761">
                  <c:v>0.59987268518518522</c:v>
                </c:pt>
                <c:pt idx="762">
                  <c:v>0.5999768518518519</c:v>
                </c:pt>
                <c:pt idx="763">
                  <c:v>0.60002314814814817</c:v>
                </c:pt>
                <c:pt idx="764">
                  <c:v>0.60039351851851852</c:v>
                </c:pt>
                <c:pt idx="765">
                  <c:v>0.60062499999999996</c:v>
                </c:pt>
                <c:pt idx="766">
                  <c:v>0.60074074074074069</c:v>
                </c:pt>
                <c:pt idx="767">
                  <c:v>0.60093750000000001</c:v>
                </c:pt>
                <c:pt idx="768">
                  <c:v>0.60119212962962965</c:v>
                </c:pt>
                <c:pt idx="769">
                  <c:v>0.60121527777777783</c:v>
                </c:pt>
                <c:pt idx="770">
                  <c:v>0.60121527777777783</c:v>
                </c:pt>
                <c:pt idx="771">
                  <c:v>0.60122685185185187</c:v>
                </c:pt>
                <c:pt idx="772">
                  <c:v>0.60129629629629633</c:v>
                </c:pt>
                <c:pt idx="773">
                  <c:v>0.60145833333333332</c:v>
                </c:pt>
                <c:pt idx="774">
                  <c:v>0.60155092592592596</c:v>
                </c:pt>
                <c:pt idx="775">
                  <c:v>0.60209490740740745</c:v>
                </c:pt>
                <c:pt idx="776">
                  <c:v>0.60219907407407403</c:v>
                </c:pt>
                <c:pt idx="777">
                  <c:v>0.60231481481481486</c:v>
                </c:pt>
                <c:pt idx="778">
                  <c:v>0.60261574074074076</c:v>
                </c:pt>
                <c:pt idx="779">
                  <c:v>0.60270833333333329</c:v>
                </c:pt>
                <c:pt idx="780">
                  <c:v>0.60290509259259262</c:v>
                </c:pt>
                <c:pt idx="781">
                  <c:v>0.60309027777777779</c:v>
                </c:pt>
                <c:pt idx="782">
                  <c:v>0.60365740740740736</c:v>
                </c:pt>
                <c:pt idx="783">
                  <c:v>0.60388888888888892</c:v>
                </c:pt>
                <c:pt idx="784">
                  <c:v>0.60403935185185187</c:v>
                </c:pt>
                <c:pt idx="785">
                  <c:v>0.60403935185185187</c:v>
                </c:pt>
                <c:pt idx="786">
                  <c:v>0.60417824074074067</c:v>
                </c:pt>
                <c:pt idx="787">
                  <c:v>0.60418981481481482</c:v>
                </c:pt>
                <c:pt idx="788">
                  <c:v>0.60422453703703705</c:v>
                </c:pt>
                <c:pt idx="789">
                  <c:v>0.60423611111111108</c:v>
                </c:pt>
                <c:pt idx="790">
                  <c:v>0.60424768518518512</c:v>
                </c:pt>
                <c:pt idx="791">
                  <c:v>0.60443287037037041</c:v>
                </c:pt>
                <c:pt idx="792">
                  <c:v>0.60447916666666668</c:v>
                </c:pt>
                <c:pt idx="793">
                  <c:v>0.60484953703703703</c:v>
                </c:pt>
                <c:pt idx="794">
                  <c:v>0.60499999999999998</c:v>
                </c:pt>
                <c:pt idx="795">
                  <c:v>0.60501157407407413</c:v>
                </c:pt>
                <c:pt idx="796">
                  <c:v>0.6051157407407407</c:v>
                </c:pt>
                <c:pt idx="797">
                  <c:v>0.60517361111111112</c:v>
                </c:pt>
                <c:pt idx="798">
                  <c:v>0.60540509259259256</c:v>
                </c:pt>
                <c:pt idx="799">
                  <c:v>0.6056597222222222</c:v>
                </c:pt>
                <c:pt idx="800">
                  <c:v>0.60568287037037039</c:v>
                </c:pt>
                <c:pt idx="801">
                  <c:v>0.60571759259259261</c:v>
                </c:pt>
                <c:pt idx="802">
                  <c:v>0.6057407407407408</c:v>
                </c:pt>
                <c:pt idx="803">
                  <c:v>0.60575231481481484</c:v>
                </c:pt>
                <c:pt idx="804">
                  <c:v>0.60589120370370375</c:v>
                </c:pt>
                <c:pt idx="805">
                  <c:v>0.60633101851851856</c:v>
                </c:pt>
                <c:pt idx="806">
                  <c:v>0.60659722222222223</c:v>
                </c:pt>
                <c:pt idx="807">
                  <c:v>0.60685185185185186</c:v>
                </c:pt>
                <c:pt idx="808">
                  <c:v>0.60692129629629632</c:v>
                </c:pt>
                <c:pt idx="809">
                  <c:v>0.60708333333333331</c:v>
                </c:pt>
                <c:pt idx="810">
                  <c:v>0.60711805555555554</c:v>
                </c:pt>
                <c:pt idx="811">
                  <c:v>0.60768518518518522</c:v>
                </c:pt>
                <c:pt idx="812">
                  <c:v>0.60775462962962956</c:v>
                </c:pt>
                <c:pt idx="813">
                  <c:v>0.60777777777777775</c:v>
                </c:pt>
                <c:pt idx="814">
                  <c:v>0.60780092592592594</c:v>
                </c:pt>
                <c:pt idx="815">
                  <c:v>0.60827546296296298</c:v>
                </c:pt>
                <c:pt idx="816">
                  <c:v>0.6083101851851852</c:v>
                </c:pt>
                <c:pt idx="817">
                  <c:v>0.60832175925925924</c:v>
                </c:pt>
                <c:pt idx="818">
                  <c:v>0.60853009259259261</c:v>
                </c:pt>
                <c:pt idx="819">
                  <c:v>0.60870370370370364</c:v>
                </c:pt>
                <c:pt idx="820">
                  <c:v>0.60906249999999995</c:v>
                </c:pt>
                <c:pt idx="821">
                  <c:v>0.60909722222222229</c:v>
                </c:pt>
                <c:pt idx="822">
                  <c:v>0.60994212962962957</c:v>
                </c:pt>
                <c:pt idx="823">
                  <c:v>0.60995370370370372</c:v>
                </c:pt>
                <c:pt idx="824">
                  <c:v>0.61002314814814818</c:v>
                </c:pt>
                <c:pt idx="825">
                  <c:v>0.61031250000000004</c:v>
                </c:pt>
                <c:pt idx="826">
                  <c:v>0.61048611111111117</c:v>
                </c:pt>
                <c:pt idx="827">
                  <c:v>0.61060185185185178</c:v>
                </c:pt>
                <c:pt idx="828">
                  <c:v>0.61085648148148153</c:v>
                </c:pt>
                <c:pt idx="829">
                  <c:v>0.61090277777777779</c:v>
                </c:pt>
                <c:pt idx="830">
                  <c:v>0.6109606481481481</c:v>
                </c:pt>
                <c:pt idx="831">
                  <c:v>0.61097222222222225</c:v>
                </c:pt>
                <c:pt idx="832">
                  <c:v>0.61107638888888893</c:v>
                </c:pt>
                <c:pt idx="833">
                  <c:v>0.61115740740740743</c:v>
                </c:pt>
                <c:pt idx="834">
                  <c:v>0.61129629629629634</c:v>
                </c:pt>
                <c:pt idx="835">
                  <c:v>0.61153935185185182</c:v>
                </c:pt>
                <c:pt idx="836">
                  <c:v>0.61166666666666669</c:v>
                </c:pt>
                <c:pt idx="837">
                  <c:v>0.61175925925925922</c:v>
                </c:pt>
                <c:pt idx="838">
                  <c:v>0.61200231481481482</c:v>
                </c:pt>
                <c:pt idx="839">
                  <c:v>0.61202546296296301</c:v>
                </c:pt>
                <c:pt idx="840">
                  <c:v>0.61223379629629626</c:v>
                </c:pt>
                <c:pt idx="841">
                  <c:v>0.61226851851851849</c:v>
                </c:pt>
                <c:pt idx="842">
                  <c:v>0.61238425925925932</c:v>
                </c:pt>
                <c:pt idx="843">
                  <c:v>0.61244212962962963</c:v>
                </c:pt>
                <c:pt idx="844">
                  <c:v>0.61259259259259258</c:v>
                </c:pt>
                <c:pt idx="845">
                  <c:v>0.61265046296296299</c:v>
                </c:pt>
                <c:pt idx="846">
                  <c:v>0.61267361111111118</c:v>
                </c:pt>
                <c:pt idx="847">
                  <c:v>0.61297453703703708</c:v>
                </c:pt>
                <c:pt idx="848">
                  <c:v>0.6131712962962963</c:v>
                </c:pt>
                <c:pt idx="849">
                  <c:v>0.6132291666666666</c:v>
                </c:pt>
                <c:pt idx="850">
                  <c:v>0.6136342592592593</c:v>
                </c:pt>
                <c:pt idx="851">
                  <c:v>0.61391203703703701</c:v>
                </c:pt>
                <c:pt idx="852">
                  <c:v>0.61403935185185188</c:v>
                </c:pt>
                <c:pt idx="853">
                  <c:v>0.61413194444444441</c:v>
                </c:pt>
                <c:pt idx="854">
                  <c:v>0.61422453703703705</c:v>
                </c:pt>
                <c:pt idx="855">
                  <c:v>0.61460648148148145</c:v>
                </c:pt>
                <c:pt idx="856">
                  <c:v>0.61468749999999994</c:v>
                </c:pt>
                <c:pt idx="857">
                  <c:v>0.61539351851851853</c:v>
                </c:pt>
                <c:pt idx="858">
                  <c:v>0.61540509259259257</c:v>
                </c:pt>
                <c:pt idx="859">
                  <c:v>0.6154398148148148</c:v>
                </c:pt>
                <c:pt idx="860">
                  <c:v>0.61556712962962956</c:v>
                </c:pt>
                <c:pt idx="861">
                  <c:v>0.61565972222222221</c:v>
                </c:pt>
                <c:pt idx="862">
                  <c:v>0.61579861111111112</c:v>
                </c:pt>
                <c:pt idx="863">
                  <c:v>0.61581018518518515</c:v>
                </c:pt>
                <c:pt idx="864">
                  <c:v>0.61587962962962961</c:v>
                </c:pt>
                <c:pt idx="865">
                  <c:v>0.61591435185185184</c:v>
                </c:pt>
                <c:pt idx="866">
                  <c:v>0.61593750000000003</c:v>
                </c:pt>
                <c:pt idx="867">
                  <c:v>0.61634259259259261</c:v>
                </c:pt>
                <c:pt idx="868">
                  <c:v>0.61635416666666665</c:v>
                </c:pt>
                <c:pt idx="869">
                  <c:v>0.61645833333333333</c:v>
                </c:pt>
                <c:pt idx="870">
                  <c:v>0.61649305555555556</c:v>
                </c:pt>
                <c:pt idx="871">
                  <c:v>0.61716435185185181</c:v>
                </c:pt>
                <c:pt idx="872">
                  <c:v>0.61721064814814819</c:v>
                </c:pt>
                <c:pt idx="873">
                  <c:v>0.61804398148148143</c:v>
                </c:pt>
                <c:pt idx="874">
                  <c:v>0.61806712962962962</c:v>
                </c:pt>
                <c:pt idx="875">
                  <c:v>0.61824074074074076</c:v>
                </c:pt>
                <c:pt idx="876">
                  <c:v>0.61870370370370364</c:v>
                </c:pt>
                <c:pt idx="877">
                  <c:v>0.61906249999999996</c:v>
                </c:pt>
                <c:pt idx="878">
                  <c:v>0.61920138888888887</c:v>
                </c:pt>
                <c:pt idx="879">
                  <c:v>0.61942129629629628</c:v>
                </c:pt>
                <c:pt idx="880">
                  <c:v>0.6196180555555556</c:v>
                </c:pt>
                <c:pt idx="881">
                  <c:v>0.61975694444444451</c:v>
                </c:pt>
                <c:pt idx="882">
                  <c:v>0.61984953703703705</c:v>
                </c:pt>
                <c:pt idx="883">
                  <c:v>0.62005787037037041</c:v>
                </c:pt>
                <c:pt idx="884">
                  <c:v>0.62018518518518517</c:v>
                </c:pt>
                <c:pt idx="885">
                  <c:v>0.62033564814814812</c:v>
                </c:pt>
                <c:pt idx="886">
                  <c:v>0.62039351851851854</c:v>
                </c:pt>
                <c:pt idx="887">
                  <c:v>0.62047453703703703</c:v>
                </c:pt>
                <c:pt idx="888">
                  <c:v>0.62112268518518521</c:v>
                </c:pt>
                <c:pt idx="889">
                  <c:v>0.62131944444444442</c:v>
                </c:pt>
                <c:pt idx="890">
                  <c:v>0.62140046296296292</c:v>
                </c:pt>
                <c:pt idx="891">
                  <c:v>0.62140046296296292</c:v>
                </c:pt>
                <c:pt idx="892">
                  <c:v>0.62163194444444447</c:v>
                </c:pt>
                <c:pt idx="893">
                  <c:v>0.6216666666666667</c:v>
                </c:pt>
                <c:pt idx="894">
                  <c:v>0.62167824074074074</c:v>
                </c:pt>
                <c:pt idx="895">
                  <c:v>0.62216435185185182</c:v>
                </c:pt>
                <c:pt idx="896">
                  <c:v>0.6221875</c:v>
                </c:pt>
                <c:pt idx="897">
                  <c:v>0.62234953703703699</c:v>
                </c:pt>
                <c:pt idx="898">
                  <c:v>0.62251157407407409</c:v>
                </c:pt>
                <c:pt idx="899">
                  <c:v>0.62262731481481481</c:v>
                </c:pt>
                <c:pt idx="900">
                  <c:v>0.6227893518518518</c:v>
                </c:pt>
                <c:pt idx="901">
                  <c:v>0.62280092592592595</c:v>
                </c:pt>
                <c:pt idx="902">
                  <c:v>0.6229513888888889</c:v>
                </c:pt>
                <c:pt idx="903">
                  <c:v>0.62300925925925921</c:v>
                </c:pt>
                <c:pt idx="904">
                  <c:v>0.62306712962962962</c:v>
                </c:pt>
                <c:pt idx="905">
                  <c:v>0.62327546296296299</c:v>
                </c:pt>
                <c:pt idx="906">
                  <c:v>0.6234143518518519</c:v>
                </c:pt>
                <c:pt idx="907">
                  <c:v>0.62422453703703706</c:v>
                </c:pt>
                <c:pt idx="908">
                  <c:v>0.62428240740740748</c:v>
                </c:pt>
                <c:pt idx="909">
                  <c:v>0.62466435185185187</c:v>
                </c:pt>
                <c:pt idx="910">
                  <c:v>0.62475694444444441</c:v>
                </c:pt>
                <c:pt idx="911">
                  <c:v>0.62481481481481482</c:v>
                </c:pt>
                <c:pt idx="912">
                  <c:v>0.62489583333333332</c:v>
                </c:pt>
                <c:pt idx="913">
                  <c:v>0.625</c:v>
                </c:pt>
                <c:pt idx="914">
                  <c:v>0.625</c:v>
                </c:pt>
                <c:pt idx="915">
                  <c:v>0.62502314814814819</c:v>
                </c:pt>
                <c:pt idx="916">
                  <c:v>0.62502314814814819</c:v>
                </c:pt>
                <c:pt idx="917">
                  <c:v>0.62502314814814819</c:v>
                </c:pt>
                <c:pt idx="918">
                  <c:v>0.62502314814814819</c:v>
                </c:pt>
                <c:pt idx="919">
                  <c:v>0.62505787037037031</c:v>
                </c:pt>
                <c:pt idx="920">
                  <c:v>0.6251620370370371</c:v>
                </c:pt>
                <c:pt idx="921">
                  <c:v>0.62524305555555559</c:v>
                </c:pt>
                <c:pt idx="922">
                  <c:v>0.62532407407407409</c:v>
                </c:pt>
                <c:pt idx="923">
                  <c:v>0.62535879629629632</c:v>
                </c:pt>
                <c:pt idx="924">
                  <c:v>0.62550925925925926</c:v>
                </c:pt>
                <c:pt idx="925">
                  <c:v>0.62560185185185191</c:v>
                </c:pt>
                <c:pt idx="926">
                  <c:v>0.62565972222222221</c:v>
                </c:pt>
                <c:pt idx="927">
                  <c:v>0.62581018518518516</c:v>
                </c:pt>
                <c:pt idx="928">
                  <c:v>0.62590277777777781</c:v>
                </c:pt>
                <c:pt idx="929">
                  <c:v>0.62596064814814811</c:v>
                </c:pt>
                <c:pt idx="930">
                  <c:v>0.62596064814814811</c:v>
                </c:pt>
                <c:pt idx="931">
                  <c:v>0.62597222222222226</c:v>
                </c:pt>
                <c:pt idx="932">
                  <c:v>0.6259837962962963</c:v>
                </c:pt>
                <c:pt idx="933">
                  <c:v>0.62604166666666672</c:v>
                </c:pt>
                <c:pt idx="934">
                  <c:v>0.62608796296296299</c:v>
                </c:pt>
                <c:pt idx="935">
                  <c:v>0.62621527777777775</c:v>
                </c:pt>
                <c:pt idx="936">
                  <c:v>0.62643518518518515</c:v>
                </c:pt>
                <c:pt idx="937">
                  <c:v>0.62651620370370364</c:v>
                </c:pt>
                <c:pt idx="938">
                  <c:v>0.62656250000000002</c:v>
                </c:pt>
                <c:pt idx="939">
                  <c:v>0.62656250000000002</c:v>
                </c:pt>
                <c:pt idx="940">
                  <c:v>0.62656250000000002</c:v>
                </c:pt>
                <c:pt idx="941">
                  <c:v>0.62708333333333333</c:v>
                </c:pt>
                <c:pt idx="942">
                  <c:v>0.62716435185185182</c:v>
                </c:pt>
                <c:pt idx="943">
                  <c:v>0.62717592592592586</c:v>
                </c:pt>
                <c:pt idx="944">
                  <c:v>0.6272106481481482</c:v>
                </c:pt>
                <c:pt idx="945">
                  <c:v>0.62725694444444446</c:v>
                </c:pt>
                <c:pt idx="946">
                  <c:v>0.62728009259259265</c:v>
                </c:pt>
                <c:pt idx="947">
                  <c:v>0.62731481481481477</c:v>
                </c:pt>
                <c:pt idx="948">
                  <c:v>0.62736111111111115</c:v>
                </c:pt>
                <c:pt idx="949">
                  <c:v>0.62737268518518519</c:v>
                </c:pt>
                <c:pt idx="950">
                  <c:v>0.62740740740740741</c:v>
                </c:pt>
                <c:pt idx="951">
                  <c:v>0.62784722222222222</c:v>
                </c:pt>
                <c:pt idx="952">
                  <c:v>0.62787037037037041</c:v>
                </c:pt>
                <c:pt idx="953">
                  <c:v>0.62790509259259253</c:v>
                </c:pt>
                <c:pt idx="954">
                  <c:v>0.62793981481481487</c:v>
                </c:pt>
                <c:pt idx="955">
                  <c:v>0.62795138888888891</c:v>
                </c:pt>
                <c:pt idx="956">
                  <c:v>0.62795138888888891</c:v>
                </c:pt>
                <c:pt idx="957">
                  <c:v>0.62797453703703698</c:v>
                </c:pt>
                <c:pt idx="958">
                  <c:v>0.62800925925925932</c:v>
                </c:pt>
                <c:pt idx="959">
                  <c:v>0.62812499999999993</c:v>
                </c:pt>
                <c:pt idx="960">
                  <c:v>0.62818287037037035</c:v>
                </c:pt>
                <c:pt idx="961">
                  <c:v>0.62818287037037035</c:v>
                </c:pt>
                <c:pt idx="962">
                  <c:v>0.62841435185185179</c:v>
                </c:pt>
                <c:pt idx="963">
                  <c:v>0.62844907407407413</c:v>
                </c:pt>
                <c:pt idx="964">
                  <c:v>0.62854166666666667</c:v>
                </c:pt>
                <c:pt idx="965">
                  <c:v>0.62862268518518516</c:v>
                </c:pt>
                <c:pt idx="966">
                  <c:v>0.6286342592592592</c:v>
                </c:pt>
                <c:pt idx="967">
                  <c:v>0.6287962962962963</c:v>
                </c:pt>
                <c:pt idx="968">
                  <c:v>0.6287962962962963</c:v>
                </c:pt>
                <c:pt idx="969">
                  <c:v>0.62898148148148147</c:v>
                </c:pt>
                <c:pt idx="970">
                  <c:v>0.62903935185185189</c:v>
                </c:pt>
                <c:pt idx="971">
                  <c:v>0.62914351851851846</c:v>
                </c:pt>
                <c:pt idx="972">
                  <c:v>0.62924768518518526</c:v>
                </c:pt>
                <c:pt idx="973">
                  <c:v>0.62938657407407406</c:v>
                </c:pt>
                <c:pt idx="974">
                  <c:v>0.62949074074074074</c:v>
                </c:pt>
                <c:pt idx="975">
                  <c:v>0.62953703703703701</c:v>
                </c:pt>
                <c:pt idx="976">
                  <c:v>0.62961805555555561</c:v>
                </c:pt>
                <c:pt idx="977">
                  <c:v>0.62964120370370369</c:v>
                </c:pt>
                <c:pt idx="978">
                  <c:v>0.62993055555555555</c:v>
                </c:pt>
                <c:pt idx="979">
                  <c:v>0.62995370370370374</c:v>
                </c:pt>
                <c:pt idx="980">
                  <c:v>0.62998842592592597</c:v>
                </c:pt>
                <c:pt idx="981">
                  <c:v>0.63013888888888892</c:v>
                </c:pt>
                <c:pt idx="982">
                  <c:v>0.63026620370370368</c:v>
                </c:pt>
                <c:pt idx="983">
                  <c:v>0.63031249999999994</c:v>
                </c:pt>
                <c:pt idx="984">
                  <c:v>0.63049768518518523</c:v>
                </c:pt>
                <c:pt idx="985">
                  <c:v>0.63059027777777776</c:v>
                </c:pt>
                <c:pt idx="986">
                  <c:v>0.63061342592592595</c:v>
                </c:pt>
                <c:pt idx="987">
                  <c:v>0.63089120370370366</c:v>
                </c:pt>
                <c:pt idx="988">
                  <c:v>0.63091435185185185</c:v>
                </c:pt>
                <c:pt idx="989">
                  <c:v>0.63105324074074076</c:v>
                </c:pt>
                <c:pt idx="990">
                  <c:v>0.63112268518518522</c:v>
                </c:pt>
                <c:pt idx="991">
                  <c:v>0.63143518518518515</c:v>
                </c:pt>
                <c:pt idx="992">
                  <c:v>0.63150462962962961</c:v>
                </c:pt>
                <c:pt idx="993">
                  <c:v>0.63150462962962961</c:v>
                </c:pt>
                <c:pt idx="994">
                  <c:v>0.63157407407407407</c:v>
                </c:pt>
                <c:pt idx="995">
                  <c:v>0.63159722222222225</c:v>
                </c:pt>
                <c:pt idx="996">
                  <c:v>0.63167824074074075</c:v>
                </c:pt>
                <c:pt idx="997">
                  <c:v>0.63193287037037038</c:v>
                </c:pt>
                <c:pt idx="998">
                  <c:v>0.63196759259259261</c:v>
                </c:pt>
                <c:pt idx="999">
                  <c:v>0.63199074074074069</c:v>
                </c:pt>
                <c:pt idx="1000">
                  <c:v>0.63200231481481484</c:v>
                </c:pt>
                <c:pt idx="1001">
                  <c:v>0.63201388888888888</c:v>
                </c:pt>
                <c:pt idx="1002">
                  <c:v>0.63202546296296302</c:v>
                </c:pt>
                <c:pt idx="1003">
                  <c:v>0.63203703703703706</c:v>
                </c:pt>
                <c:pt idx="1004">
                  <c:v>0.63207175925925929</c:v>
                </c:pt>
                <c:pt idx="1005">
                  <c:v>0.63208333333333333</c:v>
                </c:pt>
                <c:pt idx="1006">
                  <c:v>0.63210648148148152</c:v>
                </c:pt>
                <c:pt idx="1007">
                  <c:v>0.63232638888888892</c:v>
                </c:pt>
                <c:pt idx="1008">
                  <c:v>0.63240740740740742</c:v>
                </c:pt>
                <c:pt idx="1009">
                  <c:v>0.63245370370370368</c:v>
                </c:pt>
                <c:pt idx="1010">
                  <c:v>0.63284722222222223</c:v>
                </c:pt>
                <c:pt idx="1011">
                  <c:v>0.63350694444444444</c:v>
                </c:pt>
                <c:pt idx="1012">
                  <c:v>0.63371527777777781</c:v>
                </c:pt>
                <c:pt idx="1013">
                  <c:v>0.63376157407407407</c:v>
                </c:pt>
                <c:pt idx="1014">
                  <c:v>0.63399305555555552</c:v>
                </c:pt>
                <c:pt idx="1015">
                  <c:v>0.63402777777777775</c:v>
                </c:pt>
                <c:pt idx="1016">
                  <c:v>0.63414351851851858</c:v>
                </c:pt>
                <c:pt idx="1017">
                  <c:v>0.63450231481481478</c:v>
                </c:pt>
                <c:pt idx="1018">
                  <c:v>0.63501157407407405</c:v>
                </c:pt>
                <c:pt idx="1019">
                  <c:v>0.63542824074074067</c:v>
                </c:pt>
                <c:pt idx="1020">
                  <c:v>0.63578703703703698</c:v>
                </c:pt>
                <c:pt idx="1021">
                  <c:v>0.63583333333333336</c:v>
                </c:pt>
                <c:pt idx="1022">
                  <c:v>0.63587962962962963</c:v>
                </c:pt>
                <c:pt idx="1023">
                  <c:v>0.63598379629629631</c:v>
                </c:pt>
                <c:pt idx="1024">
                  <c:v>0.63615740740740734</c:v>
                </c:pt>
                <c:pt idx="1025">
                  <c:v>0.63631944444444444</c:v>
                </c:pt>
                <c:pt idx="1026">
                  <c:v>0.63633101851851859</c:v>
                </c:pt>
                <c:pt idx="1027">
                  <c:v>0.63653935185185184</c:v>
                </c:pt>
                <c:pt idx="1028">
                  <c:v>0.63665509259259256</c:v>
                </c:pt>
                <c:pt idx="1029">
                  <c:v>0.6368287037037037</c:v>
                </c:pt>
                <c:pt idx="1030">
                  <c:v>0.63686342592592593</c:v>
                </c:pt>
                <c:pt idx="1031">
                  <c:v>0.63741898148148146</c:v>
                </c:pt>
                <c:pt idx="1032">
                  <c:v>0.63747685185185188</c:v>
                </c:pt>
                <c:pt idx="1033">
                  <c:v>0.63755787037037037</c:v>
                </c:pt>
                <c:pt idx="1034">
                  <c:v>0.63756944444444441</c:v>
                </c:pt>
                <c:pt idx="1035">
                  <c:v>0.63766203703703705</c:v>
                </c:pt>
                <c:pt idx="1036">
                  <c:v>0.63774305555555555</c:v>
                </c:pt>
                <c:pt idx="1037">
                  <c:v>0.63783564814814808</c:v>
                </c:pt>
                <c:pt idx="1038">
                  <c:v>0.63824074074074078</c:v>
                </c:pt>
                <c:pt idx="1039">
                  <c:v>0.63832175925925927</c:v>
                </c:pt>
                <c:pt idx="1040">
                  <c:v>0.63839120370370372</c:v>
                </c:pt>
                <c:pt idx="1041">
                  <c:v>0.6384953703703703</c:v>
                </c:pt>
                <c:pt idx="1042">
                  <c:v>0.6385763888888889</c:v>
                </c:pt>
                <c:pt idx="1043">
                  <c:v>0.63866898148148155</c:v>
                </c:pt>
                <c:pt idx="1044">
                  <c:v>0.638738425925926</c:v>
                </c:pt>
                <c:pt idx="1045">
                  <c:v>0.63875000000000004</c:v>
                </c:pt>
                <c:pt idx="1046">
                  <c:v>0.63876157407407408</c:v>
                </c:pt>
                <c:pt idx="1047">
                  <c:v>0.63884259259259257</c:v>
                </c:pt>
                <c:pt idx="1048">
                  <c:v>0.63893518518518522</c:v>
                </c:pt>
                <c:pt idx="1049">
                  <c:v>0.63917824074074081</c:v>
                </c:pt>
                <c:pt idx="1050">
                  <c:v>0.63990740740740737</c:v>
                </c:pt>
                <c:pt idx="1051">
                  <c:v>0.6399421296296296</c:v>
                </c:pt>
                <c:pt idx="1052">
                  <c:v>0.64001157407407405</c:v>
                </c:pt>
                <c:pt idx="1053">
                  <c:v>0.64025462962962965</c:v>
                </c:pt>
                <c:pt idx="1054">
                  <c:v>0.64045138888888886</c:v>
                </c:pt>
                <c:pt idx="1055">
                  <c:v>0.64064814814814819</c:v>
                </c:pt>
                <c:pt idx="1056">
                  <c:v>0.64067129629629627</c:v>
                </c:pt>
                <c:pt idx="1057">
                  <c:v>0.64068287037037031</c:v>
                </c:pt>
                <c:pt idx="1058">
                  <c:v>0.6408449074074074</c:v>
                </c:pt>
                <c:pt idx="1059">
                  <c:v>0.64087962962962963</c:v>
                </c:pt>
                <c:pt idx="1060">
                  <c:v>0.64093750000000005</c:v>
                </c:pt>
                <c:pt idx="1061">
                  <c:v>0.64094907407407409</c:v>
                </c:pt>
                <c:pt idx="1062">
                  <c:v>0.64099537037037035</c:v>
                </c:pt>
                <c:pt idx="1063">
                  <c:v>0.64123842592592595</c:v>
                </c:pt>
                <c:pt idx="1064">
                  <c:v>0.64153935185185185</c:v>
                </c:pt>
                <c:pt idx="1065">
                  <c:v>0.64178240740740744</c:v>
                </c:pt>
                <c:pt idx="1066">
                  <c:v>0.64184027777777775</c:v>
                </c:pt>
                <c:pt idx="1067">
                  <c:v>0.64233796296296297</c:v>
                </c:pt>
                <c:pt idx="1068">
                  <c:v>0.64241898148148147</c:v>
                </c:pt>
                <c:pt idx="1069">
                  <c:v>0.64249999999999996</c:v>
                </c:pt>
                <c:pt idx="1070">
                  <c:v>0.64274305555555555</c:v>
                </c:pt>
                <c:pt idx="1071">
                  <c:v>0.6428356481481482</c:v>
                </c:pt>
                <c:pt idx="1072">
                  <c:v>0.6428935185185185</c:v>
                </c:pt>
                <c:pt idx="1073">
                  <c:v>0.6430555555555556</c:v>
                </c:pt>
                <c:pt idx="1074">
                  <c:v>0.64311342592592591</c:v>
                </c:pt>
                <c:pt idx="1075">
                  <c:v>0.64311342592592591</c:v>
                </c:pt>
                <c:pt idx="1076">
                  <c:v>0.64331018518518512</c:v>
                </c:pt>
                <c:pt idx="1077">
                  <c:v>0.64332175925925927</c:v>
                </c:pt>
                <c:pt idx="1078">
                  <c:v>0.64334490740740746</c:v>
                </c:pt>
                <c:pt idx="1079">
                  <c:v>0.64353009259259253</c:v>
                </c:pt>
                <c:pt idx="1080">
                  <c:v>0.64362268518518517</c:v>
                </c:pt>
                <c:pt idx="1081">
                  <c:v>0.64371527777777782</c:v>
                </c:pt>
                <c:pt idx="1082">
                  <c:v>0.64393518518518522</c:v>
                </c:pt>
                <c:pt idx="1083">
                  <c:v>0.6441203703703704</c:v>
                </c:pt>
                <c:pt idx="1084">
                  <c:v>0.64432870370370365</c:v>
                </c:pt>
                <c:pt idx="1085">
                  <c:v>0.64437500000000003</c:v>
                </c:pt>
                <c:pt idx="1086">
                  <c:v>0.64439814814814811</c:v>
                </c:pt>
                <c:pt idx="1087">
                  <c:v>0.64444444444444449</c:v>
                </c:pt>
                <c:pt idx="1088">
                  <c:v>0.64465277777777785</c:v>
                </c:pt>
                <c:pt idx="1089">
                  <c:v>0.64535879629629633</c:v>
                </c:pt>
                <c:pt idx="1090">
                  <c:v>0.64539351851851856</c:v>
                </c:pt>
                <c:pt idx="1091">
                  <c:v>0.64541666666666664</c:v>
                </c:pt>
                <c:pt idx="1092">
                  <c:v>0.64542824074074068</c:v>
                </c:pt>
                <c:pt idx="1093">
                  <c:v>0.64569444444444446</c:v>
                </c:pt>
                <c:pt idx="1094">
                  <c:v>0.64585648148148145</c:v>
                </c:pt>
                <c:pt idx="1095">
                  <c:v>0.64598379629629632</c:v>
                </c:pt>
                <c:pt idx="1096">
                  <c:v>0.64635416666666667</c:v>
                </c:pt>
                <c:pt idx="1097">
                  <c:v>0.64637731481481475</c:v>
                </c:pt>
                <c:pt idx="1098">
                  <c:v>0.64641203703703709</c:v>
                </c:pt>
                <c:pt idx="1099">
                  <c:v>0.64649305555555558</c:v>
                </c:pt>
                <c:pt idx="1100">
                  <c:v>0.64657407407407408</c:v>
                </c:pt>
                <c:pt idx="1101">
                  <c:v>0.64666666666666661</c:v>
                </c:pt>
                <c:pt idx="1102">
                  <c:v>0.64666666666666661</c:v>
                </c:pt>
                <c:pt idx="1103">
                  <c:v>0.64667824074074076</c:v>
                </c:pt>
                <c:pt idx="1104">
                  <c:v>0.64679398148148148</c:v>
                </c:pt>
                <c:pt idx="1105">
                  <c:v>0.64680555555555552</c:v>
                </c:pt>
                <c:pt idx="1106">
                  <c:v>0.64690972222222221</c:v>
                </c:pt>
                <c:pt idx="1107">
                  <c:v>0.64709490740740738</c:v>
                </c:pt>
                <c:pt idx="1108">
                  <c:v>0.64726851851851852</c:v>
                </c:pt>
                <c:pt idx="1109">
                  <c:v>0.64732638888888883</c:v>
                </c:pt>
                <c:pt idx="1110">
                  <c:v>0.64768518518518514</c:v>
                </c:pt>
                <c:pt idx="1111">
                  <c:v>0.64771990740740748</c:v>
                </c:pt>
                <c:pt idx="1112">
                  <c:v>0.64793981481481489</c:v>
                </c:pt>
                <c:pt idx="1113">
                  <c:v>0.64795138888888892</c:v>
                </c:pt>
                <c:pt idx="1114">
                  <c:v>0.64798611111111104</c:v>
                </c:pt>
                <c:pt idx="1115">
                  <c:v>0.64810185185185187</c:v>
                </c:pt>
                <c:pt idx="1116">
                  <c:v>0.6482175925925926</c:v>
                </c:pt>
                <c:pt idx="1117">
                  <c:v>0.64826388888888886</c:v>
                </c:pt>
                <c:pt idx="1118">
                  <c:v>0.64842592592592596</c:v>
                </c:pt>
                <c:pt idx="1119">
                  <c:v>0.64844907407407404</c:v>
                </c:pt>
                <c:pt idx="1120">
                  <c:v>0.64850694444444446</c:v>
                </c:pt>
                <c:pt idx="1121">
                  <c:v>0.64853009259259264</c:v>
                </c:pt>
                <c:pt idx="1122">
                  <c:v>0.64855324074074072</c:v>
                </c:pt>
                <c:pt idx="1123">
                  <c:v>0.64866898148148155</c:v>
                </c:pt>
                <c:pt idx="1124">
                  <c:v>0.64875000000000005</c:v>
                </c:pt>
                <c:pt idx="1125">
                  <c:v>0.64876157407407409</c:v>
                </c:pt>
                <c:pt idx="1126">
                  <c:v>0.64909722222222221</c:v>
                </c:pt>
                <c:pt idx="1127">
                  <c:v>0.64918981481481486</c:v>
                </c:pt>
                <c:pt idx="1128">
                  <c:v>0.64962962962962967</c:v>
                </c:pt>
                <c:pt idx="1129">
                  <c:v>0.65017361111111105</c:v>
                </c:pt>
                <c:pt idx="1130">
                  <c:v>0.65028935185185188</c:v>
                </c:pt>
                <c:pt idx="1131">
                  <c:v>0.65033564814814815</c:v>
                </c:pt>
                <c:pt idx="1132">
                  <c:v>0.6505671296296297</c:v>
                </c:pt>
                <c:pt idx="1133">
                  <c:v>0.65115740740740746</c:v>
                </c:pt>
                <c:pt idx="1134">
                  <c:v>0.65140046296296295</c:v>
                </c:pt>
                <c:pt idx="1135">
                  <c:v>0.65150462962962963</c:v>
                </c:pt>
                <c:pt idx="1136">
                  <c:v>0.65151620370370367</c:v>
                </c:pt>
                <c:pt idx="1137">
                  <c:v>0.65155092592592589</c:v>
                </c:pt>
                <c:pt idx="1138">
                  <c:v>0.65155092592592589</c:v>
                </c:pt>
                <c:pt idx="1139">
                  <c:v>0.65160879629629631</c:v>
                </c:pt>
                <c:pt idx="1140">
                  <c:v>0.65167824074074077</c:v>
                </c:pt>
                <c:pt idx="1141">
                  <c:v>0.65178240740740734</c:v>
                </c:pt>
                <c:pt idx="1142">
                  <c:v>0.65189814814814817</c:v>
                </c:pt>
                <c:pt idx="1143">
                  <c:v>0.6519328703703704</c:v>
                </c:pt>
                <c:pt idx="1144">
                  <c:v>0.6522337962962963</c:v>
                </c:pt>
                <c:pt idx="1145">
                  <c:v>0.65233796296296298</c:v>
                </c:pt>
                <c:pt idx="1146">
                  <c:v>0.65298611111111116</c:v>
                </c:pt>
                <c:pt idx="1147">
                  <c:v>0.65298611111111116</c:v>
                </c:pt>
                <c:pt idx="1148">
                  <c:v>0.65306712962962965</c:v>
                </c:pt>
                <c:pt idx="1149">
                  <c:v>0.65311342592592592</c:v>
                </c:pt>
                <c:pt idx="1150">
                  <c:v>0.65324074074074068</c:v>
                </c:pt>
                <c:pt idx="1151">
                  <c:v>0.6535185185185185</c:v>
                </c:pt>
                <c:pt idx="1152">
                  <c:v>0.65358796296296295</c:v>
                </c:pt>
                <c:pt idx="1153">
                  <c:v>0.65366898148148145</c:v>
                </c:pt>
                <c:pt idx="1154">
                  <c:v>0.65372685185185186</c:v>
                </c:pt>
                <c:pt idx="1155">
                  <c:v>0.65372685185185186</c:v>
                </c:pt>
                <c:pt idx="1156">
                  <c:v>0.65406249999999999</c:v>
                </c:pt>
                <c:pt idx="1157">
                  <c:v>0.65410879629629626</c:v>
                </c:pt>
                <c:pt idx="1158">
                  <c:v>0.65423611111111113</c:v>
                </c:pt>
                <c:pt idx="1159">
                  <c:v>0.65431712962962962</c:v>
                </c:pt>
                <c:pt idx="1160">
                  <c:v>0.65447916666666661</c:v>
                </c:pt>
                <c:pt idx="1161">
                  <c:v>0.65474537037037039</c:v>
                </c:pt>
                <c:pt idx="1162">
                  <c:v>0.65483796296296293</c:v>
                </c:pt>
                <c:pt idx="1163">
                  <c:v>0.65509259259259256</c:v>
                </c:pt>
                <c:pt idx="1164">
                  <c:v>0.65515046296296298</c:v>
                </c:pt>
                <c:pt idx="1165">
                  <c:v>0.65525462962962966</c:v>
                </c:pt>
                <c:pt idx="1166">
                  <c:v>0.6552662037037037</c:v>
                </c:pt>
                <c:pt idx="1167">
                  <c:v>0.65547453703703706</c:v>
                </c:pt>
                <c:pt idx="1168">
                  <c:v>0.65571759259259255</c:v>
                </c:pt>
                <c:pt idx="1169">
                  <c:v>0.65571759259259255</c:v>
                </c:pt>
                <c:pt idx="1170">
                  <c:v>0.65599537037037037</c:v>
                </c:pt>
                <c:pt idx="1171">
                  <c:v>0.65619212962962969</c:v>
                </c:pt>
                <c:pt idx="1172">
                  <c:v>0.65627314814814819</c:v>
                </c:pt>
                <c:pt idx="1173">
                  <c:v>0.65640046296296295</c:v>
                </c:pt>
                <c:pt idx="1174">
                  <c:v>0.6569328703703704</c:v>
                </c:pt>
                <c:pt idx="1175">
                  <c:v>0.65707175925925931</c:v>
                </c:pt>
                <c:pt idx="1176">
                  <c:v>0.65717592592592589</c:v>
                </c:pt>
                <c:pt idx="1177">
                  <c:v>0.65733796296296299</c:v>
                </c:pt>
                <c:pt idx="1178">
                  <c:v>0.65746527777777775</c:v>
                </c:pt>
                <c:pt idx="1179">
                  <c:v>0.65771990740740738</c:v>
                </c:pt>
                <c:pt idx="1180">
                  <c:v>0.65771990740740738</c:v>
                </c:pt>
                <c:pt idx="1181">
                  <c:v>0.65787037037037044</c:v>
                </c:pt>
                <c:pt idx="1182">
                  <c:v>0.65813657407407411</c:v>
                </c:pt>
                <c:pt idx="1183">
                  <c:v>0.65817129629629634</c:v>
                </c:pt>
                <c:pt idx="1184">
                  <c:v>0.65819444444444442</c:v>
                </c:pt>
                <c:pt idx="1185">
                  <c:v>0.65833333333333333</c:v>
                </c:pt>
                <c:pt idx="1186">
                  <c:v>0.65840277777777778</c:v>
                </c:pt>
                <c:pt idx="1187">
                  <c:v>0.65850694444444446</c:v>
                </c:pt>
                <c:pt idx="1188">
                  <c:v>0.65853009259259265</c:v>
                </c:pt>
                <c:pt idx="1189">
                  <c:v>0.65858796296296296</c:v>
                </c:pt>
                <c:pt idx="1190">
                  <c:v>0.65864583333333326</c:v>
                </c:pt>
                <c:pt idx="1191">
                  <c:v>0.65875000000000006</c:v>
                </c:pt>
                <c:pt idx="1192">
                  <c:v>0.65881944444444451</c:v>
                </c:pt>
                <c:pt idx="1193">
                  <c:v>0.6590625</c:v>
                </c:pt>
                <c:pt idx="1194">
                  <c:v>0.65927083333333336</c:v>
                </c:pt>
                <c:pt idx="1195">
                  <c:v>0.65983796296296293</c:v>
                </c:pt>
                <c:pt idx="1196">
                  <c:v>0.65989583333333335</c:v>
                </c:pt>
                <c:pt idx="1197">
                  <c:v>0.65994212962962961</c:v>
                </c:pt>
                <c:pt idx="1198">
                  <c:v>0.65994212962962961</c:v>
                </c:pt>
                <c:pt idx="1199">
                  <c:v>0.66024305555555551</c:v>
                </c:pt>
                <c:pt idx="1200">
                  <c:v>0.66028935185185189</c:v>
                </c:pt>
                <c:pt idx="1201">
                  <c:v>0.66038194444444442</c:v>
                </c:pt>
                <c:pt idx="1202">
                  <c:v>0.66054398148148141</c:v>
                </c:pt>
                <c:pt idx="1203">
                  <c:v>0.66074074074074074</c:v>
                </c:pt>
                <c:pt idx="1204">
                  <c:v>0.66086805555555561</c:v>
                </c:pt>
                <c:pt idx="1205">
                  <c:v>0.6610300925925926</c:v>
                </c:pt>
                <c:pt idx="1206">
                  <c:v>0.66108796296296302</c:v>
                </c:pt>
                <c:pt idx="1207">
                  <c:v>0.66121527777777778</c:v>
                </c:pt>
                <c:pt idx="1208">
                  <c:v>0.66125</c:v>
                </c:pt>
                <c:pt idx="1209">
                  <c:v>0.66128472222222223</c:v>
                </c:pt>
                <c:pt idx="1210">
                  <c:v>0.66137731481481488</c:v>
                </c:pt>
                <c:pt idx="1211">
                  <c:v>0.66170138888888885</c:v>
                </c:pt>
                <c:pt idx="1212">
                  <c:v>0.66180555555555554</c:v>
                </c:pt>
                <c:pt idx="1213">
                  <c:v>0.66181712962962969</c:v>
                </c:pt>
                <c:pt idx="1214">
                  <c:v>0.6618518518518518</c:v>
                </c:pt>
                <c:pt idx="1215">
                  <c:v>0.66189814814814818</c:v>
                </c:pt>
                <c:pt idx="1216">
                  <c:v>0.66222222222222216</c:v>
                </c:pt>
                <c:pt idx="1217">
                  <c:v>0.66230324074074076</c:v>
                </c:pt>
                <c:pt idx="1218">
                  <c:v>0.66232638888888895</c:v>
                </c:pt>
                <c:pt idx="1219">
                  <c:v>0.66291666666666671</c:v>
                </c:pt>
                <c:pt idx="1220">
                  <c:v>0.66293981481481479</c:v>
                </c:pt>
                <c:pt idx="1221">
                  <c:v>0.6633796296296296</c:v>
                </c:pt>
                <c:pt idx="1222">
                  <c:v>0.663599537037037</c:v>
                </c:pt>
                <c:pt idx="1223">
                  <c:v>0.6636805555555555</c:v>
                </c:pt>
                <c:pt idx="1224">
                  <c:v>0.66383101851851845</c:v>
                </c:pt>
                <c:pt idx="1225">
                  <c:v>0.66417824074074072</c:v>
                </c:pt>
                <c:pt idx="1226">
                  <c:v>0.66464120370370372</c:v>
                </c:pt>
                <c:pt idx="1227">
                  <c:v>0.66475694444444444</c:v>
                </c:pt>
                <c:pt idx="1228">
                  <c:v>0.66475694444444444</c:v>
                </c:pt>
                <c:pt idx="1229">
                  <c:v>0.66493055555555558</c:v>
                </c:pt>
                <c:pt idx="1230">
                  <c:v>0.66503472222222226</c:v>
                </c:pt>
                <c:pt idx="1231">
                  <c:v>0.6651273148148148</c:v>
                </c:pt>
                <c:pt idx="1232">
                  <c:v>0.66513888888888884</c:v>
                </c:pt>
                <c:pt idx="1233">
                  <c:v>0.6654282407407407</c:v>
                </c:pt>
                <c:pt idx="1234">
                  <c:v>0.66577546296296297</c:v>
                </c:pt>
                <c:pt idx="1235">
                  <c:v>0.66578703703703701</c:v>
                </c:pt>
                <c:pt idx="1236">
                  <c:v>0.66583333333333339</c:v>
                </c:pt>
                <c:pt idx="1237">
                  <c:v>0.66608796296296291</c:v>
                </c:pt>
                <c:pt idx="1238">
                  <c:v>0.6661921296296297</c:v>
                </c:pt>
                <c:pt idx="1239">
                  <c:v>0.66641203703703711</c:v>
                </c:pt>
                <c:pt idx="1240">
                  <c:v>0.6665740740740741</c:v>
                </c:pt>
                <c:pt idx="1241">
                  <c:v>0.66663194444444451</c:v>
                </c:pt>
                <c:pt idx="1242">
                  <c:v>0.66664351851851855</c:v>
                </c:pt>
                <c:pt idx="1243">
                  <c:v>0.66666666666666663</c:v>
                </c:pt>
                <c:pt idx="1244">
                  <c:v>0.66667824074074078</c:v>
                </c:pt>
                <c:pt idx="1245">
                  <c:v>0.66667824074074078</c:v>
                </c:pt>
                <c:pt idx="1246">
                  <c:v>0.66668981481481471</c:v>
                </c:pt>
                <c:pt idx="1247">
                  <c:v>0.66668981481481471</c:v>
                </c:pt>
                <c:pt idx="1248">
                  <c:v>0.66668981481481471</c:v>
                </c:pt>
                <c:pt idx="1249">
                  <c:v>0.66674768518518512</c:v>
                </c:pt>
                <c:pt idx="1250">
                  <c:v>0.66674768518518512</c:v>
                </c:pt>
                <c:pt idx="1251">
                  <c:v>0.66681712962962969</c:v>
                </c:pt>
                <c:pt idx="1252">
                  <c:v>0.66682870370370362</c:v>
                </c:pt>
                <c:pt idx="1253">
                  <c:v>0.66690972222222211</c:v>
                </c:pt>
                <c:pt idx="1254">
                  <c:v>0.66702546296296295</c:v>
                </c:pt>
                <c:pt idx="1255">
                  <c:v>0.66706018518518517</c:v>
                </c:pt>
                <c:pt idx="1256">
                  <c:v>0.66724537037037035</c:v>
                </c:pt>
                <c:pt idx="1257">
                  <c:v>0.6672569444444445</c:v>
                </c:pt>
                <c:pt idx="1258">
                  <c:v>0.66746527777777775</c:v>
                </c:pt>
                <c:pt idx="1259">
                  <c:v>0.66752314814814817</c:v>
                </c:pt>
                <c:pt idx="1260">
                  <c:v>0.66753472222222221</c:v>
                </c:pt>
                <c:pt idx="1261">
                  <c:v>0.66773148148148154</c:v>
                </c:pt>
                <c:pt idx="1262">
                  <c:v>0.66774305555555558</c:v>
                </c:pt>
                <c:pt idx="1263">
                  <c:v>0.66778935185185195</c:v>
                </c:pt>
                <c:pt idx="1264">
                  <c:v>0.66778935185185195</c:v>
                </c:pt>
                <c:pt idx="1265">
                  <c:v>0.6678587962962963</c:v>
                </c:pt>
                <c:pt idx="1266">
                  <c:v>0.66788194444444438</c:v>
                </c:pt>
                <c:pt idx="1267">
                  <c:v>0.66828703703703696</c:v>
                </c:pt>
                <c:pt idx="1268">
                  <c:v>0.66853009259259266</c:v>
                </c:pt>
                <c:pt idx="1269">
                  <c:v>0.66858796296296286</c:v>
                </c:pt>
                <c:pt idx="1270">
                  <c:v>0.66859953703703701</c:v>
                </c:pt>
                <c:pt idx="1271">
                  <c:v>0.66875000000000007</c:v>
                </c:pt>
                <c:pt idx="1272">
                  <c:v>0.66886574074074068</c:v>
                </c:pt>
                <c:pt idx="1273">
                  <c:v>0.66888888888888898</c:v>
                </c:pt>
                <c:pt idx="1274">
                  <c:v>0.66893518518518524</c:v>
                </c:pt>
                <c:pt idx="1275">
                  <c:v>0.66901620370370374</c:v>
                </c:pt>
                <c:pt idx="1276">
                  <c:v>0.66950231481481481</c:v>
                </c:pt>
                <c:pt idx="1277">
                  <c:v>0.66960648148148139</c:v>
                </c:pt>
                <c:pt idx="1278">
                  <c:v>0.66961805555555554</c:v>
                </c:pt>
                <c:pt idx="1279">
                  <c:v>0.66962962962962969</c:v>
                </c:pt>
                <c:pt idx="1280">
                  <c:v>0.66965277777777776</c:v>
                </c:pt>
                <c:pt idx="1281">
                  <c:v>0.66965277777777776</c:v>
                </c:pt>
                <c:pt idx="1282">
                  <c:v>0.66972222222222222</c:v>
                </c:pt>
                <c:pt idx="1283">
                  <c:v>0.6697685185185186</c:v>
                </c:pt>
                <c:pt idx="1284">
                  <c:v>0.669988425925926</c:v>
                </c:pt>
                <c:pt idx="1285">
                  <c:v>0.6702893518518519</c:v>
                </c:pt>
                <c:pt idx="1286">
                  <c:v>0.67033564814814817</c:v>
                </c:pt>
                <c:pt idx="1287">
                  <c:v>0.67034722222222232</c:v>
                </c:pt>
                <c:pt idx="1288">
                  <c:v>0.67045138888888889</c:v>
                </c:pt>
                <c:pt idx="1289">
                  <c:v>0.67077546296296298</c:v>
                </c:pt>
                <c:pt idx="1290">
                  <c:v>0.67099537037037038</c:v>
                </c:pt>
                <c:pt idx="1291">
                  <c:v>0.6710532407407408</c:v>
                </c:pt>
                <c:pt idx="1292">
                  <c:v>0.67112268518518514</c:v>
                </c:pt>
                <c:pt idx="1293">
                  <c:v>0.67113425925925929</c:v>
                </c:pt>
                <c:pt idx="1294">
                  <c:v>0.67129629629629628</c:v>
                </c:pt>
                <c:pt idx="1295">
                  <c:v>0.67133101851851851</c:v>
                </c:pt>
                <c:pt idx="1296">
                  <c:v>0.67140046296296296</c:v>
                </c:pt>
                <c:pt idx="1297">
                  <c:v>0.67152777777777783</c:v>
                </c:pt>
                <c:pt idx="1298">
                  <c:v>0.67159722222222218</c:v>
                </c:pt>
                <c:pt idx="1299">
                  <c:v>0.67163194444444452</c:v>
                </c:pt>
                <c:pt idx="1300">
                  <c:v>0.6716550925925926</c:v>
                </c:pt>
                <c:pt idx="1301">
                  <c:v>0.67182870370370373</c:v>
                </c:pt>
                <c:pt idx="1302">
                  <c:v>0.67204861111111114</c:v>
                </c:pt>
                <c:pt idx="1303">
                  <c:v>0.6721759259259259</c:v>
                </c:pt>
                <c:pt idx="1304">
                  <c:v>0.67237268518518523</c:v>
                </c:pt>
                <c:pt idx="1305">
                  <c:v>0.6729398148148148</c:v>
                </c:pt>
                <c:pt idx="1306">
                  <c:v>0.67302083333333329</c:v>
                </c:pt>
                <c:pt idx="1307">
                  <c:v>0.6732407407407407</c:v>
                </c:pt>
                <c:pt idx="1308">
                  <c:v>0.67332175925925919</c:v>
                </c:pt>
                <c:pt idx="1309">
                  <c:v>0.67335648148148142</c:v>
                </c:pt>
                <c:pt idx="1310">
                  <c:v>0.67336805555555557</c:v>
                </c:pt>
                <c:pt idx="1311">
                  <c:v>0.67342592592592598</c:v>
                </c:pt>
                <c:pt idx="1312">
                  <c:v>0.6734837962962964</c:v>
                </c:pt>
                <c:pt idx="1313">
                  <c:v>0.67363425925925924</c:v>
                </c:pt>
                <c:pt idx="1314">
                  <c:v>0.67365740740740743</c:v>
                </c:pt>
                <c:pt idx="1315">
                  <c:v>0.67365740740740743</c:v>
                </c:pt>
                <c:pt idx="1316">
                  <c:v>0.67375000000000007</c:v>
                </c:pt>
                <c:pt idx="1317">
                  <c:v>0.6737847222222223</c:v>
                </c:pt>
                <c:pt idx="1318">
                  <c:v>0.67379629629629623</c:v>
                </c:pt>
                <c:pt idx="1319">
                  <c:v>0.67388888888888887</c:v>
                </c:pt>
                <c:pt idx="1320">
                  <c:v>0.6739814814814814</c:v>
                </c:pt>
                <c:pt idx="1321">
                  <c:v>0.67414351851851861</c:v>
                </c:pt>
                <c:pt idx="1322">
                  <c:v>0.67414351851851861</c:v>
                </c:pt>
                <c:pt idx="1323">
                  <c:v>0.67424768518518519</c:v>
                </c:pt>
                <c:pt idx="1324">
                  <c:v>0.67434027777777772</c:v>
                </c:pt>
                <c:pt idx="1325">
                  <c:v>0.67452546296296301</c:v>
                </c:pt>
                <c:pt idx="1326">
                  <c:v>0.67459490740740735</c:v>
                </c:pt>
                <c:pt idx="1327">
                  <c:v>0.67489583333333336</c:v>
                </c:pt>
                <c:pt idx="1328">
                  <c:v>0.67498842592592589</c:v>
                </c:pt>
                <c:pt idx="1329">
                  <c:v>0.67512731481481481</c:v>
                </c:pt>
                <c:pt idx="1330">
                  <c:v>0.6755902777777778</c:v>
                </c:pt>
                <c:pt idx="1331">
                  <c:v>0.67560185185185195</c:v>
                </c:pt>
                <c:pt idx="1332">
                  <c:v>0.67599537037037039</c:v>
                </c:pt>
                <c:pt idx="1333">
                  <c:v>0.67623842592592587</c:v>
                </c:pt>
                <c:pt idx="1334">
                  <c:v>0.67638888888888893</c:v>
                </c:pt>
                <c:pt idx="1335">
                  <c:v>0.67644675925925923</c:v>
                </c:pt>
                <c:pt idx="1336">
                  <c:v>0.67650462962962965</c:v>
                </c:pt>
                <c:pt idx="1337">
                  <c:v>0.67655092592592592</c:v>
                </c:pt>
                <c:pt idx="1338">
                  <c:v>0.67660879629629633</c:v>
                </c:pt>
                <c:pt idx="1339">
                  <c:v>0.67667824074074068</c:v>
                </c:pt>
                <c:pt idx="1340">
                  <c:v>0.67671296296296291</c:v>
                </c:pt>
                <c:pt idx="1341">
                  <c:v>0.67677083333333332</c:v>
                </c:pt>
                <c:pt idx="1342">
                  <c:v>0.67689814814814808</c:v>
                </c:pt>
                <c:pt idx="1343">
                  <c:v>0.67689814814814808</c:v>
                </c:pt>
                <c:pt idx="1344">
                  <c:v>0.67709490740740741</c:v>
                </c:pt>
                <c:pt idx="1345">
                  <c:v>0.67716435185185186</c:v>
                </c:pt>
                <c:pt idx="1346">
                  <c:v>0.67724537037037036</c:v>
                </c:pt>
                <c:pt idx="1347">
                  <c:v>0.67731481481481481</c:v>
                </c:pt>
                <c:pt idx="1348">
                  <c:v>0.67733796296296289</c:v>
                </c:pt>
                <c:pt idx="1349">
                  <c:v>0.67761574074074071</c:v>
                </c:pt>
                <c:pt idx="1350">
                  <c:v>0.67806712962962967</c:v>
                </c:pt>
                <c:pt idx="1351">
                  <c:v>0.67812499999999998</c:v>
                </c:pt>
                <c:pt idx="1352">
                  <c:v>0.67814814814814817</c:v>
                </c:pt>
                <c:pt idx="1353">
                  <c:v>0.67828703703703708</c:v>
                </c:pt>
                <c:pt idx="1354">
                  <c:v>0.67851851851851841</c:v>
                </c:pt>
                <c:pt idx="1355">
                  <c:v>0.67924768518518519</c:v>
                </c:pt>
                <c:pt idx="1356">
                  <c:v>0.67927083333333327</c:v>
                </c:pt>
                <c:pt idx="1357">
                  <c:v>0.67934027777777783</c:v>
                </c:pt>
                <c:pt idx="1358">
                  <c:v>0.67937499999999995</c:v>
                </c:pt>
                <c:pt idx="1359">
                  <c:v>0.68008101851851854</c:v>
                </c:pt>
                <c:pt idx="1360">
                  <c:v>0.68042824074074071</c:v>
                </c:pt>
                <c:pt idx="1361">
                  <c:v>0.68059027777777781</c:v>
                </c:pt>
                <c:pt idx="1362">
                  <c:v>0.68079861111111117</c:v>
                </c:pt>
                <c:pt idx="1363">
                  <c:v>0.68103009259259262</c:v>
                </c:pt>
                <c:pt idx="1364">
                  <c:v>0.68140046296296297</c:v>
                </c:pt>
                <c:pt idx="1365">
                  <c:v>0.68172453703703706</c:v>
                </c:pt>
                <c:pt idx="1366">
                  <c:v>0.68185185185185182</c:v>
                </c:pt>
                <c:pt idx="1367">
                  <c:v>0.68190972222222224</c:v>
                </c:pt>
                <c:pt idx="1368">
                  <c:v>0.68204861111111104</c:v>
                </c:pt>
                <c:pt idx="1369">
                  <c:v>0.68223379629629621</c:v>
                </c:pt>
                <c:pt idx="1370">
                  <c:v>0.68231481481481471</c:v>
                </c:pt>
                <c:pt idx="1371">
                  <c:v>0.68240740740740735</c:v>
                </c:pt>
                <c:pt idx="1372">
                  <c:v>0.68254629629629626</c:v>
                </c:pt>
                <c:pt idx="1373">
                  <c:v>0.68258101851851849</c:v>
                </c:pt>
                <c:pt idx="1374">
                  <c:v>0.68266203703703709</c:v>
                </c:pt>
                <c:pt idx="1375">
                  <c:v>0.6827199074074074</c:v>
                </c:pt>
                <c:pt idx="1376">
                  <c:v>0.68321759259259263</c:v>
                </c:pt>
                <c:pt idx="1377">
                  <c:v>0.68322916666666667</c:v>
                </c:pt>
                <c:pt idx="1378">
                  <c:v>0.68329861111111112</c:v>
                </c:pt>
                <c:pt idx="1379">
                  <c:v>0.68342592592592588</c:v>
                </c:pt>
                <c:pt idx="1380">
                  <c:v>0.6834837962962963</c:v>
                </c:pt>
                <c:pt idx="1381">
                  <c:v>0.68351851851851853</c:v>
                </c:pt>
                <c:pt idx="1382">
                  <c:v>0.68357638888888894</c:v>
                </c:pt>
                <c:pt idx="1383">
                  <c:v>0.68371527777777785</c:v>
                </c:pt>
                <c:pt idx="1384">
                  <c:v>0.68384259259259261</c:v>
                </c:pt>
                <c:pt idx="1385">
                  <c:v>0.68393518518518526</c:v>
                </c:pt>
                <c:pt idx="1386">
                  <c:v>0.68396990740740737</c:v>
                </c:pt>
                <c:pt idx="1387">
                  <c:v>0.6840856481481481</c:v>
                </c:pt>
                <c:pt idx="1388">
                  <c:v>0.68421296296296286</c:v>
                </c:pt>
                <c:pt idx="1389">
                  <c:v>0.68428240740740742</c:v>
                </c:pt>
                <c:pt idx="1390">
                  <c:v>0.68437500000000007</c:v>
                </c:pt>
                <c:pt idx="1391">
                  <c:v>0.68438657407407411</c:v>
                </c:pt>
                <c:pt idx="1392">
                  <c:v>0.68449074074074068</c:v>
                </c:pt>
                <c:pt idx="1393">
                  <c:v>0.68472222222222223</c:v>
                </c:pt>
                <c:pt idx="1394">
                  <c:v>0.68511574074074078</c:v>
                </c:pt>
                <c:pt idx="1395">
                  <c:v>0.68523148148148139</c:v>
                </c:pt>
                <c:pt idx="1396">
                  <c:v>0.68568287037037035</c:v>
                </c:pt>
                <c:pt idx="1397">
                  <c:v>0.68574074074074076</c:v>
                </c:pt>
                <c:pt idx="1398">
                  <c:v>0.68611111111111101</c:v>
                </c:pt>
                <c:pt idx="1399">
                  <c:v>0.68620370370370365</c:v>
                </c:pt>
                <c:pt idx="1400">
                  <c:v>0.68631944444444448</c:v>
                </c:pt>
                <c:pt idx="1401">
                  <c:v>0.68641203703703713</c:v>
                </c:pt>
                <c:pt idx="1402">
                  <c:v>0.68679398148148152</c:v>
                </c:pt>
                <c:pt idx="1403">
                  <c:v>0.68685185185185194</c:v>
                </c:pt>
                <c:pt idx="1404">
                  <c:v>0.68687500000000001</c:v>
                </c:pt>
                <c:pt idx="1405">
                  <c:v>0.68729166666666675</c:v>
                </c:pt>
                <c:pt idx="1406">
                  <c:v>0.68733796296296301</c:v>
                </c:pt>
                <c:pt idx="1407">
                  <c:v>0.68752314814814808</c:v>
                </c:pt>
                <c:pt idx="1408">
                  <c:v>0.68753472222222223</c:v>
                </c:pt>
                <c:pt idx="1409">
                  <c:v>0.68769675925925933</c:v>
                </c:pt>
                <c:pt idx="1410">
                  <c:v>0.68797453703703704</c:v>
                </c:pt>
                <c:pt idx="1411">
                  <c:v>0.68800925925925915</c:v>
                </c:pt>
                <c:pt idx="1412">
                  <c:v>0.68821759259259263</c:v>
                </c:pt>
                <c:pt idx="1413">
                  <c:v>0.68834490740740739</c:v>
                </c:pt>
                <c:pt idx="1414">
                  <c:v>0.6884837962962963</c:v>
                </c:pt>
                <c:pt idx="1415">
                  <c:v>0.68883101851851858</c:v>
                </c:pt>
                <c:pt idx="1416">
                  <c:v>0.68905092592592598</c:v>
                </c:pt>
                <c:pt idx="1417">
                  <c:v>0.68925925925925924</c:v>
                </c:pt>
                <c:pt idx="1418">
                  <c:v>0.68973379629629628</c:v>
                </c:pt>
                <c:pt idx="1419">
                  <c:v>0.69017361111111108</c:v>
                </c:pt>
                <c:pt idx="1420">
                  <c:v>0.69028935185185192</c:v>
                </c:pt>
                <c:pt idx="1421">
                  <c:v>0.69040509259259253</c:v>
                </c:pt>
                <c:pt idx="1422">
                  <c:v>0.69052083333333336</c:v>
                </c:pt>
                <c:pt idx="1423">
                  <c:v>0.6906944444444445</c:v>
                </c:pt>
                <c:pt idx="1424">
                  <c:v>0.69094907407407413</c:v>
                </c:pt>
                <c:pt idx="1425">
                  <c:v>0.69108796296296304</c:v>
                </c:pt>
                <c:pt idx="1426">
                  <c:v>0.69173611111111111</c:v>
                </c:pt>
                <c:pt idx="1427">
                  <c:v>0.69177083333333333</c:v>
                </c:pt>
                <c:pt idx="1428">
                  <c:v>0.69202546296296286</c:v>
                </c:pt>
                <c:pt idx="1429">
                  <c:v>0.69219907407407411</c:v>
                </c:pt>
                <c:pt idx="1430">
                  <c:v>0.69237268518518524</c:v>
                </c:pt>
                <c:pt idx="1431">
                  <c:v>0.69246527777777767</c:v>
                </c:pt>
                <c:pt idx="1432">
                  <c:v>0.69255787037037031</c:v>
                </c:pt>
                <c:pt idx="1433">
                  <c:v>0.69273148148148145</c:v>
                </c:pt>
                <c:pt idx="1434">
                  <c:v>0.69274305555555549</c:v>
                </c:pt>
                <c:pt idx="1435">
                  <c:v>0.69277777777777771</c:v>
                </c:pt>
                <c:pt idx="1436">
                  <c:v>0.69281250000000005</c:v>
                </c:pt>
                <c:pt idx="1437">
                  <c:v>0.69291666666666663</c:v>
                </c:pt>
                <c:pt idx="1438">
                  <c:v>0.69295138888888896</c:v>
                </c:pt>
                <c:pt idx="1439">
                  <c:v>0.69297453703703704</c:v>
                </c:pt>
                <c:pt idx="1440">
                  <c:v>0.69326388888888879</c:v>
                </c:pt>
                <c:pt idx="1441">
                  <c:v>0.69329861111111113</c:v>
                </c:pt>
                <c:pt idx="1442">
                  <c:v>0.69353009259259257</c:v>
                </c:pt>
                <c:pt idx="1443">
                  <c:v>0.6937268518518519</c:v>
                </c:pt>
                <c:pt idx="1444">
                  <c:v>0.69385416666666666</c:v>
                </c:pt>
                <c:pt idx="1445">
                  <c:v>0.69388888888888889</c:v>
                </c:pt>
                <c:pt idx="1446">
                  <c:v>0.69436342592592604</c:v>
                </c:pt>
                <c:pt idx="1447">
                  <c:v>0.69446759259259261</c:v>
                </c:pt>
                <c:pt idx="1448">
                  <c:v>0.69453703703703706</c:v>
                </c:pt>
                <c:pt idx="1449">
                  <c:v>0.69456018518518514</c:v>
                </c:pt>
                <c:pt idx="1450">
                  <c:v>0.69458333333333344</c:v>
                </c:pt>
                <c:pt idx="1451">
                  <c:v>0.69459490740740737</c:v>
                </c:pt>
                <c:pt idx="1452">
                  <c:v>0.6946296296296296</c:v>
                </c:pt>
                <c:pt idx="1453">
                  <c:v>0.69476851851851851</c:v>
                </c:pt>
                <c:pt idx="1454">
                  <c:v>0.69498842592592591</c:v>
                </c:pt>
                <c:pt idx="1455">
                  <c:v>0.69503472222222218</c:v>
                </c:pt>
                <c:pt idx="1456">
                  <c:v>0.69513888888888886</c:v>
                </c:pt>
                <c:pt idx="1457">
                  <c:v>0.69530092592592585</c:v>
                </c:pt>
                <c:pt idx="1458">
                  <c:v>0.69555555555555559</c:v>
                </c:pt>
                <c:pt idx="1459">
                  <c:v>0.695775462962963</c:v>
                </c:pt>
                <c:pt idx="1460">
                  <c:v>0.695775462962963</c:v>
                </c:pt>
                <c:pt idx="1461">
                  <c:v>0.69596064814814806</c:v>
                </c:pt>
                <c:pt idx="1462">
                  <c:v>0.69597222222222221</c:v>
                </c:pt>
                <c:pt idx="1463">
                  <c:v>0.69597222222222221</c:v>
                </c:pt>
                <c:pt idx="1464">
                  <c:v>0.69597222222222221</c:v>
                </c:pt>
                <c:pt idx="1465">
                  <c:v>0.69597222222222221</c:v>
                </c:pt>
                <c:pt idx="1466">
                  <c:v>0.69665509259259262</c:v>
                </c:pt>
                <c:pt idx="1467">
                  <c:v>0.69686342592592598</c:v>
                </c:pt>
                <c:pt idx="1468">
                  <c:v>0.69740740740740748</c:v>
                </c:pt>
                <c:pt idx="1469">
                  <c:v>0.69787037037037036</c:v>
                </c:pt>
                <c:pt idx="1470">
                  <c:v>0.69793981481481471</c:v>
                </c:pt>
                <c:pt idx="1471">
                  <c:v>0.69800925925925927</c:v>
                </c:pt>
                <c:pt idx="1472">
                  <c:v>0.69805555555555554</c:v>
                </c:pt>
                <c:pt idx="1473">
                  <c:v>0.69806712962962969</c:v>
                </c:pt>
                <c:pt idx="1474">
                  <c:v>0.69807870370370362</c:v>
                </c:pt>
                <c:pt idx="1475">
                  <c:v>0.69809027777777777</c:v>
                </c:pt>
                <c:pt idx="1476">
                  <c:v>0.69817129629629626</c:v>
                </c:pt>
                <c:pt idx="1477">
                  <c:v>0.69820601851851849</c:v>
                </c:pt>
                <c:pt idx="1478">
                  <c:v>0.69866898148148149</c:v>
                </c:pt>
                <c:pt idx="1479">
                  <c:v>0.69896990740740739</c:v>
                </c:pt>
                <c:pt idx="1480">
                  <c:v>0.69918981481481479</c:v>
                </c:pt>
                <c:pt idx="1481">
                  <c:v>0.69922453703703702</c:v>
                </c:pt>
                <c:pt idx="1482">
                  <c:v>0.69927083333333329</c:v>
                </c:pt>
                <c:pt idx="1483">
                  <c:v>0.69928240740740744</c:v>
                </c:pt>
                <c:pt idx="1484">
                  <c:v>0.69935185185185189</c:v>
                </c:pt>
                <c:pt idx="1485">
                  <c:v>0.6996296296296296</c:v>
                </c:pt>
                <c:pt idx="1486">
                  <c:v>0.69991898148148157</c:v>
                </c:pt>
                <c:pt idx="1487">
                  <c:v>0.69997685185185177</c:v>
                </c:pt>
                <c:pt idx="1488">
                  <c:v>0.70024305555555555</c:v>
                </c:pt>
                <c:pt idx="1489">
                  <c:v>0.70050925925925922</c:v>
                </c:pt>
                <c:pt idx="1490">
                  <c:v>0.70052083333333337</c:v>
                </c:pt>
                <c:pt idx="1491">
                  <c:v>0.70053240740740741</c:v>
                </c:pt>
                <c:pt idx="1492">
                  <c:v>0.70074074074074078</c:v>
                </c:pt>
                <c:pt idx="1493">
                  <c:v>0.70079861111111119</c:v>
                </c:pt>
                <c:pt idx="1494">
                  <c:v>0.70079861111111119</c:v>
                </c:pt>
                <c:pt idx="1495">
                  <c:v>0.7009375000000001</c:v>
                </c:pt>
                <c:pt idx="1496">
                  <c:v>0.70098379629629637</c:v>
                </c:pt>
                <c:pt idx="1497">
                  <c:v>0.70104166666666667</c:v>
                </c:pt>
                <c:pt idx="1498">
                  <c:v>0.70158564814814817</c:v>
                </c:pt>
                <c:pt idx="1499">
                  <c:v>0.70166666666666666</c:v>
                </c:pt>
                <c:pt idx="1500">
                  <c:v>0.70173611111111101</c:v>
                </c:pt>
                <c:pt idx="1501">
                  <c:v>0.70199074074074075</c:v>
                </c:pt>
                <c:pt idx="1502">
                  <c:v>0.70200231481481479</c:v>
                </c:pt>
                <c:pt idx="1503">
                  <c:v>0.70228009259259261</c:v>
                </c:pt>
                <c:pt idx="1504">
                  <c:v>0.70233796296296302</c:v>
                </c:pt>
                <c:pt idx="1505">
                  <c:v>0.70238425925925929</c:v>
                </c:pt>
                <c:pt idx="1506">
                  <c:v>0.70274305555555561</c:v>
                </c:pt>
                <c:pt idx="1507">
                  <c:v>0.7028240740740741</c:v>
                </c:pt>
                <c:pt idx="1508">
                  <c:v>0.70283564814814825</c:v>
                </c:pt>
                <c:pt idx="1509">
                  <c:v>0.70287037037037037</c:v>
                </c:pt>
                <c:pt idx="1510">
                  <c:v>0.70306712962962958</c:v>
                </c:pt>
                <c:pt idx="1511">
                  <c:v>0.70321759259259264</c:v>
                </c:pt>
                <c:pt idx="1512">
                  <c:v>0.70353009259259258</c:v>
                </c:pt>
                <c:pt idx="1513">
                  <c:v>0.70368055555555553</c:v>
                </c:pt>
                <c:pt idx="1514">
                  <c:v>0.70377314814814806</c:v>
                </c:pt>
                <c:pt idx="1515">
                  <c:v>0.7038078703703704</c:v>
                </c:pt>
                <c:pt idx="1516">
                  <c:v>0.70387731481481486</c:v>
                </c:pt>
                <c:pt idx="1517">
                  <c:v>0.70407407407407396</c:v>
                </c:pt>
                <c:pt idx="1518">
                  <c:v>0.70434027777777775</c:v>
                </c:pt>
                <c:pt idx="1519">
                  <c:v>0.70444444444444443</c:v>
                </c:pt>
                <c:pt idx="1520">
                  <c:v>0.70480324074074074</c:v>
                </c:pt>
                <c:pt idx="1521">
                  <c:v>0.705011574074074</c:v>
                </c:pt>
                <c:pt idx="1522">
                  <c:v>0.70502314814814815</c:v>
                </c:pt>
                <c:pt idx="1523">
                  <c:v>0.70535879629629628</c:v>
                </c:pt>
                <c:pt idx="1524">
                  <c:v>0.70557870370370368</c:v>
                </c:pt>
                <c:pt idx="1525">
                  <c:v>0.70559027777777772</c:v>
                </c:pt>
                <c:pt idx="1526">
                  <c:v>0.7056365740740741</c:v>
                </c:pt>
                <c:pt idx="1527">
                  <c:v>0.70581018518518512</c:v>
                </c:pt>
                <c:pt idx="1528">
                  <c:v>0.70592592592592596</c:v>
                </c:pt>
                <c:pt idx="1529">
                  <c:v>0.7059375</c:v>
                </c:pt>
                <c:pt idx="1530">
                  <c:v>0.70623842592592589</c:v>
                </c:pt>
                <c:pt idx="1531">
                  <c:v>0.70629629629629631</c:v>
                </c:pt>
                <c:pt idx="1532">
                  <c:v>0.70640046296296299</c:v>
                </c:pt>
                <c:pt idx="1533">
                  <c:v>0.70660879629629625</c:v>
                </c:pt>
                <c:pt idx="1534">
                  <c:v>0.70665509259259263</c:v>
                </c:pt>
                <c:pt idx="1535">
                  <c:v>0.70666666666666667</c:v>
                </c:pt>
                <c:pt idx="1536">
                  <c:v>0.70682870370370365</c:v>
                </c:pt>
                <c:pt idx="1537">
                  <c:v>0.70712962962962955</c:v>
                </c:pt>
                <c:pt idx="1538">
                  <c:v>0.70718749999999997</c:v>
                </c:pt>
                <c:pt idx="1539">
                  <c:v>0.70733796296296303</c:v>
                </c:pt>
                <c:pt idx="1540">
                  <c:v>0.70739583333333333</c:v>
                </c:pt>
                <c:pt idx="1541">
                  <c:v>0.70750000000000002</c:v>
                </c:pt>
                <c:pt idx="1542">
                  <c:v>0.70758101851851851</c:v>
                </c:pt>
                <c:pt idx="1543">
                  <c:v>0.70767361111111116</c:v>
                </c:pt>
                <c:pt idx="1544">
                  <c:v>0.70789351851851856</c:v>
                </c:pt>
                <c:pt idx="1545">
                  <c:v>0.70813657407407404</c:v>
                </c:pt>
                <c:pt idx="1546">
                  <c:v>0.70825231481481488</c:v>
                </c:pt>
                <c:pt idx="1547">
                  <c:v>0.70827546296296295</c:v>
                </c:pt>
                <c:pt idx="1548">
                  <c:v>0.70833333333333337</c:v>
                </c:pt>
                <c:pt idx="1549">
                  <c:v>0.70833333333333337</c:v>
                </c:pt>
                <c:pt idx="1550">
                  <c:v>0.70834490740740741</c:v>
                </c:pt>
                <c:pt idx="1551">
                  <c:v>0.70834490740740741</c:v>
                </c:pt>
                <c:pt idx="1552">
                  <c:v>0.70834490740740741</c:v>
                </c:pt>
                <c:pt idx="1553">
                  <c:v>0.70835648148148145</c:v>
                </c:pt>
                <c:pt idx="1554">
                  <c:v>0.70835648148148145</c:v>
                </c:pt>
                <c:pt idx="1555">
                  <c:v>0.70835648148148145</c:v>
                </c:pt>
                <c:pt idx="1556">
                  <c:v>0.70836805555555549</c:v>
                </c:pt>
                <c:pt idx="1557">
                  <c:v>0.70840277777777771</c:v>
                </c:pt>
                <c:pt idx="1558">
                  <c:v>0.70847222222222228</c:v>
                </c:pt>
                <c:pt idx="1559">
                  <c:v>0.70849537037037036</c:v>
                </c:pt>
                <c:pt idx="1560">
                  <c:v>0.70851851851851855</c:v>
                </c:pt>
                <c:pt idx="1561">
                  <c:v>0.70868055555555554</c:v>
                </c:pt>
                <c:pt idx="1562">
                  <c:v>0.70869212962962969</c:v>
                </c:pt>
                <c:pt idx="1563">
                  <c:v>0.70900462962962962</c:v>
                </c:pt>
                <c:pt idx="1564">
                  <c:v>0.70907407407407408</c:v>
                </c:pt>
                <c:pt idx="1565">
                  <c:v>0.70907407407407408</c:v>
                </c:pt>
                <c:pt idx="1566">
                  <c:v>0.70918981481481491</c:v>
                </c:pt>
                <c:pt idx="1567">
                  <c:v>0.70921296296296299</c:v>
                </c:pt>
                <c:pt idx="1568">
                  <c:v>0.70928240740740733</c:v>
                </c:pt>
                <c:pt idx="1569">
                  <c:v>0.70934027777777775</c:v>
                </c:pt>
                <c:pt idx="1570">
                  <c:v>0.70939814814814817</c:v>
                </c:pt>
                <c:pt idx="1571">
                  <c:v>0.70951388888888889</c:v>
                </c:pt>
                <c:pt idx="1572">
                  <c:v>0.70953703703703708</c:v>
                </c:pt>
                <c:pt idx="1573">
                  <c:v>0.70958333333333334</c:v>
                </c:pt>
                <c:pt idx="1574">
                  <c:v>0.7096527777777778</c:v>
                </c:pt>
                <c:pt idx="1575">
                  <c:v>0.70966435185185184</c:v>
                </c:pt>
                <c:pt idx="1576">
                  <c:v>0.70966435185185184</c:v>
                </c:pt>
                <c:pt idx="1577">
                  <c:v>0.70968749999999992</c:v>
                </c:pt>
                <c:pt idx="1578">
                  <c:v>0.70972222222222225</c:v>
                </c:pt>
                <c:pt idx="1579">
                  <c:v>0.70973379629629629</c:v>
                </c:pt>
                <c:pt idx="1580">
                  <c:v>0.70978009259259256</c:v>
                </c:pt>
                <c:pt idx="1581">
                  <c:v>0.70998842592592604</c:v>
                </c:pt>
                <c:pt idx="1582">
                  <c:v>0.71009259259259261</c:v>
                </c:pt>
                <c:pt idx="1583">
                  <c:v>0.71048611111111104</c:v>
                </c:pt>
                <c:pt idx="1584">
                  <c:v>0.71054398148148146</c:v>
                </c:pt>
                <c:pt idx="1585">
                  <c:v>0.71054398148148146</c:v>
                </c:pt>
                <c:pt idx="1586">
                  <c:v>0.71056712962962953</c:v>
                </c:pt>
                <c:pt idx="1587">
                  <c:v>0.71056712962962953</c:v>
                </c:pt>
                <c:pt idx="1588">
                  <c:v>0.71056712962962953</c:v>
                </c:pt>
                <c:pt idx="1589">
                  <c:v>0.71062499999999995</c:v>
                </c:pt>
                <c:pt idx="1590">
                  <c:v>0.71067129629629633</c:v>
                </c:pt>
                <c:pt idx="1591">
                  <c:v>0.7107175925925926</c:v>
                </c:pt>
                <c:pt idx="1592">
                  <c:v>0.7107175925925926</c:v>
                </c:pt>
                <c:pt idx="1593">
                  <c:v>0.71077546296296301</c:v>
                </c:pt>
                <c:pt idx="1594">
                  <c:v>0.71099537037037042</c:v>
                </c:pt>
                <c:pt idx="1595">
                  <c:v>0.71119212962962963</c:v>
                </c:pt>
                <c:pt idx="1596">
                  <c:v>0.7112384259259259</c:v>
                </c:pt>
                <c:pt idx="1597">
                  <c:v>0.71129629629629632</c:v>
                </c:pt>
                <c:pt idx="1598">
                  <c:v>0.71149305555555553</c:v>
                </c:pt>
                <c:pt idx="1599">
                  <c:v>0.71150462962962957</c:v>
                </c:pt>
                <c:pt idx="1600">
                  <c:v>0.71157407407407414</c:v>
                </c:pt>
                <c:pt idx="1601">
                  <c:v>0.71190972222222226</c:v>
                </c:pt>
                <c:pt idx="1602">
                  <c:v>0.71194444444444438</c:v>
                </c:pt>
                <c:pt idx="1603">
                  <c:v>0.71219907407407401</c:v>
                </c:pt>
                <c:pt idx="1604">
                  <c:v>0.71251157407407406</c:v>
                </c:pt>
                <c:pt idx="1605">
                  <c:v>0.71258101851851852</c:v>
                </c:pt>
                <c:pt idx="1606">
                  <c:v>0.71259259259259267</c:v>
                </c:pt>
                <c:pt idx="1607">
                  <c:v>0.71267361111111116</c:v>
                </c:pt>
                <c:pt idx="1608">
                  <c:v>0.7128472222222223</c:v>
                </c:pt>
                <c:pt idx="1609">
                  <c:v>0.71288194444444442</c:v>
                </c:pt>
                <c:pt idx="1610">
                  <c:v>0.71347222222222229</c:v>
                </c:pt>
                <c:pt idx="1611">
                  <c:v>0.71351851851851855</c:v>
                </c:pt>
                <c:pt idx="1612">
                  <c:v>0.71353009259259259</c:v>
                </c:pt>
                <c:pt idx="1613">
                  <c:v>0.71358796296296301</c:v>
                </c:pt>
                <c:pt idx="1614">
                  <c:v>0.71359953703703705</c:v>
                </c:pt>
                <c:pt idx="1615">
                  <c:v>0.71393518518518517</c:v>
                </c:pt>
                <c:pt idx="1616">
                  <c:v>0.71409722222222216</c:v>
                </c:pt>
                <c:pt idx="1617">
                  <c:v>0.71452546296296304</c:v>
                </c:pt>
                <c:pt idx="1618">
                  <c:v>0.71474537037037045</c:v>
                </c:pt>
                <c:pt idx="1619">
                  <c:v>0.71484953703703702</c:v>
                </c:pt>
                <c:pt idx="1620">
                  <c:v>0.71506944444444442</c:v>
                </c:pt>
                <c:pt idx="1621">
                  <c:v>0.71531250000000002</c:v>
                </c:pt>
                <c:pt idx="1622">
                  <c:v>0.7153356481481481</c:v>
                </c:pt>
                <c:pt idx="1623">
                  <c:v>0.71537037037037043</c:v>
                </c:pt>
                <c:pt idx="1624">
                  <c:v>0.71542824074074074</c:v>
                </c:pt>
                <c:pt idx="1625">
                  <c:v>0.71546296296296286</c:v>
                </c:pt>
                <c:pt idx="1626">
                  <c:v>0.71549768518518519</c:v>
                </c:pt>
                <c:pt idx="1627">
                  <c:v>0.7155555555555555</c:v>
                </c:pt>
                <c:pt idx="1628">
                  <c:v>0.71576388888888898</c:v>
                </c:pt>
                <c:pt idx="1629">
                  <c:v>0.71589120370370374</c:v>
                </c:pt>
                <c:pt idx="1630">
                  <c:v>0.71621527777777771</c:v>
                </c:pt>
                <c:pt idx="1631">
                  <c:v>0.71629629629629632</c:v>
                </c:pt>
                <c:pt idx="1632">
                  <c:v>0.71681712962962962</c:v>
                </c:pt>
                <c:pt idx="1633">
                  <c:v>0.71688657407407408</c:v>
                </c:pt>
                <c:pt idx="1634">
                  <c:v>0.71689814814814812</c:v>
                </c:pt>
                <c:pt idx="1635">
                  <c:v>0.71710648148148148</c:v>
                </c:pt>
                <c:pt idx="1636">
                  <c:v>0.7176851851851852</c:v>
                </c:pt>
                <c:pt idx="1637">
                  <c:v>0.71773148148148147</c:v>
                </c:pt>
                <c:pt idx="1638">
                  <c:v>0.71775462962962966</c:v>
                </c:pt>
                <c:pt idx="1639">
                  <c:v>0.71782407407407411</c:v>
                </c:pt>
                <c:pt idx="1640">
                  <c:v>0.71797453703703706</c:v>
                </c:pt>
                <c:pt idx="1641">
                  <c:v>0.71802083333333344</c:v>
                </c:pt>
                <c:pt idx="1642">
                  <c:v>0.71821759259259255</c:v>
                </c:pt>
                <c:pt idx="1643">
                  <c:v>0.71825231481481477</c:v>
                </c:pt>
                <c:pt idx="1644">
                  <c:v>0.71863425925925928</c:v>
                </c:pt>
                <c:pt idx="1645">
                  <c:v>0.71865740740740736</c:v>
                </c:pt>
                <c:pt idx="1646">
                  <c:v>0.71873842592592585</c:v>
                </c:pt>
                <c:pt idx="1647">
                  <c:v>0.71877314814814808</c:v>
                </c:pt>
                <c:pt idx="1648">
                  <c:v>0.71880787037037042</c:v>
                </c:pt>
                <c:pt idx="1649">
                  <c:v>0.71902777777777782</c:v>
                </c:pt>
                <c:pt idx="1650">
                  <c:v>0.7193518518518518</c:v>
                </c:pt>
                <c:pt idx="1651">
                  <c:v>0.71949074074074071</c:v>
                </c:pt>
                <c:pt idx="1652">
                  <c:v>0.71954861111111112</c:v>
                </c:pt>
                <c:pt idx="1653">
                  <c:v>0.71996527777777775</c:v>
                </c:pt>
                <c:pt idx="1654">
                  <c:v>0.71998842592592593</c:v>
                </c:pt>
                <c:pt idx="1655">
                  <c:v>0.72000000000000008</c:v>
                </c:pt>
                <c:pt idx="1656">
                  <c:v>0.72015046296296292</c:v>
                </c:pt>
                <c:pt idx="1657">
                  <c:v>0.72017361111111111</c:v>
                </c:pt>
                <c:pt idx="1658">
                  <c:v>0.72019675925925919</c:v>
                </c:pt>
                <c:pt idx="1659">
                  <c:v>0.72045138888888882</c:v>
                </c:pt>
                <c:pt idx="1660">
                  <c:v>0.72050925925925924</c:v>
                </c:pt>
                <c:pt idx="1661">
                  <c:v>0.72052083333333339</c:v>
                </c:pt>
                <c:pt idx="1662">
                  <c:v>0.72064814814814815</c:v>
                </c:pt>
                <c:pt idx="1663">
                  <c:v>0.72121527777777772</c:v>
                </c:pt>
                <c:pt idx="1664">
                  <c:v>0.72153935185185192</c:v>
                </c:pt>
                <c:pt idx="1665">
                  <c:v>0.72155092592592596</c:v>
                </c:pt>
                <c:pt idx="1666">
                  <c:v>0.72180555555555559</c:v>
                </c:pt>
                <c:pt idx="1667">
                  <c:v>0.72188657407407408</c:v>
                </c:pt>
                <c:pt idx="1668">
                  <c:v>0.7219444444444445</c:v>
                </c:pt>
                <c:pt idx="1669">
                  <c:v>0.72204861111111107</c:v>
                </c:pt>
                <c:pt idx="1670">
                  <c:v>0.72231481481481474</c:v>
                </c:pt>
                <c:pt idx="1671">
                  <c:v>0.72291666666666676</c:v>
                </c:pt>
                <c:pt idx="1672">
                  <c:v>0.72310185185185183</c:v>
                </c:pt>
                <c:pt idx="1673">
                  <c:v>0.72310185185185183</c:v>
                </c:pt>
                <c:pt idx="1674">
                  <c:v>0.72356481481481483</c:v>
                </c:pt>
                <c:pt idx="1675">
                  <c:v>0.72357638888888898</c:v>
                </c:pt>
                <c:pt idx="1676">
                  <c:v>0.72362268518518524</c:v>
                </c:pt>
                <c:pt idx="1677">
                  <c:v>0.72368055555555555</c:v>
                </c:pt>
                <c:pt idx="1678">
                  <c:v>0.72372685185185182</c:v>
                </c:pt>
                <c:pt idx="1679">
                  <c:v>0.72386574074074073</c:v>
                </c:pt>
                <c:pt idx="1680">
                  <c:v>0.72406250000000005</c:v>
                </c:pt>
                <c:pt idx="1681">
                  <c:v>0.72414351851851855</c:v>
                </c:pt>
                <c:pt idx="1682">
                  <c:v>0.72439814814814818</c:v>
                </c:pt>
                <c:pt idx="1683">
                  <c:v>0.72462962962962962</c:v>
                </c:pt>
                <c:pt idx="1684">
                  <c:v>0.72478009259259257</c:v>
                </c:pt>
                <c:pt idx="1685">
                  <c:v>0.72496527777777775</c:v>
                </c:pt>
                <c:pt idx="1686">
                  <c:v>0.72498842592592594</c:v>
                </c:pt>
                <c:pt idx="1687">
                  <c:v>0.72504629629629624</c:v>
                </c:pt>
                <c:pt idx="1688">
                  <c:v>0.72517361111111101</c:v>
                </c:pt>
                <c:pt idx="1689">
                  <c:v>0.7251967592592593</c:v>
                </c:pt>
                <c:pt idx="1690">
                  <c:v>0.7251967592592593</c:v>
                </c:pt>
                <c:pt idx="1691">
                  <c:v>0.72521990740740738</c:v>
                </c:pt>
                <c:pt idx="1692">
                  <c:v>0.72524305555555557</c:v>
                </c:pt>
                <c:pt idx="1693">
                  <c:v>0.72535879629629629</c:v>
                </c:pt>
                <c:pt idx="1694">
                  <c:v>0.72552083333333339</c:v>
                </c:pt>
                <c:pt idx="1695">
                  <c:v>0.72591435185185194</c:v>
                </c:pt>
                <c:pt idx="1696">
                  <c:v>0.72601851851851851</c:v>
                </c:pt>
                <c:pt idx="1697">
                  <c:v>0.72643518518518524</c:v>
                </c:pt>
                <c:pt idx="1698">
                  <c:v>0.72646990740740736</c:v>
                </c:pt>
                <c:pt idx="1699">
                  <c:v>0.72650462962962958</c:v>
                </c:pt>
                <c:pt idx="1700">
                  <c:v>0.72666666666666668</c:v>
                </c:pt>
                <c:pt idx="1701">
                  <c:v>0.72692129629629632</c:v>
                </c:pt>
                <c:pt idx="1702">
                  <c:v>0.72707175925925915</c:v>
                </c:pt>
                <c:pt idx="1703">
                  <c:v>0.72722222222222221</c:v>
                </c:pt>
                <c:pt idx="1704">
                  <c:v>0.72734953703703698</c:v>
                </c:pt>
                <c:pt idx="1705">
                  <c:v>0.72807870370370376</c:v>
                </c:pt>
                <c:pt idx="1706">
                  <c:v>0.7287499999999999</c:v>
                </c:pt>
                <c:pt idx="1707">
                  <c:v>0.72884259259259254</c:v>
                </c:pt>
                <c:pt idx="1708">
                  <c:v>0.72895833333333337</c:v>
                </c:pt>
                <c:pt idx="1709">
                  <c:v>0.72903935185185187</c:v>
                </c:pt>
                <c:pt idx="1710">
                  <c:v>0.72909722222222229</c:v>
                </c:pt>
                <c:pt idx="1711">
                  <c:v>0.72917824074074078</c:v>
                </c:pt>
                <c:pt idx="1712">
                  <c:v>0.72918981481481471</c:v>
                </c:pt>
                <c:pt idx="1713">
                  <c:v>0.72920138888888886</c:v>
                </c:pt>
                <c:pt idx="1714">
                  <c:v>0.72920138888888886</c:v>
                </c:pt>
                <c:pt idx="1715">
                  <c:v>0.72922453703703705</c:v>
                </c:pt>
                <c:pt idx="1716">
                  <c:v>0.72931712962962969</c:v>
                </c:pt>
                <c:pt idx="1717">
                  <c:v>0.72935185185185192</c:v>
                </c:pt>
                <c:pt idx="1718">
                  <c:v>0.72953703703703709</c:v>
                </c:pt>
                <c:pt idx="1719">
                  <c:v>0.72964120370370367</c:v>
                </c:pt>
                <c:pt idx="1720">
                  <c:v>0.72982638888888884</c:v>
                </c:pt>
                <c:pt idx="1721">
                  <c:v>0.7298958333333333</c:v>
                </c:pt>
                <c:pt idx="1722">
                  <c:v>0.73</c:v>
                </c:pt>
                <c:pt idx="1723">
                  <c:v>0.73001157407407413</c:v>
                </c:pt>
                <c:pt idx="1724">
                  <c:v>0.73008101851851848</c:v>
                </c:pt>
                <c:pt idx="1725">
                  <c:v>0.73016203703703697</c:v>
                </c:pt>
                <c:pt idx="1726">
                  <c:v>0.73040509259259256</c:v>
                </c:pt>
                <c:pt idx="1727">
                  <c:v>0.73041666666666671</c:v>
                </c:pt>
                <c:pt idx="1728">
                  <c:v>0.73043981481481479</c:v>
                </c:pt>
                <c:pt idx="1729">
                  <c:v>0.73046296296296298</c:v>
                </c:pt>
                <c:pt idx="1730">
                  <c:v>0.73086805555555545</c:v>
                </c:pt>
                <c:pt idx="1731">
                  <c:v>0.73128472222222218</c:v>
                </c:pt>
                <c:pt idx="1732">
                  <c:v>0.73133101851851856</c:v>
                </c:pt>
                <c:pt idx="1733">
                  <c:v>0.73159722222222223</c:v>
                </c:pt>
                <c:pt idx="1734">
                  <c:v>0.73178240740740741</c:v>
                </c:pt>
                <c:pt idx="1735">
                  <c:v>0.7318634259259259</c:v>
                </c:pt>
                <c:pt idx="1736">
                  <c:v>0.73192129629629632</c:v>
                </c:pt>
                <c:pt idx="1737">
                  <c:v>0.73233796296296294</c:v>
                </c:pt>
                <c:pt idx="1738">
                  <c:v>0.73238425925925921</c:v>
                </c:pt>
                <c:pt idx="1739">
                  <c:v>0.73245370370370377</c:v>
                </c:pt>
                <c:pt idx="1740">
                  <c:v>0.73266203703703703</c:v>
                </c:pt>
                <c:pt idx="1741">
                  <c:v>0.73275462962962967</c:v>
                </c:pt>
                <c:pt idx="1742">
                  <c:v>0.73291666666666666</c:v>
                </c:pt>
                <c:pt idx="1743">
                  <c:v>0.73302083333333334</c:v>
                </c:pt>
                <c:pt idx="1744">
                  <c:v>0.73311342592592599</c:v>
                </c:pt>
                <c:pt idx="1745">
                  <c:v>0.73324074074074075</c:v>
                </c:pt>
                <c:pt idx="1746">
                  <c:v>0.73342592592592604</c:v>
                </c:pt>
                <c:pt idx="1747">
                  <c:v>0.73346064814814815</c:v>
                </c:pt>
                <c:pt idx="1748">
                  <c:v>0.73378472222222213</c:v>
                </c:pt>
                <c:pt idx="1749">
                  <c:v>0.7338541666666667</c:v>
                </c:pt>
                <c:pt idx="1750">
                  <c:v>0.73392361111111104</c:v>
                </c:pt>
                <c:pt idx="1751">
                  <c:v>0.73432870370370373</c:v>
                </c:pt>
                <c:pt idx="1752">
                  <c:v>0.73435185185185192</c:v>
                </c:pt>
                <c:pt idx="1753">
                  <c:v>0.73472222222222217</c:v>
                </c:pt>
                <c:pt idx="1754">
                  <c:v>0.73501157407407414</c:v>
                </c:pt>
                <c:pt idx="1755">
                  <c:v>0.73527777777777781</c:v>
                </c:pt>
                <c:pt idx="1756">
                  <c:v>0.7353587962962963</c:v>
                </c:pt>
                <c:pt idx="1757">
                  <c:v>0.73541666666666661</c:v>
                </c:pt>
                <c:pt idx="1758">
                  <c:v>0.7359837962962964</c:v>
                </c:pt>
                <c:pt idx="1759">
                  <c:v>0.73603009259259267</c:v>
                </c:pt>
                <c:pt idx="1760">
                  <c:v>0.73612268518518509</c:v>
                </c:pt>
                <c:pt idx="1761">
                  <c:v>0.73629629629629623</c:v>
                </c:pt>
                <c:pt idx="1762">
                  <c:v>0.73649305555555555</c:v>
                </c:pt>
                <c:pt idx="1763">
                  <c:v>0.73652777777777778</c:v>
                </c:pt>
                <c:pt idx="1764">
                  <c:v>0.73659722222222224</c:v>
                </c:pt>
                <c:pt idx="1765">
                  <c:v>0.73664351851851861</c:v>
                </c:pt>
                <c:pt idx="1766">
                  <c:v>0.73672453703703711</c:v>
                </c:pt>
                <c:pt idx="1767">
                  <c:v>0.73692129629629621</c:v>
                </c:pt>
                <c:pt idx="1768">
                  <c:v>0.73697916666666663</c:v>
                </c:pt>
                <c:pt idx="1769">
                  <c:v>0.73700231481481471</c:v>
                </c:pt>
                <c:pt idx="1770">
                  <c:v>0.73706018518518512</c:v>
                </c:pt>
                <c:pt idx="1771">
                  <c:v>0.73714120370370362</c:v>
                </c:pt>
                <c:pt idx="1772">
                  <c:v>0.73714120370370362</c:v>
                </c:pt>
                <c:pt idx="1773">
                  <c:v>0.73736111111111102</c:v>
                </c:pt>
                <c:pt idx="1774">
                  <c:v>0.73743055555555559</c:v>
                </c:pt>
                <c:pt idx="1775">
                  <c:v>0.73765046296296299</c:v>
                </c:pt>
                <c:pt idx="1776">
                  <c:v>0.73774305555555564</c:v>
                </c:pt>
                <c:pt idx="1777">
                  <c:v>0.73782407407407413</c:v>
                </c:pt>
                <c:pt idx="1778">
                  <c:v>0.73803240740740739</c:v>
                </c:pt>
                <c:pt idx="1779">
                  <c:v>0.73810185185185195</c:v>
                </c:pt>
                <c:pt idx="1780">
                  <c:v>0.73850694444444442</c:v>
                </c:pt>
                <c:pt idx="1781">
                  <c:v>0.7386921296296296</c:v>
                </c:pt>
                <c:pt idx="1782">
                  <c:v>0.73879629629629628</c:v>
                </c:pt>
                <c:pt idx="1783">
                  <c:v>0.7388541666666667</c:v>
                </c:pt>
                <c:pt idx="1784">
                  <c:v>0.73913194444444441</c:v>
                </c:pt>
                <c:pt idx="1785">
                  <c:v>0.73923611111111109</c:v>
                </c:pt>
                <c:pt idx="1786">
                  <c:v>0.73931712962962959</c:v>
                </c:pt>
                <c:pt idx="1787">
                  <c:v>0.73938657407407404</c:v>
                </c:pt>
                <c:pt idx="1788">
                  <c:v>0.73960648148148145</c:v>
                </c:pt>
                <c:pt idx="1789">
                  <c:v>0.73969907407407398</c:v>
                </c:pt>
                <c:pt idx="1790">
                  <c:v>0.73982638888888896</c:v>
                </c:pt>
                <c:pt idx="1791">
                  <c:v>0.73996527777777776</c:v>
                </c:pt>
                <c:pt idx="1792">
                  <c:v>0.74055555555555552</c:v>
                </c:pt>
                <c:pt idx="1793">
                  <c:v>0.74065972222222232</c:v>
                </c:pt>
                <c:pt idx="1794">
                  <c:v>0.74069444444444443</c:v>
                </c:pt>
                <c:pt idx="1795">
                  <c:v>0.74124999999999996</c:v>
                </c:pt>
                <c:pt idx="1796">
                  <c:v>0.74131944444444453</c:v>
                </c:pt>
                <c:pt idx="1797">
                  <c:v>0.74133101851851846</c:v>
                </c:pt>
                <c:pt idx="1798">
                  <c:v>0.74168981481481477</c:v>
                </c:pt>
                <c:pt idx="1799">
                  <c:v>0.74184027777777783</c:v>
                </c:pt>
                <c:pt idx="1800">
                  <c:v>0.74230324074074072</c:v>
                </c:pt>
                <c:pt idx="1801">
                  <c:v>0.74231481481481476</c:v>
                </c:pt>
                <c:pt idx="1802">
                  <c:v>0.74239583333333325</c:v>
                </c:pt>
                <c:pt idx="1803">
                  <c:v>0.7424884259259259</c:v>
                </c:pt>
                <c:pt idx="1804">
                  <c:v>0.74262731481481481</c:v>
                </c:pt>
                <c:pt idx="1805">
                  <c:v>0.74266203703703704</c:v>
                </c:pt>
                <c:pt idx="1806">
                  <c:v>0.74293981481481486</c:v>
                </c:pt>
                <c:pt idx="1807">
                  <c:v>0.74307870370370377</c:v>
                </c:pt>
                <c:pt idx="1808">
                  <c:v>0.74311342592592589</c:v>
                </c:pt>
                <c:pt idx="1809">
                  <c:v>0.74312500000000004</c:v>
                </c:pt>
                <c:pt idx="1810">
                  <c:v>0.74315972222222226</c:v>
                </c:pt>
                <c:pt idx="1811">
                  <c:v>0.74362268518518526</c:v>
                </c:pt>
                <c:pt idx="1812">
                  <c:v>0.74381944444444448</c:v>
                </c:pt>
                <c:pt idx="1813">
                  <c:v>0.74418981481481483</c:v>
                </c:pt>
                <c:pt idx="1814">
                  <c:v>0.74421296296296291</c:v>
                </c:pt>
                <c:pt idx="1815">
                  <c:v>0.7442939814814814</c:v>
                </c:pt>
                <c:pt idx="1816">
                  <c:v>0.74450231481481488</c:v>
                </c:pt>
                <c:pt idx="1817">
                  <c:v>0.74450231481481488</c:v>
                </c:pt>
                <c:pt idx="1818">
                  <c:v>0.74465277777777772</c:v>
                </c:pt>
                <c:pt idx="1819">
                  <c:v>0.74486111111111108</c:v>
                </c:pt>
                <c:pt idx="1820">
                  <c:v>0.74488425925925927</c:v>
                </c:pt>
                <c:pt idx="1821">
                  <c:v>0.7449189814814815</c:v>
                </c:pt>
                <c:pt idx="1822">
                  <c:v>0.74505787037037041</c:v>
                </c:pt>
                <c:pt idx="1823">
                  <c:v>0.74512731481481476</c:v>
                </c:pt>
                <c:pt idx="1824">
                  <c:v>0.74526620370370367</c:v>
                </c:pt>
                <c:pt idx="1825">
                  <c:v>0.74550925925925926</c:v>
                </c:pt>
                <c:pt idx="1826">
                  <c:v>0.74609953703703702</c:v>
                </c:pt>
                <c:pt idx="1827">
                  <c:v>0.74635416666666676</c:v>
                </c:pt>
                <c:pt idx="1828">
                  <c:v>0.74671296296296286</c:v>
                </c:pt>
                <c:pt idx="1829">
                  <c:v>0.74695601851851856</c:v>
                </c:pt>
                <c:pt idx="1830">
                  <c:v>0.74714120370370374</c:v>
                </c:pt>
                <c:pt idx="1831">
                  <c:v>0.74755787037037036</c:v>
                </c:pt>
                <c:pt idx="1832">
                  <c:v>0.74760416666666663</c:v>
                </c:pt>
                <c:pt idx="1833">
                  <c:v>0.74761574074074078</c:v>
                </c:pt>
                <c:pt idx="1834">
                  <c:v>0.74803240740740751</c:v>
                </c:pt>
                <c:pt idx="1835">
                  <c:v>0.74821759259259257</c:v>
                </c:pt>
                <c:pt idx="1836">
                  <c:v>0.74846064814814817</c:v>
                </c:pt>
                <c:pt idx="1837">
                  <c:v>0.74854166666666666</c:v>
                </c:pt>
                <c:pt idx="1838">
                  <c:v>0.74869212962962972</c:v>
                </c:pt>
                <c:pt idx="1839">
                  <c:v>0.74874999999999992</c:v>
                </c:pt>
                <c:pt idx="1840">
                  <c:v>0.7489351851851852</c:v>
                </c:pt>
                <c:pt idx="1841">
                  <c:v>0.74916666666666665</c:v>
                </c:pt>
                <c:pt idx="1842">
                  <c:v>0.74954861111111104</c:v>
                </c:pt>
                <c:pt idx="1843">
                  <c:v>0.74979166666666675</c:v>
                </c:pt>
                <c:pt idx="1844">
                  <c:v>0.74979166666666675</c:v>
                </c:pt>
                <c:pt idx="1845">
                  <c:v>0.74990740740740736</c:v>
                </c:pt>
                <c:pt idx="1846">
                  <c:v>0.74995370370370373</c:v>
                </c:pt>
                <c:pt idx="1847">
                  <c:v>0.75</c:v>
                </c:pt>
                <c:pt idx="1848">
                  <c:v>0.75001157407407415</c:v>
                </c:pt>
                <c:pt idx="1849">
                  <c:v>0.75002314814814808</c:v>
                </c:pt>
                <c:pt idx="1850">
                  <c:v>0.75002314814814808</c:v>
                </c:pt>
                <c:pt idx="1851">
                  <c:v>0.75002314814814808</c:v>
                </c:pt>
                <c:pt idx="1852">
                  <c:v>0.75002314814814808</c:v>
                </c:pt>
                <c:pt idx="1853">
                  <c:v>0.75002314814814808</c:v>
                </c:pt>
                <c:pt idx="1854">
                  <c:v>0.75006944444444434</c:v>
                </c:pt>
                <c:pt idx="1855">
                  <c:v>0.75006944444444434</c:v>
                </c:pt>
                <c:pt idx="1856">
                  <c:v>0.75008101851851849</c:v>
                </c:pt>
                <c:pt idx="1857">
                  <c:v>0.75016203703703699</c:v>
                </c:pt>
                <c:pt idx="1858">
                  <c:v>0.75019675925925933</c:v>
                </c:pt>
                <c:pt idx="1859">
                  <c:v>0.75025462962962963</c:v>
                </c:pt>
                <c:pt idx="1860">
                  <c:v>0.75028935185185175</c:v>
                </c:pt>
                <c:pt idx="1861">
                  <c:v>0.7503009259259259</c:v>
                </c:pt>
                <c:pt idx="1862">
                  <c:v>0.75035879629629632</c:v>
                </c:pt>
                <c:pt idx="1863">
                  <c:v>0.75037037037037047</c:v>
                </c:pt>
                <c:pt idx="1864">
                  <c:v>0.75070601851851848</c:v>
                </c:pt>
                <c:pt idx="1865">
                  <c:v>0.75079861111111112</c:v>
                </c:pt>
                <c:pt idx="1866">
                  <c:v>0.75092592592592589</c:v>
                </c:pt>
                <c:pt idx="1867">
                  <c:v>0.75093750000000004</c:v>
                </c:pt>
                <c:pt idx="1868">
                  <c:v>0.7509837962962963</c:v>
                </c:pt>
                <c:pt idx="1869">
                  <c:v>0.7512847222222222</c:v>
                </c:pt>
                <c:pt idx="1870">
                  <c:v>0.75134259259259262</c:v>
                </c:pt>
                <c:pt idx="1871">
                  <c:v>0.75149305555555557</c:v>
                </c:pt>
                <c:pt idx="1872">
                  <c:v>0.75162037037037033</c:v>
                </c:pt>
                <c:pt idx="1873">
                  <c:v>0.75167824074074074</c:v>
                </c:pt>
                <c:pt idx="1874">
                  <c:v>0.75168981481481489</c:v>
                </c:pt>
                <c:pt idx="1875">
                  <c:v>0.75174768518518509</c:v>
                </c:pt>
                <c:pt idx="1876">
                  <c:v>0.75175925925925924</c:v>
                </c:pt>
                <c:pt idx="1877">
                  <c:v>0.75177083333333339</c:v>
                </c:pt>
                <c:pt idx="1878">
                  <c:v>0.75179398148148147</c:v>
                </c:pt>
                <c:pt idx="1879">
                  <c:v>0.7518287037037038</c:v>
                </c:pt>
                <c:pt idx="1880">
                  <c:v>0.7519097222222223</c:v>
                </c:pt>
                <c:pt idx="1881">
                  <c:v>0.75196759259259249</c:v>
                </c:pt>
                <c:pt idx="1882">
                  <c:v>0.75211805555555555</c:v>
                </c:pt>
                <c:pt idx="1883">
                  <c:v>0.7522106481481482</c:v>
                </c:pt>
                <c:pt idx="1884">
                  <c:v>0.7522106481481482</c:v>
                </c:pt>
                <c:pt idx="1885">
                  <c:v>0.75224537037037031</c:v>
                </c:pt>
                <c:pt idx="1886">
                  <c:v>0.75226851851851861</c:v>
                </c:pt>
                <c:pt idx="1887">
                  <c:v>0.75230324074074073</c:v>
                </c:pt>
                <c:pt idx="1888">
                  <c:v>0.75230324074074073</c:v>
                </c:pt>
                <c:pt idx="1889">
                  <c:v>0.75232638888888881</c:v>
                </c:pt>
                <c:pt idx="1890">
                  <c:v>0.75236111111111115</c:v>
                </c:pt>
                <c:pt idx="1891">
                  <c:v>0.75249999999999995</c:v>
                </c:pt>
                <c:pt idx="1892">
                  <c:v>0.75253472222222229</c:v>
                </c:pt>
                <c:pt idx="1893">
                  <c:v>0.75262731481481471</c:v>
                </c:pt>
                <c:pt idx="1894">
                  <c:v>0.75276620370370362</c:v>
                </c:pt>
                <c:pt idx="1895">
                  <c:v>0.75291666666666668</c:v>
                </c:pt>
                <c:pt idx="1896">
                  <c:v>0.75293981481481476</c:v>
                </c:pt>
                <c:pt idx="1897">
                  <c:v>0.75318287037037035</c:v>
                </c:pt>
                <c:pt idx="1898">
                  <c:v>0.75321759259259258</c:v>
                </c:pt>
                <c:pt idx="1899">
                  <c:v>0.75328703703703714</c:v>
                </c:pt>
                <c:pt idx="1900">
                  <c:v>0.75336805555555564</c:v>
                </c:pt>
                <c:pt idx="1901">
                  <c:v>0.75357638888888889</c:v>
                </c:pt>
                <c:pt idx="1902">
                  <c:v>0.75358796296296304</c:v>
                </c:pt>
                <c:pt idx="1903">
                  <c:v>0.75372685185185195</c:v>
                </c:pt>
                <c:pt idx="1904">
                  <c:v>0.75385416666666671</c:v>
                </c:pt>
                <c:pt idx="1905">
                  <c:v>0.75412037037037039</c:v>
                </c:pt>
                <c:pt idx="1906">
                  <c:v>0.75432870370370375</c:v>
                </c:pt>
                <c:pt idx="1907">
                  <c:v>0.75432870370370375</c:v>
                </c:pt>
                <c:pt idx="1908">
                  <c:v>0.75434027777777779</c:v>
                </c:pt>
                <c:pt idx="1909">
                  <c:v>0.75434027777777779</c:v>
                </c:pt>
                <c:pt idx="1910">
                  <c:v>0.75451388888888893</c:v>
                </c:pt>
                <c:pt idx="1911">
                  <c:v>0.75462962962962965</c:v>
                </c:pt>
                <c:pt idx="1912">
                  <c:v>0.75484953703703705</c:v>
                </c:pt>
                <c:pt idx="1913">
                  <c:v>0.7550810185185185</c:v>
                </c:pt>
                <c:pt idx="1914">
                  <c:v>0.75526620370370379</c:v>
                </c:pt>
                <c:pt idx="1915">
                  <c:v>0.75550925925925927</c:v>
                </c:pt>
                <c:pt idx="1916">
                  <c:v>0.75559027777777776</c:v>
                </c:pt>
                <c:pt idx="1917">
                  <c:v>0.75559027777777776</c:v>
                </c:pt>
                <c:pt idx="1918">
                  <c:v>0.7556250000000001</c:v>
                </c:pt>
                <c:pt idx="1919">
                  <c:v>0.75564814814814818</c:v>
                </c:pt>
                <c:pt idx="1920">
                  <c:v>0.75577546296296294</c:v>
                </c:pt>
                <c:pt idx="1921">
                  <c:v>0.7560069444444445</c:v>
                </c:pt>
                <c:pt idx="1922">
                  <c:v>0.75648148148148142</c:v>
                </c:pt>
                <c:pt idx="1923">
                  <c:v>0.75653935185185184</c:v>
                </c:pt>
                <c:pt idx="1924">
                  <c:v>0.75673611111111105</c:v>
                </c:pt>
                <c:pt idx="1925">
                  <c:v>0.75697916666666665</c:v>
                </c:pt>
                <c:pt idx="1926">
                  <c:v>0.75700231481481473</c:v>
                </c:pt>
                <c:pt idx="1927">
                  <c:v>0.7570486111111111</c:v>
                </c:pt>
                <c:pt idx="1928">
                  <c:v>0.7571296296296296</c:v>
                </c:pt>
                <c:pt idx="1929">
                  <c:v>0.75722222222222213</c:v>
                </c:pt>
                <c:pt idx="1930">
                  <c:v>0.75730324074074085</c:v>
                </c:pt>
                <c:pt idx="1931">
                  <c:v>0.75740740740740742</c:v>
                </c:pt>
                <c:pt idx="1932">
                  <c:v>0.75748842592592591</c:v>
                </c:pt>
                <c:pt idx="1933">
                  <c:v>0.7575925925925926</c:v>
                </c:pt>
                <c:pt idx="1934">
                  <c:v>0.7575925925925926</c:v>
                </c:pt>
                <c:pt idx="1935">
                  <c:v>0.75814814814814813</c:v>
                </c:pt>
                <c:pt idx="1936">
                  <c:v>0.75835648148148149</c:v>
                </c:pt>
                <c:pt idx="1937">
                  <c:v>0.75850694444444444</c:v>
                </c:pt>
                <c:pt idx="1938">
                  <c:v>0.75859953703703698</c:v>
                </c:pt>
                <c:pt idx="1939">
                  <c:v>0.75865740740740739</c:v>
                </c:pt>
                <c:pt idx="1940">
                  <c:v>0.75873842592592589</c:v>
                </c:pt>
                <c:pt idx="1941">
                  <c:v>0.75885416666666661</c:v>
                </c:pt>
                <c:pt idx="1942">
                  <c:v>0.75892361111111117</c:v>
                </c:pt>
                <c:pt idx="1943">
                  <c:v>0.75902777777777775</c:v>
                </c:pt>
                <c:pt idx="1944">
                  <c:v>0.75906250000000008</c:v>
                </c:pt>
                <c:pt idx="1945">
                  <c:v>0.75957175925925924</c:v>
                </c:pt>
                <c:pt idx="1946">
                  <c:v>0.75968750000000007</c:v>
                </c:pt>
                <c:pt idx="1947">
                  <c:v>0.75971064814814815</c:v>
                </c:pt>
                <c:pt idx="1948">
                  <c:v>0.76015046296296296</c:v>
                </c:pt>
                <c:pt idx="1949">
                  <c:v>0.76033564814814814</c:v>
                </c:pt>
                <c:pt idx="1950">
                  <c:v>0.76038194444444451</c:v>
                </c:pt>
                <c:pt idx="1951">
                  <c:v>0.76043981481481471</c:v>
                </c:pt>
                <c:pt idx="1952">
                  <c:v>0.76043981481481471</c:v>
                </c:pt>
                <c:pt idx="1953">
                  <c:v>0.76072916666666668</c:v>
                </c:pt>
                <c:pt idx="1954">
                  <c:v>0.76094907407407408</c:v>
                </c:pt>
                <c:pt idx="1955">
                  <c:v>0.76105324074074077</c:v>
                </c:pt>
                <c:pt idx="1956">
                  <c:v>0.76109953703703714</c:v>
                </c:pt>
                <c:pt idx="1957">
                  <c:v>0.76126157407407413</c:v>
                </c:pt>
                <c:pt idx="1958">
                  <c:v>0.7613078703703704</c:v>
                </c:pt>
                <c:pt idx="1959">
                  <c:v>0.76131944444444455</c:v>
                </c:pt>
                <c:pt idx="1960">
                  <c:v>0.76131944444444455</c:v>
                </c:pt>
                <c:pt idx="1961">
                  <c:v>0.76142361111111112</c:v>
                </c:pt>
                <c:pt idx="1962">
                  <c:v>0.76151620370370365</c:v>
                </c:pt>
                <c:pt idx="1963">
                  <c:v>0.76186342592592593</c:v>
                </c:pt>
                <c:pt idx="1964">
                  <c:v>0.76187499999999997</c:v>
                </c:pt>
                <c:pt idx="1965">
                  <c:v>0.76188657407407412</c:v>
                </c:pt>
                <c:pt idx="1966">
                  <c:v>0.76210648148148152</c:v>
                </c:pt>
                <c:pt idx="1967">
                  <c:v>0.76247685185185177</c:v>
                </c:pt>
                <c:pt idx="1968">
                  <c:v>0.76253472222222218</c:v>
                </c:pt>
                <c:pt idx="1969">
                  <c:v>0.76269675925925917</c:v>
                </c:pt>
                <c:pt idx="1970">
                  <c:v>0.76270833333333332</c:v>
                </c:pt>
                <c:pt idx="1971">
                  <c:v>0.76271990740740747</c:v>
                </c:pt>
                <c:pt idx="1972">
                  <c:v>0.76275462962962959</c:v>
                </c:pt>
                <c:pt idx="1973">
                  <c:v>0.76297453703703699</c:v>
                </c:pt>
                <c:pt idx="1974">
                  <c:v>0.76313657407407398</c:v>
                </c:pt>
                <c:pt idx="1975">
                  <c:v>0.76334490740740746</c:v>
                </c:pt>
                <c:pt idx="1976">
                  <c:v>0.7634375000000001</c:v>
                </c:pt>
                <c:pt idx="1977">
                  <c:v>0.76354166666666667</c:v>
                </c:pt>
                <c:pt idx="1978">
                  <c:v>0.76421296296296293</c:v>
                </c:pt>
                <c:pt idx="1979">
                  <c:v>0.76427083333333334</c:v>
                </c:pt>
                <c:pt idx="1980">
                  <c:v>0.76428240740740738</c:v>
                </c:pt>
                <c:pt idx="1981">
                  <c:v>0.76450231481481479</c:v>
                </c:pt>
                <c:pt idx="1982">
                  <c:v>0.7645601851851852</c:v>
                </c:pt>
                <c:pt idx="1983">
                  <c:v>0.76484953703703706</c:v>
                </c:pt>
                <c:pt idx="1984">
                  <c:v>0.76501157407407405</c:v>
                </c:pt>
                <c:pt idx="1985">
                  <c:v>0.76513888888888892</c:v>
                </c:pt>
                <c:pt idx="1986">
                  <c:v>0.76527777777777783</c:v>
                </c:pt>
                <c:pt idx="1987">
                  <c:v>0.76538194444444441</c:v>
                </c:pt>
                <c:pt idx="1988">
                  <c:v>0.76579861111111114</c:v>
                </c:pt>
                <c:pt idx="1989">
                  <c:v>0.76581018518518518</c:v>
                </c:pt>
                <c:pt idx="1990">
                  <c:v>0.76618055555555553</c:v>
                </c:pt>
                <c:pt idx="1991">
                  <c:v>0.76652777777777781</c:v>
                </c:pt>
                <c:pt idx="1992">
                  <c:v>0.76652777777777781</c:v>
                </c:pt>
                <c:pt idx="1993">
                  <c:v>0.76677083333333329</c:v>
                </c:pt>
                <c:pt idx="1994">
                  <c:v>0.76695601851851858</c:v>
                </c:pt>
                <c:pt idx="1995">
                  <c:v>0.7672337962962964</c:v>
                </c:pt>
                <c:pt idx="1996">
                  <c:v>0.76730324074074074</c:v>
                </c:pt>
                <c:pt idx="1997">
                  <c:v>0.76761574074074079</c:v>
                </c:pt>
                <c:pt idx="1998">
                  <c:v>0.76770833333333333</c:v>
                </c:pt>
                <c:pt idx="1999">
                  <c:v>0.76776620370370363</c:v>
                </c:pt>
                <c:pt idx="2000">
                  <c:v>0.76780092592592597</c:v>
                </c:pt>
                <c:pt idx="2001">
                  <c:v>0.76790509259259254</c:v>
                </c:pt>
                <c:pt idx="2002">
                  <c:v>0.76809027777777772</c:v>
                </c:pt>
                <c:pt idx="2003">
                  <c:v>0.76827546296296301</c:v>
                </c:pt>
                <c:pt idx="2004">
                  <c:v>0.76827546296296301</c:v>
                </c:pt>
                <c:pt idx="2005">
                  <c:v>0.76840277777777777</c:v>
                </c:pt>
                <c:pt idx="2006">
                  <c:v>0.76841435185185192</c:v>
                </c:pt>
                <c:pt idx="2007">
                  <c:v>0.76871527777777782</c:v>
                </c:pt>
                <c:pt idx="2008">
                  <c:v>0.76872685185185186</c:v>
                </c:pt>
                <c:pt idx="2009">
                  <c:v>0.76893518518518522</c:v>
                </c:pt>
                <c:pt idx="2010">
                  <c:v>0.76949074074074064</c:v>
                </c:pt>
                <c:pt idx="2011">
                  <c:v>0.76961805555555562</c:v>
                </c:pt>
                <c:pt idx="2012">
                  <c:v>0.76968749999999997</c:v>
                </c:pt>
                <c:pt idx="2013">
                  <c:v>0.77032407407407411</c:v>
                </c:pt>
                <c:pt idx="2014">
                  <c:v>0.77053240740740747</c:v>
                </c:pt>
                <c:pt idx="2015">
                  <c:v>0.77059027777777767</c:v>
                </c:pt>
                <c:pt idx="2016">
                  <c:v>0.77083333333333337</c:v>
                </c:pt>
                <c:pt idx="2017">
                  <c:v>0.77085648148148145</c:v>
                </c:pt>
                <c:pt idx="2018">
                  <c:v>0.77086805555555549</c:v>
                </c:pt>
                <c:pt idx="2019">
                  <c:v>0.77104166666666663</c:v>
                </c:pt>
                <c:pt idx="2020">
                  <c:v>0.77116898148148139</c:v>
                </c:pt>
                <c:pt idx="2021">
                  <c:v>0.77118055555555554</c:v>
                </c:pt>
                <c:pt idx="2022">
                  <c:v>0.77129629629629637</c:v>
                </c:pt>
                <c:pt idx="2023">
                  <c:v>0.77131944444444445</c:v>
                </c:pt>
                <c:pt idx="2024">
                  <c:v>0.77137731481481486</c:v>
                </c:pt>
                <c:pt idx="2025">
                  <c:v>0.7715277777777777</c:v>
                </c:pt>
                <c:pt idx="2026">
                  <c:v>0.77166666666666661</c:v>
                </c:pt>
                <c:pt idx="2027">
                  <c:v>0.77190972222222232</c:v>
                </c:pt>
                <c:pt idx="2028">
                  <c:v>0.77204861111111101</c:v>
                </c:pt>
                <c:pt idx="2029">
                  <c:v>0.77208333333333334</c:v>
                </c:pt>
                <c:pt idx="2030">
                  <c:v>0.77230324074074075</c:v>
                </c:pt>
                <c:pt idx="2031">
                  <c:v>0.77238425925925924</c:v>
                </c:pt>
                <c:pt idx="2032">
                  <c:v>0.77252314814814815</c:v>
                </c:pt>
                <c:pt idx="2033">
                  <c:v>0.7726736111111111</c:v>
                </c:pt>
                <c:pt idx="2034">
                  <c:v>0.77306712962962953</c:v>
                </c:pt>
                <c:pt idx="2035">
                  <c:v>0.7731365740740741</c:v>
                </c:pt>
                <c:pt idx="2036">
                  <c:v>0.77317129629629633</c:v>
                </c:pt>
                <c:pt idx="2037">
                  <c:v>0.77336805555555566</c:v>
                </c:pt>
                <c:pt idx="2038">
                  <c:v>0.77348379629629627</c:v>
                </c:pt>
                <c:pt idx="2039">
                  <c:v>0.77350694444444434</c:v>
                </c:pt>
                <c:pt idx="2040">
                  <c:v>0.7736574074074074</c:v>
                </c:pt>
                <c:pt idx="2041">
                  <c:v>0.77375000000000005</c:v>
                </c:pt>
                <c:pt idx="2042">
                  <c:v>0.77399305555555553</c:v>
                </c:pt>
                <c:pt idx="2043">
                  <c:v>0.7745023148148148</c:v>
                </c:pt>
                <c:pt idx="2044">
                  <c:v>0.77460648148148137</c:v>
                </c:pt>
                <c:pt idx="2045">
                  <c:v>0.77462962962962967</c:v>
                </c:pt>
                <c:pt idx="2046">
                  <c:v>0.77481481481481485</c:v>
                </c:pt>
                <c:pt idx="2047">
                  <c:v>0.77498842592592598</c:v>
                </c:pt>
                <c:pt idx="2048">
                  <c:v>0.77511574074074074</c:v>
                </c:pt>
                <c:pt idx="2049">
                  <c:v>0.77520833333333339</c:v>
                </c:pt>
                <c:pt idx="2050">
                  <c:v>0.77520833333333339</c:v>
                </c:pt>
                <c:pt idx="2051">
                  <c:v>0.77598379629629621</c:v>
                </c:pt>
                <c:pt idx="2052">
                  <c:v>0.77601851851851855</c:v>
                </c:pt>
                <c:pt idx="2053">
                  <c:v>0.77604166666666663</c:v>
                </c:pt>
                <c:pt idx="2054">
                  <c:v>0.77634259259259253</c:v>
                </c:pt>
                <c:pt idx="2055">
                  <c:v>0.77649305555555559</c:v>
                </c:pt>
                <c:pt idx="2056">
                  <c:v>0.77671296296296299</c:v>
                </c:pt>
                <c:pt idx="2057">
                  <c:v>0.77675925925925926</c:v>
                </c:pt>
                <c:pt idx="2058">
                  <c:v>0.77710648148148154</c:v>
                </c:pt>
                <c:pt idx="2059">
                  <c:v>0.77716435185185195</c:v>
                </c:pt>
                <c:pt idx="2060">
                  <c:v>0.77726851851851853</c:v>
                </c:pt>
                <c:pt idx="2061">
                  <c:v>0.77738425925925936</c:v>
                </c:pt>
                <c:pt idx="2062">
                  <c:v>0.77777777777777779</c:v>
                </c:pt>
                <c:pt idx="2063">
                  <c:v>0.7779166666666667</c:v>
                </c:pt>
                <c:pt idx="2064">
                  <c:v>0.77796296296296286</c:v>
                </c:pt>
                <c:pt idx="2065">
                  <c:v>0.77803240740740742</c:v>
                </c:pt>
                <c:pt idx="2066">
                  <c:v>0.77806712962962965</c:v>
                </c:pt>
                <c:pt idx="2067">
                  <c:v>0.77806712962962965</c:v>
                </c:pt>
                <c:pt idx="2068">
                  <c:v>0.77809027777777784</c:v>
                </c:pt>
                <c:pt idx="2069">
                  <c:v>0.77819444444444441</c:v>
                </c:pt>
                <c:pt idx="2070">
                  <c:v>0.77826388888888898</c:v>
                </c:pt>
                <c:pt idx="2071">
                  <c:v>0.77827546296296291</c:v>
                </c:pt>
                <c:pt idx="2072">
                  <c:v>0.77840277777777767</c:v>
                </c:pt>
                <c:pt idx="2073">
                  <c:v>0.77917824074074071</c:v>
                </c:pt>
                <c:pt idx="2074">
                  <c:v>0.77939814814814812</c:v>
                </c:pt>
                <c:pt idx="2075">
                  <c:v>0.77940972222222227</c:v>
                </c:pt>
                <c:pt idx="2076">
                  <c:v>0.77947916666666661</c:v>
                </c:pt>
                <c:pt idx="2077">
                  <c:v>0.77949074074074076</c:v>
                </c:pt>
                <c:pt idx="2078">
                  <c:v>0.77960648148148148</c:v>
                </c:pt>
                <c:pt idx="2079">
                  <c:v>0.77961805555555552</c:v>
                </c:pt>
                <c:pt idx="2080">
                  <c:v>0.77973379629629624</c:v>
                </c:pt>
                <c:pt idx="2081">
                  <c:v>0.77989583333333334</c:v>
                </c:pt>
                <c:pt idx="2082">
                  <c:v>0.77999999999999992</c:v>
                </c:pt>
                <c:pt idx="2083">
                  <c:v>0.78016203703703713</c:v>
                </c:pt>
                <c:pt idx="2084">
                  <c:v>0.78031249999999996</c:v>
                </c:pt>
                <c:pt idx="2085">
                  <c:v>0.78034722222222219</c:v>
                </c:pt>
                <c:pt idx="2086">
                  <c:v>0.78085648148148146</c:v>
                </c:pt>
                <c:pt idx="2087">
                  <c:v>0.78127314814814808</c:v>
                </c:pt>
                <c:pt idx="2088">
                  <c:v>0.78194444444444444</c:v>
                </c:pt>
                <c:pt idx="2089">
                  <c:v>0.78203703703703698</c:v>
                </c:pt>
                <c:pt idx="2090">
                  <c:v>0.7822337962962963</c:v>
                </c:pt>
                <c:pt idx="2091">
                  <c:v>0.78234953703703702</c:v>
                </c:pt>
                <c:pt idx="2092">
                  <c:v>0.78271990740740749</c:v>
                </c:pt>
                <c:pt idx="2093">
                  <c:v>0.7828356481481481</c:v>
                </c:pt>
                <c:pt idx="2094">
                  <c:v>0.78287037037037033</c:v>
                </c:pt>
                <c:pt idx="2095">
                  <c:v>0.78291666666666659</c:v>
                </c:pt>
                <c:pt idx="2096">
                  <c:v>0.78324074074074079</c:v>
                </c:pt>
                <c:pt idx="2097">
                  <c:v>0.7833796296296297</c:v>
                </c:pt>
                <c:pt idx="2098">
                  <c:v>0.78340277777777778</c:v>
                </c:pt>
                <c:pt idx="2099">
                  <c:v>0.78347222222222224</c:v>
                </c:pt>
                <c:pt idx="2100">
                  <c:v>0.78399305555555554</c:v>
                </c:pt>
                <c:pt idx="2101">
                  <c:v>0.78447916666666673</c:v>
                </c:pt>
                <c:pt idx="2102">
                  <c:v>0.78447916666666673</c:v>
                </c:pt>
                <c:pt idx="2103">
                  <c:v>0.78457175925925926</c:v>
                </c:pt>
                <c:pt idx="2104">
                  <c:v>0.78462962962962957</c:v>
                </c:pt>
                <c:pt idx="2105">
                  <c:v>0.78473379629629625</c:v>
                </c:pt>
                <c:pt idx="2106">
                  <c:v>0.78486111111111112</c:v>
                </c:pt>
                <c:pt idx="2107">
                  <c:v>0.78516203703703702</c:v>
                </c:pt>
                <c:pt idx="2108">
                  <c:v>0.78525462962962955</c:v>
                </c:pt>
                <c:pt idx="2109">
                  <c:v>0.78583333333333327</c:v>
                </c:pt>
                <c:pt idx="2110">
                  <c:v>0.78600694444444441</c:v>
                </c:pt>
                <c:pt idx="2111">
                  <c:v>0.78712962962962962</c:v>
                </c:pt>
                <c:pt idx="2112">
                  <c:v>0.78775462962962972</c:v>
                </c:pt>
                <c:pt idx="2113">
                  <c:v>0.78778935185185184</c:v>
                </c:pt>
                <c:pt idx="2114">
                  <c:v>0.78783564814814822</c:v>
                </c:pt>
                <c:pt idx="2115">
                  <c:v>0.78785879629629629</c:v>
                </c:pt>
                <c:pt idx="2116">
                  <c:v>0.78810185185185189</c:v>
                </c:pt>
                <c:pt idx="2117">
                  <c:v>0.78841435185185194</c:v>
                </c:pt>
                <c:pt idx="2118">
                  <c:v>0.78847222222222213</c:v>
                </c:pt>
                <c:pt idx="2119">
                  <c:v>0.78866898148148146</c:v>
                </c:pt>
                <c:pt idx="2120">
                  <c:v>0.78892361111111109</c:v>
                </c:pt>
                <c:pt idx="2121">
                  <c:v>0.78922453703703699</c:v>
                </c:pt>
                <c:pt idx="2122">
                  <c:v>0.78932870370370367</c:v>
                </c:pt>
                <c:pt idx="2123">
                  <c:v>0.78965277777777787</c:v>
                </c:pt>
                <c:pt idx="2124">
                  <c:v>0.78969907407407414</c:v>
                </c:pt>
                <c:pt idx="2125">
                  <c:v>0.79011574074074076</c:v>
                </c:pt>
                <c:pt idx="2126">
                  <c:v>0.79013888888888895</c:v>
                </c:pt>
                <c:pt idx="2127">
                  <c:v>0.79018518518518521</c:v>
                </c:pt>
                <c:pt idx="2128">
                  <c:v>0.79031250000000008</c:v>
                </c:pt>
                <c:pt idx="2129">
                  <c:v>0.79060185185185183</c:v>
                </c:pt>
                <c:pt idx="2130">
                  <c:v>0.79068287037037033</c:v>
                </c:pt>
                <c:pt idx="2131">
                  <c:v>0.79071759259259267</c:v>
                </c:pt>
                <c:pt idx="2132">
                  <c:v>0.79103009259259249</c:v>
                </c:pt>
                <c:pt idx="2133">
                  <c:v>0.79126157407407405</c:v>
                </c:pt>
                <c:pt idx="2134">
                  <c:v>0.79137731481481488</c:v>
                </c:pt>
                <c:pt idx="2135">
                  <c:v>0.79151620370370368</c:v>
                </c:pt>
                <c:pt idx="2136">
                  <c:v>0.79166666666666663</c:v>
                </c:pt>
                <c:pt idx="2137">
                  <c:v>0.79167824074074078</c:v>
                </c:pt>
                <c:pt idx="2138">
                  <c:v>0.79167824074074078</c:v>
                </c:pt>
                <c:pt idx="2139">
                  <c:v>0.79168981481481471</c:v>
                </c:pt>
                <c:pt idx="2140">
                  <c:v>0.79168981481481471</c:v>
                </c:pt>
                <c:pt idx="2141">
                  <c:v>0.79168981481481471</c:v>
                </c:pt>
                <c:pt idx="2142">
                  <c:v>0.79168981481481471</c:v>
                </c:pt>
                <c:pt idx="2143">
                  <c:v>0.79171296296296301</c:v>
                </c:pt>
                <c:pt idx="2144">
                  <c:v>0.79172453703703705</c:v>
                </c:pt>
                <c:pt idx="2145">
                  <c:v>0.7917939814814815</c:v>
                </c:pt>
                <c:pt idx="2146">
                  <c:v>0.79182870370370362</c:v>
                </c:pt>
                <c:pt idx="2147">
                  <c:v>0.79201388888888891</c:v>
                </c:pt>
                <c:pt idx="2148">
                  <c:v>0.79203703703703709</c:v>
                </c:pt>
                <c:pt idx="2149">
                  <c:v>0.7920949074074074</c:v>
                </c:pt>
                <c:pt idx="2150">
                  <c:v>0.79211805555555559</c:v>
                </c:pt>
                <c:pt idx="2151">
                  <c:v>0.79217592592592589</c:v>
                </c:pt>
                <c:pt idx="2152">
                  <c:v>0.79218749999999993</c:v>
                </c:pt>
                <c:pt idx="2153">
                  <c:v>0.79226851851851843</c:v>
                </c:pt>
                <c:pt idx="2154">
                  <c:v>0.79237268518518522</c:v>
                </c:pt>
                <c:pt idx="2155">
                  <c:v>0.7923958333333333</c:v>
                </c:pt>
                <c:pt idx="2156">
                  <c:v>0.79260416666666667</c:v>
                </c:pt>
                <c:pt idx="2157">
                  <c:v>0.79262731481481474</c:v>
                </c:pt>
                <c:pt idx="2158">
                  <c:v>0.79263888888888889</c:v>
                </c:pt>
                <c:pt idx="2159">
                  <c:v>0.79293981481481479</c:v>
                </c:pt>
                <c:pt idx="2160">
                  <c:v>0.79293981481481479</c:v>
                </c:pt>
                <c:pt idx="2161">
                  <c:v>0.79295138888888894</c:v>
                </c:pt>
                <c:pt idx="2162">
                  <c:v>0.79295138888888894</c:v>
                </c:pt>
                <c:pt idx="2163">
                  <c:v>0.7931597222222222</c:v>
                </c:pt>
                <c:pt idx="2164">
                  <c:v>0.7931597222222222</c:v>
                </c:pt>
                <c:pt idx="2165">
                  <c:v>0.79324074074074069</c:v>
                </c:pt>
                <c:pt idx="2166">
                  <c:v>0.79325231481481484</c:v>
                </c:pt>
                <c:pt idx="2167">
                  <c:v>0.79347222222222225</c:v>
                </c:pt>
                <c:pt idx="2168">
                  <c:v>0.79348379629629628</c:v>
                </c:pt>
                <c:pt idx="2169">
                  <c:v>0.79350694444444436</c:v>
                </c:pt>
                <c:pt idx="2170">
                  <c:v>0.79364583333333327</c:v>
                </c:pt>
                <c:pt idx="2171">
                  <c:v>0.79379629629629633</c:v>
                </c:pt>
                <c:pt idx="2172">
                  <c:v>0.7938425925925926</c:v>
                </c:pt>
                <c:pt idx="2173">
                  <c:v>0.79387731481481483</c:v>
                </c:pt>
                <c:pt idx="2174">
                  <c:v>0.79405092592592597</c:v>
                </c:pt>
                <c:pt idx="2175">
                  <c:v>0.79418981481481488</c:v>
                </c:pt>
                <c:pt idx="2176">
                  <c:v>0.79420138888888892</c:v>
                </c:pt>
                <c:pt idx="2177">
                  <c:v>0.79443287037037036</c:v>
                </c:pt>
                <c:pt idx="2178">
                  <c:v>0.7944675925925927</c:v>
                </c:pt>
                <c:pt idx="2179">
                  <c:v>0.79447916666666663</c:v>
                </c:pt>
                <c:pt idx="2180">
                  <c:v>0.79456018518518512</c:v>
                </c:pt>
                <c:pt idx="2181">
                  <c:v>0.79459490740740746</c:v>
                </c:pt>
                <c:pt idx="2182">
                  <c:v>0.79461805555555554</c:v>
                </c:pt>
                <c:pt idx="2183">
                  <c:v>0.79473379629629637</c:v>
                </c:pt>
                <c:pt idx="2184">
                  <c:v>0.79475694444444445</c:v>
                </c:pt>
                <c:pt idx="2185">
                  <c:v>0.79494212962962962</c:v>
                </c:pt>
                <c:pt idx="2186">
                  <c:v>0.7949652777777777</c:v>
                </c:pt>
                <c:pt idx="2187">
                  <c:v>0.7950462962962962</c:v>
                </c:pt>
                <c:pt idx="2188">
                  <c:v>0.79505787037037035</c:v>
                </c:pt>
                <c:pt idx="2189">
                  <c:v>0.79520833333333341</c:v>
                </c:pt>
                <c:pt idx="2190">
                  <c:v>0.7955902777777778</c:v>
                </c:pt>
                <c:pt idx="2191">
                  <c:v>0.79562499999999992</c:v>
                </c:pt>
                <c:pt idx="2192">
                  <c:v>0.79565972222222225</c:v>
                </c:pt>
                <c:pt idx="2193">
                  <c:v>0.79567129629629629</c:v>
                </c:pt>
                <c:pt idx="2194">
                  <c:v>0.7958101851851852</c:v>
                </c:pt>
                <c:pt idx="2195">
                  <c:v>0.79603009259259261</c:v>
                </c:pt>
                <c:pt idx="2196">
                  <c:v>0.79616898148148152</c:v>
                </c:pt>
                <c:pt idx="2197">
                  <c:v>0.79629629629629628</c:v>
                </c:pt>
                <c:pt idx="2198">
                  <c:v>0.79634259259259255</c:v>
                </c:pt>
                <c:pt idx="2199">
                  <c:v>0.79658564814814825</c:v>
                </c:pt>
                <c:pt idx="2200">
                  <c:v>0.79663194444444452</c:v>
                </c:pt>
                <c:pt idx="2201">
                  <c:v>0.79670138888888886</c:v>
                </c:pt>
                <c:pt idx="2202">
                  <c:v>0.79672453703703694</c:v>
                </c:pt>
                <c:pt idx="2203">
                  <c:v>0.79678240740740736</c:v>
                </c:pt>
                <c:pt idx="2204">
                  <c:v>0.79718750000000005</c:v>
                </c:pt>
                <c:pt idx="2205">
                  <c:v>0.79734953703703704</c:v>
                </c:pt>
                <c:pt idx="2206">
                  <c:v>0.79770833333333335</c:v>
                </c:pt>
                <c:pt idx="2207">
                  <c:v>0.79792824074074076</c:v>
                </c:pt>
                <c:pt idx="2208">
                  <c:v>0.79796296296296287</c:v>
                </c:pt>
                <c:pt idx="2209">
                  <c:v>0.79811342592592593</c:v>
                </c:pt>
                <c:pt idx="2210">
                  <c:v>0.79822916666666666</c:v>
                </c:pt>
                <c:pt idx="2211">
                  <c:v>0.79825231481481485</c:v>
                </c:pt>
                <c:pt idx="2212">
                  <c:v>0.79851851851851852</c:v>
                </c:pt>
                <c:pt idx="2213">
                  <c:v>0.79862268518518509</c:v>
                </c:pt>
                <c:pt idx="2214">
                  <c:v>0.79863425925925924</c:v>
                </c:pt>
                <c:pt idx="2215">
                  <c:v>0.79866898148148147</c:v>
                </c:pt>
                <c:pt idx="2216">
                  <c:v>0.7987037037037038</c:v>
                </c:pt>
                <c:pt idx="2217">
                  <c:v>0.798761574074074</c:v>
                </c:pt>
                <c:pt idx="2218">
                  <c:v>0.79879629629629623</c:v>
                </c:pt>
                <c:pt idx="2219">
                  <c:v>0.79881944444444442</c:v>
                </c:pt>
                <c:pt idx="2220">
                  <c:v>0.79883101851851857</c:v>
                </c:pt>
                <c:pt idx="2221">
                  <c:v>0.79886574074074079</c:v>
                </c:pt>
                <c:pt idx="2222">
                  <c:v>0.79934027777777772</c:v>
                </c:pt>
                <c:pt idx="2223">
                  <c:v>0.79936342592592602</c:v>
                </c:pt>
                <c:pt idx="2224">
                  <c:v>0.79957175925925927</c:v>
                </c:pt>
                <c:pt idx="2225">
                  <c:v>0.79966435185185192</c:v>
                </c:pt>
                <c:pt idx="2226">
                  <c:v>0.80001157407407408</c:v>
                </c:pt>
                <c:pt idx="2227">
                  <c:v>0.80030092592592583</c:v>
                </c:pt>
                <c:pt idx="2228">
                  <c:v>0.80064814814814822</c:v>
                </c:pt>
                <c:pt idx="2229">
                  <c:v>0.80070601851851853</c:v>
                </c:pt>
                <c:pt idx="2230">
                  <c:v>0.80075231481481479</c:v>
                </c:pt>
                <c:pt idx="2231">
                  <c:v>0.80148148148148157</c:v>
                </c:pt>
                <c:pt idx="2232">
                  <c:v>0.80150462962962965</c:v>
                </c:pt>
                <c:pt idx="2233">
                  <c:v>0.80155092592592592</c:v>
                </c:pt>
                <c:pt idx="2234">
                  <c:v>0.80163194444444441</c:v>
                </c:pt>
                <c:pt idx="2235">
                  <c:v>0.80201388888888892</c:v>
                </c:pt>
                <c:pt idx="2236">
                  <c:v>0.80210648148148145</c:v>
                </c:pt>
                <c:pt idx="2237">
                  <c:v>0.80222222222222228</c:v>
                </c:pt>
                <c:pt idx="2238">
                  <c:v>0.80230324074074078</c:v>
                </c:pt>
                <c:pt idx="2239">
                  <c:v>0.80234953703703704</c:v>
                </c:pt>
                <c:pt idx="2240">
                  <c:v>0.80262731481481486</c:v>
                </c:pt>
                <c:pt idx="2241">
                  <c:v>0.80273148148148143</c:v>
                </c:pt>
                <c:pt idx="2242">
                  <c:v>0.80349537037037033</c:v>
                </c:pt>
                <c:pt idx="2243">
                  <c:v>0.80351851851851841</c:v>
                </c:pt>
                <c:pt idx="2244">
                  <c:v>0.80353009259259256</c:v>
                </c:pt>
                <c:pt idx="2245">
                  <c:v>0.80361111111111105</c:v>
                </c:pt>
                <c:pt idx="2246">
                  <c:v>0.8037037037037037</c:v>
                </c:pt>
                <c:pt idx="2247">
                  <c:v>0.8039236111111111</c:v>
                </c:pt>
                <c:pt idx="2248">
                  <c:v>0.80393518518518514</c:v>
                </c:pt>
                <c:pt idx="2249">
                  <c:v>0.80407407407407405</c:v>
                </c:pt>
                <c:pt idx="2250">
                  <c:v>0.80415509259259255</c:v>
                </c:pt>
                <c:pt idx="2251">
                  <c:v>0.80435185185185187</c:v>
                </c:pt>
                <c:pt idx="2252">
                  <c:v>0.80436342592592591</c:v>
                </c:pt>
                <c:pt idx="2253">
                  <c:v>0.80473379629629627</c:v>
                </c:pt>
                <c:pt idx="2254">
                  <c:v>0.80489583333333325</c:v>
                </c:pt>
                <c:pt idx="2255">
                  <c:v>0.80491898148148155</c:v>
                </c:pt>
                <c:pt idx="2256">
                  <c:v>0.80496527777777782</c:v>
                </c:pt>
                <c:pt idx="2257">
                  <c:v>0.80503472222222217</c:v>
                </c:pt>
                <c:pt idx="2258">
                  <c:v>0.80513888888888896</c:v>
                </c:pt>
                <c:pt idx="2259">
                  <c:v>0.80541666666666656</c:v>
                </c:pt>
                <c:pt idx="2260">
                  <c:v>0.80559027777777781</c:v>
                </c:pt>
                <c:pt idx="2261">
                  <c:v>0.80564814814814811</c:v>
                </c:pt>
                <c:pt idx="2262">
                  <c:v>0.80572916666666661</c:v>
                </c:pt>
                <c:pt idx="2263">
                  <c:v>0.80577546296296287</c:v>
                </c:pt>
                <c:pt idx="2264">
                  <c:v>0.80635416666666659</c:v>
                </c:pt>
                <c:pt idx="2265">
                  <c:v>0.80637731481481489</c:v>
                </c:pt>
                <c:pt idx="2266">
                  <c:v>0.80642361111111116</c:v>
                </c:pt>
                <c:pt idx="2267">
                  <c:v>0.8064930555555555</c:v>
                </c:pt>
                <c:pt idx="2268">
                  <c:v>0.80653935185185188</c:v>
                </c:pt>
                <c:pt idx="2269">
                  <c:v>0.8068171296296297</c:v>
                </c:pt>
                <c:pt idx="2270">
                  <c:v>0.80697916666666669</c:v>
                </c:pt>
                <c:pt idx="2271">
                  <c:v>0.80700231481481488</c:v>
                </c:pt>
                <c:pt idx="2272">
                  <c:v>0.80712962962962964</c:v>
                </c:pt>
                <c:pt idx="2273">
                  <c:v>0.80729166666666663</c:v>
                </c:pt>
                <c:pt idx="2274">
                  <c:v>0.80733796296296301</c:v>
                </c:pt>
                <c:pt idx="2275">
                  <c:v>0.80755787037037041</c:v>
                </c:pt>
                <c:pt idx="2276">
                  <c:v>0.80800925925925926</c:v>
                </c:pt>
                <c:pt idx="2277">
                  <c:v>0.80804398148148149</c:v>
                </c:pt>
                <c:pt idx="2278">
                  <c:v>0.80806712962962957</c:v>
                </c:pt>
                <c:pt idx="2279">
                  <c:v>0.80812499999999998</c:v>
                </c:pt>
                <c:pt idx="2280">
                  <c:v>0.80837962962962961</c:v>
                </c:pt>
                <c:pt idx="2281">
                  <c:v>0.80849537037037045</c:v>
                </c:pt>
                <c:pt idx="2282">
                  <c:v>0.80850694444444438</c:v>
                </c:pt>
                <c:pt idx="2283">
                  <c:v>0.80877314814814805</c:v>
                </c:pt>
                <c:pt idx="2284">
                  <c:v>0.80884259259259261</c:v>
                </c:pt>
                <c:pt idx="2285">
                  <c:v>0.80902777777777779</c:v>
                </c:pt>
                <c:pt idx="2286">
                  <c:v>0.80923611111111116</c:v>
                </c:pt>
                <c:pt idx="2287">
                  <c:v>0.80935185185185177</c:v>
                </c:pt>
                <c:pt idx="2288">
                  <c:v>0.80952546296296291</c:v>
                </c:pt>
                <c:pt idx="2289">
                  <c:v>0.80979166666666658</c:v>
                </c:pt>
                <c:pt idx="2290">
                  <c:v>0.80981481481481488</c:v>
                </c:pt>
                <c:pt idx="2291">
                  <c:v>0.80987268518518529</c:v>
                </c:pt>
                <c:pt idx="2292">
                  <c:v>0.80990740740740741</c:v>
                </c:pt>
                <c:pt idx="2293">
                  <c:v>0.8102893518518518</c:v>
                </c:pt>
                <c:pt idx="2294">
                  <c:v>0.81034722222222222</c:v>
                </c:pt>
                <c:pt idx="2295">
                  <c:v>0.81057870370370377</c:v>
                </c:pt>
                <c:pt idx="2296">
                  <c:v>0.81070601851851853</c:v>
                </c:pt>
                <c:pt idx="2297">
                  <c:v>0.81082175925925926</c:v>
                </c:pt>
                <c:pt idx="2298">
                  <c:v>0.81109953703703708</c:v>
                </c:pt>
                <c:pt idx="2299">
                  <c:v>0.8111342592592593</c:v>
                </c:pt>
                <c:pt idx="2300">
                  <c:v>0.81114583333333334</c:v>
                </c:pt>
                <c:pt idx="2301">
                  <c:v>0.81133101851851841</c:v>
                </c:pt>
                <c:pt idx="2302">
                  <c:v>0.81135416666666671</c:v>
                </c:pt>
                <c:pt idx="2303">
                  <c:v>0.81155092592592604</c:v>
                </c:pt>
                <c:pt idx="2304">
                  <c:v>0.81163194444444453</c:v>
                </c:pt>
                <c:pt idx="2305">
                  <c:v>0.81170138888888888</c:v>
                </c:pt>
                <c:pt idx="2306">
                  <c:v>0.81172453703703706</c:v>
                </c:pt>
                <c:pt idx="2307">
                  <c:v>0.81180555555555556</c:v>
                </c:pt>
                <c:pt idx="2308">
                  <c:v>0.81188657407407405</c:v>
                </c:pt>
                <c:pt idx="2309">
                  <c:v>0.8119791666666667</c:v>
                </c:pt>
                <c:pt idx="2310">
                  <c:v>0.81209490740740742</c:v>
                </c:pt>
                <c:pt idx="2311">
                  <c:v>0.81244212962962958</c:v>
                </c:pt>
                <c:pt idx="2312">
                  <c:v>0.81251157407407415</c:v>
                </c:pt>
                <c:pt idx="2313">
                  <c:v>0.81251157407407415</c:v>
                </c:pt>
                <c:pt idx="2314">
                  <c:v>0.81251157407407415</c:v>
                </c:pt>
                <c:pt idx="2315">
                  <c:v>0.81258101851851849</c:v>
                </c:pt>
                <c:pt idx="2316">
                  <c:v>0.81263888888888891</c:v>
                </c:pt>
                <c:pt idx="2317">
                  <c:v>0.8127199074074074</c:v>
                </c:pt>
                <c:pt idx="2318">
                  <c:v>0.81277777777777782</c:v>
                </c:pt>
                <c:pt idx="2319">
                  <c:v>0.81290509259259258</c:v>
                </c:pt>
                <c:pt idx="2320">
                  <c:v>0.81319444444444444</c:v>
                </c:pt>
                <c:pt idx="2321">
                  <c:v>0.81325231481481486</c:v>
                </c:pt>
                <c:pt idx="2322">
                  <c:v>0.81334490740740739</c:v>
                </c:pt>
                <c:pt idx="2323">
                  <c:v>0.81359953703703702</c:v>
                </c:pt>
                <c:pt idx="2324">
                  <c:v>0.81377314814814816</c:v>
                </c:pt>
                <c:pt idx="2325">
                  <c:v>0.81383101851851858</c:v>
                </c:pt>
                <c:pt idx="2326">
                  <c:v>0.81393518518518526</c:v>
                </c:pt>
                <c:pt idx="2327">
                  <c:v>0.81401620370370376</c:v>
                </c:pt>
                <c:pt idx="2328">
                  <c:v>0.81401620370370376</c:v>
                </c:pt>
                <c:pt idx="2329">
                  <c:v>0.81402777777777768</c:v>
                </c:pt>
                <c:pt idx="2330">
                  <c:v>0.81425925925925924</c:v>
                </c:pt>
                <c:pt idx="2331">
                  <c:v>0.81442129629629623</c:v>
                </c:pt>
                <c:pt idx="2332">
                  <c:v>0.81443287037037038</c:v>
                </c:pt>
                <c:pt idx="2333">
                  <c:v>0.81457175925925929</c:v>
                </c:pt>
                <c:pt idx="2334">
                  <c:v>0.81464120370370363</c:v>
                </c:pt>
                <c:pt idx="2335">
                  <c:v>0.8149074074074073</c:v>
                </c:pt>
                <c:pt idx="2336">
                  <c:v>0.81497685185185187</c:v>
                </c:pt>
                <c:pt idx="2337">
                  <c:v>0.81517361111111108</c:v>
                </c:pt>
                <c:pt idx="2338">
                  <c:v>0.81542824074074083</c:v>
                </c:pt>
                <c:pt idx="2339">
                  <c:v>0.81567129629629631</c:v>
                </c:pt>
                <c:pt idx="2340">
                  <c:v>0.81576388888888884</c:v>
                </c:pt>
                <c:pt idx="2341">
                  <c:v>0.81626157407407407</c:v>
                </c:pt>
                <c:pt idx="2342">
                  <c:v>0.81630787037037045</c:v>
                </c:pt>
                <c:pt idx="2343">
                  <c:v>0.8165162037037037</c:v>
                </c:pt>
                <c:pt idx="2344">
                  <c:v>0.81658564814814805</c:v>
                </c:pt>
                <c:pt idx="2345">
                  <c:v>0.81686342592592587</c:v>
                </c:pt>
                <c:pt idx="2346">
                  <c:v>0.8169791666666667</c:v>
                </c:pt>
                <c:pt idx="2347">
                  <c:v>0.81703703703703701</c:v>
                </c:pt>
                <c:pt idx="2348">
                  <c:v>0.81723379629629633</c:v>
                </c:pt>
                <c:pt idx="2349">
                  <c:v>0.81731481481481483</c:v>
                </c:pt>
                <c:pt idx="2350">
                  <c:v>0.81736111111111109</c:v>
                </c:pt>
                <c:pt idx="2351">
                  <c:v>0.81753472222222223</c:v>
                </c:pt>
                <c:pt idx="2352">
                  <c:v>0.81754629629629638</c:v>
                </c:pt>
                <c:pt idx="2353">
                  <c:v>0.81767361111111114</c:v>
                </c:pt>
                <c:pt idx="2354">
                  <c:v>0.81796296296296289</c:v>
                </c:pt>
                <c:pt idx="2355">
                  <c:v>0.8181018518518518</c:v>
                </c:pt>
                <c:pt idx="2356">
                  <c:v>0.81814814814814818</c:v>
                </c:pt>
                <c:pt idx="2357">
                  <c:v>0.81821759259259252</c:v>
                </c:pt>
                <c:pt idx="2358">
                  <c:v>0.81841435185185185</c:v>
                </c:pt>
                <c:pt idx="2359">
                  <c:v>0.818425925925926</c:v>
                </c:pt>
                <c:pt idx="2360">
                  <c:v>0.81876157407407402</c:v>
                </c:pt>
                <c:pt idx="2361">
                  <c:v>0.81884259259259251</c:v>
                </c:pt>
                <c:pt idx="2362">
                  <c:v>0.81899305555555557</c:v>
                </c:pt>
                <c:pt idx="2363">
                  <c:v>0.81922453703703713</c:v>
                </c:pt>
                <c:pt idx="2364">
                  <c:v>0.8192476851851852</c:v>
                </c:pt>
                <c:pt idx="2365">
                  <c:v>0.81925925925925924</c:v>
                </c:pt>
                <c:pt idx="2366">
                  <c:v>0.81942129629629623</c:v>
                </c:pt>
                <c:pt idx="2367">
                  <c:v>0.8194907407407408</c:v>
                </c:pt>
                <c:pt idx="2368">
                  <c:v>0.81951388888888888</c:v>
                </c:pt>
                <c:pt idx="2369">
                  <c:v>0.81960648148148152</c:v>
                </c:pt>
                <c:pt idx="2370">
                  <c:v>0.81975694444444447</c:v>
                </c:pt>
                <c:pt idx="2371">
                  <c:v>0.8197916666666667</c:v>
                </c:pt>
                <c:pt idx="2372">
                  <c:v>0.81989583333333327</c:v>
                </c:pt>
                <c:pt idx="2373">
                  <c:v>0.82035879629629627</c:v>
                </c:pt>
                <c:pt idx="2374">
                  <c:v>0.82041666666666668</c:v>
                </c:pt>
                <c:pt idx="2375">
                  <c:v>0.82043981481481476</c:v>
                </c:pt>
                <c:pt idx="2376">
                  <c:v>0.82075231481481481</c:v>
                </c:pt>
                <c:pt idx="2377">
                  <c:v>0.82103009259259263</c:v>
                </c:pt>
                <c:pt idx="2378">
                  <c:v>0.82105324074074071</c:v>
                </c:pt>
                <c:pt idx="2379">
                  <c:v>0.82149305555555552</c:v>
                </c:pt>
                <c:pt idx="2380">
                  <c:v>0.82170138888888899</c:v>
                </c:pt>
                <c:pt idx="2381">
                  <c:v>0.82185185185185183</c:v>
                </c:pt>
                <c:pt idx="2382">
                  <c:v>0.82195601851851852</c:v>
                </c:pt>
                <c:pt idx="2383">
                  <c:v>0.82203703703703701</c:v>
                </c:pt>
                <c:pt idx="2384">
                  <c:v>0.82245370370370363</c:v>
                </c:pt>
                <c:pt idx="2385">
                  <c:v>0.82253472222222224</c:v>
                </c:pt>
                <c:pt idx="2386">
                  <c:v>0.82293981481481471</c:v>
                </c:pt>
                <c:pt idx="2387">
                  <c:v>0.82324074074074083</c:v>
                </c:pt>
                <c:pt idx="2388">
                  <c:v>0.82329861111111102</c:v>
                </c:pt>
                <c:pt idx="2389">
                  <c:v>0.82333333333333336</c:v>
                </c:pt>
                <c:pt idx="2390">
                  <c:v>0.8233449074074074</c:v>
                </c:pt>
                <c:pt idx="2391">
                  <c:v>0.82339120370370367</c:v>
                </c:pt>
                <c:pt idx="2392">
                  <c:v>0.82407407407407407</c:v>
                </c:pt>
                <c:pt idx="2393">
                  <c:v>0.8241087962962963</c:v>
                </c:pt>
                <c:pt idx="2394">
                  <c:v>0.82418981481481479</c:v>
                </c:pt>
                <c:pt idx="2395">
                  <c:v>0.82444444444444442</c:v>
                </c:pt>
                <c:pt idx="2396">
                  <c:v>0.82450231481481484</c:v>
                </c:pt>
                <c:pt idx="2397">
                  <c:v>0.82461805555555545</c:v>
                </c:pt>
                <c:pt idx="2398">
                  <c:v>0.82466435185185183</c:v>
                </c:pt>
                <c:pt idx="2399">
                  <c:v>0.82478009259259266</c:v>
                </c:pt>
                <c:pt idx="2400">
                  <c:v>0.8247916666666667</c:v>
                </c:pt>
                <c:pt idx="2401">
                  <c:v>0.82494212962962965</c:v>
                </c:pt>
                <c:pt idx="2402">
                  <c:v>0.82498842592592592</c:v>
                </c:pt>
                <c:pt idx="2403">
                  <c:v>0.82532407407407404</c:v>
                </c:pt>
                <c:pt idx="2404">
                  <c:v>0.82535879629629638</c:v>
                </c:pt>
                <c:pt idx="2405">
                  <c:v>0.8253935185185185</c:v>
                </c:pt>
                <c:pt idx="2406">
                  <c:v>0.82543981481481488</c:v>
                </c:pt>
                <c:pt idx="2407">
                  <c:v>0.82564814814814813</c:v>
                </c:pt>
                <c:pt idx="2408">
                  <c:v>0.82589120370370372</c:v>
                </c:pt>
                <c:pt idx="2409">
                  <c:v>0.82596064814814818</c:v>
                </c:pt>
                <c:pt idx="2410">
                  <c:v>0.82596064814814818</c:v>
                </c:pt>
                <c:pt idx="2411">
                  <c:v>0.82597222222222222</c:v>
                </c:pt>
                <c:pt idx="2412">
                  <c:v>0.8259953703703703</c:v>
                </c:pt>
                <c:pt idx="2413">
                  <c:v>0.82603009259259252</c:v>
                </c:pt>
                <c:pt idx="2414">
                  <c:v>0.82619212962962962</c:v>
                </c:pt>
                <c:pt idx="2415">
                  <c:v>0.82626157407407408</c:v>
                </c:pt>
                <c:pt idx="2416">
                  <c:v>0.8262962962962962</c:v>
                </c:pt>
                <c:pt idx="2417">
                  <c:v>0.82634259259259257</c:v>
                </c:pt>
                <c:pt idx="2418">
                  <c:v>0.8265393518518519</c:v>
                </c:pt>
                <c:pt idx="2419">
                  <c:v>0.82657407407407402</c:v>
                </c:pt>
                <c:pt idx="2420">
                  <c:v>0.8267592592592593</c:v>
                </c:pt>
                <c:pt idx="2421">
                  <c:v>0.82701388888888883</c:v>
                </c:pt>
                <c:pt idx="2422">
                  <c:v>0.82704861111111105</c:v>
                </c:pt>
                <c:pt idx="2423">
                  <c:v>0.8270601851851852</c:v>
                </c:pt>
                <c:pt idx="2424">
                  <c:v>0.82718749999999996</c:v>
                </c:pt>
                <c:pt idx="2425">
                  <c:v>0.82740740740740737</c:v>
                </c:pt>
                <c:pt idx="2426">
                  <c:v>0.82751157407407405</c:v>
                </c:pt>
                <c:pt idx="2427">
                  <c:v>0.82759259259259255</c:v>
                </c:pt>
                <c:pt idx="2428">
                  <c:v>0.82767361111111104</c:v>
                </c:pt>
                <c:pt idx="2429">
                  <c:v>0.82775462962962953</c:v>
                </c:pt>
                <c:pt idx="2430">
                  <c:v>0.82787037037037037</c:v>
                </c:pt>
                <c:pt idx="2431">
                  <c:v>0.82788194444444441</c:v>
                </c:pt>
                <c:pt idx="2432">
                  <c:v>0.82804398148148151</c:v>
                </c:pt>
                <c:pt idx="2433">
                  <c:v>0.82805555555555566</c:v>
                </c:pt>
                <c:pt idx="2434">
                  <c:v>0.82822916666666668</c:v>
                </c:pt>
                <c:pt idx="2435">
                  <c:v>0.82826388888888891</c:v>
                </c:pt>
                <c:pt idx="2436">
                  <c:v>0.828587962962963</c:v>
                </c:pt>
                <c:pt idx="2437">
                  <c:v>0.82865740740740745</c:v>
                </c:pt>
                <c:pt idx="2438">
                  <c:v>0.8288888888888889</c:v>
                </c:pt>
                <c:pt idx="2439">
                  <c:v>0.8289467592592592</c:v>
                </c:pt>
                <c:pt idx="2440">
                  <c:v>0.82902777777777781</c:v>
                </c:pt>
                <c:pt idx="2441">
                  <c:v>0.82908564814814811</c:v>
                </c:pt>
                <c:pt idx="2442">
                  <c:v>0.82930555555555552</c:v>
                </c:pt>
                <c:pt idx="2443">
                  <c:v>0.82946759259259262</c:v>
                </c:pt>
                <c:pt idx="2444">
                  <c:v>0.82951388888888899</c:v>
                </c:pt>
                <c:pt idx="2445">
                  <c:v>0.82961805555555557</c:v>
                </c:pt>
                <c:pt idx="2446">
                  <c:v>0.82976851851851852</c:v>
                </c:pt>
                <c:pt idx="2447">
                  <c:v>0.82982638888888882</c:v>
                </c:pt>
                <c:pt idx="2448">
                  <c:v>0.8302546296296297</c:v>
                </c:pt>
                <c:pt idx="2449">
                  <c:v>0.83047453703703711</c:v>
                </c:pt>
                <c:pt idx="2450">
                  <c:v>0.8306365740740741</c:v>
                </c:pt>
                <c:pt idx="2451">
                  <c:v>0.8306365740740741</c:v>
                </c:pt>
                <c:pt idx="2452">
                  <c:v>0.83064814814814814</c:v>
                </c:pt>
                <c:pt idx="2453">
                  <c:v>0.83067129629629621</c:v>
                </c:pt>
                <c:pt idx="2454">
                  <c:v>0.83074074074074078</c:v>
                </c:pt>
                <c:pt idx="2455">
                  <c:v>0.83083333333333342</c:v>
                </c:pt>
                <c:pt idx="2456">
                  <c:v>0.83091435185185192</c:v>
                </c:pt>
                <c:pt idx="2457">
                  <c:v>0.8309375</c:v>
                </c:pt>
                <c:pt idx="2458">
                  <c:v>0.8311574074074074</c:v>
                </c:pt>
                <c:pt idx="2459">
                  <c:v>0.83138888888888884</c:v>
                </c:pt>
                <c:pt idx="2460">
                  <c:v>0.83174768518518516</c:v>
                </c:pt>
                <c:pt idx="2461">
                  <c:v>0.83178240740740739</c:v>
                </c:pt>
                <c:pt idx="2462">
                  <c:v>0.83200231481481479</c:v>
                </c:pt>
                <c:pt idx="2463">
                  <c:v>0.8321412037037037</c:v>
                </c:pt>
                <c:pt idx="2464">
                  <c:v>0.83250000000000002</c:v>
                </c:pt>
                <c:pt idx="2465">
                  <c:v>0.83253472222222225</c:v>
                </c:pt>
                <c:pt idx="2466">
                  <c:v>0.83288194444444441</c:v>
                </c:pt>
                <c:pt idx="2467">
                  <c:v>0.83296296296296291</c:v>
                </c:pt>
                <c:pt idx="2468">
                  <c:v>0.83314814814814808</c:v>
                </c:pt>
                <c:pt idx="2469">
                  <c:v>0.83333333333333337</c:v>
                </c:pt>
                <c:pt idx="2470">
                  <c:v>0.83334490740740741</c:v>
                </c:pt>
                <c:pt idx="2471">
                  <c:v>0.83334490740740741</c:v>
                </c:pt>
                <c:pt idx="2472">
                  <c:v>0.83334490740740741</c:v>
                </c:pt>
                <c:pt idx="2473">
                  <c:v>0.83335648148148145</c:v>
                </c:pt>
                <c:pt idx="2474">
                  <c:v>0.83336805555555549</c:v>
                </c:pt>
                <c:pt idx="2475">
                  <c:v>0.83339120370370379</c:v>
                </c:pt>
                <c:pt idx="2476">
                  <c:v>0.83340277777777771</c:v>
                </c:pt>
                <c:pt idx="2477">
                  <c:v>0.83351851851851855</c:v>
                </c:pt>
                <c:pt idx="2478">
                  <c:v>0.83362268518518512</c:v>
                </c:pt>
                <c:pt idx="2479">
                  <c:v>0.83368055555555554</c:v>
                </c:pt>
                <c:pt idx="2480">
                  <c:v>0.83379629629629637</c:v>
                </c:pt>
                <c:pt idx="2481">
                  <c:v>0.83385416666666667</c:v>
                </c:pt>
                <c:pt idx="2482">
                  <c:v>0.83388888888888879</c:v>
                </c:pt>
                <c:pt idx="2483">
                  <c:v>0.83409722222222227</c:v>
                </c:pt>
                <c:pt idx="2484">
                  <c:v>0.83415509259259257</c:v>
                </c:pt>
                <c:pt idx="2485">
                  <c:v>0.83420138888888884</c:v>
                </c:pt>
                <c:pt idx="2486">
                  <c:v>0.83421296296296299</c:v>
                </c:pt>
                <c:pt idx="2487">
                  <c:v>0.83424768518518511</c:v>
                </c:pt>
                <c:pt idx="2488">
                  <c:v>0.83438657407407402</c:v>
                </c:pt>
                <c:pt idx="2489">
                  <c:v>0.83442129629629624</c:v>
                </c:pt>
                <c:pt idx="2490">
                  <c:v>0.83450231481481485</c:v>
                </c:pt>
                <c:pt idx="2491">
                  <c:v>0.83450231481481485</c:v>
                </c:pt>
                <c:pt idx="2492">
                  <c:v>0.83462962962962972</c:v>
                </c:pt>
                <c:pt idx="2493">
                  <c:v>0.83471064814814822</c:v>
                </c:pt>
                <c:pt idx="2494">
                  <c:v>0.83472222222222225</c:v>
                </c:pt>
                <c:pt idx="2495">
                  <c:v>0.83474537037037033</c:v>
                </c:pt>
                <c:pt idx="2496">
                  <c:v>0.83478009259259256</c:v>
                </c:pt>
                <c:pt idx="2497">
                  <c:v>0.83481481481481479</c:v>
                </c:pt>
                <c:pt idx="2498">
                  <c:v>0.83486111111111105</c:v>
                </c:pt>
                <c:pt idx="2499">
                  <c:v>0.83488425925925924</c:v>
                </c:pt>
                <c:pt idx="2500">
                  <c:v>0.8349537037037037</c:v>
                </c:pt>
                <c:pt idx="2501">
                  <c:v>0.83501157407407411</c:v>
                </c:pt>
                <c:pt idx="2502">
                  <c:v>0.83504629629629623</c:v>
                </c:pt>
                <c:pt idx="2503">
                  <c:v>0.83508101851851846</c:v>
                </c:pt>
                <c:pt idx="2504">
                  <c:v>0.83531250000000001</c:v>
                </c:pt>
                <c:pt idx="2505">
                  <c:v>0.83548611111111104</c:v>
                </c:pt>
                <c:pt idx="2506">
                  <c:v>0.83548611111111104</c:v>
                </c:pt>
                <c:pt idx="2507">
                  <c:v>0.83554398148148146</c:v>
                </c:pt>
                <c:pt idx="2508">
                  <c:v>0.83561342592592591</c:v>
                </c:pt>
                <c:pt idx="2509">
                  <c:v>0.83618055555555548</c:v>
                </c:pt>
                <c:pt idx="2510">
                  <c:v>0.83627314814814813</c:v>
                </c:pt>
                <c:pt idx="2511">
                  <c:v>0.83629629629629632</c:v>
                </c:pt>
                <c:pt idx="2512">
                  <c:v>0.83630787037037047</c:v>
                </c:pt>
                <c:pt idx="2513">
                  <c:v>0.83631944444444439</c:v>
                </c:pt>
                <c:pt idx="2514">
                  <c:v>0.83642361111111108</c:v>
                </c:pt>
                <c:pt idx="2515">
                  <c:v>0.83658564814814806</c:v>
                </c:pt>
                <c:pt idx="2516">
                  <c:v>0.83660879629629636</c:v>
                </c:pt>
                <c:pt idx="2517">
                  <c:v>0.83660879629629636</c:v>
                </c:pt>
                <c:pt idx="2518">
                  <c:v>0.83699074074074076</c:v>
                </c:pt>
                <c:pt idx="2519">
                  <c:v>0.83729166666666666</c:v>
                </c:pt>
                <c:pt idx="2520">
                  <c:v>0.83751157407407406</c:v>
                </c:pt>
                <c:pt idx="2521">
                  <c:v>0.83751157407407406</c:v>
                </c:pt>
                <c:pt idx="2522">
                  <c:v>0.83753472222222225</c:v>
                </c:pt>
                <c:pt idx="2523">
                  <c:v>0.83759259259259267</c:v>
                </c:pt>
                <c:pt idx="2524">
                  <c:v>0.83761574074074074</c:v>
                </c:pt>
                <c:pt idx="2525">
                  <c:v>0.83766203703703701</c:v>
                </c:pt>
                <c:pt idx="2526">
                  <c:v>0.83766203703703701</c:v>
                </c:pt>
                <c:pt idx="2527">
                  <c:v>0.8377662037037038</c:v>
                </c:pt>
                <c:pt idx="2528">
                  <c:v>0.83787037037037038</c:v>
                </c:pt>
                <c:pt idx="2529">
                  <c:v>0.83822916666666669</c:v>
                </c:pt>
                <c:pt idx="2530">
                  <c:v>0.83846064814814814</c:v>
                </c:pt>
                <c:pt idx="2531">
                  <c:v>0.83873842592592596</c:v>
                </c:pt>
                <c:pt idx="2532">
                  <c:v>0.83923611111111107</c:v>
                </c:pt>
                <c:pt idx="2533">
                  <c:v>0.83954861111111112</c:v>
                </c:pt>
                <c:pt idx="2534">
                  <c:v>0.83971064814814822</c:v>
                </c:pt>
                <c:pt idx="2535">
                  <c:v>0.83975694444444438</c:v>
                </c:pt>
                <c:pt idx="2536">
                  <c:v>0.84017361111111111</c:v>
                </c:pt>
                <c:pt idx="2537">
                  <c:v>0.84030092592592587</c:v>
                </c:pt>
                <c:pt idx="2538">
                  <c:v>0.84030092592592587</c:v>
                </c:pt>
                <c:pt idx="2539">
                  <c:v>0.84031250000000002</c:v>
                </c:pt>
                <c:pt idx="2540">
                  <c:v>0.84034722222222225</c:v>
                </c:pt>
                <c:pt idx="2541">
                  <c:v>0.84037037037037043</c:v>
                </c:pt>
                <c:pt idx="2542">
                  <c:v>0.84040509259259266</c:v>
                </c:pt>
                <c:pt idx="2543">
                  <c:v>0.84042824074074074</c:v>
                </c:pt>
                <c:pt idx="2544">
                  <c:v>0.84048611111111116</c:v>
                </c:pt>
                <c:pt idx="2545">
                  <c:v>0.84057870370370369</c:v>
                </c:pt>
                <c:pt idx="2546">
                  <c:v>0.84061342592592592</c:v>
                </c:pt>
                <c:pt idx="2547">
                  <c:v>0.84067129629629633</c:v>
                </c:pt>
                <c:pt idx="2548">
                  <c:v>0.84082175925925917</c:v>
                </c:pt>
                <c:pt idx="2549">
                  <c:v>0.84086805555555555</c:v>
                </c:pt>
                <c:pt idx="2550">
                  <c:v>0.84090277777777789</c:v>
                </c:pt>
                <c:pt idx="2551">
                  <c:v>0.84100694444444446</c:v>
                </c:pt>
                <c:pt idx="2552">
                  <c:v>0.84113425925925922</c:v>
                </c:pt>
                <c:pt idx="2553">
                  <c:v>0.84115740740740741</c:v>
                </c:pt>
                <c:pt idx="2554">
                  <c:v>0.84155092592592595</c:v>
                </c:pt>
                <c:pt idx="2555">
                  <c:v>0.84163194444444445</c:v>
                </c:pt>
                <c:pt idx="2556">
                  <c:v>0.84166666666666667</c:v>
                </c:pt>
                <c:pt idx="2557">
                  <c:v>0.84193287037037035</c:v>
                </c:pt>
                <c:pt idx="2558">
                  <c:v>0.84197916666666661</c:v>
                </c:pt>
                <c:pt idx="2559">
                  <c:v>0.84201388888888884</c:v>
                </c:pt>
                <c:pt idx="2560">
                  <c:v>0.84208333333333341</c:v>
                </c:pt>
                <c:pt idx="2561">
                  <c:v>0.84224537037037039</c:v>
                </c:pt>
                <c:pt idx="2562">
                  <c:v>0.84255787037037033</c:v>
                </c:pt>
                <c:pt idx="2563">
                  <c:v>0.84284722222222219</c:v>
                </c:pt>
                <c:pt idx="2564">
                  <c:v>0.84341435185185187</c:v>
                </c:pt>
                <c:pt idx="2565">
                  <c:v>0.84343749999999995</c:v>
                </c:pt>
                <c:pt idx="2566">
                  <c:v>0.84349537037037037</c:v>
                </c:pt>
                <c:pt idx="2567">
                  <c:v>0.84363425925925928</c:v>
                </c:pt>
                <c:pt idx="2568">
                  <c:v>0.84368055555555566</c:v>
                </c:pt>
                <c:pt idx="2569">
                  <c:v>0.84375</c:v>
                </c:pt>
                <c:pt idx="2570">
                  <c:v>0.84377314814814808</c:v>
                </c:pt>
                <c:pt idx="2571">
                  <c:v>0.84415509259259258</c:v>
                </c:pt>
                <c:pt idx="2572">
                  <c:v>0.84446759259259263</c:v>
                </c:pt>
                <c:pt idx="2573">
                  <c:v>0.84449074074074071</c:v>
                </c:pt>
                <c:pt idx="2574">
                  <c:v>0.8451157407407407</c:v>
                </c:pt>
                <c:pt idx="2575">
                  <c:v>0.84516203703703707</c:v>
                </c:pt>
                <c:pt idx="2576">
                  <c:v>0.84519675925925919</c:v>
                </c:pt>
                <c:pt idx="2577">
                  <c:v>0.84526620370370376</c:v>
                </c:pt>
                <c:pt idx="2578">
                  <c:v>0.84546296296296297</c:v>
                </c:pt>
                <c:pt idx="2579">
                  <c:v>0.84559027777777773</c:v>
                </c:pt>
                <c:pt idx="2580">
                  <c:v>0.84575231481481483</c:v>
                </c:pt>
                <c:pt idx="2581">
                  <c:v>0.84579861111111121</c:v>
                </c:pt>
                <c:pt idx="2582">
                  <c:v>0.84592592592592597</c:v>
                </c:pt>
                <c:pt idx="2583">
                  <c:v>0.84605324074074073</c:v>
                </c:pt>
                <c:pt idx="2584">
                  <c:v>0.84608796296296296</c:v>
                </c:pt>
                <c:pt idx="2585">
                  <c:v>0.84619212962962964</c:v>
                </c:pt>
                <c:pt idx="2586">
                  <c:v>0.84628472222222229</c:v>
                </c:pt>
                <c:pt idx="2587">
                  <c:v>0.84662037037037041</c:v>
                </c:pt>
                <c:pt idx="2588">
                  <c:v>0.84671296296296295</c:v>
                </c:pt>
                <c:pt idx="2589">
                  <c:v>0.84681712962962974</c:v>
                </c:pt>
                <c:pt idx="2590">
                  <c:v>0.84687499999999993</c:v>
                </c:pt>
                <c:pt idx="2591">
                  <c:v>0.8472453703703704</c:v>
                </c:pt>
                <c:pt idx="2592">
                  <c:v>0.84738425925925931</c:v>
                </c:pt>
                <c:pt idx="2593">
                  <c:v>0.8475462962962963</c:v>
                </c:pt>
                <c:pt idx="2594">
                  <c:v>0.84770833333333329</c:v>
                </c:pt>
                <c:pt idx="2595">
                  <c:v>0.8478472222222222</c:v>
                </c:pt>
                <c:pt idx="2596">
                  <c:v>0.84790509259259261</c:v>
                </c:pt>
                <c:pt idx="2597">
                  <c:v>0.84805555555555545</c:v>
                </c:pt>
                <c:pt idx="2598">
                  <c:v>0.84870370370370374</c:v>
                </c:pt>
                <c:pt idx="2599">
                  <c:v>0.84879629629629638</c:v>
                </c:pt>
                <c:pt idx="2600">
                  <c:v>0.84887731481481488</c:v>
                </c:pt>
                <c:pt idx="2601">
                  <c:v>0.8491550925925927</c:v>
                </c:pt>
                <c:pt idx="2602">
                  <c:v>0.84925925925925927</c:v>
                </c:pt>
                <c:pt idx="2603">
                  <c:v>0.84950231481481486</c:v>
                </c:pt>
                <c:pt idx="2604">
                  <c:v>0.84960648148148143</c:v>
                </c:pt>
                <c:pt idx="2605">
                  <c:v>0.84978009259259257</c:v>
                </c:pt>
                <c:pt idx="2606">
                  <c:v>0.84982638888888884</c:v>
                </c:pt>
                <c:pt idx="2607">
                  <c:v>0.84994212962962967</c:v>
                </c:pt>
                <c:pt idx="2608">
                  <c:v>0.85</c:v>
                </c:pt>
                <c:pt idx="2609">
                  <c:v>0.85041666666666671</c:v>
                </c:pt>
                <c:pt idx="2610">
                  <c:v>0.8504976851851852</c:v>
                </c:pt>
                <c:pt idx="2611">
                  <c:v>0.8504976851851852</c:v>
                </c:pt>
                <c:pt idx="2612">
                  <c:v>0.8507407407407408</c:v>
                </c:pt>
                <c:pt idx="2613">
                  <c:v>0.8507986111111111</c:v>
                </c:pt>
                <c:pt idx="2614">
                  <c:v>0.85137731481481482</c:v>
                </c:pt>
                <c:pt idx="2615">
                  <c:v>0.8515625</c:v>
                </c:pt>
                <c:pt idx="2616">
                  <c:v>0.85173611111111114</c:v>
                </c:pt>
                <c:pt idx="2617">
                  <c:v>0.85192129629629632</c:v>
                </c:pt>
                <c:pt idx="2618">
                  <c:v>0.85225694444444444</c:v>
                </c:pt>
                <c:pt idx="2619">
                  <c:v>0.85267361111111117</c:v>
                </c:pt>
                <c:pt idx="2620">
                  <c:v>0.85267361111111117</c:v>
                </c:pt>
                <c:pt idx="2621">
                  <c:v>0.85280092592592593</c:v>
                </c:pt>
                <c:pt idx="2622">
                  <c:v>0.8531481481481481</c:v>
                </c:pt>
                <c:pt idx="2623">
                  <c:v>0.8533680555555555</c:v>
                </c:pt>
                <c:pt idx="2624">
                  <c:v>0.85351851851851857</c:v>
                </c:pt>
                <c:pt idx="2625">
                  <c:v>0.85355324074074079</c:v>
                </c:pt>
                <c:pt idx="2626">
                  <c:v>0.85359953703703706</c:v>
                </c:pt>
                <c:pt idx="2627">
                  <c:v>0.85364583333333333</c:v>
                </c:pt>
                <c:pt idx="2628">
                  <c:v>0.8536921296296297</c:v>
                </c:pt>
                <c:pt idx="2629">
                  <c:v>0.85372685185185182</c:v>
                </c:pt>
                <c:pt idx="2630">
                  <c:v>0.85372685185185182</c:v>
                </c:pt>
                <c:pt idx="2631">
                  <c:v>0.8537731481481482</c:v>
                </c:pt>
                <c:pt idx="2632">
                  <c:v>0.85400462962962964</c:v>
                </c:pt>
                <c:pt idx="2633">
                  <c:v>0.85412037037037036</c:v>
                </c:pt>
                <c:pt idx="2634">
                  <c:v>0.85418981481481471</c:v>
                </c:pt>
                <c:pt idx="2635">
                  <c:v>0.85418981481481471</c:v>
                </c:pt>
                <c:pt idx="2636">
                  <c:v>0.85425925925925927</c:v>
                </c:pt>
                <c:pt idx="2637">
                  <c:v>0.85425925925925927</c:v>
                </c:pt>
                <c:pt idx="2638">
                  <c:v>0.85427083333333342</c:v>
                </c:pt>
                <c:pt idx="2639">
                  <c:v>0.8542939814814815</c:v>
                </c:pt>
                <c:pt idx="2640">
                  <c:v>0.85436342592592596</c:v>
                </c:pt>
                <c:pt idx="2641">
                  <c:v>0.85453703703703709</c:v>
                </c:pt>
                <c:pt idx="2642">
                  <c:v>0.85465277777777782</c:v>
                </c:pt>
                <c:pt idx="2643">
                  <c:v>0.85482638888888884</c:v>
                </c:pt>
                <c:pt idx="2644">
                  <c:v>0.85493055555555564</c:v>
                </c:pt>
                <c:pt idx="2645">
                  <c:v>0.85502314814814817</c:v>
                </c:pt>
                <c:pt idx="2646">
                  <c:v>0.85531250000000003</c:v>
                </c:pt>
                <c:pt idx="2647">
                  <c:v>0.85540509259259256</c:v>
                </c:pt>
                <c:pt idx="2648">
                  <c:v>0.85541666666666671</c:v>
                </c:pt>
                <c:pt idx="2649">
                  <c:v>0.85547453703703702</c:v>
                </c:pt>
                <c:pt idx="2650">
                  <c:v>0.85550925925925936</c:v>
                </c:pt>
                <c:pt idx="2651">
                  <c:v>0.8555787037037037</c:v>
                </c:pt>
                <c:pt idx="2652">
                  <c:v>0.85577546296296303</c:v>
                </c:pt>
                <c:pt idx="2653">
                  <c:v>0.85667824074074073</c:v>
                </c:pt>
                <c:pt idx="2654">
                  <c:v>0.85688657407407398</c:v>
                </c:pt>
                <c:pt idx="2655">
                  <c:v>0.85701388888888896</c:v>
                </c:pt>
                <c:pt idx="2656">
                  <c:v>0.85704861111111119</c:v>
                </c:pt>
                <c:pt idx="2657">
                  <c:v>0.85729166666666667</c:v>
                </c:pt>
                <c:pt idx="2658">
                  <c:v>0.85740740740740751</c:v>
                </c:pt>
                <c:pt idx="2659">
                  <c:v>0.85751157407407408</c:v>
                </c:pt>
                <c:pt idx="2660">
                  <c:v>0.8580902777777778</c:v>
                </c:pt>
                <c:pt idx="2661">
                  <c:v>0.85827546296296298</c:v>
                </c:pt>
                <c:pt idx="2662">
                  <c:v>0.85866898148148152</c:v>
                </c:pt>
                <c:pt idx="2663">
                  <c:v>0.85876157407407405</c:v>
                </c:pt>
                <c:pt idx="2664">
                  <c:v>0.85892361111111104</c:v>
                </c:pt>
                <c:pt idx="2665">
                  <c:v>0.85943287037037042</c:v>
                </c:pt>
                <c:pt idx="2666">
                  <c:v>0.85953703703703699</c:v>
                </c:pt>
                <c:pt idx="2667">
                  <c:v>0.85996527777777787</c:v>
                </c:pt>
                <c:pt idx="2668">
                  <c:v>0.86011574074074071</c:v>
                </c:pt>
                <c:pt idx="2669">
                  <c:v>0.8603587962962963</c:v>
                </c:pt>
                <c:pt idx="2670">
                  <c:v>0.86040509259259268</c:v>
                </c:pt>
                <c:pt idx="2671">
                  <c:v>0.8604398148148148</c:v>
                </c:pt>
                <c:pt idx="2672">
                  <c:v>0.86060185185185178</c:v>
                </c:pt>
                <c:pt idx="2673">
                  <c:v>0.86103009259259267</c:v>
                </c:pt>
                <c:pt idx="2674">
                  <c:v>0.86111111111111116</c:v>
                </c:pt>
                <c:pt idx="2675">
                  <c:v>0.86129629629629623</c:v>
                </c:pt>
                <c:pt idx="2676">
                  <c:v>0.86143518518518514</c:v>
                </c:pt>
                <c:pt idx="2677">
                  <c:v>0.86153935185185182</c:v>
                </c:pt>
                <c:pt idx="2678">
                  <c:v>0.86232638888888891</c:v>
                </c:pt>
                <c:pt idx="2679">
                  <c:v>0.86245370370370367</c:v>
                </c:pt>
                <c:pt idx="2680">
                  <c:v>0.86266203703703714</c:v>
                </c:pt>
                <c:pt idx="2681">
                  <c:v>0.86282407407407413</c:v>
                </c:pt>
                <c:pt idx="2682">
                  <c:v>0.86296296296296304</c:v>
                </c:pt>
                <c:pt idx="2683">
                  <c:v>0.86320601851851853</c:v>
                </c:pt>
                <c:pt idx="2684">
                  <c:v>0.86348379629629635</c:v>
                </c:pt>
                <c:pt idx="2685">
                  <c:v>0.86388888888888893</c:v>
                </c:pt>
                <c:pt idx="2686">
                  <c:v>0.8641550925925926</c:v>
                </c:pt>
                <c:pt idx="2687">
                  <c:v>0.86427083333333332</c:v>
                </c:pt>
                <c:pt idx="2688">
                  <c:v>0.86442129629629638</c:v>
                </c:pt>
                <c:pt idx="2689">
                  <c:v>0.86456018518518529</c:v>
                </c:pt>
                <c:pt idx="2690">
                  <c:v>0.86460648148148145</c:v>
                </c:pt>
                <c:pt idx="2691">
                  <c:v>0.86480324074074078</c:v>
                </c:pt>
                <c:pt idx="2692">
                  <c:v>0.86496527777777776</c:v>
                </c:pt>
                <c:pt idx="2693">
                  <c:v>0.8650000000000001</c:v>
                </c:pt>
                <c:pt idx="2694">
                  <c:v>0.86516203703703709</c:v>
                </c:pt>
                <c:pt idx="2695">
                  <c:v>0.86517361111111113</c:v>
                </c:pt>
                <c:pt idx="2696">
                  <c:v>0.86524305555555558</c:v>
                </c:pt>
                <c:pt idx="2697">
                  <c:v>0.86549768518518511</c:v>
                </c:pt>
                <c:pt idx="2698">
                  <c:v>0.86615740740740732</c:v>
                </c:pt>
                <c:pt idx="2699">
                  <c:v>0.86623842592592604</c:v>
                </c:pt>
                <c:pt idx="2700">
                  <c:v>0.86633101851851846</c:v>
                </c:pt>
                <c:pt idx="2701">
                  <c:v>0.8663657407407408</c:v>
                </c:pt>
                <c:pt idx="2702">
                  <c:v>0.86641203703703706</c:v>
                </c:pt>
                <c:pt idx="2703">
                  <c:v>0.86652777777777779</c:v>
                </c:pt>
                <c:pt idx="2704">
                  <c:v>0.86653935185185194</c:v>
                </c:pt>
                <c:pt idx="2705">
                  <c:v>0.86736111111111114</c:v>
                </c:pt>
                <c:pt idx="2706">
                  <c:v>0.86745370370370367</c:v>
                </c:pt>
                <c:pt idx="2707">
                  <c:v>0.86746527777777782</c:v>
                </c:pt>
                <c:pt idx="2708">
                  <c:v>0.86805555555555547</c:v>
                </c:pt>
                <c:pt idx="2709">
                  <c:v>0.86806712962962962</c:v>
                </c:pt>
                <c:pt idx="2710">
                  <c:v>0.86812500000000004</c:v>
                </c:pt>
                <c:pt idx="2711">
                  <c:v>0.86834490740740744</c:v>
                </c:pt>
                <c:pt idx="2712">
                  <c:v>0.86835648148148137</c:v>
                </c:pt>
                <c:pt idx="2713">
                  <c:v>0.8684722222222222</c:v>
                </c:pt>
                <c:pt idx="2714">
                  <c:v>0.8684722222222222</c:v>
                </c:pt>
                <c:pt idx="2715">
                  <c:v>0.86858796296296292</c:v>
                </c:pt>
                <c:pt idx="2716">
                  <c:v>0.86859953703703707</c:v>
                </c:pt>
                <c:pt idx="2717">
                  <c:v>0.86861111111111111</c:v>
                </c:pt>
                <c:pt idx="2718">
                  <c:v>0.86865740740740749</c:v>
                </c:pt>
                <c:pt idx="2719">
                  <c:v>0.869074074074074</c:v>
                </c:pt>
                <c:pt idx="2720">
                  <c:v>0.86938657407407405</c:v>
                </c:pt>
                <c:pt idx="2721">
                  <c:v>0.86960648148148145</c:v>
                </c:pt>
                <c:pt idx="2722">
                  <c:v>0.86965277777777772</c:v>
                </c:pt>
                <c:pt idx="2723">
                  <c:v>0.87028935185185186</c:v>
                </c:pt>
                <c:pt idx="2724">
                  <c:v>0.87064814814814817</c:v>
                </c:pt>
                <c:pt idx="2725">
                  <c:v>0.87121527777777785</c:v>
                </c:pt>
                <c:pt idx="2726">
                  <c:v>0.87122685185185189</c:v>
                </c:pt>
                <c:pt idx="2727">
                  <c:v>0.87140046296296303</c:v>
                </c:pt>
                <c:pt idx="2728">
                  <c:v>0.87162037037037043</c:v>
                </c:pt>
                <c:pt idx="2729">
                  <c:v>0.87171296296296286</c:v>
                </c:pt>
                <c:pt idx="2730">
                  <c:v>0.87187500000000007</c:v>
                </c:pt>
                <c:pt idx="2731">
                  <c:v>0.87194444444444441</c:v>
                </c:pt>
                <c:pt idx="2732">
                  <c:v>0.87202546296296291</c:v>
                </c:pt>
                <c:pt idx="2733">
                  <c:v>0.87217592592592597</c:v>
                </c:pt>
                <c:pt idx="2734">
                  <c:v>0.87225694444444446</c:v>
                </c:pt>
                <c:pt idx="2735">
                  <c:v>0.87302083333333336</c:v>
                </c:pt>
                <c:pt idx="2736">
                  <c:v>0.87318287037037035</c:v>
                </c:pt>
                <c:pt idx="2737">
                  <c:v>0.87327546296296299</c:v>
                </c:pt>
                <c:pt idx="2738">
                  <c:v>0.87336805555555552</c:v>
                </c:pt>
                <c:pt idx="2739">
                  <c:v>0.87349537037037039</c:v>
                </c:pt>
                <c:pt idx="2740">
                  <c:v>0.87421296296296302</c:v>
                </c:pt>
                <c:pt idx="2741">
                  <c:v>0.8743171296296296</c:v>
                </c:pt>
                <c:pt idx="2742">
                  <c:v>0.8743981481481482</c:v>
                </c:pt>
                <c:pt idx="2743">
                  <c:v>0.87454861111111104</c:v>
                </c:pt>
                <c:pt idx="2744">
                  <c:v>0.87457175925925934</c:v>
                </c:pt>
                <c:pt idx="2745">
                  <c:v>0.875</c:v>
                </c:pt>
                <c:pt idx="2746">
                  <c:v>0.875</c:v>
                </c:pt>
                <c:pt idx="2747">
                  <c:v>0.87501157407407415</c:v>
                </c:pt>
                <c:pt idx="2748">
                  <c:v>0.87501157407407415</c:v>
                </c:pt>
                <c:pt idx="2749">
                  <c:v>0.87502314814814808</c:v>
                </c:pt>
                <c:pt idx="2750">
                  <c:v>0.87502314814814808</c:v>
                </c:pt>
                <c:pt idx="2751">
                  <c:v>0.87506944444444434</c:v>
                </c:pt>
                <c:pt idx="2752">
                  <c:v>0.87516203703703699</c:v>
                </c:pt>
                <c:pt idx="2753">
                  <c:v>0.87519675925925933</c:v>
                </c:pt>
                <c:pt idx="2754">
                  <c:v>0.87533564814814813</c:v>
                </c:pt>
                <c:pt idx="2755">
                  <c:v>0.87534722222222217</c:v>
                </c:pt>
                <c:pt idx="2756">
                  <c:v>0.87565972222222221</c:v>
                </c:pt>
                <c:pt idx="2757">
                  <c:v>0.87567129629629636</c:v>
                </c:pt>
                <c:pt idx="2758">
                  <c:v>0.8756828703703704</c:v>
                </c:pt>
                <c:pt idx="2759">
                  <c:v>0.87585648148148154</c:v>
                </c:pt>
                <c:pt idx="2760">
                  <c:v>0.87593750000000004</c:v>
                </c:pt>
                <c:pt idx="2761">
                  <c:v>0.8759837962962963</c:v>
                </c:pt>
                <c:pt idx="2762">
                  <c:v>0.87603009259259268</c:v>
                </c:pt>
                <c:pt idx="2763">
                  <c:v>0.87604166666666661</c:v>
                </c:pt>
                <c:pt idx="2764">
                  <c:v>0.87625000000000008</c:v>
                </c:pt>
                <c:pt idx="2765">
                  <c:v>0.87667824074074074</c:v>
                </c:pt>
                <c:pt idx="2766">
                  <c:v>0.87678240740740743</c:v>
                </c:pt>
                <c:pt idx="2767">
                  <c:v>0.87703703703703706</c:v>
                </c:pt>
                <c:pt idx="2768">
                  <c:v>0.87711805555555555</c:v>
                </c:pt>
                <c:pt idx="2769">
                  <c:v>0.87725694444444446</c:v>
                </c:pt>
                <c:pt idx="2770">
                  <c:v>0.87728009259259254</c:v>
                </c:pt>
                <c:pt idx="2771">
                  <c:v>0.87731481481481488</c:v>
                </c:pt>
                <c:pt idx="2772">
                  <c:v>0.87736111111111115</c:v>
                </c:pt>
                <c:pt idx="2773">
                  <c:v>0.87744212962962964</c:v>
                </c:pt>
                <c:pt idx="2774">
                  <c:v>0.87754629629629621</c:v>
                </c:pt>
                <c:pt idx="2775">
                  <c:v>0.87754629629629621</c:v>
                </c:pt>
                <c:pt idx="2776">
                  <c:v>0.87756944444444451</c:v>
                </c:pt>
                <c:pt idx="2777">
                  <c:v>0.87782407407407403</c:v>
                </c:pt>
                <c:pt idx="2778">
                  <c:v>0.8780324074074074</c:v>
                </c:pt>
                <c:pt idx="2779">
                  <c:v>0.8780324074074074</c:v>
                </c:pt>
                <c:pt idx="2780">
                  <c:v>0.87811342592592589</c:v>
                </c:pt>
                <c:pt idx="2781">
                  <c:v>0.87844907407407413</c:v>
                </c:pt>
                <c:pt idx="2782">
                  <c:v>0.87851851851851848</c:v>
                </c:pt>
                <c:pt idx="2783">
                  <c:v>0.87854166666666667</c:v>
                </c:pt>
                <c:pt idx="2784">
                  <c:v>0.87870370370370365</c:v>
                </c:pt>
                <c:pt idx="2785">
                  <c:v>0.8787152777777778</c:v>
                </c:pt>
                <c:pt idx="2786">
                  <c:v>0.87872685185185195</c:v>
                </c:pt>
                <c:pt idx="2787">
                  <c:v>0.87876157407407407</c:v>
                </c:pt>
                <c:pt idx="2788">
                  <c:v>0.87883101851851853</c:v>
                </c:pt>
                <c:pt idx="2789">
                  <c:v>0.87891203703703702</c:v>
                </c:pt>
                <c:pt idx="2790">
                  <c:v>0.87894675925925936</c:v>
                </c:pt>
                <c:pt idx="2791">
                  <c:v>0.87895833333333329</c:v>
                </c:pt>
                <c:pt idx="2792">
                  <c:v>0.87898148148148147</c:v>
                </c:pt>
                <c:pt idx="2793">
                  <c:v>0.87910879629629635</c:v>
                </c:pt>
                <c:pt idx="2794">
                  <c:v>0.8793171296296296</c:v>
                </c:pt>
                <c:pt idx="2795">
                  <c:v>0.87936342592592587</c:v>
                </c:pt>
                <c:pt idx="2796">
                  <c:v>0.87938657407407417</c:v>
                </c:pt>
                <c:pt idx="2797">
                  <c:v>0.87938657407407417</c:v>
                </c:pt>
                <c:pt idx="2798">
                  <c:v>0.87952546296296286</c:v>
                </c:pt>
                <c:pt idx="2799">
                  <c:v>0.87974537037037026</c:v>
                </c:pt>
                <c:pt idx="2800">
                  <c:v>0.87988425925925917</c:v>
                </c:pt>
                <c:pt idx="2801">
                  <c:v>0.88005787037037031</c:v>
                </c:pt>
                <c:pt idx="2802">
                  <c:v>0.88010416666666658</c:v>
                </c:pt>
                <c:pt idx="2803">
                  <c:v>0.88027777777777771</c:v>
                </c:pt>
                <c:pt idx="2804">
                  <c:v>0.88033564814814813</c:v>
                </c:pt>
                <c:pt idx="2805">
                  <c:v>0.88046296296296289</c:v>
                </c:pt>
                <c:pt idx="2806">
                  <c:v>0.8807060185185186</c:v>
                </c:pt>
                <c:pt idx="2807">
                  <c:v>0.88118055555555552</c:v>
                </c:pt>
                <c:pt idx="2808">
                  <c:v>0.88124999999999998</c:v>
                </c:pt>
                <c:pt idx="2809">
                  <c:v>0.88141203703703708</c:v>
                </c:pt>
                <c:pt idx="2810">
                  <c:v>0.88196759259259261</c:v>
                </c:pt>
                <c:pt idx="2811">
                  <c:v>0.8819907407407408</c:v>
                </c:pt>
                <c:pt idx="2812">
                  <c:v>0.88200231481481473</c:v>
                </c:pt>
                <c:pt idx="2813">
                  <c:v>0.88202546296296302</c:v>
                </c:pt>
                <c:pt idx="2814">
                  <c:v>0.88210648148148152</c:v>
                </c:pt>
                <c:pt idx="2815">
                  <c:v>0.88217592592592586</c:v>
                </c:pt>
                <c:pt idx="2816">
                  <c:v>0.88218750000000001</c:v>
                </c:pt>
                <c:pt idx="2817">
                  <c:v>0.88223379629629628</c:v>
                </c:pt>
                <c:pt idx="2818">
                  <c:v>0.88231481481481477</c:v>
                </c:pt>
                <c:pt idx="2819">
                  <c:v>0.88283564814814808</c:v>
                </c:pt>
                <c:pt idx="2820">
                  <c:v>0.88288194444444434</c:v>
                </c:pt>
                <c:pt idx="2821">
                  <c:v>0.88334490740740745</c:v>
                </c:pt>
                <c:pt idx="2822">
                  <c:v>0.88372685185185185</c:v>
                </c:pt>
                <c:pt idx="2823">
                  <c:v>0.88377314814814811</c:v>
                </c:pt>
                <c:pt idx="2824">
                  <c:v>0.88394675925925925</c:v>
                </c:pt>
                <c:pt idx="2825">
                  <c:v>0.8846180555555555</c:v>
                </c:pt>
                <c:pt idx="2826">
                  <c:v>0.88496527777777778</c:v>
                </c:pt>
                <c:pt idx="2827">
                  <c:v>0.88505787037037031</c:v>
                </c:pt>
                <c:pt idx="2828">
                  <c:v>0.88530092592592602</c:v>
                </c:pt>
                <c:pt idx="2829">
                  <c:v>0.88543981481481471</c:v>
                </c:pt>
                <c:pt idx="2830">
                  <c:v>0.88557870370370362</c:v>
                </c:pt>
                <c:pt idx="2831">
                  <c:v>0.88570601851851849</c:v>
                </c:pt>
                <c:pt idx="2832">
                  <c:v>0.88585648148148144</c:v>
                </c:pt>
                <c:pt idx="2833">
                  <c:v>0.88627314814814817</c:v>
                </c:pt>
                <c:pt idx="2834">
                  <c:v>0.88637731481481474</c:v>
                </c:pt>
                <c:pt idx="2835">
                  <c:v>0.88649305555555558</c:v>
                </c:pt>
                <c:pt idx="2836">
                  <c:v>0.88655092592592588</c:v>
                </c:pt>
                <c:pt idx="2837">
                  <c:v>0.88674768518518521</c:v>
                </c:pt>
                <c:pt idx="2838">
                  <c:v>0.88686342592592593</c:v>
                </c:pt>
                <c:pt idx="2839">
                  <c:v>0.88706018518518526</c:v>
                </c:pt>
                <c:pt idx="2840">
                  <c:v>0.88733796296296286</c:v>
                </c:pt>
                <c:pt idx="2841">
                  <c:v>0.88737268518518519</c:v>
                </c:pt>
                <c:pt idx="2842">
                  <c:v>0.88746527777777784</c:v>
                </c:pt>
              </c:numCache>
            </c:numRef>
          </c:xVal>
          <c:yVal>
            <c:numRef>
              <c:f>tweets!$Q$2:$Q$2844</c:f>
              <c:numCache>
                <c:formatCode>General</c:formatCode>
                <c:ptCount val="2843"/>
                <c:pt idx="0">
                  <c:v>1</c:v>
                </c:pt>
                <c:pt idx="1">
                  <c:v>1</c:v>
                </c:pt>
                <c:pt idx="2">
                  <c:v>1</c:v>
                </c:pt>
                <c:pt idx="3">
                  <c:v>1</c:v>
                </c:pt>
                <c:pt idx="4">
                  <c:v>1</c:v>
                </c:pt>
                <c:pt idx="5">
                  <c:v>-1</c:v>
                </c:pt>
                <c:pt idx="6">
                  <c:v>0</c:v>
                </c:pt>
                <c:pt idx="7">
                  <c:v>0</c:v>
                </c:pt>
                <c:pt idx="8">
                  <c:v>0</c:v>
                </c:pt>
                <c:pt idx="9">
                  <c:v>0</c:v>
                </c:pt>
                <c:pt idx="10">
                  <c:v>0</c:v>
                </c:pt>
                <c:pt idx="11">
                  <c:v>0</c:v>
                </c:pt>
                <c:pt idx="12">
                  <c:v>0</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-2</c:v>
                </c:pt>
                <c:pt idx="32">
                  <c:v>-2</c:v>
                </c:pt>
                <c:pt idx="33">
                  <c:v>-3</c:v>
                </c:pt>
                <c:pt idx="34">
                  <c:v>-3</c:v>
                </c:pt>
                <c:pt idx="35">
                  <c:v>-3</c:v>
                </c:pt>
                <c:pt idx="36">
                  <c:v>-3</c:v>
                </c:pt>
                <c:pt idx="37">
                  <c:v>-2</c:v>
                </c:pt>
                <c:pt idx="38">
                  <c:v>-2</c:v>
                </c:pt>
                <c:pt idx="39">
                  <c:v>0</c:v>
                </c:pt>
                <c:pt idx="40">
                  <c:v>-1</c:v>
                </c:pt>
                <c:pt idx="41">
                  <c:v>-1</c:v>
                </c:pt>
                <c:pt idx="42">
                  <c:v>-1</c:v>
                </c:pt>
                <c:pt idx="43">
                  <c:v>-1</c:v>
                </c:pt>
                <c:pt idx="44">
                  <c:v>-1</c:v>
                </c:pt>
                <c:pt idx="45">
                  <c:v>-2</c:v>
                </c:pt>
                <c:pt idx="46">
                  <c:v>-2</c:v>
                </c:pt>
                <c:pt idx="47">
                  <c:v>-2</c:v>
                </c:pt>
                <c:pt idx="48">
                  <c:v>-2</c:v>
                </c:pt>
                <c:pt idx="49">
                  <c:v>-1</c:v>
                </c:pt>
                <c:pt idx="50">
                  <c:v>-1</c:v>
                </c:pt>
                <c:pt idx="51">
                  <c:v>-1</c:v>
                </c:pt>
                <c:pt idx="52">
                  <c:v>-1</c:v>
                </c:pt>
                <c:pt idx="53">
                  <c:v>0</c:v>
                </c:pt>
                <c:pt idx="54">
                  <c:v>-1</c:v>
                </c:pt>
                <c:pt idx="55">
                  <c:v>-1</c:v>
                </c:pt>
                <c:pt idx="56">
                  <c:v>-1</c:v>
                </c:pt>
                <c:pt idx="57">
                  <c:v>0</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0</c:v>
                </c:pt>
                <c:pt idx="86">
                  <c:v>0</c:v>
                </c:pt>
                <c:pt idx="87">
                  <c:v>-1</c:v>
                </c:pt>
                <c:pt idx="88">
                  <c:v>-1</c:v>
                </c:pt>
                <c:pt idx="89">
                  <c:v>-1</c:v>
                </c:pt>
                <c:pt idx="90">
                  <c:v>-1</c:v>
                </c:pt>
                <c:pt idx="91">
                  <c:v>-1</c:v>
                </c:pt>
                <c:pt idx="92">
                  <c:v>-1</c:v>
                </c:pt>
                <c:pt idx="93">
                  <c:v>-1</c:v>
                </c:pt>
                <c:pt idx="94">
                  <c:v>-1</c:v>
                </c:pt>
                <c:pt idx="95">
                  <c:v>-1</c:v>
                </c:pt>
                <c:pt idx="96">
                  <c:v>-1</c:v>
                </c:pt>
                <c:pt idx="97">
                  <c:v>-1</c:v>
                </c:pt>
                <c:pt idx="98">
                  <c:v>-2</c:v>
                </c:pt>
                <c:pt idx="99">
                  <c:v>-2</c:v>
                </c:pt>
                <c:pt idx="100">
                  <c:v>-3</c:v>
                </c:pt>
                <c:pt idx="101">
                  <c:v>-3</c:v>
                </c:pt>
                <c:pt idx="102">
                  <c:v>-3</c:v>
                </c:pt>
                <c:pt idx="103">
                  <c:v>-2</c:v>
                </c:pt>
                <c:pt idx="104">
                  <c:v>-2</c:v>
                </c:pt>
                <c:pt idx="105">
                  <c:v>-2</c:v>
                </c:pt>
                <c:pt idx="106">
                  <c:v>-2</c:v>
                </c:pt>
                <c:pt idx="107">
                  <c:v>-2</c:v>
                </c:pt>
                <c:pt idx="108">
                  <c:v>-2</c:v>
                </c:pt>
                <c:pt idx="109">
                  <c:v>-2</c:v>
                </c:pt>
                <c:pt idx="110">
                  <c:v>-4</c:v>
                </c:pt>
                <c:pt idx="111">
                  <c:v>-4</c:v>
                </c:pt>
                <c:pt idx="112">
                  <c:v>-4</c:v>
                </c:pt>
                <c:pt idx="113">
                  <c:v>-4</c:v>
                </c:pt>
                <c:pt idx="114">
                  <c:v>-4</c:v>
                </c:pt>
                <c:pt idx="115">
                  <c:v>-4</c:v>
                </c:pt>
                <c:pt idx="116">
                  <c:v>-4</c:v>
                </c:pt>
                <c:pt idx="117">
                  <c:v>-4</c:v>
                </c:pt>
                <c:pt idx="118">
                  <c:v>-4</c:v>
                </c:pt>
                <c:pt idx="119">
                  <c:v>-2</c:v>
                </c:pt>
                <c:pt idx="120">
                  <c:v>-2</c:v>
                </c:pt>
                <c:pt idx="121">
                  <c:v>-2</c:v>
                </c:pt>
                <c:pt idx="122">
                  <c:v>-1</c:v>
                </c:pt>
                <c:pt idx="123">
                  <c:v>-1</c:v>
                </c:pt>
                <c:pt idx="124">
                  <c:v>-1</c:v>
                </c:pt>
                <c:pt idx="125">
                  <c:v>-1</c:v>
                </c:pt>
                <c:pt idx="126">
                  <c:v>-1</c:v>
                </c:pt>
                <c:pt idx="127">
                  <c:v>-1</c:v>
                </c:pt>
                <c:pt idx="128">
                  <c:v>0</c:v>
                </c:pt>
                <c:pt idx="129">
                  <c:v>0</c:v>
                </c:pt>
                <c:pt idx="130">
                  <c:v>0</c:v>
                </c:pt>
                <c:pt idx="131">
                  <c:v>0</c:v>
                </c:pt>
                <c:pt idx="132">
                  <c:v>0</c:v>
                </c:pt>
                <c:pt idx="133">
                  <c:v>0</c:v>
                </c:pt>
                <c:pt idx="134">
                  <c:v>0</c:v>
                </c:pt>
                <c:pt idx="135">
                  <c:v>0</c:v>
                </c:pt>
                <c:pt idx="136">
                  <c:v>-1</c:v>
                </c:pt>
                <c:pt idx="137">
                  <c:v>-1</c:v>
                </c:pt>
                <c:pt idx="138">
                  <c:v>-1</c:v>
                </c:pt>
                <c:pt idx="139">
                  <c:v>-1</c:v>
                </c:pt>
                <c:pt idx="140">
                  <c:v>-1</c:v>
                </c:pt>
                <c:pt idx="141">
                  <c:v>-1</c:v>
                </c:pt>
                <c:pt idx="142">
                  <c:v>-1</c:v>
                </c:pt>
                <c:pt idx="143">
                  <c:v>-1</c:v>
                </c:pt>
                <c:pt idx="144">
                  <c:v>-1</c:v>
                </c:pt>
                <c:pt idx="145">
                  <c:v>-1</c:v>
                </c:pt>
                <c:pt idx="146">
                  <c:v>-1</c:v>
                </c:pt>
                <c:pt idx="147">
                  <c:v>-1</c:v>
                </c:pt>
                <c:pt idx="148">
                  <c:v>-2</c:v>
                </c:pt>
                <c:pt idx="149">
                  <c:v>-1</c:v>
                </c:pt>
                <c:pt idx="150">
                  <c:v>-1</c:v>
                </c:pt>
                <c:pt idx="151">
                  <c:v>-1</c:v>
                </c:pt>
                <c:pt idx="152">
                  <c:v>-1</c:v>
                </c:pt>
                <c:pt idx="153">
                  <c:v>-1</c:v>
                </c:pt>
                <c:pt idx="154">
                  <c:v>-1</c:v>
                </c:pt>
                <c:pt idx="155">
                  <c:v>-2</c:v>
                </c:pt>
                <c:pt idx="156">
                  <c:v>-3</c:v>
                </c:pt>
                <c:pt idx="157">
                  <c:v>-3</c:v>
                </c:pt>
                <c:pt idx="158">
                  <c:v>-3</c:v>
                </c:pt>
                <c:pt idx="159">
                  <c:v>-2</c:v>
                </c:pt>
                <c:pt idx="160">
                  <c:v>-2</c:v>
                </c:pt>
                <c:pt idx="161">
                  <c:v>-2</c:v>
                </c:pt>
                <c:pt idx="162">
                  <c:v>-2</c:v>
                </c:pt>
                <c:pt idx="163">
                  <c:v>-2</c:v>
                </c:pt>
                <c:pt idx="164">
                  <c:v>-2</c:v>
                </c:pt>
                <c:pt idx="165">
                  <c:v>-2</c:v>
                </c:pt>
                <c:pt idx="166">
                  <c:v>-2</c:v>
                </c:pt>
                <c:pt idx="167">
                  <c:v>-2</c:v>
                </c:pt>
                <c:pt idx="168">
                  <c:v>-2</c:v>
                </c:pt>
                <c:pt idx="169">
                  <c:v>-2</c:v>
                </c:pt>
                <c:pt idx="170">
                  <c:v>-2</c:v>
                </c:pt>
                <c:pt idx="171">
                  <c:v>-2</c:v>
                </c:pt>
                <c:pt idx="172">
                  <c:v>-1</c:v>
                </c:pt>
                <c:pt idx="173">
                  <c:v>-1</c:v>
                </c:pt>
                <c:pt idx="174">
                  <c:v>-1</c:v>
                </c:pt>
                <c:pt idx="175">
                  <c:v>1</c:v>
                </c:pt>
                <c:pt idx="176">
                  <c:v>1</c:v>
                </c:pt>
                <c:pt idx="177">
                  <c:v>1</c:v>
                </c:pt>
                <c:pt idx="178">
                  <c:v>1</c:v>
                </c:pt>
                <c:pt idx="179">
                  <c:v>2</c:v>
                </c:pt>
                <c:pt idx="180">
                  <c:v>2</c:v>
                </c:pt>
                <c:pt idx="181">
                  <c:v>2</c:v>
                </c:pt>
                <c:pt idx="182">
                  <c:v>2</c:v>
                </c:pt>
                <c:pt idx="183">
                  <c:v>2</c:v>
                </c:pt>
                <c:pt idx="184">
                  <c:v>2</c:v>
                </c:pt>
                <c:pt idx="185">
                  <c:v>2</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-1</c:v>
                </c:pt>
                <c:pt idx="204">
                  <c:v>-1</c:v>
                </c:pt>
                <c:pt idx="205">
                  <c:v>-1</c:v>
                </c:pt>
                <c:pt idx="206">
                  <c:v>-1</c:v>
                </c:pt>
                <c:pt idx="207">
                  <c:v>-1</c:v>
                </c:pt>
                <c:pt idx="208">
                  <c:v>-1</c:v>
                </c:pt>
                <c:pt idx="209">
                  <c:v>-1</c:v>
                </c:pt>
                <c:pt idx="210">
                  <c:v>-1</c:v>
                </c:pt>
                <c:pt idx="211">
                  <c:v>-2</c:v>
                </c:pt>
                <c:pt idx="212">
                  <c:v>-2</c:v>
                </c:pt>
                <c:pt idx="213">
                  <c:v>-2</c:v>
                </c:pt>
                <c:pt idx="214">
                  <c:v>-2</c:v>
                </c:pt>
                <c:pt idx="215">
                  <c:v>-2</c:v>
                </c:pt>
                <c:pt idx="216">
                  <c:v>-2</c:v>
                </c:pt>
                <c:pt idx="217">
                  <c:v>-2</c:v>
                </c:pt>
                <c:pt idx="218">
                  <c:v>-3</c:v>
                </c:pt>
                <c:pt idx="219">
                  <c:v>-3</c:v>
                </c:pt>
                <c:pt idx="220">
                  <c:v>-3</c:v>
                </c:pt>
                <c:pt idx="221">
                  <c:v>-3</c:v>
                </c:pt>
                <c:pt idx="222">
                  <c:v>-4</c:v>
                </c:pt>
                <c:pt idx="223">
                  <c:v>-4</c:v>
                </c:pt>
                <c:pt idx="224">
                  <c:v>-5</c:v>
                </c:pt>
                <c:pt idx="225">
                  <c:v>-5</c:v>
                </c:pt>
                <c:pt idx="226">
                  <c:v>-5</c:v>
                </c:pt>
                <c:pt idx="227">
                  <c:v>-6</c:v>
                </c:pt>
                <c:pt idx="228">
                  <c:v>-6</c:v>
                </c:pt>
                <c:pt idx="229">
                  <c:v>-6</c:v>
                </c:pt>
                <c:pt idx="230">
                  <c:v>-6</c:v>
                </c:pt>
                <c:pt idx="231">
                  <c:v>-6</c:v>
                </c:pt>
                <c:pt idx="232">
                  <c:v>-4</c:v>
                </c:pt>
                <c:pt idx="233">
                  <c:v>-4</c:v>
                </c:pt>
                <c:pt idx="234">
                  <c:v>-4</c:v>
                </c:pt>
                <c:pt idx="235">
                  <c:v>-4</c:v>
                </c:pt>
                <c:pt idx="236">
                  <c:v>-4</c:v>
                </c:pt>
                <c:pt idx="237">
                  <c:v>-4</c:v>
                </c:pt>
                <c:pt idx="238">
                  <c:v>-4</c:v>
                </c:pt>
                <c:pt idx="239">
                  <c:v>-4</c:v>
                </c:pt>
                <c:pt idx="240">
                  <c:v>-4</c:v>
                </c:pt>
                <c:pt idx="241">
                  <c:v>-4</c:v>
                </c:pt>
                <c:pt idx="242">
                  <c:v>-4</c:v>
                </c:pt>
                <c:pt idx="243">
                  <c:v>-4</c:v>
                </c:pt>
                <c:pt idx="244">
                  <c:v>-3</c:v>
                </c:pt>
                <c:pt idx="245">
                  <c:v>-3</c:v>
                </c:pt>
                <c:pt idx="246">
                  <c:v>-2</c:v>
                </c:pt>
                <c:pt idx="247">
                  <c:v>-2</c:v>
                </c:pt>
                <c:pt idx="248">
                  <c:v>-2</c:v>
                </c:pt>
                <c:pt idx="249">
                  <c:v>-2</c:v>
                </c:pt>
                <c:pt idx="250">
                  <c:v>-2</c:v>
                </c:pt>
                <c:pt idx="251">
                  <c:v>-1</c:v>
                </c:pt>
                <c:pt idx="252">
                  <c:v>-1</c:v>
                </c:pt>
                <c:pt idx="253">
                  <c:v>-1</c:v>
                </c:pt>
                <c:pt idx="254">
                  <c:v>-1</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0</c:v>
                </c:pt>
                <c:pt idx="284">
                  <c:v>0</c:v>
                </c:pt>
                <c:pt idx="285">
                  <c:v>1</c:v>
                </c:pt>
                <c:pt idx="286">
                  <c:v>1</c:v>
                </c:pt>
                <c:pt idx="287">
                  <c:v>1</c:v>
                </c:pt>
                <c:pt idx="288">
                  <c:v>1</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-1</c:v>
                </c:pt>
                <c:pt idx="304">
                  <c:v>-1</c:v>
                </c:pt>
                <c:pt idx="305">
                  <c:v>-1</c:v>
                </c:pt>
                <c:pt idx="306">
                  <c:v>-1</c:v>
                </c:pt>
                <c:pt idx="307">
                  <c:v>0</c:v>
                </c:pt>
                <c:pt idx="308">
                  <c:v>0</c:v>
                </c:pt>
                <c:pt idx="309">
                  <c:v>0</c:v>
                </c:pt>
                <c:pt idx="310">
                  <c:v>0</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1</c:v>
                </c:pt>
                <c:pt idx="343">
                  <c:v>1</c:v>
                </c:pt>
                <c:pt idx="344">
                  <c:v>1</c:v>
                </c:pt>
                <c:pt idx="345">
                  <c:v>1</c:v>
                </c:pt>
                <c:pt idx="346">
                  <c:v>1</c:v>
                </c:pt>
                <c:pt idx="347">
                  <c:v>1</c:v>
                </c:pt>
                <c:pt idx="348">
                  <c:v>1</c:v>
                </c:pt>
                <c:pt idx="349">
                  <c:v>1</c:v>
                </c:pt>
                <c:pt idx="350">
                  <c:v>1</c:v>
                </c:pt>
                <c:pt idx="351">
                  <c:v>0</c:v>
                </c:pt>
                <c:pt idx="352">
                  <c:v>0</c:v>
                </c:pt>
                <c:pt idx="353">
                  <c:v>0</c:v>
                </c:pt>
                <c:pt idx="354">
                  <c:v>0</c:v>
                </c:pt>
                <c:pt idx="355">
                  <c:v>0</c:v>
                </c:pt>
                <c:pt idx="356">
                  <c:v>0</c:v>
                </c:pt>
                <c:pt idx="357">
                  <c:v>0</c:v>
                </c:pt>
                <c:pt idx="358">
                  <c:v>0</c:v>
                </c:pt>
                <c:pt idx="359">
                  <c:v>0</c:v>
                </c:pt>
                <c:pt idx="360">
                  <c:v>0</c:v>
                </c:pt>
                <c:pt idx="361">
                  <c:v>1</c:v>
                </c:pt>
                <c:pt idx="362">
                  <c:v>1</c:v>
                </c:pt>
                <c:pt idx="363">
                  <c:v>2</c:v>
                </c:pt>
                <c:pt idx="364">
                  <c:v>2</c:v>
                </c:pt>
                <c:pt idx="365">
                  <c:v>2</c:v>
                </c:pt>
                <c:pt idx="366">
                  <c:v>2</c:v>
                </c:pt>
                <c:pt idx="367">
                  <c:v>2</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2</c:v>
                </c:pt>
                <c:pt idx="383">
                  <c:v>2</c:v>
                </c:pt>
                <c:pt idx="384">
                  <c:v>2</c:v>
                </c:pt>
                <c:pt idx="385">
                  <c:v>2</c:v>
                </c:pt>
                <c:pt idx="386">
                  <c:v>1</c:v>
                </c:pt>
                <c:pt idx="387">
                  <c:v>1</c:v>
                </c:pt>
                <c:pt idx="388">
                  <c:v>1</c:v>
                </c:pt>
                <c:pt idx="389">
                  <c:v>2</c:v>
                </c:pt>
                <c:pt idx="390">
                  <c:v>2</c:v>
                </c:pt>
                <c:pt idx="391">
                  <c:v>2</c:v>
                </c:pt>
                <c:pt idx="392">
                  <c:v>2</c:v>
                </c:pt>
                <c:pt idx="393">
                  <c:v>2</c:v>
                </c:pt>
                <c:pt idx="394">
                  <c:v>2</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3</c:v>
                </c:pt>
                <c:pt idx="409">
                  <c:v>3</c:v>
                </c:pt>
                <c:pt idx="410">
                  <c:v>4</c:v>
                </c:pt>
                <c:pt idx="411">
                  <c:v>4</c:v>
                </c:pt>
                <c:pt idx="412">
                  <c:v>4</c:v>
                </c:pt>
                <c:pt idx="413">
                  <c:v>4</c:v>
                </c:pt>
                <c:pt idx="414">
                  <c:v>4</c:v>
                </c:pt>
                <c:pt idx="415">
                  <c:v>4</c:v>
                </c:pt>
                <c:pt idx="416">
                  <c:v>5</c:v>
                </c:pt>
                <c:pt idx="417">
                  <c:v>5</c:v>
                </c:pt>
                <c:pt idx="418">
                  <c:v>5</c:v>
                </c:pt>
                <c:pt idx="419">
                  <c:v>5</c:v>
                </c:pt>
                <c:pt idx="420">
                  <c:v>5</c:v>
                </c:pt>
                <c:pt idx="421">
                  <c:v>5</c:v>
                </c:pt>
                <c:pt idx="422">
                  <c:v>5</c:v>
                </c:pt>
                <c:pt idx="423">
                  <c:v>5</c:v>
                </c:pt>
                <c:pt idx="424">
                  <c:v>6</c:v>
                </c:pt>
                <c:pt idx="425">
                  <c:v>6</c:v>
                </c:pt>
                <c:pt idx="426">
                  <c:v>6</c:v>
                </c:pt>
                <c:pt idx="427">
                  <c:v>6</c:v>
                </c:pt>
                <c:pt idx="428">
                  <c:v>6</c:v>
                </c:pt>
                <c:pt idx="429">
                  <c:v>6</c:v>
                </c:pt>
                <c:pt idx="430">
                  <c:v>6</c:v>
                </c:pt>
                <c:pt idx="431">
                  <c:v>6</c:v>
                </c:pt>
                <c:pt idx="432">
                  <c:v>8</c:v>
                </c:pt>
                <c:pt idx="433">
                  <c:v>8</c:v>
                </c:pt>
                <c:pt idx="434">
                  <c:v>8</c:v>
                </c:pt>
                <c:pt idx="435">
                  <c:v>9</c:v>
                </c:pt>
                <c:pt idx="436">
                  <c:v>9</c:v>
                </c:pt>
                <c:pt idx="437">
                  <c:v>9</c:v>
                </c:pt>
                <c:pt idx="438">
                  <c:v>8</c:v>
                </c:pt>
                <c:pt idx="439">
                  <c:v>8</c:v>
                </c:pt>
                <c:pt idx="440">
                  <c:v>8</c:v>
                </c:pt>
                <c:pt idx="441">
                  <c:v>8</c:v>
                </c:pt>
                <c:pt idx="442">
                  <c:v>8</c:v>
                </c:pt>
                <c:pt idx="443">
                  <c:v>8</c:v>
                </c:pt>
                <c:pt idx="444">
                  <c:v>8</c:v>
                </c:pt>
                <c:pt idx="445">
                  <c:v>8</c:v>
                </c:pt>
                <c:pt idx="446">
                  <c:v>7</c:v>
                </c:pt>
                <c:pt idx="447">
                  <c:v>7</c:v>
                </c:pt>
                <c:pt idx="448">
                  <c:v>7</c:v>
                </c:pt>
                <c:pt idx="449">
                  <c:v>7</c:v>
                </c:pt>
                <c:pt idx="450">
                  <c:v>7</c:v>
                </c:pt>
                <c:pt idx="451">
                  <c:v>7</c:v>
                </c:pt>
                <c:pt idx="452">
                  <c:v>7</c:v>
                </c:pt>
                <c:pt idx="453">
                  <c:v>7</c:v>
                </c:pt>
                <c:pt idx="454">
                  <c:v>7</c:v>
                </c:pt>
                <c:pt idx="455">
                  <c:v>7</c:v>
                </c:pt>
                <c:pt idx="456">
                  <c:v>7</c:v>
                </c:pt>
                <c:pt idx="457">
                  <c:v>7</c:v>
                </c:pt>
                <c:pt idx="458">
                  <c:v>8</c:v>
                </c:pt>
                <c:pt idx="459">
                  <c:v>8</c:v>
                </c:pt>
                <c:pt idx="460">
                  <c:v>8</c:v>
                </c:pt>
                <c:pt idx="461">
                  <c:v>8</c:v>
                </c:pt>
                <c:pt idx="462">
                  <c:v>8</c:v>
                </c:pt>
                <c:pt idx="463">
                  <c:v>8</c:v>
                </c:pt>
                <c:pt idx="464">
                  <c:v>8</c:v>
                </c:pt>
                <c:pt idx="465">
                  <c:v>8</c:v>
                </c:pt>
                <c:pt idx="466">
                  <c:v>8</c:v>
                </c:pt>
                <c:pt idx="467">
                  <c:v>9</c:v>
                </c:pt>
                <c:pt idx="468">
                  <c:v>9</c:v>
                </c:pt>
                <c:pt idx="469">
                  <c:v>9</c:v>
                </c:pt>
                <c:pt idx="470">
                  <c:v>9</c:v>
                </c:pt>
                <c:pt idx="471">
                  <c:v>9</c:v>
                </c:pt>
                <c:pt idx="472">
                  <c:v>9</c:v>
                </c:pt>
                <c:pt idx="473">
                  <c:v>9</c:v>
                </c:pt>
                <c:pt idx="474">
                  <c:v>9</c:v>
                </c:pt>
                <c:pt idx="475">
                  <c:v>9</c:v>
                </c:pt>
                <c:pt idx="476">
                  <c:v>9</c:v>
                </c:pt>
                <c:pt idx="477">
                  <c:v>9</c:v>
                </c:pt>
                <c:pt idx="478">
                  <c:v>9</c:v>
                </c:pt>
                <c:pt idx="479">
                  <c:v>9</c:v>
                </c:pt>
                <c:pt idx="480">
                  <c:v>9</c:v>
                </c:pt>
                <c:pt idx="481">
                  <c:v>9</c:v>
                </c:pt>
                <c:pt idx="482">
                  <c:v>9</c:v>
                </c:pt>
                <c:pt idx="483">
                  <c:v>8</c:v>
                </c:pt>
                <c:pt idx="484">
                  <c:v>8</c:v>
                </c:pt>
                <c:pt idx="485">
                  <c:v>8</c:v>
                </c:pt>
                <c:pt idx="486">
                  <c:v>8</c:v>
                </c:pt>
                <c:pt idx="487">
                  <c:v>8</c:v>
                </c:pt>
                <c:pt idx="488">
                  <c:v>8</c:v>
                </c:pt>
                <c:pt idx="489">
                  <c:v>8</c:v>
                </c:pt>
                <c:pt idx="490">
                  <c:v>8</c:v>
                </c:pt>
                <c:pt idx="491">
                  <c:v>8</c:v>
                </c:pt>
                <c:pt idx="492">
                  <c:v>8</c:v>
                </c:pt>
                <c:pt idx="493">
                  <c:v>8</c:v>
                </c:pt>
                <c:pt idx="494">
                  <c:v>9</c:v>
                </c:pt>
                <c:pt idx="495">
                  <c:v>9</c:v>
                </c:pt>
                <c:pt idx="496">
                  <c:v>9</c:v>
                </c:pt>
                <c:pt idx="497">
                  <c:v>9</c:v>
                </c:pt>
                <c:pt idx="498">
                  <c:v>9</c:v>
                </c:pt>
                <c:pt idx="499">
                  <c:v>9</c:v>
                </c:pt>
                <c:pt idx="500">
                  <c:v>9</c:v>
                </c:pt>
                <c:pt idx="501">
                  <c:v>9</c:v>
                </c:pt>
                <c:pt idx="502">
                  <c:v>9</c:v>
                </c:pt>
                <c:pt idx="503">
                  <c:v>8</c:v>
                </c:pt>
                <c:pt idx="504">
                  <c:v>8</c:v>
                </c:pt>
                <c:pt idx="505">
                  <c:v>8</c:v>
                </c:pt>
                <c:pt idx="506">
                  <c:v>8</c:v>
                </c:pt>
                <c:pt idx="507">
                  <c:v>9</c:v>
                </c:pt>
                <c:pt idx="508">
                  <c:v>9</c:v>
                </c:pt>
                <c:pt idx="509">
                  <c:v>9</c:v>
                </c:pt>
                <c:pt idx="510">
                  <c:v>10</c:v>
                </c:pt>
                <c:pt idx="511">
                  <c:v>10</c:v>
                </c:pt>
                <c:pt idx="512">
                  <c:v>10</c:v>
                </c:pt>
                <c:pt idx="513">
                  <c:v>10</c:v>
                </c:pt>
                <c:pt idx="514">
                  <c:v>11</c:v>
                </c:pt>
                <c:pt idx="515">
                  <c:v>11</c:v>
                </c:pt>
                <c:pt idx="516">
                  <c:v>11</c:v>
                </c:pt>
                <c:pt idx="517">
                  <c:v>11</c:v>
                </c:pt>
                <c:pt idx="518">
                  <c:v>11</c:v>
                </c:pt>
                <c:pt idx="519">
                  <c:v>11</c:v>
                </c:pt>
                <c:pt idx="520">
                  <c:v>12</c:v>
                </c:pt>
                <c:pt idx="521">
                  <c:v>11</c:v>
                </c:pt>
                <c:pt idx="522">
                  <c:v>11</c:v>
                </c:pt>
                <c:pt idx="523">
                  <c:v>11</c:v>
                </c:pt>
                <c:pt idx="524">
                  <c:v>13</c:v>
                </c:pt>
                <c:pt idx="525">
                  <c:v>13</c:v>
                </c:pt>
                <c:pt idx="526">
                  <c:v>13</c:v>
                </c:pt>
                <c:pt idx="527">
                  <c:v>13</c:v>
                </c:pt>
                <c:pt idx="528">
                  <c:v>13</c:v>
                </c:pt>
                <c:pt idx="529">
                  <c:v>13</c:v>
                </c:pt>
                <c:pt idx="530">
                  <c:v>13</c:v>
                </c:pt>
                <c:pt idx="531">
                  <c:v>14</c:v>
                </c:pt>
                <c:pt idx="532">
                  <c:v>14</c:v>
                </c:pt>
                <c:pt idx="533">
                  <c:v>17</c:v>
                </c:pt>
                <c:pt idx="534">
                  <c:v>17</c:v>
                </c:pt>
                <c:pt idx="535">
                  <c:v>17</c:v>
                </c:pt>
                <c:pt idx="536">
                  <c:v>17</c:v>
                </c:pt>
                <c:pt idx="537">
                  <c:v>16</c:v>
                </c:pt>
                <c:pt idx="538">
                  <c:v>16</c:v>
                </c:pt>
                <c:pt idx="539">
                  <c:v>15</c:v>
                </c:pt>
                <c:pt idx="540">
                  <c:v>15</c:v>
                </c:pt>
                <c:pt idx="541">
                  <c:v>15</c:v>
                </c:pt>
                <c:pt idx="542">
                  <c:v>15</c:v>
                </c:pt>
                <c:pt idx="543">
                  <c:v>15</c:v>
                </c:pt>
                <c:pt idx="544">
                  <c:v>14</c:v>
                </c:pt>
                <c:pt idx="545">
                  <c:v>14</c:v>
                </c:pt>
                <c:pt idx="546">
                  <c:v>14</c:v>
                </c:pt>
                <c:pt idx="547">
                  <c:v>14</c:v>
                </c:pt>
                <c:pt idx="548">
                  <c:v>14</c:v>
                </c:pt>
                <c:pt idx="549">
                  <c:v>14</c:v>
                </c:pt>
                <c:pt idx="550">
                  <c:v>14</c:v>
                </c:pt>
                <c:pt idx="551">
                  <c:v>15</c:v>
                </c:pt>
                <c:pt idx="552">
                  <c:v>15</c:v>
                </c:pt>
                <c:pt idx="553">
                  <c:v>15</c:v>
                </c:pt>
                <c:pt idx="554">
                  <c:v>15</c:v>
                </c:pt>
                <c:pt idx="555">
                  <c:v>14</c:v>
                </c:pt>
                <c:pt idx="556">
                  <c:v>14</c:v>
                </c:pt>
                <c:pt idx="557">
                  <c:v>14</c:v>
                </c:pt>
                <c:pt idx="558">
                  <c:v>15</c:v>
                </c:pt>
                <c:pt idx="559">
                  <c:v>15</c:v>
                </c:pt>
                <c:pt idx="560">
                  <c:v>15</c:v>
                </c:pt>
                <c:pt idx="561">
                  <c:v>15</c:v>
                </c:pt>
                <c:pt idx="562">
                  <c:v>15</c:v>
                </c:pt>
                <c:pt idx="563">
                  <c:v>15</c:v>
                </c:pt>
                <c:pt idx="564">
                  <c:v>15</c:v>
                </c:pt>
                <c:pt idx="565">
                  <c:v>14</c:v>
                </c:pt>
                <c:pt idx="566">
                  <c:v>14</c:v>
                </c:pt>
                <c:pt idx="567">
                  <c:v>14</c:v>
                </c:pt>
                <c:pt idx="568">
                  <c:v>14</c:v>
                </c:pt>
                <c:pt idx="569">
                  <c:v>14</c:v>
                </c:pt>
                <c:pt idx="570">
                  <c:v>14</c:v>
                </c:pt>
                <c:pt idx="571">
                  <c:v>14</c:v>
                </c:pt>
                <c:pt idx="572">
                  <c:v>14</c:v>
                </c:pt>
                <c:pt idx="573">
                  <c:v>14</c:v>
                </c:pt>
                <c:pt idx="574">
                  <c:v>14</c:v>
                </c:pt>
                <c:pt idx="575">
                  <c:v>15</c:v>
                </c:pt>
                <c:pt idx="576">
                  <c:v>15</c:v>
                </c:pt>
                <c:pt idx="577">
                  <c:v>14</c:v>
                </c:pt>
                <c:pt idx="578">
                  <c:v>14</c:v>
                </c:pt>
                <c:pt idx="579">
                  <c:v>14</c:v>
                </c:pt>
                <c:pt idx="580">
                  <c:v>13</c:v>
                </c:pt>
                <c:pt idx="581">
                  <c:v>13</c:v>
                </c:pt>
                <c:pt idx="582">
                  <c:v>13</c:v>
                </c:pt>
                <c:pt idx="583">
                  <c:v>13</c:v>
                </c:pt>
                <c:pt idx="584">
                  <c:v>12</c:v>
                </c:pt>
                <c:pt idx="585">
                  <c:v>12</c:v>
                </c:pt>
                <c:pt idx="586">
                  <c:v>12</c:v>
                </c:pt>
                <c:pt idx="587">
                  <c:v>12</c:v>
                </c:pt>
                <c:pt idx="588">
                  <c:v>12</c:v>
                </c:pt>
                <c:pt idx="589">
                  <c:v>12</c:v>
                </c:pt>
                <c:pt idx="590">
                  <c:v>11</c:v>
                </c:pt>
                <c:pt idx="591">
                  <c:v>11</c:v>
                </c:pt>
                <c:pt idx="592">
                  <c:v>11</c:v>
                </c:pt>
                <c:pt idx="593">
                  <c:v>11</c:v>
                </c:pt>
                <c:pt idx="594">
                  <c:v>11</c:v>
                </c:pt>
                <c:pt idx="595">
                  <c:v>11</c:v>
                </c:pt>
                <c:pt idx="596">
                  <c:v>12</c:v>
                </c:pt>
                <c:pt idx="597">
                  <c:v>12</c:v>
                </c:pt>
                <c:pt idx="598">
                  <c:v>12</c:v>
                </c:pt>
                <c:pt idx="599">
                  <c:v>12</c:v>
                </c:pt>
                <c:pt idx="600">
                  <c:v>12</c:v>
                </c:pt>
                <c:pt idx="601">
                  <c:v>12</c:v>
                </c:pt>
                <c:pt idx="602">
                  <c:v>12</c:v>
                </c:pt>
                <c:pt idx="603">
                  <c:v>12</c:v>
                </c:pt>
                <c:pt idx="604">
                  <c:v>12</c:v>
                </c:pt>
                <c:pt idx="605">
                  <c:v>11</c:v>
                </c:pt>
                <c:pt idx="606">
                  <c:v>11</c:v>
                </c:pt>
                <c:pt idx="607">
                  <c:v>12</c:v>
                </c:pt>
                <c:pt idx="608">
                  <c:v>12</c:v>
                </c:pt>
                <c:pt idx="609">
                  <c:v>13</c:v>
                </c:pt>
                <c:pt idx="610">
                  <c:v>13</c:v>
                </c:pt>
                <c:pt idx="611">
                  <c:v>13</c:v>
                </c:pt>
                <c:pt idx="612">
                  <c:v>13</c:v>
                </c:pt>
                <c:pt idx="613">
                  <c:v>13</c:v>
                </c:pt>
                <c:pt idx="614">
                  <c:v>13</c:v>
                </c:pt>
                <c:pt idx="615">
                  <c:v>13</c:v>
                </c:pt>
                <c:pt idx="616">
                  <c:v>13</c:v>
                </c:pt>
                <c:pt idx="617">
                  <c:v>12</c:v>
                </c:pt>
                <c:pt idx="618">
                  <c:v>12</c:v>
                </c:pt>
                <c:pt idx="619">
                  <c:v>12</c:v>
                </c:pt>
                <c:pt idx="620">
                  <c:v>12</c:v>
                </c:pt>
                <c:pt idx="621">
                  <c:v>12</c:v>
                </c:pt>
                <c:pt idx="622">
                  <c:v>12</c:v>
                </c:pt>
                <c:pt idx="623">
                  <c:v>12</c:v>
                </c:pt>
                <c:pt idx="624">
                  <c:v>12</c:v>
                </c:pt>
                <c:pt idx="625">
                  <c:v>12</c:v>
                </c:pt>
                <c:pt idx="626">
                  <c:v>12</c:v>
                </c:pt>
                <c:pt idx="627">
                  <c:v>12</c:v>
                </c:pt>
                <c:pt idx="628">
                  <c:v>12</c:v>
                </c:pt>
                <c:pt idx="629">
                  <c:v>13</c:v>
                </c:pt>
                <c:pt idx="630">
                  <c:v>13</c:v>
                </c:pt>
                <c:pt idx="631">
                  <c:v>13</c:v>
                </c:pt>
                <c:pt idx="632">
                  <c:v>13</c:v>
                </c:pt>
                <c:pt idx="633">
                  <c:v>13</c:v>
                </c:pt>
                <c:pt idx="634">
                  <c:v>13</c:v>
                </c:pt>
                <c:pt idx="635">
                  <c:v>13</c:v>
                </c:pt>
                <c:pt idx="636">
                  <c:v>13</c:v>
                </c:pt>
                <c:pt idx="637">
                  <c:v>13</c:v>
                </c:pt>
                <c:pt idx="638">
                  <c:v>13</c:v>
                </c:pt>
                <c:pt idx="639">
                  <c:v>13</c:v>
                </c:pt>
                <c:pt idx="640">
                  <c:v>13</c:v>
                </c:pt>
                <c:pt idx="641">
                  <c:v>13</c:v>
                </c:pt>
                <c:pt idx="642">
                  <c:v>13</c:v>
                </c:pt>
                <c:pt idx="643">
                  <c:v>13</c:v>
                </c:pt>
                <c:pt idx="644">
                  <c:v>13</c:v>
                </c:pt>
                <c:pt idx="645">
                  <c:v>13</c:v>
                </c:pt>
                <c:pt idx="646">
                  <c:v>13</c:v>
                </c:pt>
                <c:pt idx="647">
                  <c:v>13</c:v>
                </c:pt>
                <c:pt idx="648">
                  <c:v>13</c:v>
                </c:pt>
                <c:pt idx="649">
                  <c:v>14</c:v>
                </c:pt>
                <c:pt idx="650">
                  <c:v>14</c:v>
                </c:pt>
                <c:pt idx="651">
                  <c:v>14</c:v>
                </c:pt>
                <c:pt idx="652">
                  <c:v>16</c:v>
                </c:pt>
                <c:pt idx="653">
                  <c:v>16</c:v>
                </c:pt>
                <c:pt idx="654">
                  <c:v>16</c:v>
                </c:pt>
                <c:pt idx="655">
                  <c:v>16</c:v>
                </c:pt>
                <c:pt idx="656">
                  <c:v>16</c:v>
                </c:pt>
                <c:pt idx="657">
                  <c:v>16</c:v>
                </c:pt>
                <c:pt idx="658">
                  <c:v>16</c:v>
                </c:pt>
                <c:pt idx="659">
                  <c:v>16</c:v>
                </c:pt>
                <c:pt idx="660">
                  <c:v>16</c:v>
                </c:pt>
                <c:pt idx="661">
                  <c:v>16</c:v>
                </c:pt>
                <c:pt idx="662">
                  <c:v>16</c:v>
                </c:pt>
                <c:pt idx="663">
                  <c:v>16</c:v>
                </c:pt>
                <c:pt idx="664">
                  <c:v>16</c:v>
                </c:pt>
                <c:pt idx="665">
                  <c:v>16</c:v>
                </c:pt>
                <c:pt idx="666">
                  <c:v>16</c:v>
                </c:pt>
                <c:pt idx="667">
                  <c:v>16</c:v>
                </c:pt>
                <c:pt idx="668">
                  <c:v>17</c:v>
                </c:pt>
                <c:pt idx="669">
                  <c:v>17</c:v>
                </c:pt>
                <c:pt idx="670">
                  <c:v>17</c:v>
                </c:pt>
                <c:pt idx="671">
                  <c:v>18</c:v>
                </c:pt>
                <c:pt idx="672">
                  <c:v>19</c:v>
                </c:pt>
                <c:pt idx="673">
                  <c:v>19</c:v>
                </c:pt>
                <c:pt idx="674">
                  <c:v>19</c:v>
                </c:pt>
                <c:pt idx="675">
                  <c:v>19</c:v>
                </c:pt>
                <c:pt idx="676">
                  <c:v>19</c:v>
                </c:pt>
                <c:pt idx="677">
                  <c:v>19</c:v>
                </c:pt>
                <c:pt idx="678">
                  <c:v>19</c:v>
                </c:pt>
                <c:pt idx="679">
                  <c:v>20</c:v>
                </c:pt>
                <c:pt idx="680">
                  <c:v>19</c:v>
                </c:pt>
                <c:pt idx="681">
                  <c:v>19</c:v>
                </c:pt>
                <c:pt idx="682">
                  <c:v>19</c:v>
                </c:pt>
                <c:pt idx="683">
                  <c:v>20</c:v>
                </c:pt>
                <c:pt idx="684">
                  <c:v>20</c:v>
                </c:pt>
                <c:pt idx="685">
                  <c:v>20</c:v>
                </c:pt>
                <c:pt idx="686">
                  <c:v>20</c:v>
                </c:pt>
                <c:pt idx="687">
                  <c:v>20</c:v>
                </c:pt>
                <c:pt idx="688">
                  <c:v>20</c:v>
                </c:pt>
                <c:pt idx="689">
                  <c:v>20</c:v>
                </c:pt>
                <c:pt idx="690">
                  <c:v>20</c:v>
                </c:pt>
                <c:pt idx="691">
                  <c:v>21</c:v>
                </c:pt>
                <c:pt idx="692">
                  <c:v>21</c:v>
                </c:pt>
                <c:pt idx="693">
                  <c:v>21</c:v>
                </c:pt>
                <c:pt idx="694">
                  <c:v>21</c:v>
                </c:pt>
                <c:pt idx="695">
                  <c:v>21</c:v>
                </c:pt>
                <c:pt idx="696">
                  <c:v>21</c:v>
                </c:pt>
                <c:pt idx="697">
                  <c:v>21</c:v>
                </c:pt>
                <c:pt idx="698">
                  <c:v>21</c:v>
                </c:pt>
                <c:pt idx="699">
                  <c:v>21</c:v>
                </c:pt>
                <c:pt idx="700">
                  <c:v>20</c:v>
                </c:pt>
                <c:pt idx="701">
                  <c:v>21</c:v>
                </c:pt>
                <c:pt idx="702">
                  <c:v>21</c:v>
                </c:pt>
                <c:pt idx="703">
                  <c:v>22</c:v>
                </c:pt>
                <c:pt idx="704">
                  <c:v>22</c:v>
                </c:pt>
                <c:pt idx="705">
                  <c:v>23</c:v>
                </c:pt>
                <c:pt idx="706">
                  <c:v>23</c:v>
                </c:pt>
                <c:pt idx="707">
                  <c:v>23</c:v>
                </c:pt>
                <c:pt idx="708">
                  <c:v>23</c:v>
                </c:pt>
                <c:pt idx="709">
                  <c:v>23</c:v>
                </c:pt>
                <c:pt idx="710">
                  <c:v>23</c:v>
                </c:pt>
                <c:pt idx="711">
                  <c:v>23</c:v>
                </c:pt>
                <c:pt idx="712">
                  <c:v>23</c:v>
                </c:pt>
                <c:pt idx="713">
                  <c:v>23</c:v>
                </c:pt>
                <c:pt idx="714">
                  <c:v>24</c:v>
                </c:pt>
                <c:pt idx="715">
                  <c:v>25</c:v>
                </c:pt>
                <c:pt idx="716">
                  <c:v>25</c:v>
                </c:pt>
                <c:pt idx="717">
                  <c:v>25</c:v>
                </c:pt>
                <c:pt idx="718">
                  <c:v>26</c:v>
                </c:pt>
                <c:pt idx="719">
                  <c:v>26</c:v>
                </c:pt>
                <c:pt idx="720">
                  <c:v>25</c:v>
                </c:pt>
                <c:pt idx="721">
                  <c:v>25</c:v>
                </c:pt>
                <c:pt idx="722">
                  <c:v>25</c:v>
                </c:pt>
                <c:pt idx="723">
                  <c:v>25</c:v>
                </c:pt>
                <c:pt idx="724">
                  <c:v>25</c:v>
                </c:pt>
                <c:pt idx="725">
                  <c:v>26</c:v>
                </c:pt>
                <c:pt idx="726">
                  <c:v>26</c:v>
                </c:pt>
                <c:pt idx="727">
                  <c:v>26</c:v>
                </c:pt>
                <c:pt idx="728">
                  <c:v>27</c:v>
                </c:pt>
                <c:pt idx="729">
                  <c:v>27</c:v>
                </c:pt>
                <c:pt idx="730">
                  <c:v>27</c:v>
                </c:pt>
                <c:pt idx="731">
                  <c:v>27</c:v>
                </c:pt>
                <c:pt idx="732">
                  <c:v>27</c:v>
                </c:pt>
                <c:pt idx="733">
                  <c:v>27</c:v>
                </c:pt>
                <c:pt idx="734">
                  <c:v>28</c:v>
                </c:pt>
                <c:pt idx="735">
                  <c:v>28</c:v>
                </c:pt>
                <c:pt idx="736">
                  <c:v>28</c:v>
                </c:pt>
                <c:pt idx="737">
                  <c:v>29</c:v>
                </c:pt>
                <c:pt idx="738">
                  <c:v>29</c:v>
                </c:pt>
                <c:pt idx="739">
                  <c:v>29</c:v>
                </c:pt>
                <c:pt idx="740">
                  <c:v>29</c:v>
                </c:pt>
                <c:pt idx="741">
                  <c:v>29</c:v>
                </c:pt>
                <c:pt idx="742">
                  <c:v>29</c:v>
                </c:pt>
                <c:pt idx="743">
                  <c:v>29</c:v>
                </c:pt>
                <c:pt idx="744">
                  <c:v>29</c:v>
                </c:pt>
                <c:pt idx="745">
                  <c:v>29</c:v>
                </c:pt>
                <c:pt idx="746">
                  <c:v>29</c:v>
                </c:pt>
                <c:pt idx="747">
                  <c:v>29</c:v>
                </c:pt>
                <c:pt idx="748">
                  <c:v>29</c:v>
                </c:pt>
                <c:pt idx="749">
                  <c:v>29</c:v>
                </c:pt>
                <c:pt idx="750">
                  <c:v>30</c:v>
                </c:pt>
                <c:pt idx="751">
                  <c:v>30</c:v>
                </c:pt>
                <c:pt idx="752">
                  <c:v>30</c:v>
                </c:pt>
                <c:pt idx="753">
                  <c:v>30</c:v>
                </c:pt>
                <c:pt idx="754">
                  <c:v>30</c:v>
                </c:pt>
                <c:pt idx="755">
                  <c:v>30</c:v>
                </c:pt>
                <c:pt idx="756">
                  <c:v>30</c:v>
                </c:pt>
                <c:pt idx="757">
                  <c:v>30</c:v>
                </c:pt>
                <c:pt idx="758">
                  <c:v>30</c:v>
                </c:pt>
                <c:pt idx="759">
                  <c:v>30</c:v>
                </c:pt>
                <c:pt idx="760">
                  <c:v>30</c:v>
                </c:pt>
                <c:pt idx="761">
                  <c:v>30</c:v>
                </c:pt>
                <c:pt idx="762">
                  <c:v>30</c:v>
                </c:pt>
                <c:pt idx="763">
                  <c:v>30</c:v>
                </c:pt>
                <c:pt idx="764">
                  <c:v>30</c:v>
                </c:pt>
                <c:pt idx="765">
                  <c:v>30</c:v>
                </c:pt>
                <c:pt idx="766">
                  <c:v>30</c:v>
                </c:pt>
                <c:pt idx="767">
                  <c:v>30</c:v>
                </c:pt>
                <c:pt idx="768">
                  <c:v>30</c:v>
                </c:pt>
                <c:pt idx="769">
                  <c:v>30</c:v>
                </c:pt>
                <c:pt idx="770">
                  <c:v>32</c:v>
                </c:pt>
                <c:pt idx="771">
                  <c:v>32</c:v>
                </c:pt>
                <c:pt idx="772">
                  <c:v>32</c:v>
                </c:pt>
                <c:pt idx="773">
                  <c:v>32</c:v>
                </c:pt>
                <c:pt idx="774">
                  <c:v>32</c:v>
                </c:pt>
                <c:pt idx="775">
                  <c:v>32</c:v>
                </c:pt>
                <c:pt idx="776">
                  <c:v>32</c:v>
                </c:pt>
                <c:pt idx="777">
                  <c:v>32</c:v>
                </c:pt>
                <c:pt idx="778">
                  <c:v>32</c:v>
                </c:pt>
                <c:pt idx="779">
                  <c:v>33</c:v>
                </c:pt>
                <c:pt idx="780">
                  <c:v>33</c:v>
                </c:pt>
                <c:pt idx="781">
                  <c:v>33</c:v>
                </c:pt>
                <c:pt idx="782">
                  <c:v>33</c:v>
                </c:pt>
                <c:pt idx="783">
                  <c:v>33</c:v>
                </c:pt>
                <c:pt idx="784">
                  <c:v>33</c:v>
                </c:pt>
                <c:pt idx="785">
                  <c:v>32</c:v>
                </c:pt>
                <c:pt idx="786">
                  <c:v>33</c:v>
                </c:pt>
                <c:pt idx="787">
                  <c:v>33</c:v>
                </c:pt>
                <c:pt idx="788">
                  <c:v>33</c:v>
                </c:pt>
                <c:pt idx="789">
                  <c:v>33</c:v>
                </c:pt>
                <c:pt idx="790">
                  <c:v>33</c:v>
                </c:pt>
                <c:pt idx="791">
                  <c:v>33</c:v>
                </c:pt>
                <c:pt idx="792">
                  <c:v>33</c:v>
                </c:pt>
                <c:pt idx="793">
                  <c:v>33</c:v>
                </c:pt>
                <c:pt idx="794">
                  <c:v>34</c:v>
                </c:pt>
                <c:pt idx="795">
                  <c:v>34</c:v>
                </c:pt>
                <c:pt idx="796">
                  <c:v>34</c:v>
                </c:pt>
                <c:pt idx="797">
                  <c:v>35</c:v>
                </c:pt>
                <c:pt idx="798">
                  <c:v>35</c:v>
                </c:pt>
                <c:pt idx="799">
                  <c:v>35</c:v>
                </c:pt>
                <c:pt idx="800">
                  <c:v>35</c:v>
                </c:pt>
                <c:pt idx="801">
                  <c:v>35</c:v>
                </c:pt>
                <c:pt idx="802">
                  <c:v>35</c:v>
                </c:pt>
                <c:pt idx="803">
                  <c:v>35</c:v>
                </c:pt>
                <c:pt idx="804">
                  <c:v>35</c:v>
                </c:pt>
                <c:pt idx="805">
                  <c:v>35</c:v>
                </c:pt>
                <c:pt idx="806">
                  <c:v>35</c:v>
                </c:pt>
                <c:pt idx="807">
                  <c:v>35</c:v>
                </c:pt>
                <c:pt idx="808">
                  <c:v>35</c:v>
                </c:pt>
                <c:pt idx="809">
                  <c:v>35</c:v>
                </c:pt>
                <c:pt idx="810">
                  <c:v>35</c:v>
                </c:pt>
                <c:pt idx="811">
                  <c:v>35</c:v>
                </c:pt>
                <c:pt idx="812">
                  <c:v>35</c:v>
                </c:pt>
                <c:pt idx="813">
                  <c:v>35</c:v>
                </c:pt>
                <c:pt idx="814">
                  <c:v>35</c:v>
                </c:pt>
                <c:pt idx="815">
                  <c:v>35</c:v>
                </c:pt>
                <c:pt idx="816">
                  <c:v>35</c:v>
                </c:pt>
                <c:pt idx="817">
                  <c:v>35</c:v>
                </c:pt>
                <c:pt idx="818">
                  <c:v>35</c:v>
                </c:pt>
                <c:pt idx="819">
                  <c:v>35</c:v>
                </c:pt>
                <c:pt idx="820">
                  <c:v>35</c:v>
                </c:pt>
                <c:pt idx="821">
                  <c:v>35</c:v>
                </c:pt>
                <c:pt idx="822">
                  <c:v>35</c:v>
                </c:pt>
                <c:pt idx="823">
                  <c:v>34</c:v>
                </c:pt>
                <c:pt idx="824">
                  <c:v>34</c:v>
                </c:pt>
                <c:pt idx="825">
                  <c:v>33</c:v>
                </c:pt>
                <c:pt idx="826">
                  <c:v>33</c:v>
                </c:pt>
                <c:pt idx="827">
                  <c:v>33</c:v>
                </c:pt>
                <c:pt idx="828">
                  <c:v>33</c:v>
                </c:pt>
                <c:pt idx="829">
                  <c:v>33</c:v>
                </c:pt>
                <c:pt idx="830">
                  <c:v>34</c:v>
                </c:pt>
                <c:pt idx="831">
                  <c:v>34</c:v>
                </c:pt>
                <c:pt idx="832">
                  <c:v>33</c:v>
                </c:pt>
                <c:pt idx="833">
                  <c:v>34</c:v>
                </c:pt>
                <c:pt idx="834">
                  <c:v>34</c:v>
                </c:pt>
                <c:pt idx="835">
                  <c:v>34</c:v>
                </c:pt>
                <c:pt idx="836">
                  <c:v>34</c:v>
                </c:pt>
                <c:pt idx="837">
                  <c:v>34</c:v>
                </c:pt>
                <c:pt idx="838">
                  <c:v>34</c:v>
                </c:pt>
                <c:pt idx="839">
                  <c:v>34</c:v>
                </c:pt>
                <c:pt idx="840">
                  <c:v>35</c:v>
                </c:pt>
                <c:pt idx="841">
                  <c:v>35</c:v>
                </c:pt>
                <c:pt idx="842">
                  <c:v>35</c:v>
                </c:pt>
                <c:pt idx="843">
                  <c:v>35</c:v>
                </c:pt>
                <c:pt idx="844">
                  <c:v>35</c:v>
                </c:pt>
                <c:pt idx="845">
                  <c:v>36</c:v>
                </c:pt>
                <c:pt idx="846">
                  <c:v>36</c:v>
                </c:pt>
                <c:pt idx="847">
                  <c:v>36</c:v>
                </c:pt>
                <c:pt idx="848">
                  <c:v>36</c:v>
                </c:pt>
                <c:pt idx="849">
                  <c:v>36</c:v>
                </c:pt>
                <c:pt idx="850">
                  <c:v>36</c:v>
                </c:pt>
                <c:pt idx="851">
                  <c:v>36</c:v>
                </c:pt>
                <c:pt idx="852">
                  <c:v>35</c:v>
                </c:pt>
                <c:pt idx="853">
                  <c:v>35</c:v>
                </c:pt>
                <c:pt idx="854">
                  <c:v>35</c:v>
                </c:pt>
                <c:pt idx="855">
                  <c:v>35</c:v>
                </c:pt>
                <c:pt idx="856">
                  <c:v>35</c:v>
                </c:pt>
                <c:pt idx="857">
                  <c:v>35</c:v>
                </c:pt>
                <c:pt idx="858">
                  <c:v>35</c:v>
                </c:pt>
                <c:pt idx="859">
                  <c:v>35</c:v>
                </c:pt>
                <c:pt idx="860">
                  <c:v>37</c:v>
                </c:pt>
                <c:pt idx="861">
                  <c:v>37</c:v>
                </c:pt>
                <c:pt idx="862">
                  <c:v>37</c:v>
                </c:pt>
                <c:pt idx="863">
                  <c:v>37</c:v>
                </c:pt>
                <c:pt idx="864">
                  <c:v>37</c:v>
                </c:pt>
                <c:pt idx="865">
                  <c:v>37</c:v>
                </c:pt>
                <c:pt idx="866">
                  <c:v>37</c:v>
                </c:pt>
                <c:pt idx="867">
                  <c:v>37</c:v>
                </c:pt>
                <c:pt idx="868">
                  <c:v>37</c:v>
                </c:pt>
                <c:pt idx="869">
                  <c:v>37</c:v>
                </c:pt>
                <c:pt idx="870">
                  <c:v>36</c:v>
                </c:pt>
                <c:pt idx="871">
                  <c:v>36</c:v>
                </c:pt>
                <c:pt idx="872">
                  <c:v>36</c:v>
                </c:pt>
                <c:pt idx="873">
                  <c:v>36</c:v>
                </c:pt>
                <c:pt idx="874">
                  <c:v>36</c:v>
                </c:pt>
                <c:pt idx="875">
                  <c:v>36</c:v>
                </c:pt>
                <c:pt idx="876">
                  <c:v>36</c:v>
                </c:pt>
                <c:pt idx="877">
                  <c:v>36</c:v>
                </c:pt>
                <c:pt idx="878">
                  <c:v>36</c:v>
                </c:pt>
                <c:pt idx="879">
                  <c:v>36</c:v>
                </c:pt>
                <c:pt idx="880">
                  <c:v>36</c:v>
                </c:pt>
                <c:pt idx="881">
                  <c:v>37</c:v>
                </c:pt>
                <c:pt idx="882">
                  <c:v>37</c:v>
                </c:pt>
                <c:pt idx="883">
                  <c:v>37</c:v>
                </c:pt>
                <c:pt idx="884">
                  <c:v>37</c:v>
                </c:pt>
                <c:pt idx="885">
                  <c:v>37</c:v>
                </c:pt>
                <c:pt idx="886">
                  <c:v>36</c:v>
                </c:pt>
                <c:pt idx="887">
                  <c:v>36</c:v>
                </c:pt>
                <c:pt idx="888">
                  <c:v>36</c:v>
                </c:pt>
                <c:pt idx="889">
                  <c:v>36</c:v>
                </c:pt>
                <c:pt idx="890">
                  <c:v>36</c:v>
                </c:pt>
                <c:pt idx="891">
                  <c:v>36</c:v>
                </c:pt>
                <c:pt idx="892">
                  <c:v>36</c:v>
                </c:pt>
                <c:pt idx="893">
                  <c:v>36</c:v>
                </c:pt>
                <c:pt idx="894">
                  <c:v>36</c:v>
                </c:pt>
                <c:pt idx="895">
                  <c:v>36</c:v>
                </c:pt>
                <c:pt idx="896">
                  <c:v>36</c:v>
                </c:pt>
                <c:pt idx="897">
                  <c:v>36</c:v>
                </c:pt>
                <c:pt idx="898">
                  <c:v>36</c:v>
                </c:pt>
                <c:pt idx="899">
                  <c:v>36</c:v>
                </c:pt>
                <c:pt idx="900">
                  <c:v>36</c:v>
                </c:pt>
                <c:pt idx="901">
                  <c:v>36</c:v>
                </c:pt>
                <c:pt idx="902">
                  <c:v>36</c:v>
                </c:pt>
                <c:pt idx="903">
                  <c:v>36</c:v>
                </c:pt>
                <c:pt idx="904">
                  <c:v>36</c:v>
                </c:pt>
                <c:pt idx="905">
                  <c:v>36</c:v>
                </c:pt>
                <c:pt idx="906">
                  <c:v>36</c:v>
                </c:pt>
                <c:pt idx="907">
                  <c:v>35</c:v>
                </c:pt>
                <c:pt idx="908">
                  <c:v>34</c:v>
                </c:pt>
                <c:pt idx="909">
                  <c:v>34</c:v>
                </c:pt>
                <c:pt idx="910">
                  <c:v>34</c:v>
                </c:pt>
                <c:pt idx="911">
                  <c:v>34</c:v>
                </c:pt>
                <c:pt idx="912">
                  <c:v>34</c:v>
                </c:pt>
                <c:pt idx="913">
                  <c:v>34</c:v>
                </c:pt>
                <c:pt idx="914">
                  <c:v>34</c:v>
                </c:pt>
                <c:pt idx="915">
                  <c:v>34</c:v>
                </c:pt>
                <c:pt idx="916">
                  <c:v>34</c:v>
                </c:pt>
                <c:pt idx="917">
                  <c:v>34</c:v>
                </c:pt>
                <c:pt idx="918">
                  <c:v>34</c:v>
                </c:pt>
                <c:pt idx="919">
                  <c:v>34</c:v>
                </c:pt>
                <c:pt idx="920">
                  <c:v>34</c:v>
                </c:pt>
                <c:pt idx="921">
                  <c:v>34</c:v>
                </c:pt>
                <c:pt idx="922">
                  <c:v>34</c:v>
                </c:pt>
                <c:pt idx="923">
                  <c:v>34</c:v>
                </c:pt>
                <c:pt idx="924">
                  <c:v>34</c:v>
                </c:pt>
                <c:pt idx="925">
                  <c:v>35</c:v>
                </c:pt>
                <c:pt idx="926">
                  <c:v>35</c:v>
                </c:pt>
                <c:pt idx="927">
                  <c:v>35</c:v>
                </c:pt>
                <c:pt idx="928">
                  <c:v>35</c:v>
                </c:pt>
                <c:pt idx="929">
                  <c:v>35</c:v>
                </c:pt>
                <c:pt idx="930">
                  <c:v>35</c:v>
                </c:pt>
                <c:pt idx="931">
                  <c:v>35</c:v>
                </c:pt>
                <c:pt idx="932">
                  <c:v>35</c:v>
                </c:pt>
                <c:pt idx="933">
                  <c:v>35</c:v>
                </c:pt>
                <c:pt idx="934">
                  <c:v>35</c:v>
                </c:pt>
                <c:pt idx="935">
                  <c:v>35</c:v>
                </c:pt>
                <c:pt idx="936">
                  <c:v>35</c:v>
                </c:pt>
                <c:pt idx="937">
                  <c:v>36</c:v>
                </c:pt>
                <c:pt idx="938">
                  <c:v>36</c:v>
                </c:pt>
                <c:pt idx="939">
                  <c:v>36</c:v>
                </c:pt>
                <c:pt idx="940">
                  <c:v>36</c:v>
                </c:pt>
                <c:pt idx="941">
                  <c:v>36</c:v>
                </c:pt>
                <c:pt idx="942">
                  <c:v>36</c:v>
                </c:pt>
                <c:pt idx="943">
                  <c:v>36</c:v>
                </c:pt>
                <c:pt idx="944">
                  <c:v>35</c:v>
                </c:pt>
                <c:pt idx="945">
                  <c:v>35</c:v>
                </c:pt>
                <c:pt idx="946">
                  <c:v>33</c:v>
                </c:pt>
                <c:pt idx="947">
                  <c:v>33</c:v>
                </c:pt>
                <c:pt idx="948">
                  <c:v>35</c:v>
                </c:pt>
                <c:pt idx="949">
                  <c:v>35</c:v>
                </c:pt>
                <c:pt idx="950">
                  <c:v>35</c:v>
                </c:pt>
                <c:pt idx="951">
                  <c:v>35</c:v>
                </c:pt>
                <c:pt idx="952">
                  <c:v>35</c:v>
                </c:pt>
                <c:pt idx="953">
                  <c:v>35</c:v>
                </c:pt>
                <c:pt idx="954">
                  <c:v>35</c:v>
                </c:pt>
                <c:pt idx="955">
                  <c:v>35</c:v>
                </c:pt>
                <c:pt idx="956">
                  <c:v>35</c:v>
                </c:pt>
                <c:pt idx="957">
                  <c:v>35</c:v>
                </c:pt>
                <c:pt idx="958">
                  <c:v>35</c:v>
                </c:pt>
                <c:pt idx="959">
                  <c:v>35</c:v>
                </c:pt>
                <c:pt idx="960">
                  <c:v>35</c:v>
                </c:pt>
                <c:pt idx="961">
                  <c:v>35</c:v>
                </c:pt>
                <c:pt idx="962">
                  <c:v>35</c:v>
                </c:pt>
                <c:pt idx="963">
                  <c:v>35</c:v>
                </c:pt>
                <c:pt idx="964">
                  <c:v>35</c:v>
                </c:pt>
                <c:pt idx="965">
                  <c:v>35</c:v>
                </c:pt>
                <c:pt idx="966">
                  <c:v>35</c:v>
                </c:pt>
                <c:pt idx="967">
                  <c:v>36</c:v>
                </c:pt>
                <c:pt idx="968">
                  <c:v>37</c:v>
                </c:pt>
                <c:pt idx="969">
                  <c:v>37</c:v>
                </c:pt>
                <c:pt idx="970">
                  <c:v>37</c:v>
                </c:pt>
                <c:pt idx="971">
                  <c:v>37</c:v>
                </c:pt>
                <c:pt idx="972">
                  <c:v>37</c:v>
                </c:pt>
                <c:pt idx="973">
                  <c:v>38</c:v>
                </c:pt>
                <c:pt idx="974">
                  <c:v>38</c:v>
                </c:pt>
                <c:pt idx="975">
                  <c:v>38</c:v>
                </c:pt>
                <c:pt idx="976">
                  <c:v>38</c:v>
                </c:pt>
                <c:pt idx="977">
                  <c:v>38</c:v>
                </c:pt>
                <c:pt idx="978">
                  <c:v>38</c:v>
                </c:pt>
                <c:pt idx="979">
                  <c:v>37</c:v>
                </c:pt>
                <c:pt idx="980">
                  <c:v>37</c:v>
                </c:pt>
                <c:pt idx="981">
                  <c:v>38</c:v>
                </c:pt>
                <c:pt idx="982">
                  <c:v>38</c:v>
                </c:pt>
                <c:pt idx="983">
                  <c:v>38</c:v>
                </c:pt>
                <c:pt idx="984">
                  <c:v>38</c:v>
                </c:pt>
                <c:pt idx="985">
                  <c:v>37</c:v>
                </c:pt>
                <c:pt idx="986">
                  <c:v>38</c:v>
                </c:pt>
                <c:pt idx="987">
                  <c:v>38</c:v>
                </c:pt>
                <c:pt idx="988">
                  <c:v>37</c:v>
                </c:pt>
                <c:pt idx="989">
                  <c:v>38</c:v>
                </c:pt>
                <c:pt idx="990">
                  <c:v>38</c:v>
                </c:pt>
                <c:pt idx="991">
                  <c:v>38</c:v>
                </c:pt>
                <c:pt idx="992">
                  <c:v>37</c:v>
                </c:pt>
                <c:pt idx="993">
                  <c:v>37</c:v>
                </c:pt>
                <c:pt idx="994">
                  <c:v>37</c:v>
                </c:pt>
                <c:pt idx="995">
                  <c:v>37</c:v>
                </c:pt>
                <c:pt idx="996">
                  <c:v>37</c:v>
                </c:pt>
                <c:pt idx="997">
                  <c:v>37</c:v>
                </c:pt>
                <c:pt idx="998">
                  <c:v>37</c:v>
                </c:pt>
                <c:pt idx="999">
                  <c:v>37</c:v>
                </c:pt>
                <c:pt idx="1000">
                  <c:v>37</c:v>
                </c:pt>
                <c:pt idx="1001">
                  <c:v>37</c:v>
                </c:pt>
                <c:pt idx="1002">
                  <c:v>37</c:v>
                </c:pt>
                <c:pt idx="1003">
                  <c:v>37</c:v>
                </c:pt>
                <c:pt idx="1004">
                  <c:v>37</c:v>
                </c:pt>
                <c:pt idx="1005">
                  <c:v>37</c:v>
                </c:pt>
                <c:pt idx="1006">
                  <c:v>37</c:v>
                </c:pt>
                <c:pt idx="1007">
                  <c:v>37</c:v>
                </c:pt>
                <c:pt idx="1008">
                  <c:v>37</c:v>
                </c:pt>
                <c:pt idx="1009">
                  <c:v>37</c:v>
                </c:pt>
                <c:pt idx="1010">
                  <c:v>37</c:v>
                </c:pt>
                <c:pt idx="1011">
                  <c:v>37</c:v>
                </c:pt>
                <c:pt idx="1012">
                  <c:v>37</c:v>
                </c:pt>
                <c:pt idx="1013">
                  <c:v>37</c:v>
                </c:pt>
                <c:pt idx="1014">
                  <c:v>38</c:v>
                </c:pt>
                <c:pt idx="1015">
                  <c:v>38</c:v>
                </c:pt>
                <c:pt idx="1016">
                  <c:v>38</c:v>
                </c:pt>
                <c:pt idx="1017">
                  <c:v>37</c:v>
                </c:pt>
                <c:pt idx="1018">
                  <c:v>37</c:v>
                </c:pt>
                <c:pt idx="1019">
                  <c:v>37</c:v>
                </c:pt>
                <c:pt idx="1020">
                  <c:v>37</c:v>
                </c:pt>
                <c:pt idx="1021">
                  <c:v>37</c:v>
                </c:pt>
                <c:pt idx="1022">
                  <c:v>37</c:v>
                </c:pt>
                <c:pt idx="1023">
                  <c:v>36</c:v>
                </c:pt>
                <c:pt idx="1024">
                  <c:v>36</c:v>
                </c:pt>
                <c:pt idx="1025">
                  <c:v>36</c:v>
                </c:pt>
                <c:pt idx="1026">
                  <c:v>36</c:v>
                </c:pt>
                <c:pt idx="1027">
                  <c:v>36</c:v>
                </c:pt>
                <c:pt idx="1028">
                  <c:v>36</c:v>
                </c:pt>
                <c:pt idx="1029">
                  <c:v>36</c:v>
                </c:pt>
                <c:pt idx="1030">
                  <c:v>36</c:v>
                </c:pt>
                <c:pt idx="1031">
                  <c:v>36</c:v>
                </c:pt>
                <c:pt idx="1032">
                  <c:v>36</c:v>
                </c:pt>
                <c:pt idx="1033">
                  <c:v>36</c:v>
                </c:pt>
                <c:pt idx="1034">
                  <c:v>36</c:v>
                </c:pt>
                <c:pt idx="1035">
                  <c:v>36</c:v>
                </c:pt>
                <c:pt idx="1036">
                  <c:v>36</c:v>
                </c:pt>
                <c:pt idx="1037">
                  <c:v>36</c:v>
                </c:pt>
                <c:pt idx="1038">
                  <c:v>36</c:v>
                </c:pt>
                <c:pt idx="1039">
                  <c:v>36</c:v>
                </c:pt>
                <c:pt idx="1040">
                  <c:v>36</c:v>
                </c:pt>
                <c:pt idx="1041">
                  <c:v>36</c:v>
                </c:pt>
                <c:pt idx="1042">
                  <c:v>36</c:v>
                </c:pt>
                <c:pt idx="1043">
                  <c:v>36</c:v>
                </c:pt>
                <c:pt idx="1044">
                  <c:v>36</c:v>
                </c:pt>
                <c:pt idx="1045">
                  <c:v>36</c:v>
                </c:pt>
                <c:pt idx="1046">
                  <c:v>35</c:v>
                </c:pt>
                <c:pt idx="1047">
                  <c:v>35</c:v>
                </c:pt>
                <c:pt idx="1048">
                  <c:v>35</c:v>
                </c:pt>
                <c:pt idx="1049">
                  <c:v>35</c:v>
                </c:pt>
                <c:pt idx="1050">
                  <c:v>35</c:v>
                </c:pt>
                <c:pt idx="1051">
                  <c:v>35</c:v>
                </c:pt>
                <c:pt idx="1052">
                  <c:v>35</c:v>
                </c:pt>
                <c:pt idx="1053">
                  <c:v>35</c:v>
                </c:pt>
                <c:pt idx="1054">
                  <c:v>35</c:v>
                </c:pt>
                <c:pt idx="1055">
                  <c:v>35</c:v>
                </c:pt>
                <c:pt idx="1056">
                  <c:v>33</c:v>
                </c:pt>
                <c:pt idx="1057">
                  <c:v>33</c:v>
                </c:pt>
                <c:pt idx="1058">
                  <c:v>33</c:v>
                </c:pt>
                <c:pt idx="1059">
                  <c:v>33</c:v>
                </c:pt>
                <c:pt idx="1060">
                  <c:v>33</c:v>
                </c:pt>
                <c:pt idx="1061">
                  <c:v>34</c:v>
                </c:pt>
                <c:pt idx="1062">
                  <c:v>35</c:v>
                </c:pt>
                <c:pt idx="1063">
                  <c:v>35</c:v>
                </c:pt>
                <c:pt idx="1064">
                  <c:v>35</c:v>
                </c:pt>
                <c:pt idx="1065">
                  <c:v>35</c:v>
                </c:pt>
                <c:pt idx="1066">
                  <c:v>34</c:v>
                </c:pt>
                <c:pt idx="1067">
                  <c:v>34</c:v>
                </c:pt>
                <c:pt idx="1068">
                  <c:v>34</c:v>
                </c:pt>
                <c:pt idx="1069">
                  <c:v>34</c:v>
                </c:pt>
                <c:pt idx="1070">
                  <c:v>37</c:v>
                </c:pt>
                <c:pt idx="1071">
                  <c:v>37</c:v>
                </c:pt>
                <c:pt idx="1072">
                  <c:v>37</c:v>
                </c:pt>
                <c:pt idx="1073">
                  <c:v>37</c:v>
                </c:pt>
                <c:pt idx="1074">
                  <c:v>37</c:v>
                </c:pt>
                <c:pt idx="1075">
                  <c:v>37</c:v>
                </c:pt>
                <c:pt idx="1076">
                  <c:v>37</c:v>
                </c:pt>
                <c:pt idx="1077">
                  <c:v>37</c:v>
                </c:pt>
                <c:pt idx="1078">
                  <c:v>36</c:v>
                </c:pt>
                <c:pt idx="1079">
                  <c:v>36</c:v>
                </c:pt>
                <c:pt idx="1080">
                  <c:v>36</c:v>
                </c:pt>
                <c:pt idx="1081">
                  <c:v>36</c:v>
                </c:pt>
                <c:pt idx="1082">
                  <c:v>36</c:v>
                </c:pt>
                <c:pt idx="1083">
                  <c:v>35</c:v>
                </c:pt>
                <c:pt idx="1084">
                  <c:v>35</c:v>
                </c:pt>
                <c:pt idx="1085">
                  <c:v>35</c:v>
                </c:pt>
                <c:pt idx="1086">
                  <c:v>35</c:v>
                </c:pt>
                <c:pt idx="1087">
                  <c:v>35</c:v>
                </c:pt>
                <c:pt idx="1088">
                  <c:v>33</c:v>
                </c:pt>
                <c:pt idx="1089">
                  <c:v>33</c:v>
                </c:pt>
                <c:pt idx="1090">
                  <c:v>33</c:v>
                </c:pt>
                <c:pt idx="1091">
                  <c:v>33</c:v>
                </c:pt>
                <c:pt idx="1092">
                  <c:v>33</c:v>
                </c:pt>
                <c:pt idx="1093">
                  <c:v>33</c:v>
                </c:pt>
                <c:pt idx="1094">
                  <c:v>33</c:v>
                </c:pt>
                <c:pt idx="1095">
                  <c:v>34</c:v>
                </c:pt>
                <c:pt idx="1096">
                  <c:v>34</c:v>
                </c:pt>
                <c:pt idx="1097">
                  <c:v>34</c:v>
                </c:pt>
                <c:pt idx="1098">
                  <c:v>34</c:v>
                </c:pt>
                <c:pt idx="1099">
                  <c:v>34</c:v>
                </c:pt>
                <c:pt idx="1100">
                  <c:v>34</c:v>
                </c:pt>
                <c:pt idx="1101">
                  <c:v>34</c:v>
                </c:pt>
                <c:pt idx="1102">
                  <c:v>34</c:v>
                </c:pt>
                <c:pt idx="1103">
                  <c:v>34</c:v>
                </c:pt>
                <c:pt idx="1104">
                  <c:v>34</c:v>
                </c:pt>
                <c:pt idx="1105">
                  <c:v>34</c:v>
                </c:pt>
                <c:pt idx="1106">
                  <c:v>34</c:v>
                </c:pt>
                <c:pt idx="1107">
                  <c:v>34</c:v>
                </c:pt>
                <c:pt idx="1108">
                  <c:v>34</c:v>
                </c:pt>
                <c:pt idx="1109">
                  <c:v>34</c:v>
                </c:pt>
                <c:pt idx="1110">
                  <c:v>34</c:v>
                </c:pt>
                <c:pt idx="1111">
                  <c:v>34</c:v>
                </c:pt>
                <c:pt idx="1112">
                  <c:v>33</c:v>
                </c:pt>
                <c:pt idx="1113">
                  <c:v>33</c:v>
                </c:pt>
                <c:pt idx="1114">
                  <c:v>33</c:v>
                </c:pt>
                <c:pt idx="1115">
                  <c:v>33</c:v>
                </c:pt>
                <c:pt idx="1116">
                  <c:v>32</c:v>
                </c:pt>
                <c:pt idx="1117">
                  <c:v>32</c:v>
                </c:pt>
                <c:pt idx="1118">
                  <c:v>32</c:v>
                </c:pt>
                <c:pt idx="1119">
                  <c:v>32</c:v>
                </c:pt>
                <c:pt idx="1120">
                  <c:v>32</c:v>
                </c:pt>
                <c:pt idx="1121">
                  <c:v>33</c:v>
                </c:pt>
                <c:pt idx="1122">
                  <c:v>33</c:v>
                </c:pt>
                <c:pt idx="1123">
                  <c:v>33</c:v>
                </c:pt>
                <c:pt idx="1124">
                  <c:v>33</c:v>
                </c:pt>
                <c:pt idx="1125">
                  <c:v>33</c:v>
                </c:pt>
                <c:pt idx="1126">
                  <c:v>32</c:v>
                </c:pt>
                <c:pt idx="1127">
                  <c:v>32</c:v>
                </c:pt>
                <c:pt idx="1128">
                  <c:v>32</c:v>
                </c:pt>
                <c:pt idx="1129">
                  <c:v>32</c:v>
                </c:pt>
                <c:pt idx="1130">
                  <c:v>32</c:v>
                </c:pt>
                <c:pt idx="1131">
                  <c:v>32</c:v>
                </c:pt>
                <c:pt idx="1132">
                  <c:v>32</c:v>
                </c:pt>
                <c:pt idx="1133">
                  <c:v>32</c:v>
                </c:pt>
                <c:pt idx="1134">
                  <c:v>32</c:v>
                </c:pt>
                <c:pt idx="1135">
                  <c:v>32</c:v>
                </c:pt>
                <c:pt idx="1136">
                  <c:v>32</c:v>
                </c:pt>
                <c:pt idx="1137">
                  <c:v>32</c:v>
                </c:pt>
                <c:pt idx="1138">
                  <c:v>32</c:v>
                </c:pt>
                <c:pt idx="1139">
                  <c:v>32</c:v>
                </c:pt>
                <c:pt idx="1140">
                  <c:v>32</c:v>
                </c:pt>
                <c:pt idx="1141">
                  <c:v>32</c:v>
                </c:pt>
                <c:pt idx="1142">
                  <c:v>31</c:v>
                </c:pt>
                <c:pt idx="1143">
                  <c:v>31</c:v>
                </c:pt>
                <c:pt idx="1144">
                  <c:v>31</c:v>
                </c:pt>
                <c:pt idx="1145">
                  <c:v>31</c:v>
                </c:pt>
                <c:pt idx="1146">
                  <c:v>31</c:v>
                </c:pt>
                <c:pt idx="1147">
                  <c:v>31</c:v>
                </c:pt>
                <c:pt idx="1148">
                  <c:v>31</c:v>
                </c:pt>
                <c:pt idx="1149">
                  <c:v>31</c:v>
                </c:pt>
                <c:pt idx="1150">
                  <c:v>31</c:v>
                </c:pt>
                <c:pt idx="1151">
                  <c:v>31</c:v>
                </c:pt>
                <c:pt idx="1152">
                  <c:v>31</c:v>
                </c:pt>
                <c:pt idx="1153">
                  <c:v>31</c:v>
                </c:pt>
                <c:pt idx="1154">
                  <c:v>31</c:v>
                </c:pt>
                <c:pt idx="1155">
                  <c:v>31</c:v>
                </c:pt>
                <c:pt idx="1156">
                  <c:v>31</c:v>
                </c:pt>
                <c:pt idx="1157">
                  <c:v>31</c:v>
                </c:pt>
                <c:pt idx="1158">
                  <c:v>31</c:v>
                </c:pt>
                <c:pt idx="1159">
                  <c:v>31</c:v>
                </c:pt>
                <c:pt idx="1160">
                  <c:v>31</c:v>
                </c:pt>
                <c:pt idx="1161">
                  <c:v>31</c:v>
                </c:pt>
                <c:pt idx="1162">
                  <c:v>31</c:v>
                </c:pt>
                <c:pt idx="1163">
                  <c:v>31</c:v>
                </c:pt>
                <c:pt idx="1164">
                  <c:v>31</c:v>
                </c:pt>
                <c:pt idx="1165">
                  <c:v>31</c:v>
                </c:pt>
                <c:pt idx="1166">
                  <c:v>31</c:v>
                </c:pt>
                <c:pt idx="1167">
                  <c:v>31</c:v>
                </c:pt>
                <c:pt idx="1168">
                  <c:v>31</c:v>
                </c:pt>
                <c:pt idx="1169">
                  <c:v>31</c:v>
                </c:pt>
                <c:pt idx="1170">
                  <c:v>31</c:v>
                </c:pt>
                <c:pt idx="1171">
                  <c:v>31</c:v>
                </c:pt>
                <c:pt idx="1172">
                  <c:v>31</c:v>
                </c:pt>
                <c:pt idx="1173">
                  <c:v>31</c:v>
                </c:pt>
                <c:pt idx="1174">
                  <c:v>30</c:v>
                </c:pt>
                <c:pt idx="1175">
                  <c:v>30</c:v>
                </c:pt>
                <c:pt idx="1176">
                  <c:v>29</c:v>
                </c:pt>
                <c:pt idx="1177">
                  <c:v>29</c:v>
                </c:pt>
                <c:pt idx="1178">
                  <c:v>29</c:v>
                </c:pt>
                <c:pt idx="1179">
                  <c:v>29</c:v>
                </c:pt>
                <c:pt idx="1180">
                  <c:v>29</c:v>
                </c:pt>
                <c:pt idx="1181">
                  <c:v>29</c:v>
                </c:pt>
                <c:pt idx="1182">
                  <c:v>29</c:v>
                </c:pt>
                <c:pt idx="1183">
                  <c:v>29</c:v>
                </c:pt>
                <c:pt idx="1184">
                  <c:v>29</c:v>
                </c:pt>
                <c:pt idx="1185">
                  <c:v>29</c:v>
                </c:pt>
                <c:pt idx="1186">
                  <c:v>29</c:v>
                </c:pt>
                <c:pt idx="1187">
                  <c:v>29</c:v>
                </c:pt>
                <c:pt idx="1188">
                  <c:v>29</c:v>
                </c:pt>
                <c:pt idx="1189">
                  <c:v>29</c:v>
                </c:pt>
                <c:pt idx="1190">
                  <c:v>29</c:v>
                </c:pt>
                <c:pt idx="1191">
                  <c:v>29</c:v>
                </c:pt>
                <c:pt idx="1192">
                  <c:v>29</c:v>
                </c:pt>
                <c:pt idx="1193">
                  <c:v>29</c:v>
                </c:pt>
                <c:pt idx="1194">
                  <c:v>29</c:v>
                </c:pt>
                <c:pt idx="1195">
                  <c:v>29</c:v>
                </c:pt>
                <c:pt idx="1196">
                  <c:v>27</c:v>
                </c:pt>
                <c:pt idx="1197">
                  <c:v>27</c:v>
                </c:pt>
                <c:pt idx="1198">
                  <c:v>28</c:v>
                </c:pt>
                <c:pt idx="1199">
                  <c:v>28</c:v>
                </c:pt>
                <c:pt idx="1200">
                  <c:v>29</c:v>
                </c:pt>
                <c:pt idx="1201">
                  <c:v>29</c:v>
                </c:pt>
                <c:pt idx="1202">
                  <c:v>29</c:v>
                </c:pt>
                <c:pt idx="1203">
                  <c:v>30</c:v>
                </c:pt>
                <c:pt idx="1204">
                  <c:v>30</c:v>
                </c:pt>
                <c:pt idx="1205">
                  <c:v>31</c:v>
                </c:pt>
                <c:pt idx="1206">
                  <c:v>32</c:v>
                </c:pt>
                <c:pt idx="1207">
                  <c:v>32</c:v>
                </c:pt>
                <c:pt idx="1208">
                  <c:v>32</c:v>
                </c:pt>
                <c:pt idx="1209">
                  <c:v>32</c:v>
                </c:pt>
                <c:pt idx="1210">
                  <c:v>32</c:v>
                </c:pt>
                <c:pt idx="1211">
                  <c:v>32</c:v>
                </c:pt>
                <c:pt idx="1212">
                  <c:v>32</c:v>
                </c:pt>
                <c:pt idx="1213">
                  <c:v>32</c:v>
                </c:pt>
                <c:pt idx="1214">
                  <c:v>32</c:v>
                </c:pt>
                <c:pt idx="1215">
                  <c:v>32</c:v>
                </c:pt>
                <c:pt idx="1216">
                  <c:v>32</c:v>
                </c:pt>
                <c:pt idx="1217">
                  <c:v>32</c:v>
                </c:pt>
                <c:pt idx="1218">
                  <c:v>32</c:v>
                </c:pt>
                <c:pt idx="1219">
                  <c:v>33</c:v>
                </c:pt>
                <c:pt idx="1220">
                  <c:v>33</c:v>
                </c:pt>
                <c:pt idx="1221">
                  <c:v>33</c:v>
                </c:pt>
                <c:pt idx="1222">
                  <c:v>34</c:v>
                </c:pt>
                <c:pt idx="1223">
                  <c:v>34</c:v>
                </c:pt>
                <c:pt idx="1224">
                  <c:v>34</c:v>
                </c:pt>
                <c:pt idx="1225">
                  <c:v>34</c:v>
                </c:pt>
                <c:pt idx="1226">
                  <c:v>33</c:v>
                </c:pt>
                <c:pt idx="1227">
                  <c:v>33</c:v>
                </c:pt>
                <c:pt idx="1228">
                  <c:v>33</c:v>
                </c:pt>
                <c:pt idx="1229">
                  <c:v>33</c:v>
                </c:pt>
                <c:pt idx="1230">
                  <c:v>34</c:v>
                </c:pt>
                <c:pt idx="1231">
                  <c:v>34</c:v>
                </c:pt>
                <c:pt idx="1232">
                  <c:v>34</c:v>
                </c:pt>
                <c:pt idx="1233">
                  <c:v>34</c:v>
                </c:pt>
                <c:pt idx="1234">
                  <c:v>34</c:v>
                </c:pt>
                <c:pt idx="1235">
                  <c:v>34</c:v>
                </c:pt>
                <c:pt idx="1236">
                  <c:v>35</c:v>
                </c:pt>
                <c:pt idx="1237">
                  <c:v>34</c:v>
                </c:pt>
                <c:pt idx="1238">
                  <c:v>34</c:v>
                </c:pt>
                <c:pt idx="1239">
                  <c:v>34</c:v>
                </c:pt>
                <c:pt idx="1240">
                  <c:v>34</c:v>
                </c:pt>
                <c:pt idx="1241">
                  <c:v>34</c:v>
                </c:pt>
                <c:pt idx="1242">
                  <c:v>33</c:v>
                </c:pt>
                <c:pt idx="1243">
                  <c:v>33</c:v>
                </c:pt>
                <c:pt idx="1244">
                  <c:v>33</c:v>
                </c:pt>
                <c:pt idx="1245">
                  <c:v>33</c:v>
                </c:pt>
                <c:pt idx="1246">
                  <c:v>33</c:v>
                </c:pt>
                <c:pt idx="1247">
                  <c:v>33</c:v>
                </c:pt>
                <c:pt idx="1248">
                  <c:v>33</c:v>
                </c:pt>
                <c:pt idx="1249">
                  <c:v>33</c:v>
                </c:pt>
                <c:pt idx="1250">
                  <c:v>33</c:v>
                </c:pt>
                <c:pt idx="1251">
                  <c:v>33</c:v>
                </c:pt>
                <c:pt idx="1252">
                  <c:v>33</c:v>
                </c:pt>
                <c:pt idx="1253">
                  <c:v>34</c:v>
                </c:pt>
                <c:pt idx="1254">
                  <c:v>34</c:v>
                </c:pt>
                <c:pt idx="1255">
                  <c:v>33</c:v>
                </c:pt>
                <c:pt idx="1256">
                  <c:v>35</c:v>
                </c:pt>
                <c:pt idx="1257">
                  <c:v>35</c:v>
                </c:pt>
                <c:pt idx="1258">
                  <c:v>35</c:v>
                </c:pt>
                <c:pt idx="1259">
                  <c:v>35</c:v>
                </c:pt>
                <c:pt idx="1260">
                  <c:v>35</c:v>
                </c:pt>
                <c:pt idx="1261">
                  <c:v>34</c:v>
                </c:pt>
                <c:pt idx="1262">
                  <c:v>33</c:v>
                </c:pt>
                <c:pt idx="1263">
                  <c:v>33</c:v>
                </c:pt>
                <c:pt idx="1264">
                  <c:v>33</c:v>
                </c:pt>
                <c:pt idx="1265">
                  <c:v>33</c:v>
                </c:pt>
                <c:pt idx="1266">
                  <c:v>33</c:v>
                </c:pt>
                <c:pt idx="1267">
                  <c:v>33</c:v>
                </c:pt>
                <c:pt idx="1268">
                  <c:v>34</c:v>
                </c:pt>
                <c:pt idx="1269">
                  <c:v>34</c:v>
                </c:pt>
                <c:pt idx="1270">
                  <c:v>32</c:v>
                </c:pt>
                <c:pt idx="1271">
                  <c:v>32</c:v>
                </c:pt>
                <c:pt idx="1272">
                  <c:v>32</c:v>
                </c:pt>
                <c:pt idx="1273">
                  <c:v>32</c:v>
                </c:pt>
                <c:pt idx="1274">
                  <c:v>32</c:v>
                </c:pt>
                <c:pt idx="1275">
                  <c:v>32</c:v>
                </c:pt>
                <c:pt idx="1276">
                  <c:v>32</c:v>
                </c:pt>
                <c:pt idx="1277">
                  <c:v>32</c:v>
                </c:pt>
                <c:pt idx="1278">
                  <c:v>32</c:v>
                </c:pt>
                <c:pt idx="1279">
                  <c:v>32</c:v>
                </c:pt>
                <c:pt idx="1280">
                  <c:v>32</c:v>
                </c:pt>
                <c:pt idx="1281">
                  <c:v>32</c:v>
                </c:pt>
                <c:pt idx="1282">
                  <c:v>32</c:v>
                </c:pt>
                <c:pt idx="1283">
                  <c:v>32</c:v>
                </c:pt>
                <c:pt idx="1284">
                  <c:v>32</c:v>
                </c:pt>
                <c:pt idx="1285">
                  <c:v>34</c:v>
                </c:pt>
                <c:pt idx="1286">
                  <c:v>34</c:v>
                </c:pt>
                <c:pt idx="1287">
                  <c:v>34</c:v>
                </c:pt>
                <c:pt idx="1288">
                  <c:v>34</c:v>
                </c:pt>
                <c:pt idx="1289">
                  <c:v>34</c:v>
                </c:pt>
                <c:pt idx="1290">
                  <c:v>34</c:v>
                </c:pt>
                <c:pt idx="1291">
                  <c:v>34</c:v>
                </c:pt>
                <c:pt idx="1292">
                  <c:v>34</c:v>
                </c:pt>
                <c:pt idx="1293">
                  <c:v>34</c:v>
                </c:pt>
                <c:pt idx="1294">
                  <c:v>34</c:v>
                </c:pt>
                <c:pt idx="1295">
                  <c:v>34</c:v>
                </c:pt>
                <c:pt idx="1296">
                  <c:v>35</c:v>
                </c:pt>
                <c:pt idx="1297">
                  <c:v>35</c:v>
                </c:pt>
                <c:pt idx="1298">
                  <c:v>35</c:v>
                </c:pt>
                <c:pt idx="1299">
                  <c:v>35</c:v>
                </c:pt>
                <c:pt idx="1300">
                  <c:v>35</c:v>
                </c:pt>
                <c:pt idx="1301">
                  <c:v>35</c:v>
                </c:pt>
                <c:pt idx="1302">
                  <c:v>35</c:v>
                </c:pt>
                <c:pt idx="1303">
                  <c:v>35</c:v>
                </c:pt>
                <c:pt idx="1304">
                  <c:v>35</c:v>
                </c:pt>
                <c:pt idx="1305">
                  <c:v>35</c:v>
                </c:pt>
                <c:pt idx="1306">
                  <c:v>35</c:v>
                </c:pt>
                <c:pt idx="1307">
                  <c:v>34</c:v>
                </c:pt>
                <c:pt idx="1308">
                  <c:v>34</c:v>
                </c:pt>
                <c:pt idx="1309">
                  <c:v>34</c:v>
                </c:pt>
                <c:pt idx="1310">
                  <c:v>35</c:v>
                </c:pt>
                <c:pt idx="1311">
                  <c:v>34</c:v>
                </c:pt>
                <c:pt idx="1312">
                  <c:v>34</c:v>
                </c:pt>
                <c:pt idx="1313">
                  <c:v>34</c:v>
                </c:pt>
                <c:pt idx="1314">
                  <c:v>34</c:v>
                </c:pt>
                <c:pt idx="1315">
                  <c:v>34</c:v>
                </c:pt>
                <c:pt idx="1316">
                  <c:v>34</c:v>
                </c:pt>
                <c:pt idx="1317">
                  <c:v>34</c:v>
                </c:pt>
                <c:pt idx="1318">
                  <c:v>34</c:v>
                </c:pt>
                <c:pt idx="1319">
                  <c:v>33</c:v>
                </c:pt>
                <c:pt idx="1320">
                  <c:v>33</c:v>
                </c:pt>
                <c:pt idx="1321">
                  <c:v>34</c:v>
                </c:pt>
                <c:pt idx="1322">
                  <c:v>35</c:v>
                </c:pt>
                <c:pt idx="1323">
                  <c:v>35</c:v>
                </c:pt>
                <c:pt idx="1324">
                  <c:v>35</c:v>
                </c:pt>
                <c:pt idx="1325">
                  <c:v>34</c:v>
                </c:pt>
                <c:pt idx="1326">
                  <c:v>34</c:v>
                </c:pt>
                <c:pt idx="1327">
                  <c:v>34</c:v>
                </c:pt>
                <c:pt idx="1328">
                  <c:v>34</c:v>
                </c:pt>
                <c:pt idx="1329">
                  <c:v>33</c:v>
                </c:pt>
                <c:pt idx="1330">
                  <c:v>33</c:v>
                </c:pt>
                <c:pt idx="1331">
                  <c:v>33</c:v>
                </c:pt>
                <c:pt idx="1332">
                  <c:v>33</c:v>
                </c:pt>
                <c:pt idx="1333">
                  <c:v>33</c:v>
                </c:pt>
                <c:pt idx="1334">
                  <c:v>33</c:v>
                </c:pt>
                <c:pt idx="1335">
                  <c:v>33</c:v>
                </c:pt>
                <c:pt idx="1336">
                  <c:v>33</c:v>
                </c:pt>
                <c:pt idx="1337">
                  <c:v>33</c:v>
                </c:pt>
                <c:pt idx="1338">
                  <c:v>34</c:v>
                </c:pt>
                <c:pt idx="1339">
                  <c:v>34</c:v>
                </c:pt>
                <c:pt idx="1340">
                  <c:v>34</c:v>
                </c:pt>
                <c:pt idx="1341">
                  <c:v>34</c:v>
                </c:pt>
                <c:pt idx="1342">
                  <c:v>34</c:v>
                </c:pt>
                <c:pt idx="1343">
                  <c:v>33</c:v>
                </c:pt>
                <c:pt idx="1344">
                  <c:v>33</c:v>
                </c:pt>
                <c:pt idx="1345">
                  <c:v>33</c:v>
                </c:pt>
                <c:pt idx="1346">
                  <c:v>34</c:v>
                </c:pt>
                <c:pt idx="1347">
                  <c:v>35</c:v>
                </c:pt>
                <c:pt idx="1348">
                  <c:v>35</c:v>
                </c:pt>
                <c:pt idx="1349">
                  <c:v>35</c:v>
                </c:pt>
                <c:pt idx="1350">
                  <c:v>35</c:v>
                </c:pt>
                <c:pt idx="1351">
                  <c:v>35</c:v>
                </c:pt>
                <c:pt idx="1352">
                  <c:v>35</c:v>
                </c:pt>
                <c:pt idx="1353">
                  <c:v>36</c:v>
                </c:pt>
                <c:pt idx="1354">
                  <c:v>36</c:v>
                </c:pt>
                <c:pt idx="1355">
                  <c:v>35</c:v>
                </c:pt>
                <c:pt idx="1356">
                  <c:v>35</c:v>
                </c:pt>
                <c:pt idx="1357">
                  <c:v>35</c:v>
                </c:pt>
                <c:pt idx="1358">
                  <c:v>35</c:v>
                </c:pt>
                <c:pt idx="1359">
                  <c:v>36</c:v>
                </c:pt>
                <c:pt idx="1360">
                  <c:v>36</c:v>
                </c:pt>
                <c:pt idx="1361">
                  <c:v>36</c:v>
                </c:pt>
                <c:pt idx="1362">
                  <c:v>36</c:v>
                </c:pt>
                <c:pt idx="1363">
                  <c:v>36</c:v>
                </c:pt>
                <c:pt idx="1364">
                  <c:v>36</c:v>
                </c:pt>
                <c:pt idx="1365">
                  <c:v>36</c:v>
                </c:pt>
                <c:pt idx="1366">
                  <c:v>36</c:v>
                </c:pt>
                <c:pt idx="1367">
                  <c:v>35</c:v>
                </c:pt>
                <c:pt idx="1368">
                  <c:v>35</c:v>
                </c:pt>
                <c:pt idx="1369">
                  <c:v>35</c:v>
                </c:pt>
                <c:pt idx="1370">
                  <c:v>35</c:v>
                </c:pt>
                <c:pt idx="1371">
                  <c:v>35</c:v>
                </c:pt>
                <c:pt idx="1372">
                  <c:v>35</c:v>
                </c:pt>
                <c:pt idx="1373">
                  <c:v>35</c:v>
                </c:pt>
                <c:pt idx="1374">
                  <c:v>35</c:v>
                </c:pt>
                <c:pt idx="1375">
                  <c:v>36</c:v>
                </c:pt>
                <c:pt idx="1376">
                  <c:v>36</c:v>
                </c:pt>
                <c:pt idx="1377">
                  <c:v>36</c:v>
                </c:pt>
                <c:pt idx="1378">
                  <c:v>36</c:v>
                </c:pt>
                <c:pt idx="1379">
                  <c:v>36</c:v>
                </c:pt>
                <c:pt idx="1380">
                  <c:v>36</c:v>
                </c:pt>
                <c:pt idx="1381">
                  <c:v>36</c:v>
                </c:pt>
                <c:pt idx="1382">
                  <c:v>35</c:v>
                </c:pt>
                <c:pt idx="1383">
                  <c:v>35</c:v>
                </c:pt>
                <c:pt idx="1384">
                  <c:v>35</c:v>
                </c:pt>
                <c:pt idx="1385">
                  <c:v>35</c:v>
                </c:pt>
                <c:pt idx="1386">
                  <c:v>35</c:v>
                </c:pt>
                <c:pt idx="1387">
                  <c:v>35</c:v>
                </c:pt>
                <c:pt idx="1388">
                  <c:v>35</c:v>
                </c:pt>
                <c:pt idx="1389">
                  <c:v>35</c:v>
                </c:pt>
                <c:pt idx="1390">
                  <c:v>35</c:v>
                </c:pt>
                <c:pt idx="1391">
                  <c:v>34</c:v>
                </c:pt>
                <c:pt idx="1392">
                  <c:v>34</c:v>
                </c:pt>
                <c:pt idx="1393">
                  <c:v>34</c:v>
                </c:pt>
                <c:pt idx="1394">
                  <c:v>34</c:v>
                </c:pt>
                <c:pt idx="1395">
                  <c:v>34</c:v>
                </c:pt>
                <c:pt idx="1396">
                  <c:v>35</c:v>
                </c:pt>
                <c:pt idx="1397">
                  <c:v>35</c:v>
                </c:pt>
                <c:pt idx="1398">
                  <c:v>35</c:v>
                </c:pt>
                <c:pt idx="1399">
                  <c:v>35</c:v>
                </c:pt>
                <c:pt idx="1400">
                  <c:v>35</c:v>
                </c:pt>
                <c:pt idx="1401">
                  <c:v>35</c:v>
                </c:pt>
                <c:pt idx="1402">
                  <c:v>35</c:v>
                </c:pt>
                <c:pt idx="1403">
                  <c:v>35</c:v>
                </c:pt>
                <c:pt idx="1404">
                  <c:v>35</c:v>
                </c:pt>
                <c:pt idx="1405">
                  <c:v>35</c:v>
                </c:pt>
                <c:pt idx="1406">
                  <c:v>35</c:v>
                </c:pt>
                <c:pt idx="1407">
                  <c:v>35</c:v>
                </c:pt>
                <c:pt idx="1408">
                  <c:v>35</c:v>
                </c:pt>
                <c:pt idx="1409">
                  <c:v>35</c:v>
                </c:pt>
                <c:pt idx="1410">
                  <c:v>35</c:v>
                </c:pt>
                <c:pt idx="1411">
                  <c:v>35</c:v>
                </c:pt>
                <c:pt idx="1412">
                  <c:v>34</c:v>
                </c:pt>
                <c:pt idx="1413">
                  <c:v>34</c:v>
                </c:pt>
                <c:pt idx="1414">
                  <c:v>34</c:v>
                </c:pt>
                <c:pt idx="1415">
                  <c:v>34</c:v>
                </c:pt>
                <c:pt idx="1416">
                  <c:v>34</c:v>
                </c:pt>
                <c:pt idx="1417">
                  <c:v>34</c:v>
                </c:pt>
                <c:pt idx="1418">
                  <c:v>35</c:v>
                </c:pt>
                <c:pt idx="1419">
                  <c:v>35</c:v>
                </c:pt>
                <c:pt idx="1420">
                  <c:v>35</c:v>
                </c:pt>
                <c:pt idx="1421">
                  <c:v>35</c:v>
                </c:pt>
                <c:pt idx="1422">
                  <c:v>35</c:v>
                </c:pt>
                <c:pt idx="1423">
                  <c:v>35</c:v>
                </c:pt>
                <c:pt idx="1424">
                  <c:v>35</c:v>
                </c:pt>
                <c:pt idx="1425">
                  <c:v>35</c:v>
                </c:pt>
                <c:pt idx="1426">
                  <c:v>35</c:v>
                </c:pt>
                <c:pt idx="1427">
                  <c:v>35</c:v>
                </c:pt>
                <c:pt idx="1428">
                  <c:v>35</c:v>
                </c:pt>
                <c:pt idx="1429">
                  <c:v>35</c:v>
                </c:pt>
                <c:pt idx="1430">
                  <c:v>35</c:v>
                </c:pt>
                <c:pt idx="1431">
                  <c:v>34</c:v>
                </c:pt>
                <c:pt idx="1432">
                  <c:v>34</c:v>
                </c:pt>
                <c:pt idx="1433">
                  <c:v>34</c:v>
                </c:pt>
                <c:pt idx="1434">
                  <c:v>33</c:v>
                </c:pt>
                <c:pt idx="1435">
                  <c:v>33</c:v>
                </c:pt>
                <c:pt idx="1436">
                  <c:v>33</c:v>
                </c:pt>
                <c:pt idx="1437">
                  <c:v>33</c:v>
                </c:pt>
                <c:pt idx="1438">
                  <c:v>33</c:v>
                </c:pt>
                <c:pt idx="1439">
                  <c:v>33</c:v>
                </c:pt>
                <c:pt idx="1440">
                  <c:v>33</c:v>
                </c:pt>
                <c:pt idx="1441">
                  <c:v>33</c:v>
                </c:pt>
                <c:pt idx="1442">
                  <c:v>33</c:v>
                </c:pt>
                <c:pt idx="1443">
                  <c:v>33</c:v>
                </c:pt>
                <c:pt idx="1444">
                  <c:v>34</c:v>
                </c:pt>
                <c:pt idx="1445">
                  <c:v>34</c:v>
                </c:pt>
                <c:pt idx="1446">
                  <c:v>34</c:v>
                </c:pt>
                <c:pt idx="1447">
                  <c:v>34</c:v>
                </c:pt>
                <c:pt idx="1448">
                  <c:v>35</c:v>
                </c:pt>
                <c:pt idx="1449">
                  <c:v>35</c:v>
                </c:pt>
                <c:pt idx="1450">
                  <c:v>35</c:v>
                </c:pt>
                <c:pt idx="1451">
                  <c:v>35</c:v>
                </c:pt>
                <c:pt idx="1452">
                  <c:v>35</c:v>
                </c:pt>
                <c:pt idx="1453">
                  <c:v>35</c:v>
                </c:pt>
                <c:pt idx="1454">
                  <c:v>35</c:v>
                </c:pt>
                <c:pt idx="1455">
                  <c:v>35</c:v>
                </c:pt>
                <c:pt idx="1456">
                  <c:v>35</c:v>
                </c:pt>
                <c:pt idx="1457">
                  <c:v>35</c:v>
                </c:pt>
                <c:pt idx="1458">
                  <c:v>35</c:v>
                </c:pt>
                <c:pt idx="1459">
                  <c:v>35</c:v>
                </c:pt>
                <c:pt idx="1460">
                  <c:v>35</c:v>
                </c:pt>
                <c:pt idx="1461">
                  <c:v>35</c:v>
                </c:pt>
                <c:pt idx="1462">
                  <c:v>35</c:v>
                </c:pt>
                <c:pt idx="1463">
                  <c:v>35</c:v>
                </c:pt>
                <c:pt idx="1464">
                  <c:v>35</c:v>
                </c:pt>
                <c:pt idx="1465">
                  <c:v>34</c:v>
                </c:pt>
                <c:pt idx="1466">
                  <c:v>34</c:v>
                </c:pt>
                <c:pt idx="1467">
                  <c:v>35</c:v>
                </c:pt>
                <c:pt idx="1468">
                  <c:v>35</c:v>
                </c:pt>
                <c:pt idx="1469">
                  <c:v>35</c:v>
                </c:pt>
                <c:pt idx="1470">
                  <c:v>35</c:v>
                </c:pt>
                <c:pt idx="1471">
                  <c:v>34</c:v>
                </c:pt>
                <c:pt idx="1472">
                  <c:v>34</c:v>
                </c:pt>
                <c:pt idx="1473">
                  <c:v>33</c:v>
                </c:pt>
                <c:pt idx="1474">
                  <c:v>33</c:v>
                </c:pt>
                <c:pt idx="1475">
                  <c:v>32</c:v>
                </c:pt>
                <c:pt idx="1476">
                  <c:v>32</c:v>
                </c:pt>
                <c:pt idx="1477">
                  <c:v>32</c:v>
                </c:pt>
                <c:pt idx="1478">
                  <c:v>32</c:v>
                </c:pt>
                <c:pt idx="1479">
                  <c:v>32</c:v>
                </c:pt>
                <c:pt idx="1480">
                  <c:v>32</c:v>
                </c:pt>
                <c:pt idx="1481">
                  <c:v>32</c:v>
                </c:pt>
                <c:pt idx="1482">
                  <c:v>33</c:v>
                </c:pt>
                <c:pt idx="1483">
                  <c:v>33</c:v>
                </c:pt>
                <c:pt idx="1484">
                  <c:v>33</c:v>
                </c:pt>
                <c:pt idx="1485">
                  <c:v>33</c:v>
                </c:pt>
                <c:pt idx="1486">
                  <c:v>33</c:v>
                </c:pt>
                <c:pt idx="1487">
                  <c:v>34</c:v>
                </c:pt>
                <c:pt idx="1488">
                  <c:v>34</c:v>
                </c:pt>
                <c:pt idx="1489">
                  <c:v>34</c:v>
                </c:pt>
                <c:pt idx="1490">
                  <c:v>33</c:v>
                </c:pt>
                <c:pt idx="1491">
                  <c:v>33</c:v>
                </c:pt>
                <c:pt idx="1492">
                  <c:v>31</c:v>
                </c:pt>
                <c:pt idx="1493">
                  <c:v>31</c:v>
                </c:pt>
                <c:pt idx="1494">
                  <c:v>31</c:v>
                </c:pt>
                <c:pt idx="1495">
                  <c:v>31</c:v>
                </c:pt>
                <c:pt idx="1496">
                  <c:v>30</c:v>
                </c:pt>
                <c:pt idx="1497">
                  <c:v>30</c:v>
                </c:pt>
                <c:pt idx="1498">
                  <c:v>30</c:v>
                </c:pt>
                <c:pt idx="1499">
                  <c:v>30</c:v>
                </c:pt>
                <c:pt idx="1500">
                  <c:v>30</c:v>
                </c:pt>
                <c:pt idx="1501">
                  <c:v>30</c:v>
                </c:pt>
                <c:pt idx="1502">
                  <c:v>29</c:v>
                </c:pt>
                <c:pt idx="1503">
                  <c:v>29</c:v>
                </c:pt>
                <c:pt idx="1504">
                  <c:v>29</c:v>
                </c:pt>
                <c:pt idx="1505">
                  <c:v>29</c:v>
                </c:pt>
                <c:pt idx="1506">
                  <c:v>29</c:v>
                </c:pt>
                <c:pt idx="1507">
                  <c:v>29</c:v>
                </c:pt>
                <c:pt idx="1508">
                  <c:v>29</c:v>
                </c:pt>
                <c:pt idx="1509">
                  <c:v>28</c:v>
                </c:pt>
                <c:pt idx="1510">
                  <c:v>28</c:v>
                </c:pt>
                <c:pt idx="1511">
                  <c:v>28</c:v>
                </c:pt>
                <c:pt idx="1512">
                  <c:v>28</c:v>
                </c:pt>
                <c:pt idx="1513">
                  <c:v>28</c:v>
                </c:pt>
                <c:pt idx="1514">
                  <c:v>28</c:v>
                </c:pt>
                <c:pt idx="1515">
                  <c:v>28</c:v>
                </c:pt>
                <c:pt idx="1516">
                  <c:v>28</c:v>
                </c:pt>
                <c:pt idx="1517">
                  <c:v>28</c:v>
                </c:pt>
                <c:pt idx="1518">
                  <c:v>28</c:v>
                </c:pt>
                <c:pt idx="1519">
                  <c:v>28</c:v>
                </c:pt>
                <c:pt idx="1520">
                  <c:v>28</c:v>
                </c:pt>
                <c:pt idx="1521">
                  <c:v>28</c:v>
                </c:pt>
                <c:pt idx="1522">
                  <c:v>28</c:v>
                </c:pt>
                <c:pt idx="1523">
                  <c:v>28</c:v>
                </c:pt>
                <c:pt idx="1524">
                  <c:v>28</c:v>
                </c:pt>
                <c:pt idx="1525">
                  <c:v>28</c:v>
                </c:pt>
                <c:pt idx="1526">
                  <c:v>28</c:v>
                </c:pt>
                <c:pt idx="1527">
                  <c:v>28</c:v>
                </c:pt>
                <c:pt idx="1528">
                  <c:v>28</c:v>
                </c:pt>
                <c:pt idx="1529">
                  <c:v>28</c:v>
                </c:pt>
                <c:pt idx="1530">
                  <c:v>28</c:v>
                </c:pt>
                <c:pt idx="1531">
                  <c:v>28</c:v>
                </c:pt>
                <c:pt idx="1532">
                  <c:v>28</c:v>
                </c:pt>
                <c:pt idx="1533">
                  <c:v>28</c:v>
                </c:pt>
                <c:pt idx="1534">
                  <c:v>28</c:v>
                </c:pt>
                <c:pt idx="1535">
                  <c:v>29</c:v>
                </c:pt>
                <c:pt idx="1536">
                  <c:v>29</c:v>
                </c:pt>
                <c:pt idx="1537">
                  <c:v>29</c:v>
                </c:pt>
                <c:pt idx="1538">
                  <c:v>29</c:v>
                </c:pt>
                <c:pt idx="1539">
                  <c:v>30</c:v>
                </c:pt>
                <c:pt idx="1540">
                  <c:v>30</c:v>
                </c:pt>
                <c:pt idx="1541">
                  <c:v>30</c:v>
                </c:pt>
                <c:pt idx="1542">
                  <c:v>30</c:v>
                </c:pt>
                <c:pt idx="1543">
                  <c:v>30</c:v>
                </c:pt>
                <c:pt idx="1544">
                  <c:v>30</c:v>
                </c:pt>
                <c:pt idx="1545">
                  <c:v>30</c:v>
                </c:pt>
                <c:pt idx="1546">
                  <c:v>30</c:v>
                </c:pt>
                <c:pt idx="1547">
                  <c:v>31</c:v>
                </c:pt>
                <c:pt idx="1548">
                  <c:v>31</c:v>
                </c:pt>
                <c:pt idx="1549">
                  <c:v>31</c:v>
                </c:pt>
                <c:pt idx="1550">
                  <c:v>31</c:v>
                </c:pt>
                <c:pt idx="1551">
                  <c:v>31</c:v>
                </c:pt>
                <c:pt idx="1552">
                  <c:v>31</c:v>
                </c:pt>
                <c:pt idx="1553">
                  <c:v>31</c:v>
                </c:pt>
                <c:pt idx="1554">
                  <c:v>31</c:v>
                </c:pt>
                <c:pt idx="1555">
                  <c:v>31</c:v>
                </c:pt>
                <c:pt idx="1556">
                  <c:v>31</c:v>
                </c:pt>
                <c:pt idx="1557">
                  <c:v>31</c:v>
                </c:pt>
                <c:pt idx="1558">
                  <c:v>31</c:v>
                </c:pt>
                <c:pt idx="1559">
                  <c:v>31</c:v>
                </c:pt>
                <c:pt idx="1560">
                  <c:v>31</c:v>
                </c:pt>
                <c:pt idx="1561">
                  <c:v>31</c:v>
                </c:pt>
                <c:pt idx="1562">
                  <c:v>31</c:v>
                </c:pt>
                <c:pt idx="1563">
                  <c:v>31</c:v>
                </c:pt>
                <c:pt idx="1564">
                  <c:v>31</c:v>
                </c:pt>
                <c:pt idx="1565">
                  <c:v>31</c:v>
                </c:pt>
                <c:pt idx="1566">
                  <c:v>31</c:v>
                </c:pt>
                <c:pt idx="1567">
                  <c:v>31</c:v>
                </c:pt>
                <c:pt idx="1568">
                  <c:v>30</c:v>
                </c:pt>
                <c:pt idx="1569">
                  <c:v>30</c:v>
                </c:pt>
                <c:pt idx="1570">
                  <c:v>30</c:v>
                </c:pt>
                <c:pt idx="1571">
                  <c:v>30</c:v>
                </c:pt>
                <c:pt idx="1572">
                  <c:v>30</c:v>
                </c:pt>
                <c:pt idx="1573">
                  <c:v>30</c:v>
                </c:pt>
                <c:pt idx="1574">
                  <c:v>30</c:v>
                </c:pt>
                <c:pt idx="1575">
                  <c:v>30</c:v>
                </c:pt>
                <c:pt idx="1576">
                  <c:v>30</c:v>
                </c:pt>
                <c:pt idx="1577">
                  <c:v>30</c:v>
                </c:pt>
                <c:pt idx="1578">
                  <c:v>30</c:v>
                </c:pt>
                <c:pt idx="1579">
                  <c:v>29</c:v>
                </c:pt>
                <c:pt idx="1580">
                  <c:v>29</c:v>
                </c:pt>
                <c:pt idx="1581">
                  <c:v>28</c:v>
                </c:pt>
                <c:pt idx="1582">
                  <c:v>28</c:v>
                </c:pt>
                <c:pt idx="1583">
                  <c:v>28</c:v>
                </c:pt>
                <c:pt idx="1584">
                  <c:v>28</c:v>
                </c:pt>
                <c:pt idx="1585">
                  <c:v>28</c:v>
                </c:pt>
                <c:pt idx="1586">
                  <c:v>28</c:v>
                </c:pt>
                <c:pt idx="1587">
                  <c:v>28</c:v>
                </c:pt>
                <c:pt idx="1588">
                  <c:v>28</c:v>
                </c:pt>
                <c:pt idx="1589">
                  <c:v>29</c:v>
                </c:pt>
                <c:pt idx="1590">
                  <c:v>29</c:v>
                </c:pt>
                <c:pt idx="1591">
                  <c:v>29</c:v>
                </c:pt>
                <c:pt idx="1592">
                  <c:v>29</c:v>
                </c:pt>
                <c:pt idx="1593">
                  <c:v>29</c:v>
                </c:pt>
                <c:pt idx="1594">
                  <c:v>29</c:v>
                </c:pt>
                <c:pt idx="1595">
                  <c:v>29</c:v>
                </c:pt>
                <c:pt idx="1596">
                  <c:v>29</c:v>
                </c:pt>
                <c:pt idx="1597">
                  <c:v>29</c:v>
                </c:pt>
                <c:pt idx="1598">
                  <c:v>29</c:v>
                </c:pt>
                <c:pt idx="1599">
                  <c:v>29</c:v>
                </c:pt>
                <c:pt idx="1600">
                  <c:v>31</c:v>
                </c:pt>
                <c:pt idx="1601">
                  <c:v>31</c:v>
                </c:pt>
                <c:pt idx="1602">
                  <c:v>30</c:v>
                </c:pt>
                <c:pt idx="1603">
                  <c:v>30</c:v>
                </c:pt>
                <c:pt idx="1604">
                  <c:v>30</c:v>
                </c:pt>
                <c:pt idx="1605">
                  <c:v>30</c:v>
                </c:pt>
                <c:pt idx="1606">
                  <c:v>30</c:v>
                </c:pt>
                <c:pt idx="1607">
                  <c:v>30</c:v>
                </c:pt>
                <c:pt idx="1608">
                  <c:v>31</c:v>
                </c:pt>
                <c:pt idx="1609">
                  <c:v>31</c:v>
                </c:pt>
                <c:pt idx="1610">
                  <c:v>31</c:v>
                </c:pt>
                <c:pt idx="1611">
                  <c:v>31</c:v>
                </c:pt>
                <c:pt idx="1612">
                  <c:v>29</c:v>
                </c:pt>
                <c:pt idx="1613">
                  <c:v>29</c:v>
                </c:pt>
                <c:pt idx="1614">
                  <c:v>29</c:v>
                </c:pt>
                <c:pt idx="1615">
                  <c:v>30</c:v>
                </c:pt>
                <c:pt idx="1616">
                  <c:v>30</c:v>
                </c:pt>
                <c:pt idx="1617">
                  <c:v>30</c:v>
                </c:pt>
                <c:pt idx="1618">
                  <c:v>30</c:v>
                </c:pt>
                <c:pt idx="1619">
                  <c:v>30</c:v>
                </c:pt>
                <c:pt idx="1620">
                  <c:v>30</c:v>
                </c:pt>
                <c:pt idx="1621">
                  <c:v>30</c:v>
                </c:pt>
                <c:pt idx="1622">
                  <c:v>30</c:v>
                </c:pt>
                <c:pt idx="1623">
                  <c:v>30</c:v>
                </c:pt>
                <c:pt idx="1624">
                  <c:v>30</c:v>
                </c:pt>
                <c:pt idx="1625">
                  <c:v>30</c:v>
                </c:pt>
                <c:pt idx="1626">
                  <c:v>30</c:v>
                </c:pt>
                <c:pt idx="1627">
                  <c:v>30</c:v>
                </c:pt>
                <c:pt idx="1628">
                  <c:v>31</c:v>
                </c:pt>
                <c:pt idx="1629">
                  <c:v>32</c:v>
                </c:pt>
                <c:pt idx="1630">
                  <c:v>32</c:v>
                </c:pt>
                <c:pt idx="1631">
                  <c:v>32</c:v>
                </c:pt>
                <c:pt idx="1632">
                  <c:v>31</c:v>
                </c:pt>
                <c:pt idx="1633">
                  <c:v>31</c:v>
                </c:pt>
                <c:pt idx="1634">
                  <c:v>31</c:v>
                </c:pt>
                <c:pt idx="1635">
                  <c:v>32</c:v>
                </c:pt>
                <c:pt idx="1636">
                  <c:v>32</c:v>
                </c:pt>
                <c:pt idx="1637">
                  <c:v>32</c:v>
                </c:pt>
                <c:pt idx="1638">
                  <c:v>33</c:v>
                </c:pt>
                <c:pt idx="1639">
                  <c:v>32</c:v>
                </c:pt>
                <c:pt idx="1640">
                  <c:v>32</c:v>
                </c:pt>
                <c:pt idx="1641">
                  <c:v>32</c:v>
                </c:pt>
                <c:pt idx="1642">
                  <c:v>32</c:v>
                </c:pt>
                <c:pt idx="1643">
                  <c:v>32</c:v>
                </c:pt>
                <c:pt idx="1644">
                  <c:v>31</c:v>
                </c:pt>
                <c:pt idx="1645">
                  <c:v>31</c:v>
                </c:pt>
                <c:pt idx="1646">
                  <c:v>31</c:v>
                </c:pt>
                <c:pt idx="1647">
                  <c:v>31</c:v>
                </c:pt>
                <c:pt idx="1648">
                  <c:v>31</c:v>
                </c:pt>
                <c:pt idx="1649">
                  <c:v>31</c:v>
                </c:pt>
                <c:pt idx="1650">
                  <c:v>31</c:v>
                </c:pt>
                <c:pt idx="1651">
                  <c:v>31</c:v>
                </c:pt>
                <c:pt idx="1652">
                  <c:v>32</c:v>
                </c:pt>
                <c:pt idx="1653">
                  <c:v>32</c:v>
                </c:pt>
                <c:pt idx="1654">
                  <c:v>32</c:v>
                </c:pt>
                <c:pt idx="1655">
                  <c:v>32</c:v>
                </c:pt>
                <c:pt idx="1656">
                  <c:v>32</c:v>
                </c:pt>
                <c:pt idx="1657">
                  <c:v>32</c:v>
                </c:pt>
                <c:pt idx="1658">
                  <c:v>32</c:v>
                </c:pt>
                <c:pt idx="1659">
                  <c:v>31</c:v>
                </c:pt>
                <c:pt idx="1660">
                  <c:v>31</c:v>
                </c:pt>
                <c:pt idx="1661">
                  <c:v>32</c:v>
                </c:pt>
                <c:pt idx="1662">
                  <c:v>32</c:v>
                </c:pt>
                <c:pt idx="1663">
                  <c:v>32</c:v>
                </c:pt>
                <c:pt idx="1664">
                  <c:v>34</c:v>
                </c:pt>
                <c:pt idx="1665">
                  <c:v>34</c:v>
                </c:pt>
                <c:pt idx="1666">
                  <c:v>34</c:v>
                </c:pt>
                <c:pt idx="1667">
                  <c:v>34</c:v>
                </c:pt>
                <c:pt idx="1668">
                  <c:v>34</c:v>
                </c:pt>
                <c:pt idx="1669">
                  <c:v>34</c:v>
                </c:pt>
                <c:pt idx="1670">
                  <c:v>34</c:v>
                </c:pt>
                <c:pt idx="1671">
                  <c:v>34</c:v>
                </c:pt>
                <c:pt idx="1672">
                  <c:v>34</c:v>
                </c:pt>
                <c:pt idx="1673">
                  <c:v>34</c:v>
                </c:pt>
                <c:pt idx="1674">
                  <c:v>34</c:v>
                </c:pt>
                <c:pt idx="1675">
                  <c:v>34</c:v>
                </c:pt>
                <c:pt idx="1676">
                  <c:v>34</c:v>
                </c:pt>
                <c:pt idx="1677">
                  <c:v>35</c:v>
                </c:pt>
                <c:pt idx="1678">
                  <c:v>35</c:v>
                </c:pt>
                <c:pt idx="1679">
                  <c:v>35</c:v>
                </c:pt>
                <c:pt idx="1680">
                  <c:v>35</c:v>
                </c:pt>
                <c:pt idx="1681">
                  <c:v>35</c:v>
                </c:pt>
                <c:pt idx="1682">
                  <c:v>35</c:v>
                </c:pt>
                <c:pt idx="1683">
                  <c:v>35</c:v>
                </c:pt>
                <c:pt idx="1684">
                  <c:v>36</c:v>
                </c:pt>
                <c:pt idx="1685">
                  <c:v>36</c:v>
                </c:pt>
                <c:pt idx="1686">
                  <c:v>36</c:v>
                </c:pt>
                <c:pt idx="1687">
                  <c:v>36</c:v>
                </c:pt>
                <c:pt idx="1688">
                  <c:v>36</c:v>
                </c:pt>
                <c:pt idx="1689">
                  <c:v>36</c:v>
                </c:pt>
                <c:pt idx="1690">
                  <c:v>36</c:v>
                </c:pt>
                <c:pt idx="1691">
                  <c:v>36</c:v>
                </c:pt>
                <c:pt idx="1692">
                  <c:v>36</c:v>
                </c:pt>
                <c:pt idx="1693">
                  <c:v>36</c:v>
                </c:pt>
                <c:pt idx="1694">
                  <c:v>36</c:v>
                </c:pt>
                <c:pt idx="1695">
                  <c:v>36</c:v>
                </c:pt>
                <c:pt idx="1696">
                  <c:v>37</c:v>
                </c:pt>
                <c:pt idx="1697">
                  <c:v>37</c:v>
                </c:pt>
                <c:pt idx="1698">
                  <c:v>37</c:v>
                </c:pt>
                <c:pt idx="1699">
                  <c:v>37</c:v>
                </c:pt>
                <c:pt idx="1700">
                  <c:v>37</c:v>
                </c:pt>
                <c:pt idx="1701">
                  <c:v>38</c:v>
                </c:pt>
                <c:pt idx="1702">
                  <c:v>39</c:v>
                </c:pt>
                <c:pt idx="1703">
                  <c:v>39</c:v>
                </c:pt>
                <c:pt idx="1704">
                  <c:v>39</c:v>
                </c:pt>
                <c:pt idx="1705">
                  <c:v>39</c:v>
                </c:pt>
                <c:pt idx="1706">
                  <c:v>39</c:v>
                </c:pt>
                <c:pt idx="1707">
                  <c:v>39</c:v>
                </c:pt>
                <c:pt idx="1708">
                  <c:v>39</c:v>
                </c:pt>
                <c:pt idx="1709">
                  <c:v>39</c:v>
                </c:pt>
                <c:pt idx="1710">
                  <c:v>40</c:v>
                </c:pt>
                <c:pt idx="1711">
                  <c:v>40</c:v>
                </c:pt>
                <c:pt idx="1712">
                  <c:v>40</c:v>
                </c:pt>
                <c:pt idx="1713">
                  <c:v>40</c:v>
                </c:pt>
                <c:pt idx="1714">
                  <c:v>40</c:v>
                </c:pt>
                <c:pt idx="1715">
                  <c:v>40</c:v>
                </c:pt>
                <c:pt idx="1716">
                  <c:v>40</c:v>
                </c:pt>
                <c:pt idx="1717">
                  <c:v>40</c:v>
                </c:pt>
                <c:pt idx="1718">
                  <c:v>40</c:v>
                </c:pt>
                <c:pt idx="1719">
                  <c:v>40</c:v>
                </c:pt>
                <c:pt idx="1720">
                  <c:v>40</c:v>
                </c:pt>
                <c:pt idx="1721">
                  <c:v>40</c:v>
                </c:pt>
                <c:pt idx="1722">
                  <c:v>40</c:v>
                </c:pt>
                <c:pt idx="1723">
                  <c:v>40</c:v>
                </c:pt>
                <c:pt idx="1724">
                  <c:v>40</c:v>
                </c:pt>
                <c:pt idx="1725">
                  <c:v>40</c:v>
                </c:pt>
                <c:pt idx="1726">
                  <c:v>40</c:v>
                </c:pt>
                <c:pt idx="1727">
                  <c:v>41</c:v>
                </c:pt>
                <c:pt idx="1728">
                  <c:v>42</c:v>
                </c:pt>
                <c:pt idx="1729">
                  <c:v>42</c:v>
                </c:pt>
                <c:pt idx="1730">
                  <c:v>42</c:v>
                </c:pt>
                <c:pt idx="1731">
                  <c:v>42</c:v>
                </c:pt>
                <c:pt idx="1732">
                  <c:v>42</c:v>
                </c:pt>
                <c:pt idx="1733">
                  <c:v>42</c:v>
                </c:pt>
                <c:pt idx="1734">
                  <c:v>42</c:v>
                </c:pt>
                <c:pt idx="1735">
                  <c:v>42</c:v>
                </c:pt>
                <c:pt idx="1736">
                  <c:v>42</c:v>
                </c:pt>
                <c:pt idx="1737">
                  <c:v>42</c:v>
                </c:pt>
                <c:pt idx="1738">
                  <c:v>42</c:v>
                </c:pt>
                <c:pt idx="1739">
                  <c:v>41</c:v>
                </c:pt>
                <c:pt idx="1740">
                  <c:v>41</c:v>
                </c:pt>
                <c:pt idx="1741">
                  <c:v>42</c:v>
                </c:pt>
                <c:pt idx="1742">
                  <c:v>42</c:v>
                </c:pt>
                <c:pt idx="1743">
                  <c:v>42</c:v>
                </c:pt>
                <c:pt idx="1744">
                  <c:v>42</c:v>
                </c:pt>
                <c:pt idx="1745">
                  <c:v>42</c:v>
                </c:pt>
                <c:pt idx="1746">
                  <c:v>42</c:v>
                </c:pt>
                <c:pt idx="1747">
                  <c:v>42</c:v>
                </c:pt>
                <c:pt idx="1748">
                  <c:v>42</c:v>
                </c:pt>
                <c:pt idx="1749">
                  <c:v>43</c:v>
                </c:pt>
                <c:pt idx="1750">
                  <c:v>43</c:v>
                </c:pt>
                <c:pt idx="1751">
                  <c:v>43</c:v>
                </c:pt>
                <c:pt idx="1752">
                  <c:v>43</c:v>
                </c:pt>
                <c:pt idx="1753">
                  <c:v>43</c:v>
                </c:pt>
                <c:pt idx="1754">
                  <c:v>43</c:v>
                </c:pt>
                <c:pt idx="1755">
                  <c:v>43</c:v>
                </c:pt>
                <c:pt idx="1756">
                  <c:v>43</c:v>
                </c:pt>
                <c:pt idx="1757">
                  <c:v>43</c:v>
                </c:pt>
                <c:pt idx="1758">
                  <c:v>43</c:v>
                </c:pt>
                <c:pt idx="1759">
                  <c:v>43</c:v>
                </c:pt>
                <c:pt idx="1760">
                  <c:v>43</c:v>
                </c:pt>
                <c:pt idx="1761">
                  <c:v>43</c:v>
                </c:pt>
                <c:pt idx="1762">
                  <c:v>43</c:v>
                </c:pt>
                <c:pt idx="1763">
                  <c:v>43</c:v>
                </c:pt>
                <c:pt idx="1764">
                  <c:v>43</c:v>
                </c:pt>
                <c:pt idx="1765">
                  <c:v>43</c:v>
                </c:pt>
                <c:pt idx="1766">
                  <c:v>43</c:v>
                </c:pt>
                <c:pt idx="1767">
                  <c:v>43</c:v>
                </c:pt>
                <c:pt idx="1768">
                  <c:v>43</c:v>
                </c:pt>
                <c:pt idx="1769">
                  <c:v>43</c:v>
                </c:pt>
                <c:pt idx="1770">
                  <c:v>43</c:v>
                </c:pt>
                <c:pt idx="1771">
                  <c:v>43</c:v>
                </c:pt>
                <c:pt idx="1772">
                  <c:v>43</c:v>
                </c:pt>
                <c:pt idx="1773">
                  <c:v>43</c:v>
                </c:pt>
                <c:pt idx="1774">
                  <c:v>43</c:v>
                </c:pt>
                <c:pt idx="1775">
                  <c:v>42</c:v>
                </c:pt>
                <c:pt idx="1776">
                  <c:v>42</c:v>
                </c:pt>
                <c:pt idx="1777">
                  <c:v>42</c:v>
                </c:pt>
                <c:pt idx="1778">
                  <c:v>42</c:v>
                </c:pt>
                <c:pt idx="1779">
                  <c:v>42</c:v>
                </c:pt>
                <c:pt idx="1780">
                  <c:v>42</c:v>
                </c:pt>
                <c:pt idx="1781">
                  <c:v>42</c:v>
                </c:pt>
                <c:pt idx="1782">
                  <c:v>42</c:v>
                </c:pt>
                <c:pt idx="1783">
                  <c:v>42</c:v>
                </c:pt>
                <c:pt idx="1784">
                  <c:v>42</c:v>
                </c:pt>
                <c:pt idx="1785">
                  <c:v>42</c:v>
                </c:pt>
                <c:pt idx="1786">
                  <c:v>42</c:v>
                </c:pt>
                <c:pt idx="1787">
                  <c:v>42</c:v>
                </c:pt>
                <c:pt idx="1788">
                  <c:v>42</c:v>
                </c:pt>
                <c:pt idx="1789">
                  <c:v>43</c:v>
                </c:pt>
                <c:pt idx="1790">
                  <c:v>43</c:v>
                </c:pt>
                <c:pt idx="1791">
                  <c:v>43</c:v>
                </c:pt>
                <c:pt idx="1792">
                  <c:v>42</c:v>
                </c:pt>
                <c:pt idx="1793">
                  <c:v>42</c:v>
                </c:pt>
                <c:pt idx="1794">
                  <c:v>42</c:v>
                </c:pt>
                <c:pt idx="1795">
                  <c:v>42</c:v>
                </c:pt>
                <c:pt idx="1796">
                  <c:v>42</c:v>
                </c:pt>
                <c:pt idx="1797">
                  <c:v>42</c:v>
                </c:pt>
                <c:pt idx="1798">
                  <c:v>42</c:v>
                </c:pt>
                <c:pt idx="1799">
                  <c:v>42</c:v>
                </c:pt>
                <c:pt idx="1800">
                  <c:v>42</c:v>
                </c:pt>
                <c:pt idx="1801">
                  <c:v>42</c:v>
                </c:pt>
                <c:pt idx="1802">
                  <c:v>42</c:v>
                </c:pt>
                <c:pt idx="1803">
                  <c:v>42</c:v>
                </c:pt>
                <c:pt idx="1804">
                  <c:v>42</c:v>
                </c:pt>
                <c:pt idx="1805">
                  <c:v>43</c:v>
                </c:pt>
                <c:pt idx="1806">
                  <c:v>43</c:v>
                </c:pt>
                <c:pt idx="1807">
                  <c:v>43</c:v>
                </c:pt>
                <c:pt idx="1808">
                  <c:v>43</c:v>
                </c:pt>
                <c:pt idx="1809">
                  <c:v>42</c:v>
                </c:pt>
                <c:pt idx="1810">
                  <c:v>42</c:v>
                </c:pt>
                <c:pt idx="1811">
                  <c:v>42</c:v>
                </c:pt>
                <c:pt idx="1812">
                  <c:v>42</c:v>
                </c:pt>
                <c:pt idx="1813">
                  <c:v>42</c:v>
                </c:pt>
                <c:pt idx="1814">
                  <c:v>42</c:v>
                </c:pt>
                <c:pt idx="1815">
                  <c:v>43</c:v>
                </c:pt>
                <c:pt idx="1816">
                  <c:v>43</c:v>
                </c:pt>
                <c:pt idx="1817">
                  <c:v>43</c:v>
                </c:pt>
                <c:pt idx="1818">
                  <c:v>43</c:v>
                </c:pt>
                <c:pt idx="1819">
                  <c:v>43</c:v>
                </c:pt>
                <c:pt idx="1820">
                  <c:v>43</c:v>
                </c:pt>
                <c:pt idx="1821">
                  <c:v>43</c:v>
                </c:pt>
                <c:pt idx="1822">
                  <c:v>43</c:v>
                </c:pt>
                <c:pt idx="1823">
                  <c:v>45</c:v>
                </c:pt>
                <c:pt idx="1824">
                  <c:v>46</c:v>
                </c:pt>
                <c:pt idx="1825">
                  <c:v>46</c:v>
                </c:pt>
                <c:pt idx="1826">
                  <c:v>46</c:v>
                </c:pt>
                <c:pt idx="1827">
                  <c:v>46</c:v>
                </c:pt>
                <c:pt idx="1828">
                  <c:v>46</c:v>
                </c:pt>
                <c:pt idx="1829">
                  <c:v>46</c:v>
                </c:pt>
                <c:pt idx="1830">
                  <c:v>46</c:v>
                </c:pt>
                <c:pt idx="1831">
                  <c:v>46</c:v>
                </c:pt>
                <c:pt idx="1832">
                  <c:v>46</c:v>
                </c:pt>
                <c:pt idx="1833">
                  <c:v>46</c:v>
                </c:pt>
                <c:pt idx="1834">
                  <c:v>46</c:v>
                </c:pt>
                <c:pt idx="1835">
                  <c:v>46</c:v>
                </c:pt>
                <c:pt idx="1836">
                  <c:v>46</c:v>
                </c:pt>
                <c:pt idx="1837">
                  <c:v>46</c:v>
                </c:pt>
                <c:pt idx="1838">
                  <c:v>46</c:v>
                </c:pt>
                <c:pt idx="1839">
                  <c:v>46</c:v>
                </c:pt>
                <c:pt idx="1840">
                  <c:v>46</c:v>
                </c:pt>
                <c:pt idx="1841">
                  <c:v>46</c:v>
                </c:pt>
                <c:pt idx="1842">
                  <c:v>45</c:v>
                </c:pt>
                <c:pt idx="1843">
                  <c:v>45</c:v>
                </c:pt>
                <c:pt idx="1844">
                  <c:v>45</c:v>
                </c:pt>
                <c:pt idx="1845">
                  <c:v>45</c:v>
                </c:pt>
                <c:pt idx="1846">
                  <c:v>46</c:v>
                </c:pt>
                <c:pt idx="1847">
                  <c:v>46</c:v>
                </c:pt>
                <c:pt idx="1848">
                  <c:v>46</c:v>
                </c:pt>
                <c:pt idx="1849">
                  <c:v>46</c:v>
                </c:pt>
                <c:pt idx="1850">
                  <c:v>46</c:v>
                </c:pt>
                <c:pt idx="1851">
                  <c:v>46</c:v>
                </c:pt>
                <c:pt idx="1852">
                  <c:v>46</c:v>
                </c:pt>
                <c:pt idx="1853">
                  <c:v>46</c:v>
                </c:pt>
                <c:pt idx="1854">
                  <c:v>46</c:v>
                </c:pt>
                <c:pt idx="1855">
                  <c:v>46</c:v>
                </c:pt>
                <c:pt idx="1856">
                  <c:v>46</c:v>
                </c:pt>
                <c:pt idx="1857">
                  <c:v>46</c:v>
                </c:pt>
                <c:pt idx="1858">
                  <c:v>46</c:v>
                </c:pt>
                <c:pt idx="1859">
                  <c:v>46</c:v>
                </c:pt>
                <c:pt idx="1860">
                  <c:v>47</c:v>
                </c:pt>
                <c:pt idx="1861">
                  <c:v>47</c:v>
                </c:pt>
                <c:pt idx="1862">
                  <c:v>47</c:v>
                </c:pt>
                <c:pt idx="1863">
                  <c:v>47</c:v>
                </c:pt>
                <c:pt idx="1864">
                  <c:v>47</c:v>
                </c:pt>
                <c:pt idx="1865">
                  <c:v>47</c:v>
                </c:pt>
                <c:pt idx="1866">
                  <c:v>47</c:v>
                </c:pt>
                <c:pt idx="1867">
                  <c:v>47</c:v>
                </c:pt>
                <c:pt idx="1868">
                  <c:v>47</c:v>
                </c:pt>
                <c:pt idx="1869">
                  <c:v>47</c:v>
                </c:pt>
                <c:pt idx="1870">
                  <c:v>47</c:v>
                </c:pt>
                <c:pt idx="1871">
                  <c:v>49</c:v>
                </c:pt>
                <c:pt idx="1872">
                  <c:v>49</c:v>
                </c:pt>
                <c:pt idx="1873">
                  <c:v>50</c:v>
                </c:pt>
                <c:pt idx="1874">
                  <c:v>50</c:v>
                </c:pt>
                <c:pt idx="1875">
                  <c:v>50</c:v>
                </c:pt>
                <c:pt idx="1876">
                  <c:v>50</c:v>
                </c:pt>
                <c:pt idx="1877">
                  <c:v>50</c:v>
                </c:pt>
                <c:pt idx="1878">
                  <c:v>50</c:v>
                </c:pt>
                <c:pt idx="1879">
                  <c:v>50</c:v>
                </c:pt>
                <c:pt idx="1880">
                  <c:v>50</c:v>
                </c:pt>
                <c:pt idx="1881">
                  <c:v>50</c:v>
                </c:pt>
                <c:pt idx="1882">
                  <c:v>50</c:v>
                </c:pt>
                <c:pt idx="1883">
                  <c:v>50</c:v>
                </c:pt>
                <c:pt idx="1884">
                  <c:v>50</c:v>
                </c:pt>
                <c:pt idx="1885">
                  <c:v>50</c:v>
                </c:pt>
                <c:pt idx="1886">
                  <c:v>50</c:v>
                </c:pt>
                <c:pt idx="1887">
                  <c:v>50</c:v>
                </c:pt>
                <c:pt idx="1888">
                  <c:v>50</c:v>
                </c:pt>
                <c:pt idx="1889">
                  <c:v>50</c:v>
                </c:pt>
                <c:pt idx="1890">
                  <c:v>50</c:v>
                </c:pt>
                <c:pt idx="1891">
                  <c:v>50</c:v>
                </c:pt>
                <c:pt idx="1892">
                  <c:v>50</c:v>
                </c:pt>
                <c:pt idx="1893">
                  <c:v>50</c:v>
                </c:pt>
                <c:pt idx="1894">
                  <c:v>50</c:v>
                </c:pt>
                <c:pt idx="1895">
                  <c:v>50</c:v>
                </c:pt>
                <c:pt idx="1896">
                  <c:v>50</c:v>
                </c:pt>
                <c:pt idx="1897">
                  <c:v>50</c:v>
                </c:pt>
                <c:pt idx="1898">
                  <c:v>50</c:v>
                </c:pt>
                <c:pt idx="1899">
                  <c:v>50</c:v>
                </c:pt>
                <c:pt idx="1900">
                  <c:v>50</c:v>
                </c:pt>
                <c:pt idx="1901">
                  <c:v>50</c:v>
                </c:pt>
                <c:pt idx="1902">
                  <c:v>50</c:v>
                </c:pt>
                <c:pt idx="1903">
                  <c:v>50</c:v>
                </c:pt>
                <c:pt idx="1904">
                  <c:v>50</c:v>
                </c:pt>
                <c:pt idx="1905">
                  <c:v>50</c:v>
                </c:pt>
                <c:pt idx="1906">
                  <c:v>50</c:v>
                </c:pt>
                <c:pt idx="1907">
                  <c:v>50</c:v>
                </c:pt>
                <c:pt idx="1908">
                  <c:v>51</c:v>
                </c:pt>
                <c:pt idx="1909">
                  <c:v>51</c:v>
                </c:pt>
                <c:pt idx="1910">
                  <c:v>51</c:v>
                </c:pt>
                <c:pt idx="1911">
                  <c:v>51</c:v>
                </c:pt>
                <c:pt idx="1912">
                  <c:v>51</c:v>
                </c:pt>
                <c:pt idx="1913">
                  <c:v>52</c:v>
                </c:pt>
                <c:pt idx="1914">
                  <c:v>52</c:v>
                </c:pt>
                <c:pt idx="1915">
                  <c:v>52</c:v>
                </c:pt>
                <c:pt idx="1916">
                  <c:v>52</c:v>
                </c:pt>
                <c:pt idx="1917">
                  <c:v>52</c:v>
                </c:pt>
                <c:pt idx="1918">
                  <c:v>52</c:v>
                </c:pt>
                <c:pt idx="1919">
                  <c:v>51</c:v>
                </c:pt>
                <c:pt idx="1920">
                  <c:v>51</c:v>
                </c:pt>
                <c:pt idx="1921">
                  <c:v>51</c:v>
                </c:pt>
                <c:pt idx="1922">
                  <c:v>51</c:v>
                </c:pt>
                <c:pt idx="1923">
                  <c:v>51</c:v>
                </c:pt>
                <c:pt idx="1924">
                  <c:v>51</c:v>
                </c:pt>
                <c:pt idx="1925">
                  <c:v>51</c:v>
                </c:pt>
                <c:pt idx="1926">
                  <c:v>51</c:v>
                </c:pt>
                <c:pt idx="1927">
                  <c:v>51</c:v>
                </c:pt>
                <c:pt idx="1928">
                  <c:v>51</c:v>
                </c:pt>
                <c:pt idx="1929">
                  <c:v>50</c:v>
                </c:pt>
                <c:pt idx="1930">
                  <c:v>51</c:v>
                </c:pt>
                <c:pt idx="1931">
                  <c:v>51</c:v>
                </c:pt>
                <c:pt idx="1932">
                  <c:v>51</c:v>
                </c:pt>
                <c:pt idx="1933">
                  <c:v>51</c:v>
                </c:pt>
                <c:pt idx="1934">
                  <c:v>51</c:v>
                </c:pt>
                <c:pt idx="1935">
                  <c:v>51</c:v>
                </c:pt>
                <c:pt idx="1936">
                  <c:v>51</c:v>
                </c:pt>
                <c:pt idx="1937">
                  <c:v>51</c:v>
                </c:pt>
                <c:pt idx="1938">
                  <c:v>51</c:v>
                </c:pt>
                <c:pt idx="1939">
                  <c:v>51</c:v>
                </c:pt>
                <c:pt idx="1940">
                  <c:v>51</c:v>
                </c:pt>
                <c:pt idx="1941">
                  <c:v>51</c:v>
                </c:pt>
                <c:pt idx="1942">
                  <c:v>51</c:v>
                </c:pt>
                <c:pt idx="1943">
                  <c:v>52</c:v>
                </c:pt>
                <c:pt idx="1944">
                  <c:v>53</c:v>
                </c:pt>
                <c:pt idx="1945">
                  <c:v>53</c:v>
                </c:pt>
                <c:pt idx="1946">
                  <c:v>53</c:v>
                </c:pt>
                <c:pt idx="1947">
                  <c:v>53</c:v>
                </c:pt>
                <c:pt idx="1948">
                  <c:v>53</c:v>
                </c:pt>
                <c:pt idx="1949">
                  <c:v>54</c:v>
                </c:pt>
                <c:pt idx="1950">
                  <c:v>54</c:v>
                </c:pt>
                <c:pt idx="1951">
                  <c:v>54</c:v>
                </c:pt>
                <c:pt idx="1952">
                  <c:v>54</c:v>
                </c:pt>
                <c:pt idx="1953">
                  <c:v>54</c:v>
                </c:pt>
                <c:pt idx="1954">
                  <c:v>54</c:v>
                </c:pt>
                <c:pt idx="1955">
                  <c:v>54</c:v>
                </c:pt>
                <c:pt idx="1956">
                  <c:v>54</c:v>
                </c:pt>
                <c:pt idx="1957">
                  <c:v>54</c:v>
                </c:pt>
                <c:pt idx="1958">
                  <c:v>54</c:v>
                </c:pt>
                <c:pt idx="1959">
                  <c:v>54</c:v>
                </c:pt>
                <c:pt idx="1960">
                  <c:v>54</c:v>
                </c:pt>
                <c:pt idx="1961">
                  <c:v>54</c:v>
                </c:pt>
                <c:pt idx="1962">
                  <c:v>54</c:v>
                </c:pt>
                <c:pt idx="1963">
                  <c:v>54</c:v>
                </c:pt>
                <c:pt idx="1964">
                  <c:v>54</c:v>
                </c:pt>
                <c:pt idx="1965">
                  <c:v>54</c:v>
                </c:pt>
                <c:pt idx="1966">
                  <c:v>54</c:v>
                </c:pt>
                <c:pt idx="1967">
                  <c:v>54</c:v>
                </c:pt>
                <c:pt idx="1968">
                  <c:v>54</c:v>
                </c:pt>
                <c:pt idx="1969">
                  <c:v>54</c:v>
                </c:pt>
                <c:pt idx="1970">
                  <c:v>54</c:v>
                </c:pt>
                <c:pt idx="1971">
                  <c:v>54</c:v>
                </c:pt>
                <c:pt idx="1972">
                  <c:v>54</c:v>
                </c:pt>
                <c:pt idx="1973">
                  <c:v>54</c:v>
                </c:pt>
                <c:pt idx="1974">
                  <c:v>54</c:v>
                </c:pt>
                <c:pt idx="1975">
                  <c:v>54</c:v>
                </c:pt>
                <c:pt idx="1976">
                  <c:v>54</c:v>
                </c:pt>
                <c:pt idx="1977">
                  <c:v>54</c:v>
                </c:pt>
                <c:pt idx="1978">
                  <c:v>54</c:v>
                </c:pt>
                <c:pt idx="1979">
                  <c:v>54</c:v>
                </c:pt>
                <c:pt idx="1980">
                  <c:v>54</c:v>
                </c:pt>
                <c:pt idx="1981">
                  <c:v>54</c:v>
                </c:pt>
                <c:pt idx="1982">
                  <c:v>53</c:v>
                </c:pt>
                <c:pt idx="1983">
                  <c:v>52</c:v>
                </c:pt>
                <c:pt idx="1984">
                  <c:v>52</c:v>
                </c:pt>
                <c:pt idx="1985">
                  <c:v>52</c:v>
                </c:pt>
                <c:pt idx="1986">
                  <c:v>52</c:v>
                </c:pt>
                <c:pt idx="1987">
                  <c:v>52</c:v>
                </c:pt>
                <c:pt idx="1988">
                  <c:v>52</c:v>
                </c:pt>
                <c:pt idx="1989">
                  <c:v>52</c:v>
                </c:pt>
                <c:pt idx="1990">
                  <c:v>52</c:v>
                </c:pt>
                <c:pt idx="1991">
                  <c:v>52</c:v>
                </c:pt>
                <c:pt idx="1992">
                  <c:v>52</c:v>
                </c:pt>
                <c:pt idx="1993">
                  <c:v>52</c:v>
                </c:pt>
                <c:pt idx="1994">
                  <c:v>52</c:v>
                </c:pt>
                <c:pt idx="1995">
                  <c:v>52</c:v>
                </c:pt>
                <c:pt idx="1996">
                  <c:v>52</c:v>
                </c:pt>
                <c:pt idx="1997">
                  <c:v>53</c:v>
                </c:pt>
                <c:pt idx="1998">
                  <c:v>53</c:v>
                </c:pt>
                <c:pt idx="1999">
                  <c:v>53</c:v>
                </c:pt>
                <c:pt idx="2000">
                  <c:v>53</c:v>
                </c:pt>
                <c:pt idx="2001">
                  <c:v>53</c:v>
                </c:pt>
                <c:pt idx="2002">
                  <c:v>53</c:v>
                </c:pt>
                <c:pt idx="2003">
                  <c:v>53</c:v>
                </c:pt>
                <c:pt idx="2004">
                  <c:v>51</c:v>
                </c:pt>
                <c:pt idx="2005">
                  <c:v>51</c:v>
                </c:pt>
                <c:pt idx="2006">
                  <c:v>51</c:v>
                </c:pt>
                <c:pt idx="2007">
                  <c:v>51</c:v>
                </c:pt>
                <c:pt idx="2008">
                  <c:v>51</c:v>
                </c:pt>
                <c:pt idx="2009">
                  <c:v>51</c:v>
                </c:pt>
                <c:pt idx="2010">
                  <c:v>51</c:v>
                </c:pt>
                <c:pt idx="2011">
                  <c:v>50</c:v>
                </c:pt>
                <c:pt idx="2012">
                  <c:v>50</c:v>
                </c:pt>
                <c:pt idx="2013">
                  <c:v>50</c:v>
                </c:pt>
                <c:pt idx="2014">
                  <c:v>50</c:v>
                </c:pt>
                <c:pt idx="2015">
                  <c:v>50</c:v>
                </c:pt>
                <c:pt idx="2016">
                  <c:v>50</c:v>
                </c:pt>
                <c:pt idx="2017">
                  <c:v>50</c:v>
                </c:pt>
                <c:pt idx="2018">
                  <c:v>50</c:v>
                </c:pt>
                <c:pt idx="2019">
                  <c:v>50</c:v>
                </c:pt>
                <c:pt idx="2020">
                  <c:v>50</c:v>
                </c:pt>
                <c:pt idx="2021">
                  <c:v>49</c:v>
                </c:pt>
                <c:pt idx="2022">
                  <c:v>49</c:v>
                </c:pt>
                <c:pt idx="2023">
                  <c:v>49</c:v>
                </c:pt>
                <c:pt idx="2024">
                  <c:v>49</c:v>
                </c:pt>
                <c:pt idx="2025">
                  <c:v>49</c:v>
                </c:pt>
                <c:pt idx="2026">
                  <c:v>49</c:v>
                </c:pt>
                <c:pt idx="2027">
                  <c:v>49</c:v>
                </c:pt>
                <c:pt idx="2028">
                  <c:v>49</c:v>
                </c:pt>
                <c:pt idx="2029">
                  <c:v>49</c:v>
                </c:pt>
                <c:pt idx="2030">
                  <c:v>51</c:v>
                </c:pt>
                <c:pt idx="2031">
                  <c:v>51</c:v>
                </c:pt>
                <c:pt idx="2032">
                  <c:v>51</c:v>
                </c:pt>
                <c:pt idx="2033">
                  <c:v>51</c:v>
                </c:pt>
                <c:pt idx="2034">
                  <c:v>51</c:v>
                </c:pt>
                <c:pt idx="2035">
                  <c:v>51</c:v>
                </c:pt>
                <c:pt idx="2036">
                  <c:v>51</c:v>
                </c:pt>
                <c:pt idx="2037">
                  <c:v>51</c:v>
                </c:pt>
                <c:pt idx="2038">
                  <c:v>53</c:v>
                </c:pt>
                <c:pt idx="2039">
                  <c:v>53</c:v>
                </c:pt>
                <c:pt idx="2040">
                  <c:v>53</c:v>
                </c:pt>
                <c:pt idx="2041">
                  <c:v>53</c:v>
                </c:pt>
                <c:pt idx="2042">
                  <c:v>53</c:v>
                </c:pt>
                <c:pt idx="2043">
                  <c:v>53</c:v>
                </c:pt>
                <c:pt idx="2044">
                  <c:v>53</c:v>
                </c:pt>
                <c:pt idx="2045">
                  <c:v>54</c:v>
                </c:pt>
                <c:pt idx="2046">
                  <c:v>54</c:v>
                </c:pt>
                <c:pt idx="2047">
                  <c:v>54</c:v>
                </c:pt>
                <c:pt idx="2048">
                  <c:v>54</c:v>
                </c:pt>
                <c:pt idx="2049">
                  <c:v>55</c:v>
                </c:pt>
                <c:pt idx="2050">
                  <c:v>55</c:v>
                </c:pt>
                <c:pt idx="2051">
                  <c:v>55</c:v>
                </c:pt>
                <c:pt idx="2052">
                  <c:v>55</c:v>
                </c:pt>
                <c:pt idx="2053">
                  <c:v>55</c:v>
                </c:pt>
                <c:pt idx="2054">
                  <c:v>55</c:v>
                </c:pt>
                <c:pt idx="2055">
                  <c:v>55</c:v>
                </c:pt>
                <c:pt idx="2056">
                  <c:v>57</c:v>
                </c:pt>
                <c:pt idx="2057">
                  <c:v>58</c:v>
                </c:pt>
                <c:pt idx="2058">
                  <c:v>56</c:v>
                </c:pt>
                <c:pt idx="2059">
                  <c:v>56</c:v>
                </c:pt>
                <c:pt idx="2060">
                  <c:v>57</c:v>
                </c:pt>
                <c:pt idx="2061">
                  <c:v>57</c:v>
                </c:pt>
                <c:pt idx="2062">
                  <c:v>57</c:v>
                </c:pt>
                <c:pt idx="2063">
                  <c:v>57</c:v>
                </c:pt>
                <c:pt idx="2064">
                  <c:v>57</c:v>
                </c:pt>
                <c:pt idx="2065">
                  <c:v>57</c:v>
                </c:pt>
                <c:pt idx="2066">
                  <c:v>57</c:v>
                </c:pt>
                <c:pt idx="2067">
                  <c:v>57</c:v>
                </c:pt>
                <c:pt idx="2068">
                  <c:v>57</c:v>
                </c:pt>
                <c:pt idx="2069">
                  <c:v>57</c:v>
                </c:pt>
                <c:pt idx="2070">
                  <c:v>57</c:v>
                </c:pt>
                <c:pt idx="2071">
                  <c:v>57</c:v>
                </c:pt>
                <c:pt idx="2072">
                  <c:v>57</c:v>
                </c:pt>
                <c:pt idx="2073">
                  <c:v>57</c:v>
                </c:pt>
                <c:pt idx="2074">
                  <c:v>57</c:v>
                </c:pt>
                <c:pt idx="2075">
                  <c:v>57</c:v>
                </c:pt>
                <c:pt idx="2076">
                  <c:v>57</c:v>
                </c:pt>
                <c:pt idx="2077">
                  <c:v>57</c:v>
                </c:pt>
                <c:pt idx="2078">
                  <c:v>57</c:v>
                </c:pt>
                <c:pt idx="2079">
                  <c:v>57</c:v>
                </c:pt>
                <c:pt idx="2080">
                  <c:v>57</c:v>
                </c:pt>
                <c:pt idx="2081">
                  <c:v>57</c:v>
                </c:pt>
                <c:pt idx="2082">
                  <c:v>57</c:v>
                </c:pt>
                <c:pt idx="2083">
                  <c:v>57</c:v>
                </c:pt>
                <c:pt idx="2084">
                  <c:v>57</c:v>
                </c:pt>
                <c:pt idx="2085">
                  <c:v>57</c:v>
                </c:pt>
                <c:pt idx="2086">
                  <c:v>57</c:v>
                </c:pt>
                <c:pt idx="2087">
                  <c:v>57</c:v>
                </c:pt>
                <c:pt idx="2088">
                  <c:v>57</c:v>
                </c:pt>
                <c:pt idx="2089">
                  <c:v>57</c:v>
                </c:pt>
                <c:pt idx="2090">
                  <c:v>57</c:v>
                </c:pt>
                <c:pt idx="2091">
                  <c:v>57</c:v>
                </c:pt>
                <c:pt idx="2092">
                  <c:v>57</c:v>
                </c:pt>
                <c:pt idx="2093">
                  <c:v>56</c:v>
                </c:pt>
                <c:pt idx="2094">
                  <c:v>56</c:v>
                </c:pt>
                <c:pt idx="2095">
                  <c:v>56</c:v>
                </c:pt>
                <c:pt idx="2096">
                  <c:v>56</c:v>
                </c:pt>
                <c:pt idx="2097">
                  <c:v>56</c:v>
                </c:pt>
                <c:pt idx="2098">
                  <c:v>56</c:v>
                </c:pt>
                <c:pt idx="2099">
                  <c:v>56</c:v>
                </c:pt>
                <c:pt idx="2100">
                  <c:v>56</c:v>
                </c:pt>
                <c:pt idx="2101">
                  <c:v>56</c:v>
                </c:pt>
                <c:pt idx="2102">
                  <c:v>56</c:v>
                </c:pt>
                <c:pt idx="2103">
                  <c:v>56</c:v>
                </c:pt>
                <c:pt idx="2104">
                  <c:v>56</c:v>
                </c:pt>
                <c:pt idx="2105">
                  <c:v>56</c:v>
                </c:pt>
                <c:pt idx="2106">
                  <c:v>57</c:v>
                </c:pt>
                <c:pt idx="2107">
                  <c:v>57</c:v>
                </c:pt>
                <c:pt idx="2108">
                  <c:v>57</c:v>
                </c:pt>
                <c:pt idx="2109">
                  <c:v>57</c:v>
                </c:pt>
                <c:pt idx="2110">
                  <c:v>58</c:v>
                </c:pt>
                <c:pt idx="2111">
                  <c:v>58</c:v>
                </c:pt>
                <c:pt idx="2112">
                  <c:v>58</c:v>
                </c:pt>
                <c:pt idx="2113">
                  <c:v>58</c:v>
                </c:pt>
                <c:pt idx="2114">
                  <c:v>58</c:v>
                </c:pt>
                <c:pt idx="2115">
                  <c:v>58</c:v>
                </c:pt>
                <c:pt idx="2116">
                  <c:v>58</c:v>
                </c:pt>
                <c:pt idx="2117">
                  <c:v>58</c:v>
                </c:pt>
                <c:pt idx="2118">
                  <c:v>58</c:v>
                </c:pt>
                <c:pt idx="2119">
                  <c:v>58</c:v>
                </c:pt>
                <c:pt idx="2120">
                  <c:v>58</c:v>
                </c:pt>
                <c:pt idx="2121">
                  <c:v>58</c:v>
                </c:pt>
                <c:pt idx="2122">
                  <c:v>58</c:v>
                </c:pt>
                <c:pt idx="2123">
                  <c:v>58</c:v>
                </c:pt>
                <c:pt idx="2124">
                  <c:v>58</c:v>
                </c:pt>
                <c:pt idx="2125">
                  <c:v>58</c:v>
                </c:pt>
                <c:pt idx="2126">
                  <c:v>58</c:v>
                </c:pt>
                <c:pt idx="2127">
                  <c:v>58</c:v>
                </c:pt>
                <c:pt idx="2128">
                  <c:v>58</c:v>
                </c:pt>
                <c:pt idx="2129">
                  <c:v>58</c:v>
                </c:pt>
                <c:pt idx="2130">
                  <c:v>58</c:v>
                </c:pt>
                <c:pt idx="2131">
                  <c:v>58</c:v>
                </c:pt>
                <c:pt idx="2132">
                  <c:v>58</c:v>
                </c:pt>
                <c:pt idx="2133">
                  <c:v>58</c:v>
                </c:pt>
                <c:pt idx="2134">
                  <c:v>58</c:v>
                </c:pt>
                <c:pt idx="2135">
                  <c:v>58</c:v>
                </c:pt>
                <c:pt idx="2136">
                  <c:v>58</c:v>
                </c:pt>
                <c:pt idx="2137">
                  <c:v>58</c:v>
                </c:pt>
                <c:pt idx="2138">
                  <c:v>58</c:v>
                </c:pt>
                <c:pt idx="2139">
                  <c:v>58</c:v>
                </c:pt>
                <c:pt idx="2140">
                  <c:v>58</c:v>
                </c:pt>
                <c:pt idx="2141">
                  <c:v>58</c:v>
                </c:pt>
                <c:pt idx="2142">
                  <c:v>58</c:v>
                </c:pt>
                <c:pt idx="2143">
                  <c:v>58</c:v>
                </c:pt>
                <c:pt idx="2144">
                  <c:v>58</c:v>
                </c:pt>
                <c:pt idx="2145">
                  <c:v>58</c:v>
                </c:pt>
                <c:pt idx="2146">
                  <c:v>58</c:v>
                </c:pt>
                <c:pt idx="2147">
                  <c:v>58</c:v>
                </c:pt>
                <c:pt idx="2148">
                  <c:v>58</c:v>
                </c:pt>
                <c:pt idx="2149">
                  <c:v>58</c:v>
                </c:pt>
                <c:pt idx="2150">
                  <c:v>58</c:v>
                </c:pt>
                <c:pt idx="2151">
                  <c:v>58</c:v>
                </c:pt>
                <c:pt idx="2152">
                  <c:v>58</c:v>
                </c:pt>
                <c:pt idx="2153">
                  <c:v>58</c:v>
                </c:pt>
                <c:pt idx="2154">
                  <c:v>58</c:v>
                </c:pt>
                <c:pt idx="2155">
                  <c:v>58</c:v>
                </c:pt>
                <c:pt idx="2156">
                  <c:v>58</c:v>
                </c:pt>
                <c:pt idx="2157">
                  <c:v>57</c:v>
                </c:pt>
                <c:pt idx="2158">
                  <c:v>57</c:v>
                </c:pt>
                <c:pt idx="2159">
                  <c:v>58</c:v>
                </c:pt>
                <c:pt idx="2160">
                  <c:v>58</c:v>
                </c:pt>
                <c:pt idx="2161">
                  <c:v>58</c:v>
                </c:pt>
                <c:pt idx="2162">
                  <c:v>58</c:v>
                </c:pt>
                <c:pt idx="2163">
                  <c:v>58</c:v>
                </c:pt>
                <c:pt idx="2164">
                  <c:v>58</c:v>
                </c:pt>
                <c:pt idx="2165">
                  <c:v>58</c:v>
                </c:pt>
                <c:pt idx="2166">
                  <c:v>58</c:v>
                </c:pt>
                <c:pt idx="2167">
                  <c:v>58</c:v>
                </c:pt>
                <c:pt idx="2168">
                  <c:v>58</c:v>
                </c:pt>
                <c:pt idx="2169">
                  <c:v>59</c:v>
                </c:pt>
                <c:pt idx="2170">
                  <c:v>59</c:v>
                </c:pt>
                <c:pt idx="2171">
                  <c:v>59</c:v>
                </c:pt>
                <c:pt idx="2172">
                  <c:v>61</c:v>
                </c:pt>
                <c:pt idx="2173">
                  <c:v>61</c:v>
                </c:pt>
                <c:pt idx="2174">
                  <c:v>61</c:v>
                </c:pt>
                <c:pt idx="2175">
                  <c:v>60</c:v>
                </c:pt>
                <c:pt idx="2176">
                  <c:v>60</c:v>
                </c:pt>
                <c:pt idx="2177">
                  <c:v>60</c:v>
                </c:pt>
                <c:pt idx="2178">
                  <c:v>59</c:v>
                </c:pt>
                <c:pt idx="2179">
                  <c:v>59</c:v>
                </c:pt>
                <c:pt idx="2180">
                  <c:v>59</c:v>
                </c:pt>
                <c:pt idx="2181">
                  <c:v>60</c:v>
                </c:pt>
                <c:pt idx="2182">
                  <c:v>59</c:v>
                </c:pt>
                <c:pt idx="2183">
                  <c:v>59</c:v>
                </c:pt>
                <c:pt idx="2184">
                  <c:v>59</c:v>
                </c:pt>
                <c:pt idx="2185">
                  <c:v>59</c:v>
                </c:pt>
                <c:pt idx="2186">
                  <c:v>59</c:v>
                </c:pt>
                <c:pt idx="2187">
                  <c:v>58</c:v>
                </c:pt>
                <c:pt idx="2188">
                  <c:v>58</c:v>
                </c:pt>
                <c:pt idx="2189">
                  <c:v>58</c:v>
                </c:pt>
                <c:pt idx="2190">
                  <c:v>58</c:v>
                </c:pt>
                <c:pt idx="2191">
                  <c:v>58</c:v>
                </c:pt>
                <c:pt idx="2192">
                  <c:v>58</c:v>
                </c:pt>
                <c:pt idx="2193">
                  <c:v>58</c:v>
                </c:pt>
                <c:pt idx="2194">
                  <c:v>58</c:v>
                </c:pt>
                <c:pt idx="2195">
                  <c:v>58</c:v>
                </c:pt>
                <c:pt idx="2196">
                  <c:v>58</c:v>
                </c:pt>
                <c:pt idx="2197">
                  <c:v>58</c:v>
                </c:pt>
                <c:pt idx="2198">
                  <c:v>58</c:v>
                </c:pt>
                <c:pt idx="2199">
                  <c:v>59</c:v>
                </c:pt>
                <c:pt idx="2200">
                  <c:v>61</c:v>
                </c:pt>
                <c:pt idx="2201">
                  <c:v>62</c:v>
                </c:pt>
                <c:pt idx="2202">
                  <c:v>62</c:v>
                </c:pt>
                <c:pt idx="2203">
                  <c:v>62</c:v>
                </c:pt>
                <c:pt idx="2204">
                  <c:v>62</c:v>
                </c:pt>
                <c:pt idx="2205">
                  <c:v>62</c:v>
                </c:pt>
                <c:pt idx="2206">
                  <c:v>62</c:v>
                </c:pt>
                <c:pt idx="2207">
                  <c:v>63</c:v>
                </c:pt>
                <c:pt idx="2208">
                  <c:v>63</c:v>
                </c:pt>
                <c:pt idx="2209">
                  <c:v>63</c:v>
                </c:pt>
                <c:pt idx="2210">
                  <c:v>63</c:v>
                </c:pt>
                <c:pt idx="2211">
                  <c:v>63</c:v>
                </c:pt>
                <c:pt idx="2212">
                  <c:v>65</c:v>
                </c:pt>
                <c:pt idx="2213">
                  <c:v>65</c:v>
                </c:pt>
                <c:pt idx="2214">
                  <c:v>65</c:v>
                </c:pt>
                <c:pt idx="2215">
                  <c:v>65</c:v>
                </c:pt>
                <c:pt idx="2216">
                  <c:v>65</c:v>
                </c:pt>
                <c:pt idx="2217">
                  <c:v>65</c:v>
                </c:pt>
                <c:pt idx="2218">
                  <c:v>65</c:v>
                </c:pt>
                <c:pt idx="2219">
                  <c:v>65</c:v>
                </c:pt>
                <c:pt idx="2220">
                  <c:v>65</c:v>
                </c:pt>
                <c:pt idx="2221">
                  <c:v>65</c:v>
                </c:pt>
                <c:pt idx="2222">
                  <c:v>65</c:v>
                </c:pt>
                <c:pt idx="2223">
                  <c:v>65</c:v>
                </c:pt>
                <c:pt idx="2224">
                  <c:v>65</c:v>
                </c:pt>
                <c:pt idx="2225">
                  <c:v>65</c:v>
                </c:pt>
                <c:pt idx="2226">
                  <c:v>65</c:v>
                </c:pt>
                <c:pt idx="2227">
                  <c:v>66</c:v>
                </c:pt>
                <c:pt idx="2228">
                  <c:v>66</c:v>
                </c:pt>
                <c:pt idx="2229">
                  <c:v>66</c:v>
                </c:pt>
                <c:pt idx="2230">
                  <c:v>66</c:v>
                </c:pt>
                <c:pt idx="2231">
                  <c:v>66</c:v>
                </c:pt>
                <c:pt idx="2232">
                  <c:v>66</c:v>
                </c:pt>
                <c:pt idx="2233">
                  <c:v>65</c:v>
                </c:pt>
                <c:pt idx="2234">
                  <c:v>65</c:v>
                </c:pt>
                <c:pt idx="2235">
                  <c:v>64</c:v>
                </c:pt>
                <c:pt idx="2236">
                  <c:v>64</c:v>
                </c:pt>
                <c:pt idx="2237">
                  <c:v>64</c:v>
                </c:pt>
                <c:pt idx="2238">
                  <c:v>64</c:v>
                </c:pt>
                <c:pt idx="2239">
                  <c:v>64</c:v>
                </c:pt>
                <c:pt idx="2240">
                  <c:v>64</c:v>
                </c:pt>
                <c:pt idx="2241">
                  <c:v>64</c:v>
                </c:pt>
                <c:pt idx="2242">
                  <c:v>64</c:v>
                </c:pt>
                <c:pt idx="2243">
                  <c:v>63</c:v>
                </c:pt>
                <c:pt idx="2244">
                  <c:v>63</c:v>
                </c:pt>
                <c:pt idx="2245">
                  <c:v>63</c:v>
                </c:pt>
                <c:pt idx="2246">
                  <c:v>63</c:v>
                </c:pt>
                <c:pt idx="2247">
                  <c:v>63</c:v>
                </c:pt>
                <c:pt idx="2248">
                  <c:v>63</c:v>
                </c:pt>
                <c:pt idx="2249">
                  <c:v>63</c:v>
                </c:pt>
                <c:pt idx="2250">
                  <c:v>63</c:v>
                </c:pt>
                <c:pt idx="2251">
                  <c:v>64</c:v>
                </c:pt>
                <c:pt idx="2252">
                  <c:v>64</c:v>
                </c:pt>
                <c:pt idx="2253">
                  <c:v>64</c:v>
                </c:pt>
                <c:pt idx="2254">
                  <c:v>64</c:v>
                </c:pt>
                <c:pt idx="2255">
                  <c:v>64</c:v>
                </c:pt>
                <c:pt idx="2256">
                  <c:v>64</c:v>
                </c:pt>
                <c:pt idx="2257">
                  <c:v>64</c:v>
                </c:pt>
                <c:pt idx="2258">
                  <c:v>64</c:v>
                </c:pt>
                <c:pt idx="2259">
                  <c:v>64</c:v>
                </c:pt>
                <c:pt idx="2260">
                  <c:v>64</c:v>
                </c:pt>
                <c:pt idx="2261">
                  <c:v>64</c:v>
                </c:pt>
                <c:pt idx="2262">
                  <c:v>64</c:v>
                </c:pt>
                <c:pt idx="2263">
                  <c:v>64</c:v>
                </c:pt>
                <c:pt idx="2264">
                  <c:v>64</c:v>
                </c:pt>
                <c:pt idx="2265">
                  <c:v>64</c:v>
                </c:pt>
                <c:pt idx="2266">
                  <c:v>65</c:v>
                </c:pt>
                <c:pt idx="2267">
                  <c:v>65</c:v>
                </c:pt>
                <c:pt idx="2268">
                  <c:v>66</c:v>
                </c:pt>
                <c:pt idx="2269">
                  <c:v>65</c:v>
                </c:pt>
                <c:pt idx="2270">
                  <c:v>65</c:v>
                </c:pt>
                <c:pt idx="2271">
                  <c:v>65</c:v>
                </c:pt>
                <c:pt idx="2272">
                  <c:v>65</c:v>
                </c:pt>
                <c:pt idx="2273">
                  <c:v>65</c:v>
                </c:pt>
                <c:pt idx="2274">
                  <c:v>65</c:v>
                </c:pt>
                <c:pt idx="2275">
                  <c:v>65</c:v>
                </c:pt>
                <c:pt idx="2276">
                  <c:v>65</c:v>
                </c:pt>
                <c:pt idx="2277">
                  <c:v>65</c:v>
                </c:pt>
                <c:pt idx="2278">
                  <c:v>65</c:v>
                </c:pt>
                <c:pt idx="2279">
                  <c:v>65</c:v>
                </c:pt>
                <c:pt idx="2280">
                  <c:v>65</c:v>
                </c:pt>
                <c:pt idx="2281">
                  <c:v>65</c:v>
                </c:pt>
                <c:pt idx="2282">
                  <c:v>65</c:v>
                </c:pt>
                <c:pt idx="2283">
                  <c:v>65</c:v>
                </c:pt>
                <c:pt idx="2284">
                  <c:v>65</c:v>
                </c:pt>
                <c:pt idx="2285">
                  <c:v>65</c:v>
                </c:pt>
                <c:pt idx="2286">
                  <c:v>66</c:v>
                </c:pt>
                <c:pt idx="2287">
                  <c:v>66</c:v>
                </c:pt>
                <c:pt idx="2288">
                  <c:v>65</c:v>
                </c:pt>
                <c:pt idx="2289">
                  <c:v>65</c:v>
                </c:pt>
                <c:pt idx="2290">
                  <c:v>65</c:v>
                </c:pt>
                <c:pt idx="2291">
                  <c:v>65</c:v>
                </c:pt>
                <c:pt idx="2292">
                  <c:v>65</c:v>
                </c:pt>
                <c:pt idx="2293">
                  <c:v>65</c:v>
                </c:pt>
                <c:pt idx="2294">
                  <c:v>65</c:v>
                </c:pt>
                <c:pt idx="2295">
                  <c:v>65</c:v>
                </c:pt>
                <c:pt idx="2296">
                  <c:v>65</c:v>
                </c:pt>
                <c:pt idx="2297">
                  <c:v>65</c:v>
                </c:pt>
                <c:pt idx="2298">
                  <c:v>65</c:v>
                </c:pt>
                <c:pt idx="2299">
                  <c:v>66</c:v>
                </c:pt>
                <c:pt idx="2300">
                  <c:v>66</c:v>
                </c:pt>
                <c:pt idx="2301">
                  <c:v>66</c:v>
                </c:pt>
                <c:pt idx="2302">
                  <c:v>66</c:v>
                </c:pt>
                <c:pt idx="2303">
                  <c:v>66</c:v>
                </c:pt>
                <c:pt idx="2304">
                  <c:v>66</c:v>
                </c:pt>
                <c:pt idx="2305">
                  <c:v>66</c:v>
                </c:pt>
                <c:pt idx="2306">
                  <c:v>66</c:v>
                </c:pt>
                <c:pt idx="2307">
                  <c:v>65</c:v>
                </c:pt>
                <c:pt idx="2308">
                  <c:v>65</c:v>
                </c:pt>
                <c:pt idx="2309">
                  <c:v>65</c:v>
                </c:pt>
                <c:pt idx="2310">
                  <c:v>65</c:v>
                </c:pt>
                <c:pt idx="2311">
                  <c:v>65</c:v>
                </c:pt>
                <c:pt idx="2312">
                  <c:v>65</c:v>
                </c:pt>
                <c:pt idx="2313">
                  <c:v>65</c:v>
                </c:pt>
                <c:pt idx="2314">
                  <c:v>65</c:v>
                </c:pt>
                <c:pt idx="2315">
                  <c:v>65</c:v>
                </c:pt>
                <c:pt idx="2316">
                  <c:v>65</c:v>
                </c:pt>
                <c:pt idx="2317">
                  <c:v>66</c:v>
                </c:pt>
                <c:pt idx="2318">
                  <c:v>66</c:v>
                </c:pt>
                <c:pt idx="2319">
                  <c:v>65</c:v>
                </c:pt>
                <c:pt idx="2320">
                  <c:v>65</c:v>
                </c:pt>
                <c:pt idx="2321">
                  <c:v>65</c:v>
                </c:pt>
                <c:pt idx="2322">
                  <c:v>65</c:v>
                </c:pt>
                <c:pt idx="2323">
                  <c:v>65</c:v>
                </c:pt>
                <c:pt idx="2324">
                  <c:v>65</c:v>
                </c:pt>
                <c:pt idx="2325">
                  <c:v>65</c:v>
                </c:pt>
                <c:pt idx="2326">
                  <c:v>65</c:v>
                </c:pt>
                <c:pt idx="2327">
                  <c:v>65</c:v>
                </c:pt>
                <c:pt idx="2328">
                  <c:v>66</c:v>
                </c:pt>
                <c:pt idx="2329">
                  <c:v>66</c:v>
                </c:pt>
                <c:pt idx="2330">
                  <c:v>66</c:v>
                </c:pt>
                <c:pt idx="2331">
                  <c:v>66</c:v>
                </c:pt>
                <c:pt idx="2332">
                  <c:v>66</c:v>
                </c:pt>
                <c:pt idx="2333">
                  <c:v>66</c:v>
                </c:pt>
                <c:pt idx="2334">
                  <c:v>66</c:v>
                </c:pt>
                <c:pt idx="2335">
                  <c:v>66</c:v>
                </c:pt>
                <c:pt idx="2336">
                  <c:v>66</c:v>
                </c:pt>
                <c:pt idx="2337">
                  <c:v>67</c:v>
                </c:pt>
                <c:pt idx="2338">
                  <c:v>67</c:v>
                </c:pt>
                <c:pt idx="2339">
                  <c:v>67</c:v>
                </c:pt>
                <c:pt idx="2340">
                  <c:v>67</c:v>
                </c:pt>
                <c:pt idx="2341">
                  <c:v>66</c:v>
                </c:pt>
                <c:pt idx="2342">
                  <c:v>67</c:v>
                </c:pt>
                <c:pt idx="2343">
                  <c:v>67</c:v>
                </c:pt>
                <c:pt idx="2344">
                  <c:v>67</c:v>
                </c:pt>
                <c:pt idx="2345">
                  <c:v>67</c:v>
                </c:pt>
                <c:pt idx="2346">
                  <c:v>67</c:v>
                </c:pt>
                <c:pt idx="2347">
                  <c:v>67</c:v>
                </c:pt>
                <c:pt idx="2348">
                  <c:v>67</c:v>
                </c:pt>
                <c:pt idx="2349">
                  <c:v>67</c:v>
                </c:pt>
                <c:pt idx="2350">
                  <c:v>67</c:v>
                </c:pt>
                <c:pt idx="2351">
                  <c:v>67</c:v>
                </c:pt>
                <c:pt idx="2352">
                  <c:v>67</c:v>
                </c:pt>
                <c:pt idx="2353">
                  <c:v>67</c:v>
                </c:pt>
                <c:pt idx="2354">
                  <c:v>67</c:v>
                </c:pt>
                <c:pt idx="2355">
                  <c:v>67</c:v>
                </c:pt>
                <c:pt idx="2356">
                  <c:v>67</c:v>
                </c:pt>
                <c:pt idx="2357">
                  <c:v>67</c:v>
                </c:pt>
                <c:pt idx="2358">
                  <c:v>67</c:v>
                </c:pt>
                <c:pt idx="2359">
                  <c:v>67</c:v>
                </c:pt>
                <c:pt idx="2360">
                  <c:v>67</c:v>
                </c:pt>
                <c:pt idx="2361">
                  <c:v>67</c:v>
                </c:pt>
                <c:pt idx="2362">
                  <c:v>67</c:v>
                </c:pt>
                <c:pt idx="2363">
                  <c:v>66</c:v>
                </c:pt>
                <c:pt idx="2364">
                  <c:v>66</c:v>
                </c:pt>
                <c:pt idx="2365">
                  <c:v>66</c:v>
                </c:pt>
                <c:pt idx="2366">
                  <c:v>67</c:v>
                </c:pt>
                <c:pt idx="2367">
                  <c:v>67</c:v>
                </c:pt>
                <c:pt idx="2368">
                  <c:v>68</c:v>
                </c:pt>
                <c:pt idx="2369">
                  <c:v>68</c:v>
                </c:pt>
                <c:pt idx="2370">
                  <c:v>68</c:v>
                </c:pt>
                <c:pt idx="2371">
                  <c:v>68</c:v>
                </c:pt>
                <c:pt idx="2372">
                  <c:v>68</c:v>
                </c:pt>
                <c:pt idx="2373">
                  <c:v>68</c:v>
                </c:pt>
                <c:pt idx="2374">
                  <c:v>68</c:v>
                </c:pt>
                <c:pt idx="2375">
                  <c:v>68</c:v>
                </c:pt>
                <c:pt idx="2376">
                  <c:v>68</c:v>
                </c:pt>
                <c:pt idx="2377">
                  <c:v>68</c:v>
                </c:pt>
                <c:pt idx="2378">
                  <c:v>69</c:v>
                </c:pt>
                <c:pt idx="2379">
                  <c:v>69</c:v>
                </c:pt>
                <c:pt idx="2380">
                  <c:v>70</c:v>
                </c:pt>
                <c:pt idx="2381">
                  <c:v>69</c:v>
                </c:pt>
                <c:pt idx="2382">
                  <c:v>69</c:v>
                </c:pt>
                <c:pt idx="2383">
                  <c:v>69</c:v>
                </c:pt>
                <c:pt idx="2384">
                  <c:v>69</c:v>
                </c:pt>
                <c:pt idx="2385">
                  <c:v>69</c:v>
                </c:pt>
                <c:pt idx="2386">
                  <c:v>69</c:v>
                </c:pt>
                <c:pt idx="2387">
                  <c:v>69</c:v>
                </c:pt>
                <c:pt idx="2388">
                  <c:v>69</c:v>
                </c:pt>
                <c:pt idx="2389">
                  <c:v>69</c:v>
                </c:pt>
                <c:pt idx="2390">
                  <c:v>69</c:v>
                </c:pt>
                <c:pt idx="2391">
                  <c:v>70</c:v>
                </c:pt>
                <c:pt idx="2392">
                  <c:v>70</c:v>
                </c:pt>
                <c:pt idx="2393">
                  <c:v>70</c:v>
                </c:pt>
                <c:pt idx="2394">
                  <c:v>68</c:v>
                </c:pt>
                <c:pt idx="2395">
                  <c:v>68</c:v>
                </c:pt>
                <c:pt idx="2396">
                  <c:v>68</c:v>
                </c:pt>
                <c:pt idx="2397">
                  <c:v>68</c:v>
                </c:pt>
                <c:pt idx="2398">
                  <c:v>69</c:v>
                </c:pt>
                <c:pt idx="2399">
                  <c:v>69</c:v>
                </c:pt>
                <c:pt idx="2400">
                  <c:v>69</c:v>
                </c:pt>
                <c:pt idx="2401">
                  <c:v>69</c:v>
                </c:pt>
                <c:pt idx="2402">
                  <c:v>69</c:v>
                </c:pt>
                <c:pt idx="2403">
                  <c:v>69</c:v>
                </c:pt>
                <c:pt idx="2404">
                  <c:v>69</c:v>
                </c:pt>
                <c:pt idx="2405">
                  <c:v>69</c:v>
                </c:pt>
                <c:pt idx="2406">
                  <c:v>69</c:v>
                </c:pt>
                <c:pt idx="2407">
                  <c:v>69</c:v>
                </c:pt>
                <c:pt idx="2408">
                  <c:v>68</c:v>
                </c:pt>
                <c:pt idx="2409">
                  <c:v>68</c:v>
                </c:pt>
                <c:pt idx="2410">
                  <c:v>68</c:v>
                </c:pt>
                <c:pt idx="2411">
                  <c:v>68</c:v>
                </c:pt>
                <c:pt idx="2412">
                  <c:v>68</c:v>
                </c:pt>
                <c:pt idx="2413">
                  <c:v>68</c:v>
                </c:pt>
                <c:pt idx="2414">
                  <c:v>66</c:v>
                </c:pt>
                <c:pt idx="2415">
                  <c:v>66</c:v>
                </c:pt>
                <c:pt idx="2416">
                  <c:v>66</c:v>
                </c:pt>
                <c:pt idx="2417">
                  <c:v>66</c:v>
                </c:pt>
                <c:pt idx="2418">
                  <c:v>65</c:v>
                </c:pt>
                <c:pt idx="2419">
                  <c:v>65</c:v>
                </c:pt>
                <c:pt idx="2420">
                  <c:v>65</c:v>
                </c:pt>
                <c:pt idx="2421">
                  <c:v>66</c:v>
                </c:pt>
                <c:pt idx="2422">
                  <c:v>66</c:v>
                </c:pt>
                <c:pt idx="2423">
                  <c:v>66</c:v>
                </c:pt>
                <c:pt idx="2424">
                  <c:v>66</c:v>
                </c:pt>
                <c:pt idx="2425">
                  <c:v>66</c:v>
                </c:pt>
                <c:pt idx="2426">
                  <c:v>66</c:v>
                </c:pt>
                <c:pt idx="2427">
                  <c:v>66</c:v>
                </c:pt>
                <c:pt idx="2428">
                  <c:v>66</c:v>
                </c:pt>
                <c:pt idx="2429">
                  <c:v>66</c:v>
                </c:pt>
                <c:pt idx="2430">
                  <c:v>65</c:v>
                </c:pt>
                <c:pt idx="2431">
                  <c:v>64</c:v>
                </c:pt>
                <c:pt idx="2432">
                  <c:v>64</c:v>
                </c:pt>
                <c:pt idx="2433">
                  <c:v>66</c:v>
                </c:pt>
                <c:pt idx="2434">
                  <c:v>67</c:v>
                </c:pt>
                <c:pt idx="2435">
                  <c:v>67</c:v>
                </c:pt>
                <c:pt idx="2436">
                  <c:v>67</c:v>
                </c:pt>
                <c:pt idx="2437">
                  <c:v>67</c:v>
                </c:pt>
                <c:pt idx="2438">
                  <c:v>67</c:v>
                </c:pt>
                <c:pt idx="2439">
                  <c:v>67</c:v>
                </c:pt>
                <c:pt idx="2440">
                  <c:v>67</c:v>
                </c:pt>
                <c:pt idx="2441">
                  <c:v>67</c:v>
                </c:pt>
                <c:pt idx="2442">
                  <c:v>67</c:v>
                </c:pt>
                <c:pt idx="2443">
                  <c:v>67</c:v>
                </c:pt>
                <c:pt idx="2444">
                  <c:v>67</c:v>
                </c:pt>
                <c:pt idx="2445">
                  <c:v>67</c:v>
                </c:pt>
                <c:pt idx="2446">
                  <c:v>67</c:v>
                </c:pt>
                <c:pt idx="2447">
                  <c:v>67</c:v>
                </c:pt>
                <c:pt idx="2448">
                  <c:v>67</c:v>
                </c:pt>
                <c:pt idx="2449">
                  <c:v>67</c:v>
                </c:pt>
                <c:pt idx="2450">
                  <c:v>67</c:v>
                </c:pt>
                <c:pt idx="2451">
                  <c:v>67</c:v>
                </c:pt>
                <c:pt idx="2452">
                  <c:v>67</c:v>
                </c:pt>
                <c:pt idx="2453">
                  <c:v>67</c:v>
                </c:pt>
                <c:pt idx="2454">
                  <c:v>67</c:v>
                </c:pt>
                <c:pt idx="2455">
                  <c:v>67</c:v>
                </c:pt>
                <c:pt idx="2456">
                  <c:v>66</c:v>
                </c:pt>
                <c:pt idx="2457">
                  <c:v>66</c:v>
                </c:pt>
                <c:pt idx="2458">
                  <c:v>67</c:v>
                </c:pt>
                <c:pt idx="2459">
                  <c:v>67</c:v>
                </c:pt>
                <c:pt idx="2460">
                  <c:v>67</c:v>
                </c:pt>
                <c:pt idx="2461">
                  <c:v>68</c:v>
                </c:pt>
                <c:pt idx="2462">
                  <c:v>68</c:v>
                </c:pt>
                <c:pt idx="2463">
                  <c:v>68</c:v>
                </c:pt>
                <c:pt idx="2464">
                  <c:v>68</c:v>
                </c:pt>
                <c:pt idx="2465">
                  <c:v>68</c:v>
                </c:pt>
                <c:pt idx="2466">
                  <c:v>68</c:v>
                </c:pt>
                <c:pt idx="2467">
                  <c:v>68</c:v>
                </c:pt>
                <c:pt idx="2468">
                  <c:v>67</c:v>
                </c:pt>
                <c:pt idx="2469">
                  <c:v>67</c:v>
                </c:pt>
                <c:pt idx="2470">
                  <c:v>67</c:v>
                </c:pt>
                <c:pt idx="2471">
                  <c:v>67</c:v>
                </c:pt>
                <c:pt idx="2472">
                  <c:v>67</c:v>
                </c:pt>
                <c:pt idx="2473">
                  <c:v>67</c:v>
                </c:pt>
                <c:pt idx="2474">
                  <c:v>67</c:v>
                </c:pt>
                <c:pt idx="2475">
                  <c:v>67</c:v>
                </c:pt>
                <c:pt idx="2476">
                  <c:v>67</c:v>
                </c:pt>
                <c:pt idx="2477">
                  <c:v>67</c:v>
                </c:pt>
                <c:pt idx="2478">
                  <c:v>67</c:v>
                </c:pt>
                <c:pt idx="2479">
                  <c:v>67</c:v>
                </c:pt>
                <c:pt idx="2480">
                  <c:v>67</c:v>
                </c:pt>
                <c:pt idx="2481">
                  <c:v>67</c:v>
                </c:pt>
                <c:pt idx="2482">
                  <c:v>67</c:v>
                </c:pt>
                <c:pt idx="2483">
                  <c:v>67</c:v>
                </c:pt>
                <c:pt idx="2484">
                  <c:v>67</c:v>
                </c:pt>
                <c:pt idx="2485">
                  <c:v>67</c:v>
                </c:pt>
                <c:pt idx="2486">
                  <c:v>67</c:v>
                </c:pt>
                <c:pt idx="2487">
                  <c:v>66</c:v>
                </c:pt>
                <c:pt idx="2488">
                  <c:v>66</c:v>
                </c:pt>
                <c:pt idx="2489">
                  <c:v>66</c:v>
                </c:pt>
                <c:pt idx="2490">
                  <c:v>66</c:v>
                </c:pt>
                <c:pt idx="2491">
                  <c:v>66</c:v>
                </c:pt>
                <c:pt idx="2492">
                  <c:v>66</c:v>
                </c:pt>
                <c:pt idx="2493">
                  <c:v>66</c:v>
                </c:pt>
                <c:pt idx="2494">
                  <c:v>66</c:v>
                </c:pt>
                <c:pt idx="2495">
                  <c:v>66</c:v>
                </c:pt>
                <c:pt idx="2496">
                  <c:v>66</c:v>
                </c:pt>
                <c:pt idx="2497">
                  <c:v>66</c:v>
                </c:pt>
                <c:pt idx="2498">
                  <c:v>66</c:v>
                </c:pt>
                <c:pt idx="2499">
                  <c:v>67</c:v>
                </c:pt>
                <c:pt idx="2500">
                  <c:v>67</c:v>
                </c:pt>
                <c:pt idx="2501">
                  <c:v>67</c:v>
                </c:pt>
                <c:pt idx="2502">
                  <c:v>67</c:v>
                </c:pt>
                <c:pt idx="2503">
                  <c:v>67</c:v>
                </c:pt>
                <c:pt idx="2504">
                  <c:v>67</c:v>
                </c:pt>
                <c:pt idx="2505">
                  <c:v>67</c:v>
                </c:pt>
                <c:pt idx="2506">
                  <c:v>67</c:v>
                </c:pt>
                <c:pt idx="2507">
                  <c:v>67</c:v>
                </c:pt>
                <c:pt idx="2508">
                  <c:v>69</c:v>
                </c:pt>
                <c:pt idx="2509">
                  <c:v>69</c:v>
                </c:pt>
                <c:pt idx="2510">
                  <c:v>69</c:v>
                </c:pt>
                <c:pt idx="2511">
                  <c:v>70</c:v>
                </c:pt>
                <c:pt idx="2512">
                  <c:v>70</c:v>
                </c:pt>
                <c:pt idx="2513">
                  <c:v>70</c:v>
                </c:pt>
                <c:pt idx="2514">
                  <c:v>70</c:v>
                </c:pt>
                <c:pt idx="2515">
                  <c:v>70</c:v>
                </c:pt>
                <c:pt idx="2516">
                  <c:v>70</c:v>
                </c:pt>
                <c:pt idx="2517">
                  <c:v>70</c:v>
                </c:pt>
                <c:pt idx="2518">
                  <c:v>70</c:v>
                </c:pt>
                <c:pt idx="2519">
                  <c:v>70</c:v>
                </c:pt>
                <c:pt idx="2520">
                  <c:v>70</c:v>
                </c:pt>
                <c:pt idx="2521">
                  <c:v>70</c:v>
                </c:pt>
                <c:pt idx="2522">
                  <c:v>70</c:v>
                </c:pt>
                <c:pt idx="2523">
                  <c:v>70</c:v>
                </c:pt>
                <c:pt idx="2524">
                  <c:v>70</c:v>
                </c:pt>
                <c:pt idx="2525">
                  <c:v>70</c:v>
                </c:pt>
                <c:pt idx="2526">
                  <c:v>70</c:v>
                </c:pt>
                <c:pt idx="2527">
                  <c:v>70</c:v>
                </c:pt>
                <c:pt idx="2528">
                  <c:v>70</c:v>
                </c:pt>
                <c:pt idx="2529">
                  <c:v>70</c:v>
                </c:pt>
                <c:pt idx="2530">
                  <c:v>70</c:v>
                </c:pt>
                <c:pt idx="2531">
                  <c:v>70</c:v>
                </c:pt>
                <c:pt idx="2532">
                  <c:v>70</c:v>
                </c:pt>
                <c:pt idx="2533">
                  <c:v>70</c:v>
                </c:pt>
                <c:pt idx="2534">
                  <c:v>70</c:v>
                </c:pt>
                <c:pt idx="2535">
                  <c:v>70</c:v>
                </c:pt>
                <c:pt idx="2536">
                  <c:v>70</c:v>
                </c:pt>
                <c:pt idx="2537">
                  <c:v>70</c:v>
                </c:pt>
                <c:pt idx="2538">
                  <c:v>70</c:v>
                </c:pt>
                <c:pt idx="2539">
                  <c:v>70</c:v>
                </c:pt>
                <c:pt idx="2540">
                  <c:v>70</c:v>
                </c:pt>
                <c:pt idx="2541">
                  <c:v>70</c:v>
                </c:pt>
                <c:pt idx="2542">
                  <c:v>70</c:v>
                </c:pt>
                <c:pt idx="2543">
                  <c:v>70</c:v>
                </c:pt>
                <c:pt idx="2544">
                  <c:v>70</c:v>
                </c:pt>
                <c:pt idx="2545">
                  <c:v>70</c:v>
                </c:pt>
                <c:pt idx="2546">
                  <c:v>70</c:v>
                </c:pt>
                <c:pt idx="2547">
                  <c:v>70</c:v>
                </c:pt>
                <c:pt idx="2548">
                  <c:v>70</c:v>
                </c:pt>
                <c:pt idx="2549">
                  <c:v>71</c:v>
                </c:pt>
                <c:pt idx="2550">
                  <c:v>72</c:v>
                </c:pt>
                <c:pt idx="2551">
                  <c:v>72</c:v>
                </c:pt>
                <c:pt idx="2552">
                  <c:v>72</c:v>
                </c:pt>
                <c:pt idx="2553">
                  <c:v>73</c:v>
                </c:pt>
                <c:pt idx="2554">
                  <c:v>74</c:v>
                </c:pt>
                <c:pt idx="2555">
                  <c:v>75</c:v>
                </c:pt>
                <c:pt idx="2556">
                  <c:v>75</c:v>
                </c:pt>
                <c:pt idx="2557">
                  <c:v>75</c:v>
                </c:pt>
                <c:pt idx="2558">
                  <c:v>75</c:v>
                </c:pt>
                <c:pt idx="2559">
                  <c:v>75</c:v>
                </c:pt>
                <c:pt idx="2560">
                  <c:v>75</c:v>
                </c:pt>
                <c:pt idx="2561">
                  <c:v>76</c:v>
                </c:pt>
                <c:pt idx="2562">
                  <c:v>76</c:v>
                </c:pt>
                <c:pt idx="2563">
                  <c:v>76</c:v>
                </c:pt>
                <c:pt idx="2564">
                  <c:v>76</c:v>
                </c:pt>
                <c:pt idx="2565">
                  <c:v>76</c:v>
                </c:pt>
                <c:pt idx="2566">
                  <c:v>76</c:v>
                </c:pt>
                <c:pt idx="2567">
                  <c:v>76</c:v>
                </c:pt>
                <c:pt idx="2568">
                  <c:v>76</c:v>
                </c:pt>
                <c:pt idx="2569">
                  <c:v>76</c:v>
                </c:pt>
                <c:pt idx="2570">
                  <c:v>76</c:v>
                </c:pt>
                <c:pt idx="2571">
                  <c:v>76</c:v>
                </c:pt>
                <c:pt idx="2572">
                  <c:v>76</c:v>
                </c:pt>
                <c:pt idx="2573">
                  <c:v>76</c:v>
                </c:pt>
                <c:pt idx="2574">
                  <c:v>76</c:v>
                </c:pt>
                <c:pt idx="2575">
                  <c:v>76</c:v>
                </c:pt>
                <c:pt idx="2576">
                  <c:v>76</c:v>
                </c:pt>
                <c:pt idx="2577">
                  <c:v>76</c:v>
                </c:pt>
                <c:pt idx="2578">
                  <c:v>76</c:v>
                </c:pt>
                <c:pt idx="2579">
                  <c:v>76</c:v>
                </c:pt>
                <c:pt idx="2580">
                  <c:v>76</c:v>
                </c:pt>
                <c:pt idx="2581">
                  <c:v>76</c:v>
                </c:pt>
                <c:pt idx="2582">
                  <c:v>75</c:v>
                </c:pt>
                <c:pt idx="2583">
                  <c:v>75</c:v>
                </c:pt>
                <c:pt idx="2584">
                  <c:v>75</c:v>
                </c:pt>
                <c:pt idx="2585">
                  <c:v>75</c:v>
                </c:pt>
                <c:pt idx="2586">
                  <c:v>75</c:v>
                </c:pt>
                <c:pt idx="2587">
                  <c:v>75</c:v>
                </c:pt>
                <c:pt idx="2588">
                  <c:v>75</c:v>
                </c:pt>
                <c:pt idx="2589">
                  <c:v>75</c:v>
                </c:pt>
                <c:pt idx="2590">
                  <c:v>75</c:v>
                </c:pt>
                <c:pt idx="2591">
                  <c:v>75</c:v>
                </c:pt>
                <c:pt idx="2592">
                  <c:v>75</c:v>
                </c:pt>
                <c:pt idx="2593">
                  <c:v>76</c:v>
                </c:pt>
                <c:pt idx="2594">
                  <c:v>75</c:v>
                </c:pt>
                <c:pt idx="2595">
                  <c:v>75</c:v>
                </c:pt>
                <c:pt idx="2596">
                  <c:v>75</c:v>
                </c:pt>
                <c:pt idx="2597">
                  <c:v>75</c:v>
                </c:pt>
                <c:pt idx="2598">
                  <c:v>75</c:v>
                </c:pt>
                <c:pt idx="2599">
                  <c:v>75</c:v>
                </c:pt>
                <c:pt idx="2600">
                  <c:v>75</c:v>
                </c:pt>
                <c:pt idx="2601">
                  <c:v>75</c:v>
                </c:pt>
                <c:pt idx="2602">
                  <c:v>75</c:v>
                </c:pt>
                <c:pt idx="2603">
                  <c:v>74</c:v>
                </c:pt>
                <c:pt idx="2604">
                  <c:v>74</c:v>
                </c:pt>
                <c:pt idx="2605">
                  <c:v>74</c:v>
                </c:pt>
                <c:pt idx="2606">
                  <c:v>74</c:v>
                </c:pt>
                <c:pt idx="2607">
                  <c:v>74</c:v>
                </c:pt>
                <c:pt idx="2608">
                  <c:v>74</c:v>
                </c:pt>
                <c:pt idx="2609">
                  <c:v>74</c:v>
                </c:pt>
                <c:pt idx="2610">
                  <c:v>74</c:v>
                </c:pt>
                <c:pt idx="2611">
                  <c:v>74</c:v>
                </c:pt>
                <c:pt idx="2612">
                  <c:v>74</c:v>
                </c:pt>
                <c:pt idx="2613">
                  <c:v>73</c:v>
                </c:pt>
                <c:pt idx="2614">
                  <c:v>73</c:v>
                </c:pt>
                <c:pt idx="2615">
                  <c:v>73</c:v>
                </c:pt>
                <c:pt idx="2616">
                  <c:v>73</c:v>
                </c:pt>
                <c:pt idx="2617">
                  <c:v>73</c:v>
                </c:pt>
                <c:pt idx="2618">
                  <c:v>73</c:v>
                </c:pt>
                <c:pt idx="2619">
                  <c:v>73</c:v>
                </c:pt>
                <c:pt idx="2620">
                  <c:v>73</c:v>
                </c:pt>
                <c:pt idx="2621">
                  <c:v>73</c:v>
                </c:pt>
                <c:pt idx="2622">
                  <c:v>72</c:v>
                </c:pt>
                <c:pt idx="2623">
                  <c:v>72</c:v>
                </c:pt>
                <c:pt idx="2624">
                  <c:v>72</c:v>
                </c:pt>
                <c:pt idx="2625">
                  <c:v>72</c:v>
                </c:pt>
                <c:pt idx="2626">
                  <c:v>72</c:v>
                </c:pt>
                <c:pt idx="2627">
                  <c:v>72</c:v>
                </c:pt>
                <c:pt idx="2628">
                  <c:v>72</c:v>
                </c:pt>
                <c:pt idx="2629">
                  <c:v>72</c:v>
                </c:pt>
                <c:pt idx="2630">
                  <c:v>72</c:v>
                </c:pt>
                <c:pt idx="2631">
                  <c:v>72</c:v>
                </c:pt>
                <c:pt idx="2632">
                  <c:v>72</c:v>
                </c:pt>
                <c:pt idx="2633">
                  <c:v>72</c:v>
                </c:pt>
                <c:pt idx="2634">
                  <c:v>72</c:v>
                </c:pt>
                <c:pt idx="2635">
                  <c:v>72</c:v>
                </c:pt>
                <c:pt idx="2636">
                  <c:v>72</c:v>
                </c:pt>
                <c:pt idx="2637">
                  <c:v>71</c:v>
                </c:pt>
                <c:pt idx="2638">
                  <c:v>71</c:v>
                </c:pt>
                <c:pt idx="2639">
                  <c:v>70</c:v>
                </c:pt>
                <c:pt idx="2640">
                  <c:v>70</c:v>
                </c:pt>
                <c:pt idx="2641">
                  <c:v>70</c:v>
                </c:pt>
                <c:pt idx="2642">
                  <c:v>70</c:v>
                </c:pt>
                <c:pt idx="2643">
                  <c:v>70</c:v>
                </c:pt>
                <c:pt idx="2644">
                  <c:v>70</c:v>
                </c:pt>
                <c:pt idx="2645">
                  <c:v>70</c:v>
                </c:pt>
                <c:pt idx="2646">
                  <c:v>70</c:v>
                </c:pt>
                <c:pt idx="2647">
                  <c:v>70</c:v>
                </c:pt>
                <c:pt idx="2648">
                  <c:v>70</c:v>
                </c:pt>
                <c:pt idx="2649">
                  <c:v>70</c:v>
                </c:pt>
                <c:pt idx="2650">
                  <c:v>70</c:v>
                </c:pt>
                <c:pt idx="2651">
                  <c:v>70</c:v>
                </c:pt>
                <c:pt idx="2652">
                  <c:v>70</c:v>
                </c:pt>
                <c:pt idx="2653">
                  <c:v>69</c:v>
                </c:pt>
                <c:pt idx="2654">
                  <c:v>69</c:v>
                </c:pt>
                <c:pt idx="2655">
                  <c:v>69</c:v>
                </c:pt>
                <c:pt idx="2656">
                  <c:v>69</c:v>
                </c:pt>
                <c:pt idx="2657">
                  <c:v>67</c:v>
                </c:pt>
                <c:pt idx="2658">
                  <c:v>67</c:v>
                </c:pt>
                <c:pt idx="2659">
                  <c:v>67</c:v>
                </c:pt>
                <c:pt idx="2660">
                  <c:v>67</c:v>
                </c:pt>
                <c:pt idx="2661">
                  <c:v>67</c:v>
                </c:pt>
                <c:pt idx="2662">
                  <c:v>67</c:v>
                </c:pt>
                <c:pt idx="2663">
                  <c:v>67</c:v>
                </c:pt>
                <c:pt idx="2664">
                  <c:v>67</c:v>
                </c:pt>
                <c:pt idx="2665">
                  <c:v>67</c:v>
                </c:pt>
                <c:pt idx="2666">
                  <c:v>67</c:v>
                </c:pt>
                <c:pt idx="2667">
                  <c:v>67</c:v>
                </c:pt>
                <c:pt idx="2668">
                  <c:v>68</c:v>
                </c:pt>
                <c:pt idx="2669">
                  <c:v>68</c:v>
                </c:pt>
                <c:pt idx="2670">
                  <c:v>68</c:v>
                </c:pt>
                <c:pt idx="2671">
                  <c:v>69</c:v>
                </c:pt>
                <c:pt idx="2672">
                  <c:v>69</c:v>
                </c:pt>
                <c:pt idx="2673">
                  <c:v>69</c:v>
                </c:pt>
                <c:pt idx="2674">
                  <c:v>69</c:v>
                </c:pt>
                <c:pt idx="2675">
                  <c:v>69</c:v>
                </c:pt>
                <c:pt idx="2676">
                  <c:v>69</c:v>
                </c:pt>
                <c:pt idx="2677">
                  <c:v>69</c:v>
                </c:pt>
                <c:pt idx="2678">
                  <c:v>70</c:v>
                </c:pt>
                <c:pt idx="2679">
                  <c:v>70</c:v>
                </c:pt>
                <c:pt idx="2680">
                  <c:v>70</c:v>
                </c:pt>
                <c:pt idx="2681">
                  <c:v>70</c:v>
                </c:pt>
                <c:pt idx="2682">
                  <c:v>70</c:v>
                </c:pt>
                <c:pt idx="2683">
                  <c:v>70</c:v>
                </c:pt>
                <c:pt idx="2684">
                  <c:v>70</c:v>
                </c:pt>
                <c:pt idx="2685">
                  <c:v>70</c:v>
                </c:pt>
                <c:pt idx="2686">
                  <c:v>70</c:v>
                </c:pt>
                <c:pt idx="2687">
                  <c:v>70</c:v>
                </c:pt>
                <c:pt idx="2688">
                  <c:v>70</c:v>
                </c:pt>
                <c:pt idx="2689">
                  <c:v>70</c:v>
                </c:pt>
                <c:pt idx="2690">
                  <c:v>70</c:v>
                </c:pt>
                <c:pt idx="2691">
                  <c:v>70</c:v>
                </c:pt>
                <c:pt idx="2692">
                  <c:v>70</c:v>
                </c:pt>
                <c:pt idx="2693">
                  <c:v>70</c:v>
                </c:pt>
                <c:pt idx="2694">
                  <c:v>70</c:v>
                </c:pt>
                <c:pt idx="2695">
                  <c:v>70</c:v>
                </c:pt>
                <c:pt idx="2696">
                  <c:v>70</c:v>
                </c:pt>
                <c:pt idx="2697">
                  <c:v>70</c:v>
                </c:pt>
                <c:pt idx="2698">
                  <c:v>70</c:v>
                </c:pt>
                <c:pt idx="2699">
                  <c:v>70</c:v>
                </c:pt>
                <c:pt idx="2700">
                  <c:v>70</c:v>
                </c:pt>
                <c:pt idx="2701">
                  <c:v>70</c:v>
                </c:pt>
                <c:pt idx="2702">
                  <c:v>70</c:v>
                </c:pt>
                <c:pt idx="2703">
                  <c:v>70</c:v>
                </c:pt>
                <c:pt idx="2704">
                  <c:v>70</c:v>
                </c:pt>
                <c:pt idx="2705">
                  <c:v>70</c:v>
                </c:pt>
                <c:pt idx="2706">
                  <c:v>70</c:v>
                </c:pt>
                <c:pt idx="2707">
                  <c:v>71</c:v>
                </c:pt>
                <c:pt idx="2708">
                  <c:v>71</c:v>
                </c:pt>
                <c:pt idx="2709">
                  <c:v>71</c:v>
                </c:pt>
                <c:pt idx="2710">
                  <c:v>71</c:v>
                </c:pt>
                <c:pt idx="2711">
                  <c:v>70</c:v>
                </c:pt>
                <c:pt idx="2712">
                  <c:v>70</c:v>
                </c:pt>
                <c:pt idx="2713">
                  <c:v>70</c:v>
                </c:pt>
                <c:pt idx="2714">
                  <c:v>70</c:v>
                </c:pt>
                <c:pt idx="2715">
                  <c:v>70</c:v>
                </c:pt>
                <c:pt idx="2716">
                  <c:v>70</c:v>
                </c:pt>
                <c:pt idx="2717">
                  <c:v>71</c:v>
                </c:pt>
                <c:pt idx="2718">
                  <c:v>71</c:v>
                </c:pt>
                <c:pt idx="2719">
                  <c:v>71</c:v>
                </c:pt>
                <c:pt idx="2720">
                  <c:v>71</c:v>
                </c:pt>
                <c:pt idx="2721">
                  <c:v>71</c:v>
                </c:pt>
                <c:pt idx="2722">
                  <c:v>71</c:v>
                </c:pt>
                <c:pt idx="2723">
                  <c:v>71</c:v>
                </c:pt>
                <c:pt idx="2724">
                  <c:v>71</c:v>
                </c:pt>
                <c:pt idx="2725">
                  <c:v>71</c:v>
                </c:pt>
                <c:pt idx="2726">
                  <c:v>71</c:v>
                </c:pt>
                <c:pt idx="2727">
                  <c:v>71</c:v>
                </c:pt>
                <c:pt idx="2728">
                  <c:v>71</c:v>
                </c:pt>
                <c:pt idx="2729">
                  <c:v>71</c:v>
                </c:pt>
                <c:pt idx="2730">
                  <c:v>71</c:v>
                </c:pt>
                <c:pt idx="2731">
                  <c:v>72</c:v>
                </c:pt>
                <c:pt idx="2732">
                  <c:v>71</c:v>
                </c:pt>
                <c:pt idx="2733">
                  <c:v>72</c:v>
                </c:pt>
                <c:pt idx="2734">
                  <c:v>72</c:v>
                </c:pt>
                <c:pt idx="2735">
                  <c:v>72</c:v>
                </c:pt>
                <c:pt idx="2736">
                  <c:v>72</c:v>
                </c:pt>
                <c:pt idx="2737">
                  <c:v>72</c:v>
                </c:pt>
                <c:pt idx="2738">
                  <c:v>72</c:v>
                </c:pt>
                <c:pt idx="2739">
                  <c:v>72</c:v>
                </c:pt>
                <c:pt idx="2740">
                  <c:v>72</c:v>
                </c:pt>
                <c:pt idx="2741">
                  <c:v>71</c:v>
                </c:pt>
                <c:pt idx="2742">
                  <c:v>71</c:v>
                </c:pt>
                <c:pt idx="2743">
                  <c:v>71</c:v>
                </c:pt>
                <c:pt idx="2744">
                  <c:v>72</c:v>
                </c:pt>
                <c:pt idx="2745">
                  <c:v>72</c:v>
                </c:pt>
                <c:pt idx="2746">
                  <c:v>72</c:v>
                </c:pt>
                <c:pt idx="2747">
                  <c:v>72</c:v>
                </c:pt>
                <c:pt idx="2748">
                  <c:v>72</c:v>
                </c:pt>
                <c:pt idx="2749">
                  <c:v>72</c:v>
                </c:pt>
                <c:pt idx="2750">
                  <c:v>72</c:v>
                </c:pt>
                <c:pt idx="2751">
                  <c:v>72</c:v>
                </c:pt>
                <c:pt idx="2752">
                  <c:v>72</c:v>
                </c:pt>
                <c:pt idx="2753">
                  <c:v>70</c:v>
                </c:pt>
                <c:pt idx="2754">
                  <c:v>70</c:v>
                </c:pt>
                <c:pt idx="2755">
                  <c:v>70</c:v>
                </c:pt>
                <c:pt idx="2756">
                  <c:v>70</c:v>
                </c:pt>
                <c:pt idx="2757">
                  <c:v>70</c:v>
                </c:pt>
                <c:pt idx="2758">
                  <c:v>71</c:v>
                </c:pt>
                <c:pt idx="2759">
                  <c:v>71</c:v>
                </c:pt>
                <c:pt idx="2760">
                  <c:v>71</c:v>
                </c:pt>
                <c:pt idx="2761">
                  <c:v>73</c:v>
                </c:pt>
                <c:pt idx="2762">
                  <c:v>73</c:v>
                </c:pt>
                <c:pt idx="2763">
                  <c:v>73</c:v>
                </c:pt>
                <c:pt idx="2764">
                  <c:v>73</c:v>
                </c:pt>
                <c:pt idx="2765">
                  <c:v>73</c:v>
                </c:pt>
                <c:pt idx="2766">
                  <c:v>73</c:v>
                </c:pt>
                <c:pt idx="2767">
                  <c:v>73</c:v>
                </c:pt>
                <c:pt idx="2768">
                  <c:v>73</c:v>
                </c:pt>
                <c:pt idx="2769">
                  <c:v>73</c:v>
                </c:pt>
                <c:pt idx="2770">
                  <c:v>73</c:v>
                </c:pt>
                <c:pt idx="2771">
                  <c:v>73</c:v>
                </c:pt>
                <c:pt idx="2772">
                  <c:v>73</c:v>
                </c:pt>
                <c:pt idx="2773">
                  <c:v>73</c:v>
                </c:pt>
                <c:pt idx="2774">
                  <c:v>74</c:v>
                </c:pt>
                <c:pt idx="2775">
                  <c:v>74</c:v>
                </c:pt>
                <c:pt idx="2776">
                  <c:v>74</c:v>
                </c:pt>
                <c:pt idx="2777">
                  <c:v>74</c:v>
                </c:pt>
                <c:pt idx="2778">
                  <c:v>74</c:v>
                </c:pt>
                <c:pt idx="2779">
                  <c:v>74</c:v>
                </c:pt>
                <c:pt idx="2780">
                  <c:v>75</c:v>
                </c:pt>
                <c:pt idx="2781">
                  <c:v>75</c:v>
                </c:pt>
                <c:pt idx="2782">
                  <c:v>75</c:v>
                </c:pt>
                <c:pt idx="2783">
                  <c:v>75</c:v>
                </c:pt>
                <c:pt idx="2784">
                  <c:v>75</c:v>
                </c:pt>
                <c:pt idx="2785">
                  <c:v>75</c:v>
                </c:pt>
                <c:pt idx="2786">
                  <c:v>75</c:v>
                </c:pt>
                <c:pt idx="2787">
                  <c:v>76</c:v>
                </c:pt>
                <c:pt idx="2788">
                  <c:v>77</c:v>
                </c:pt>
                <c:pt idx="2789">
                  <c:v>75</c:v>
                </c:pt>
                <c:pt idx="2790">
                  <c:v>74</c:v>
                </c:pt>
                <c:pt idx="2791">
                  <c:v>73</c:v>
                </c:pt>
                <c:pt idx="2792">
                  <c:v>73</c:v>
                </c:pt>
                <c:pt idx="2793">
                  <c:v>73</c:v>
                </c:pt>
                <c:pt idx="2794">
                  <c:v>73</c:v>
                </c:pt>
                <c:pt idx="2795">
                  <c:v>73</c:v>
                </c:pt>
                <c:pt idx="2796">
                  <c:v>73</c:v>
                </c:pt>
                <c:pt idx="2797">
                  <c:v>72</c:v>
                </c:pt>
                <c:pt idx="2798">
                  <c:v>72</c:v>
                </c:pt>
                <c:pt idx="2799">
                  <c:v>72</c:v>
                </c:pt>
                <c:pt idx="2800">
                  <c:v>72</c:v>
                </c:pt>
                <c:pt idx="2801">
                  <c:v>72</c:v>
                </c:pt>
                <c:pt idx="2802">
                  <c:v>72</c:v>
                </c:pt>
                <c:pt idx="2803">
                  <c:v>72</c:v>
                </c:pt>
                <c:pt idx="2804">
                  <c:v>72</c:v>
                </c:pt>
                <c:pt idx="2805">
                  <c:v>72</c:v>
                </c:pt>
                <c:pt idx="2806">
                  <c:v>72</c:v>
                </c:pt>
                <c:pt idx="2807">
                  <c:v>72</c:v>
                </c:pt>
                <c:pt idx="2808">
                  <c:v>72</c:v>
                </c:pt>
                <c:pt idx="2809">
                  <c:v>72</c:v>
                </c:pt>
                <c:pt idx="2810">
                  <c:v>72</c:v>
                </c:pt>
                <c:pt idx="2811">
                  <c:v>72</c:v>
                </c:pt>
                <c:pt idx="2812">
                  <c:v>72</c:v>
                </c:pt>
                <c:pt idx="2813">
                  <c:v>72</c:v>
                </c:pt>
                <c:pt idx="2814">
                  <c:v>72</c:v>
                </c:pt>
                <c:pt idx="2815">
                  <c:v>72</c:v>
                </c:pt>
                <c:pt idx="2816">
                  <c:v>72</c:v>
                </c:pt>
                <c:pt idx="2817">
                  <c:v>71</c:v>
                </c:pt>
                <c:pt idx="2818">
                  <c:v>71</c:v>
                </c:pt>
                <c:pt idx="2819">
                  <c:v>73</c:v>
                </c:pt>
                <c:pt idx="2820">
                  <c:v>73</c:v>
                </c:pt>
                <c:pt idx="2821">
                  <c:v>73</c:v>
                </c:pt>
                <c:pt idx="2822">
                  <c:v>73</c:v>
                </c:pt>
                <c:pt idx="2823">
                  <c:v>73</c:v>
                </c:pt>
                <c:pt idx="2824">
                  <c:v>73</c:v>
                </c:pt>
                <c:pt idx="2825">
                  <c:v>73</c:v>
                </c:pt>
                <c:pt idx="2826">
                  <c:v>73</c:v>
                </c:pt>
                <c:pt idx="2827">
                  <c:v>74</c:v>
                </c:pt>
                <c:pt idx="2828">
                  <c:v>74</c:v>
                </c:pt>
                <c:pt idx="2829">
                  <c:v>74</c:v>
                </c:pt>
                <c:pt idx="2830">
                  <c:v>74</c:v>
                </c:pt>
                <c:pt idx="2831">
                  <c:v>74</c:v>
                </c:pt>
                <c:pt idx="2832">
                  <c:v>74</c:v>
                </c:pt>
                <c:pt idx="2833">
                  <c:v>74</c:v>
                </c:pt>
                <c:pt idx="2834">
                  <c:v>74</c:v>
                </c:pt>
                <c:pt idx="2835">
                  <c:v>74</c:v>
                </c:pt>
                <c:pt idx="2836">
                  <c:v>74</c:v>
                </c:pt>
                <c:pt idx="2837">
                  <c:v>74</c:v>
                </c:pt>
                <c:pt idx="2838">
                  <c:v>74</c:v>
                </c:pt>
                <c:pt idx="2839">
                  <c:v>74</c:v>
                </c:pt>
                <c:pt idx="2840">
                  <c:v>74</c:v>
                </c:pt>
                <c:pt idx="2841">
                  <c:v>74</c:v>
                </c:pt>
                <c:pt idx="2842">
                  <c:v>74</c:v>
                </c:pt>
              </c:numCache>
            </c:numRef>
          </c:yVal>
          <c:smooth val="0"/>
          <c:extLst>
            <c:ext xmlns:c16="http://schemas.microsoft.com/office/drawing/2014/chart" uri="{C3380CC4-5D6E-409C-BE32-E72D297353CC}">
              <c16:uniqueId val="{00000000-5908-40F9-A8A2-CB0C168E8963}"/>
            </c:ext>
          </c:extLst>
        </c:ser>
        <c:dLbls>
          <c:showLegendKey val="0"/>
          <c:showVal val="0"/>
          <c:showCatName val="0"/>
          <c:showSerName val="0"/>
          <c:showPercent val="0"/>
          <c:showBubbleSize val="0"/>
        </c:dLbls>
        <c:axId val="450647791"/>
        <c:axId val="450649455"/>
      </c:scatterChart>
      <c:valAx>
        <c:axId val="450647791"/>
        <c:scaling>
          <c:orientation val="minMax"/>
        </c:scaling>
        <c:delete val="0"/>
        <c:axPos val="b"/>
        <c:majorGridlines>
          <c:spPr>
            <a:ln w="9525" cap="flat" cmpd="sng" algn="ctr">
              <a:solidFill>
                <a:schemeClr val="tx1">
                  <a:lumMod val="15000"/>
                  <a:lumOff val="85000"/>
                </a:schemeClr>
              </a:solidFill>
              <a:round/>
            </a:ln>
            <a:effectLst/>
          </c:spPr>
        </c:majorGridlines>
        <c:numFmt formatCode="hh:mm:ss;@"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0649455"/>
        <c:crosses val="autoZero"/>
        <c:crossBetween val="midCat"/>
      </c:valAx>
      <c:valAx>
        <c:axId val="4506494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0647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7</xdr:col>
      <xdr:colOff>0</xdr:colOff>
      <xdr:row>88</xdr:row>
      <xdr:rowOff>76200</xdr:rowOff>
    </xdr:from>
    <xdr:to>
      <xdr:col>14</xdr:col>
      <xdr:colOff>152400</xdr:colOff>
      <xdr:row>97</xdr:row>
      <xdr:rowOff>161472</xdr:rowOff>
    </xdr:to>
    <xdr:pic>
      <xdr:nvPicPr>
        <xdr:cNvPr id="3" name="Picture 2">
          <a:extLst>
            <a:ext uri="{FF2B5EF4-FFF2-40B4-BE49-F238E27FC236}">
              <a16:creationId xmlns:a16="http://schemas.microsoft.com/office/drawing/2014/main" id="{CF4C9840-AFD3-4181-8C7D-096A437D382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0375" y="17097375"/>
          <a:ext cx="4953000" cy="1714047"/>
        </a:xfrm>
        <a:prstGeom prst="rect">
          <a:avLst/>
        </a:prstGeom>
      </xdr:spPr>
    </xdr:pic>
    <xdr:clientData/>
  </xdr:twoCellAnchor>
  <xdr:twoCellAnchor editAs="oneCell">
    <xdr:from>
      <xdr:col>4</xdr:col>
      <xdr:colOff>6350</xdr:colOff>
      <xdr:row>106</xdr:row>
      <xdr:rowOff>177800</xdr:rowOff>
    </xdr:from>
    <xdr:to>
      <xdr:col>11</xdr:col>
      <xdr:colOff>399939</xdr:colOff>
      <xdr:row>107</xdr:row>
      <xdr:rowOff>2711181</xdr:rowOff>
    </xdr:to>
    <xdr:pic>
      <xdr:nvPicPr>
        <xdr:cNvPr id="8" name="Picture 7">
          <a:extLst>
            <a:ext uri="{FF2B5EF4-FFF2-40B4-BE49-F238E27FC236}">
              <a16:creationId xmlns:a16="http://schemas.microsoft.com/office/drawing/2014/main" id="{643E1AC5-4D44-4817-8DE9-E8CA5E8ECB5B}"/>
            </a:ext>
          </a:extLst>
        </xdr:cNvPr>
        <xdr:cNvPicPr>
          <a:picLocks noChangeAspect="1"/>
        </xdr:cNvPicPr>
      </xdr:nvPicPr>
      <xdr:blipFill>
        <a:blip xmlns:r="http://schemas.openxmlformats.org/officeDocument/2006/relationships" r:embed="rId2"/>
        <a:stretch>
          <a:fillRect/>
        </a:stretch>
      </xdr:blipFill>
      <xdr:spPr>
        <a:xfrm>
          <a:off x="4759325" y="20456525"/>
          <a:ext cx="5194189" cy="2714356"/>
        </a:xfrm>
        <a:prstGeom prst="rect">
          <a:avLst/>
        </a:prstGeom>
      </xdr:spPr>
    </xdr:pic>
    <xdr:clientData/>
  </xdr:twoCellAnchor>
  <xdr:twoCellAnchor>
    <xdr:from>
      <xdr:col>4</xdr:col>
      <xdr:colOff>685799</xdr:colOff>
      <xdr:row>107</xdr:row>
      <xdr:rowOff>3200399</xdr:rowOff>
    </xdr:from>
    <xdr:to>
      <xdr:col>12</xdr:col>
      <xdr:colOff>600074</xdr:colOff>
      <xdr:row>126</xdr:row>
      <xdr:rowOff>180974</xdr:rowOff>
    </xdr:to>
    <xdr:graphicFrame macro="">
      <xdr:nvGraphicFramePr>
        <xdr:cNvPr id="5" name="Chart 4">
          <a:extLst>
            <a:ext uri="{FF2B5EF4-FFF2-40B4-BE49-F238E27FC236}">
              <a16:creationId xmlns:a16="http://schemas.microsoft.com/office/drawing/2014/main" id="{21B29044-C778-4015-B5B7-AEA317F695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32"/>
  <sheetViews>
    <sheetView tabSelected="1" workbookViewId="0">
      <pane ySplit="1" topLeftCell="A23" activePane="bottomLeft" state="frozen"/>
      <selection pane="bottomLeft" activeCell="L40" sqref="L40"/>
    </sheetView>
  </sheetViews>
  <sheetFormatPr defaultRowHeight="14.25" x14ac:dyDescent="0.2"/>
  <cols>
    <col min="1" max="1" width="7.25" customWidth="1"/>
    <col min="2" max="2" width="2.5" customWidth="1"/>
    <col min="3" max="3" width="21.125" customWidth="1"/>
    <col min="4" max="4" width="31.5" customWidth="1"/>
  </cols>
  <sheetData>
    <row r="1" spans="1:7" ht="15" thickBot="1" x14ac:dyDescent="0.25">
      <c r="A1" s="44" t="s">
        <v>8903</v>
      </c>
      <c r="B1" s="45"/>
      <c r="C1" s="2">
        <v>251016121</v>
      </c>
      <c r="D1" s="3" t="str">
        <f ca="1">hidden!B1</f>
        <v>Welcome to Assignment 2 Shenghua!</v>
      </c>
      <c r="E1">
        <f>SUM(A:A)</f>
        <v>100</v>
      </c>
    </row>
    <row r="3" spans="1:7" x14ac:dyDescent="0.2">
      <c r="A3" s="6" t="s">
        <v>11687</v>
      </c>
      <c r="B3" s="7"/>
      <c r="C3" s="7" t="s">
        <v>11720</v>
      </c>
      <c r="D3" s="7"/>
    </row>
    <row r="4" spans="1:7" x14ac:dyDescent="0.2">
      <c r="A4" t="s">
        <v>11745</v>
      </c>
      <c r="C4" t="s">
        <v>11685</v>
      </c>
    </row>
    <row r="6" spans="1:7" ht="15.75" x14ac:dyDescent="0.25">
      <c r="A6">
        <v>6</v>
      </c>
      <c r="B6">
        <v>1</v>
      </c>
      <c r="C6" t="s">
        <v>11688</v>
      </c>
      <c r="D6" s="8">
        <f>COUNTA(tweets!A:A)-1</f>
        <v>2843</v>
      </c>
    </row>
    <row r="7" spans="1:7" ht="15.75" x14ac:dyDescent="0.25">
      <c r="C7" t="s">
        <v>11689</v>
      </c>
      <c r="D7" s="8" t="s">
        <v>11746</v>
      </c>
    </row>
    <row r="8" spans="1:7" ht="15.75" x14ac:dyDescent="0.25">
      <c r="C8" t="s">
        <v>11690</v>
      </c>
      <c r="D8" s="8" t="s">
        <v>11747</v>
      </c>
    </row>
    <row r="10" spans="1:7" x14ac:dyDescent="0.2">
      <c r="A10">
        <v>6</v>
      </c>
      <c r="B10">
        <v>2</v>
      </c>
      <c r="C10" s="43" t="s">
        <v>11735</v>
      </c>
      <c r="D10" s="43"/>
      <c r="E10" s="43"/>
      <c r="F10" s="43"/>
      <c r="G10" s="43"/>
    </row>
    <row r="11" spans="1:7" x14ac:dyDescent="0.2">
      <c r="C11" s="43"/>
      <c r="D11" s="43"/>
      <c r="E11" s="43"/>
      <c r="F11" s="43"/>
      <c r="G11" s="43"/>
    </row>
    <row r="12" spans="1:7" x14ac:dyDescent="0.2">
      <c r="C12" s="43"/>
      <c r="D12" s="43"/>
      <c r="E12" s="43"/>
      <c r="F12" s="43"/>
      <c r="G12" s="43"/>
    </row>
    <row r="14" spans="1:7" x14ac:dyDescent="0.2">
      <c r="C14" t="s">
        <v>11736</v>
      </c>
    </row>
    <row r="16" spans="1:7" ht="15.75" x14ac:dyDescent="0.25">
      <c r="C16" s="8" t="s">
        <v>11752</v>
      </c>
    </row>
    <row r="18" spans="1:4" x14ac:dyDescent="0.2">
      <c r="A18">
        <v>7</v>
      </c>
      <c r="B18">
        <v>3</v>
      </c>
      <c r="C18" t="s">
        <v>11691</v>
      </c>
    </row>
    <row r="20" spans="1:4" x14ac:dyDescent="0.2">
      <c r="C20" t="s">
        <v>11737</v>
      </c>
    </row>
    <row r="22" spans="1:4" ht="15.75" x14ac:dyDescent="0.25">
      <c r="C22" s="8">
        <f>COUNTIF(scratch!E2:E2112,"&lt;5")</f>
        <v>2063</v>
      </c>
      <c r="D22" t="s">
        <v>11749</v>
      </c>
    </row>
    <row r="23" spans="1:4" ht="15.75" x14ac:dyDescent="0.25">
      <c r="C23" s="8">
        <f>COUNTIF(scratch!E2:E2113,"&gt;=5")</f>
        <v>48</v>
      </c>
      <c r="D23" t="s">
        <v>11750</v>
      </c>
    </row>
    <row r="25" spans="1:4" x14ac:dyDescent="0.2">
      <c r="A25">
        <v>6</v>
      </c>
      <c r="B25">
        <v>4</v>
      </c>
      <c r="C25" t="s">
        <v>11693</v>
      </c>
    </row>
    <row r="27" spans="1:4" x14ac:dyDescent="0.2">
      <c r="C27" t="s">
        <v>11692</v>
      </c>
    </row>
    <row r="29" spans="1:4" ht="15.75" x14ac:dyDescent="0.25">
      <c r="C29" s="8" t="s">
        <v>11751</v>
      </c>
    </row>
    <row r="31" spans="1:4" x14ac:dyDescent="0.2">
      <c r="A31" s="6" t="s">
        <v>11694</v>
      </c>
      <c r="B31" s="7"/>
      <c r="C31" s="7" t="s">
        <v>11695</v>
      </c>
      <c r="D31" s="7"/>
    </row>
    <row r="32" spans="1:4" x14ac:dyDescent="0.2">
      <c r="C32" t="s">
        <v>11696</v>
      </c>
    </row>
    <row r="34" spans="1:5" x14ac:dyDescent="0.2">
      <c r="A34">
        <v>3</v>
      </c>
      <c r="B34">
        <v>1</v>
      </c>
      <c r="C34" t="s">
        <v>11697</v>
      </c>
    </row>
    <row r="35" spans="1:5" x14ac:dyDescent="0.2">
      <c r="C35" t="s">
        <v>11698</v>
      </c>
    </row>
    <row r="37" spans="1:5" ht="15.6" customHeight="1" x14ac:dyDescent="0.2">
      <c r="C37" s="46" t="s">
        <v>11753</v>
      </c>
      <c r="D37" s="46"/>
      <c r="E37" s="46"/>
    </row>
    <row r="38" spans="1:5" x14ac:dyDescent="0.2">
      <c r="C38" s="46"/>
      <c r="D38" s="46"/>
      <c r="E38" s="46"/>
    </row>
    <row r="39" spans="1:5" x14ac:dyDescent="0.2">
      <c r="C39" s="46"/>
      <c r="D39" s="46"/>
      <c r="E39" s="46"/>
    </row>
    <row r="41" spans="1:5" x14ac:dyDescent="0.2">
      <c r="A41">
        <v>3</v>
      </c>
      <c r="B41">
        <v>2</v>
      </c>
      <c r="C41" t="s">
        <v>11699</v>
      </c>
    </row>
    <row r="43" spans="1:5" x14ac:dyDescent="0.2">
      <c r="C43" s="46" t="s">
        <v>11754</v>
      </c>
      <c r="D43" s="46"/>
      <c r="E43" s="46"/>
    </row>
    <row r="44" spans="1:5" x14ac:dyDescent="0.2">
      <c r="C44" s="46"/>
      <c r="D44" s="46"/>
      <c r="E44" s="46"/>
    </row>
    <row r="45" spans="1:5" x14ac:dyDescent="0.2">
      <c r="C45" s="46"/>
      <c r="D45" s="46"/>
      <c r="E45" s="46"/>
    </row>
    <row r="47" spans="1:5" x14ac:dyDescent="0.2">
      <c r="A47">
        <v>4</v>
      </c>
      <c r="B47">
        <v>3</v>
      </c>
      <c r="C47" t="s">
        <v>11700</v>
      </c>
    </row>
    <row r="48" spans="1:5" x14ac:dyDescent="0.2">
      <c r="C48" t="s">
        <v>11701</v>
      </c>
    </row>
    <row r="49" spans="1:3" x14ac:dyDescent="0.2">
      <c r="C49" t="s">
        <v>11706</v>
      </c>
    </row>
    <row r="50" spans="1:3" x14ac:dyDescent="0.2">
      <c r="C50" s="10" cm="1">
        <f t="array" ref="C50">wordCount("VBA is a little bit cool")</f>
        <v>6</v>
      </c>
    </row>
    <row r="52" spans="1:3" x14ac:dyDescent="0.2">
      <c r="A52">
        <v>2</v>
      </c>
      <c r="B52">
        <v>4</v>
      </c>
      <c r="C52" t="s">
        <v>11702</v>
      </c>
    </row>
    <row r="53" spans="1:3" x14ac:dyDescent="0.2">
      <c r="C53" t="s">
        <v>11703</v>
      </c>
    </row>
    <row r="54" spans="1:3" x14ac:dyDescent="0.2">
      <c r="C54" t="s">
        <v>11704</v>
      </c>
    </row>
    <row r="56" spans="1:3" x14ac:dyDescent="0.2">
      <c r="A56">
        <v>8</v>
      </c>
      <c r="B56">
        <v>5</v>
      </c>
      <c r="C56" t="s">
        <v>11705</v>
      </c>
    </row>
    <row r="57" spans="1:3" x14ac:dyDescent="0.2">
      <c r="C57" t="s">
        <v>11756</v>
      </c>
    </row>
    <row r="58" spans="1:3" x14ac:dyDescent="0.2">
      <c r="C58" t="s">
        <v>11711</v>
      </c>
    </row>
    <row r="59" spans="1:3" x14ac:dyDescent="0.2">
      <c r="C59" t="s">
        <v>11707</v>
      </c>
    </row>
    <row r="60" spans="1:3" x14ac:dyDescent="0.2">
      <c r="C60" s="10" cm="1">
        <f t="array" ref="C60">UniqueWordCount("Yay VBA yay Excel YAY RegEX")</f>
        <v>4</v>
      </c>
    </row>
    <row r="62" spans="1:3" x14ac:dyDescent="0.2">
      <c r="A62">
        <v>5</v>
      </c>
      <c r="B62">
        <v>6</v>
      </c>
      <c r="C62" t="s">
        <v>11758</v>
      </c>
    </row>
    <row r="63" spans="1:3" x14ac:dyDescent="0.2">
      <c r="C63" t="s">
        <v>11712</v>
      </c>
    </row>
    <row r="64" spans="1:3" x14ac:dyDescent="0.2">
      <c r="C64" t="s">
        <v>11713</v>
      </c>
    </row>
    <row r="65" spans="1:5" x14ac:dyDescent="0.2">
      <c r="C65" t="s">
        <v>11743</v>
      </c>
    </row>
    <row r="68" spans="1:5" x14ac:dyDescent="0.2">
      <c r="A68" s="6" t="s">
        <v>11686</v>
      </c>
      <c r="B68" s="7"/>
      <c r="C68" s="7" t="s">
        <v>11714</v>
      </c>
      <c r="D68" s="7"/>
    </row>
    <row r="69" spans="1:5" ht="54" customHeight="1" x14ac:dyDescent="0.2">
      <c r="C69" s="43" t="s">
        <v>11715</v>
      </c>
      <c r="D69" s="43"/>
      <c r="E69" s="43"/>
    </row>
    <row r="71" spans="1:5" x14ac:dyDescent="0.2">
      <c r="A71">
        <v>12</v>
      </c>
      <c r="B71">
        <v>1</v>
      </c>
      <c r="C71" t="s">
        <v>11716</v>
      </c>
    </row>
    <row r="72" spans="1:5" x14ac:dyDescent="0.2">
      <c r="C72" t="s">
        <v>11717</v>
      </c>
    </row>
    <row r="74" spans="1:5" x14ac:dyDescent="0.2">
      <c r="C74" s="10" cm="1">
        <f t="array" ref="C74">WordListCount("Yay VBA good Excel YAY RegEX", E74:E76)</f>
        <v>3</v>
      </c>
      <c r="E74" t="s">
        <v>11718</v>
      </c>
    </row>
    <row r="75" spans="1:5" x14ac:dyDescent="0.2">
      <c r="C75" t="s">
        <v>11759</v>
      </c>
      <c r="E75" t="s">
        <v>8942</v>
      </c>
    </row>
    <row r="76" spans="1:5" x14ac:dyDescent="0.2">
      <c r="C76" s="10"/>
      <c r="E76" t="s">
        <v>8934</v>
      </c>
    </row>
    <row r="78" spans="1:5" ht="45.95" customHeight="1" x14ac:dyDescent="0.2">
      <c r="A78">
        <v>8</v>
      </c>
      <c r="B78">
        <v>2</v>
      </c>
      <c r="C78" s="43" t="s">
        <v>11719</v>
      </c>
      <c r="D78" s="43"/>
      <c r="E78" s="43"/>
    </row>
    <row r="79" spans="1:5" x14ac:dyDescent="0.2">
      <c r="C79" t="s">
        <v>11738</v>
      </c>
    </row>
    <row r="80" spans="1:5" x14ac:dyDescent="0.2">
      <c r="C80" t="s">
        <v>11729</v>
      </c>
    </row>
    <row r="81" spans="1:4" ht="15.75" x14ac:dyDescent="0.25">
      <c r="C81" s="26" t="s">
        <v>11760</v>
      </c>
    </row>
    <row r="82" spans="1:4" x14ac:dyDescent="0.2">
      <c r="C82" s="10"/>
    </row>
    <row r="83" spans="1:4" x14ac:dyDescent="0.2">
      <c r="A83">
        <v>5</v>
      </c>
      <c r="B83">
        <v>3</v>
      </c>
      <c r="C83" t="s">
        <v>11739</v>
      </c>
    </row>
    <row r="85" spans="1:4" ht="15.75" x14ac:dyDescent="0.25">
      <c r="C85" s="8" t="s">
        <v>11772</v>
      </c>
    </row>
    <row r="87" spans="1:4" x14ac:dyDescent="0.2">
      <c r="A87" s="6" t="s">
        <v>11721</v>
      </c>
      <c r="B87" s="7"/>
      <c r="C87" s="7" t="s">
        <v>11722</v>
      </c>
      <c r="D87" s="7"/>
    </row>
    <row r="88" spans="1:4" x14ac:dyDescent="0.2">
      <c r="A88">
        <v>10</v>
      </c>
      <c r="B88">
        <v>1</v>
      </c>
      <c r="C88" t="s">
        <v>11731</v>
      </c>
    </row>
    <row r="90" spans="1:4" x14ac:dyDescent="0.2">
      <c r="C90" t="s">
        <v>11723</v>
      </c>
    </row>
    <row r="91" spans="1:4" x14ac:dyDescent="0.2">
      <c r="C91" t="s">
        <v>11724</v>
      </c>
    </row>
    <row r="92" spans="1:4" x14ac:dyDescent="0.2">
      <c r="C92" t="s">
        <v>11725</v>
      </c>
    </row>
    <row r="93" spans="1:4" x14ac:dyDescent="0.2">
      <c r="C93" t="s">
        <v>11726</v>
      </c>
    </row>
    <row r="94" spans="1:4" x14ac:dyDescent="0.2">
      <c r="C94" t="s">
        <v>11727</v>
      </c>
    </row>
    <row r="95" spans="1:4" x14ac:dyDescent="0.2">
      <c r="C95" t="s">
        <v>11728</v>
      </c>
    </row>
    <row r="98" spans="1:4" x14ac:dyDescent="0.2">
      <c r="A98">
        <v>10</v>
      </c>
      <c r="B98">
        <v>2</v>
      </c>
      <c r="C98" t="s">
        <v>11730</v>
      </c>
    </row>
    <row r="99" spans="1:4" x14ac:dyDescent="0.2">
      <c r="C99" t="s">
        <v>11732</v>
      </c>
    </row>
    <row r="100" spans="1:4" x14ac:dyDescent="0.2">
      <c r="C100" t="s">
        <v>11733</v>
      </c>
    </row>
    <row r="101" spans="1:4" x14ac:dyDescent="0.2">
      <c r="C101" t="s">
        <v>11773</v>
      </c>
    </row>
    <row r="102" spans="1:4" x14ac:dyDescent="0.2">
      <c r="C102" t="s">
        <v>11734</v>
      </c>
    </row>
    <row r="105" spans="1:4" x14ac:dyDescent="0.2">
      <c r="A105">
        <v>5</v>
      </c>
      <c r="B105">
        <v>3</v>
      </c>
      <c r="C105" t="s">
        <v>11740</v>
      </c>
    </row>
    <row r="106" spans="1:4" x14ac:dyDescent="0.2">
      <c r="C106" t="s">
        <v>11742</v>
      </c>
    </row>
    <row r="108" spans="1:4" ht="252" x14ac:dyDescent="0.25">
      <c r="C108" s="38" t="s">
        <v>11774</v>
      </c>
    </row>
    <row r="111" spans="1:4" x14ac:dyDescent="0.2">
      <c r="C111" s="39" t="s">
        <v>11761</v>
      </c>
      <c r="D111" s="40"/>
    </row>
    <row r="112" spans="1:4" x14ac:dyDescent="0.2">
      <c r="C112" s="27" t="s">
        <v>11763</v>
      </c>
      <c r="D112" s="27">
        <f>AVERAGE(tweets!O:O)</f>
        <v>2.6028842771720014E-2</v>
      </c>
    </row>
    <row r="113" spans="3:8" x14ac:dyDescent="0.2">
      <c r="C113" s="27" t="s">
        <v>11767</v>
      </c>
      <c r="D113" s="27">
        <f>COUNTIFS(tweets!O:O,"&gt;0")</f>
        <v>234</v>
      </c>
    </row>
    <row r="114" spans="3:8" x14ac:dyDescent="0.2">
      <c r="C114" s="27" t="s">
        <v>11765</v>
      </c>
      <c r="D114" s="27">
        <f>COUNTIFS(tweets!O:O,"&lt;0")</f>
        <v>174</v>
      </c>
      <c r="H114" t="s">
        <v>11741</v>
      </c>
    </row>
    <row r="115" spans="3:8" x14ac:dyDescent="0.2">
      <c r="C115" s="27" t="s">
        <v>11769</v>
      </c>
      <c r="D115" s="27">
        <f>COUNTIFS(tweets!O:O,"=0")</f>
        <v>2435</v>
      </c>
    </row>
    <row r="116" spans="3:8" x14ac:dyDescent="0.2">
      <c r="C116" s="15"/>
      <c r="D116" s="15"/>
    </row>
    <row r="117" spans="3:8" x14ac:dyDescent="0.2">
      <c r="C117" s="31" t="s">
        <v>11770</v>
      </c>
      <c r="D117" s="32">
        <f>COUNTIF(tweets!E:E," true")</f>
        <v>28</v>
      </c>
    </row>
    <row r="118" spans="3:8" x14ac:dyDescent="0.2">
      <c r="C118" s="28" t="s">
        <v>11762</v>
      </c>
      <c r="D118" s="28">
        <f>AVERAGEIFS(tweets!O:O,tweets!E:E," true")</f>
        <v>7.1428571428571425E-2</v>
      </c>
    </row>
    <row r="119" spans="3:8" x14ac:dyDescent="0.2">
      <c r="C119" s="28" t="s">
        <v>11766</v>
      </c>
      <c r="D119" s="28">
        <f>COUNTIFS(tweets!O:O,"&gt;0",tweets!E:E," true")</f>
        <v>3</v>
      </c>
    </row>
    <row r="120" spans="3:8" x14ac:dyDescent="0.2">
      <c r="C120" s="28" t="s">
        <v>11764</v>
      </c>
      <c r="D120" s="28">
        <f>COUNTIFS(tweets!O:O,"&lt;0",tweets!E:E," true")</f>
        <v>1</v>
      </c>
    </row>
    <row r="121" spans="3:8" x14ac:dyDescent="0.2">
      <c r="C121" s="28" t="s">
        <v>11768</v>
      </c>
      <c r="D121" s="28">
        <f>COUNTIFS(tweets!O:O,"=0",tweets!E:E," true")</f>
        <v>24</v>
      </c>
    </row>
    <row r="122" spans="3:8" x14ac:dyDescent="0.2">
      <c r="C122" s="15"/>
    </row>
    <row r="123" spans="3:8" x14ac:dyDescent="0.2">
      <c r="C123" s="41" t="s">
        <v>11771</v>
      </c>
      <c r="D123" s="42"/>
    </row>
    <row r="124" spans="3:8" x14ac:dyDescent="0.2">
      <c r="C124" s="29" t="s">
        <v>11762</v>
      </c>
      <c r="D124" s="30">
        <f>AVERAGEIFS(tweets!O:O,tweets!F:F,"&gt;3000")</f>
        <v>2.7100271002710029E-2</v>
      </c>
    </row>
    <row r="125" spans="3:8" x14ac:dyDescent="0.2">
      <c r="C125" s="29" t="s">
        <v>11766</v>
      </c>
      <c r="D125" s="30">
        <f>COUNTIFS(tweets!O:O,"&gt;0",tweets!F:F,"&gt;3000")</f>
        <v>28</v>
      </c>
    </row>
    <row r="126" spans="3:8" x14ac:dyDescent="0.2">
      <c r="C126" s="29" t="s">
        <v>11764</v>
      </c>
      <c r="D126" s="30">
        <f>COUNTIFS(tweets!O:O,"&lt;0",tweets!F:F,"&gt;3000")</f>
        <v>20</v>
      </c>
    </row>
    <row r="127" spans="3:8" x14ac:dyDescent="0.2">
      <c r="C127" s="29" t="s">
        <v>11768</v>
      </c>
      <c r="D127" s="30">
        <f>COUNTIFS(tweets!O:O,"=0",tweets!F:F,"&gt;3000")</f>
        <v>321</v>
      </c>
    </row>
    <row r="128" spans="3:8" x14ac:dyDescent="0.2">
      <c r="C128" s="15"/>
    </row>
    <row r="129" spans="3:3" x14ac:dyDescent="0.2">
      <c r="C129" s="15"/>
    </row>
    <row r="130" spans="3:3" x14ac:dyDescent="0.2">
      <c r="C130" s="15"/>
    </row>
    <row r="131" spans="3:3" x14ac:dyDescent="0.2">
      <c r="C131" s="15"/>
    </row>
    <row r="132" spans="3:3" x14ac:dyDescent="0.2">
      <c r="C132" s="15"/>
    </row>
  </sheetData>
  <mergeCells count="8">
    <mergeCell ref="C111:D111"/>
    <mergeCell ref="C123:D123"/>
    <mergeCell ref="C78:E78"/>
    <mergeCell ref="A1:B1"/>
    <mergeCell ref="C10:G12"/>
    <mergeCell ref="C37:E39"/>
    <mergeCell ref="C43:E45"/>
    <mergeCell ref="C69:E69"/>
  </mergeCells>
  <phoneticPr fontId="21" type="noConversion"/>
  <conditionalFormatting sqref="A1">
    <cfRule type="expression" dxfId="14" priority="15">
      <formula>_xlfn.ISFORMULA(A1)</formula>
    </cfRule>
  </conditionalFormatting>
  <conditionalFormatting sqref="B3">
    <cfRule type="expression" dxfId="13" priority="14">
      <formula>A3=1</formula>
    </cfRule>
  </conditionalFormatting>
  <conditionalFormatting sqref="A3">
    <cfRule type="expression" dxfId="12" priority="13">
      <formula>_xlfn.ISFORMULA(A3)</formula>
    </cfRule>
  </conditionalFormatting>
  <conditionalFormatting sqref="C3:D3">
    <cfRule type="expression" dxfId="11" priority="12">
      <formula>B3=1</formula>
    </cfRule>
  </conditionalFormatting>
  <conditionalFormatting sqref="B31">
    <cfRule type="expression" dxfId="10" priority="11">
      <formula>A31=1</formula>
    </cfRule>
  </conditionalFormatting>
  <conditionalFormatting sqref="A31">
    <cfRule type="expression" dxfId="9" priority="10">
      <formula>_xlfn.ISFORMULA(A31)</formula>
    </cfRule>
  </conditionalFormatting>
  <conditionalFormatting sqref="C31:D31">
    <cfRule type="expression" dxfId="8" priority="9">
      <formula>B31=1</formula>
    </cfRule>
  </conditionalFormatting>
  <conditionalFormatting sqref="B68">
    <cfRule type="expression" dxfId="7" priority="8">
      <formula>A68=1</formula>
    </cfRule>
  </conditionalFormatting>
  <conditionalFormatting sqref="A68">
    <cfRule type="expression" dxfId="6" priority="7">
      <formula>_xlfn.ISFORMULA(A68)</formula>
    </cfRule>
  </conditionalFormatting>
  <conditionalFormatting sqref="C68">
    <cfRule type="expression" dxfId="5" priority="6">
      <formula>B68=1</formula>
    </cfRule>
  </conditionalFormatting>
  <conditionalFormatting sqref="D68">
    <cfRule type="expression" dxfId="4" priority="5">
      <formula>C68=1</formula>
    </cfRule>
  </conditionalFormatting>
  <conditionalFormatting sqref="B87">
    <cfRule type="expression" dxfId="3" priority="4">
      <formula>A87=1</formula>
    </cfRule>
  </conditionalFormatting>
  <conditionalFormatting sqref="A87">
    <cfRule type="expression" dxfId="2" priority="3">
      <formula>_xlfn.ISFORMULA(A87)</formula>
    </cfRule>
  </conditionalFormatting>
  <conditionalFormatting sqref="C87">
    <cfRule type="expression" dxfId="1" priority="2">
      <formula>B87=1</formula>
    </cfRule>
  </conditionalFormatting>
  <conditionalFormatting sqref="D87">
    <cfRule type="expression" dxfId="0" priority="1">
      <formula>C87=1</formula>
    </cfRule>
  </conditionalFormatting>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2844"/>
  <sheetViews>
    <sheetView topLeftCell="A2730" zoomScale="60" zoomScaleNormal="60" workbookViewId="0">
      <selection activeCell="P2" sqref="P2:Q2844"/>
    </sheetView>
  </sheetViews>
  <sheetFormatPr defaultRowHeight="14.25" x14ac:dyDescent="0.2"/>
  <cols>
    <col min="1" max="1" width="22" customWidth="1"/>
    <col min="2" max="2" width="41.25" customWidth="1"/>
    <col min="3" max="3" width="12.5" customWidth="1"/>
    <col min="4" max="4" width="14.5" customWidth="1"/>
    <col min="5" max="5" width="5.75" customWidth="1"/>
    <col min="6" max="7" width="7.125" customWidth="1"/>
    <col min="8" max="10" width="3.125" style="5" customWidth="1"/>
    <col min="11" max="11" width="51.75" customWidth="1"/>
    <col min="12" max="13" width="4.25" customWidth="1"/>
    <col min="15" max="15" width="8.625" bestFit="1" customWidth="1"/>
    <col min="17" max="17" width="3.875" customWidth="1"/>
    <col min="25" max="25" width="15.5" style="15" bestFit="1" customWidth="1"/>
    <col min="26" max="26" width="11.5" style="15" customWidth="1"/>
    <col min="27" max="27" width="8.75" style="15"/>
  </cols>
  <sheetData>
    <row r="1" spans="1:27" ht="67.5" x14ac:dyDescent="0.2">
      <c r="A1" s="1" t="s">
        <v>0</v>
      </c>
      <c r="B1" s="1" t="s">
        <v>9894</v>
      </c>
      <c r="C1" s="1" t="s">
        <v>1</v>
      </c>
      <c r="D1" s="1" t="s">
        <v>2</v>
      </c>
      <c r="E1" s="1" t="s">
        <v>3</v>
      </c>
      <c r="F1" s="1" t="s">
        <v>4</v>
      </c>
      <c r="G1" s="1" t="s">
        <v>5</v>
      </c>
      <c r="H1" s="4" t="s">
        <v>6</v>
      </c>
      <c r="I1" s="4" t="s">
        <v>7</v>
      </c>
      <c r="J1" s="4" t="s">
        <v>8</v>
      </c>
      <c r="K1" s="4" t="s">
        <v>9893</v>
      </c>
      <c r="L1" s="9" t="s">
        <v>11755</v>
      </c>
      <c r="M1" s="9" t="s">
        <v>11757</v>
      </c>
      <c r="N1" s="9"/>
      <c r="O1" s="9"/>
      <c r="P1" s="9"/>
      <c r="Q1" s="16"/>
    </row>
    <row r="2" spans="1:27" x14ac:dyDescent="0.2">
      <c r="A2" s="22" t="s">
        <v>9</v>
      </c>
      <c r="B2" s="23" t="s">
        <v>10</v>
      </c>
      <c r="C2" s="23" t="s">
        <v>11</v>
      </c>
      <c r="D2" s="23" t="s">
        <v>12</v>
      </c>
      <c r="E2" s="23" t="s">
        <v>13</v>
      </c>
      <c r="F2" s="23">
        <v>1597</v>
      </c>
      <c r="G2" s="23">
        <v>17</v>
      </c>
      <c r="H2" s="24" t="s">
        <v>14</v>
      </c>
      <c r="I2" s="24">
        <v>0</v>
      </c>
      <c r="J2" s="24">
        <v>0</v>
      </c>
      <c r="K2" s="23" t="s">
        <v>9895</v>
      </c>
      <c r="L2" s="23" cm="1">
        <f t="array" ref="L2">wordCount(K2)</f>
        <v>16</v>
      </c>
      <c r="M2" s="23">
        <f t="shared" ref="M2:M65" si="0">LEN(K2)</f>
        <v>73</v>
      </c>
      <c r="N2" s="23">
        <v>0.2857142857142857</v>
      </c>
      <c r="O2" s="23" cm="1">
        <f t="array" ref="O2">WordListCount(K2,keywords!$A$2:$A$31)-WordListCount(K2,keywords!$B$2:$B$31)</f>
        <v>1</v>
      </c>
      <c r="P2" s="25">
        <f t="shared" ref="P2:P65" si="1">TIMEVALUE(RIGHT(A2,8))</f>
        <v>0.46052083333333332</v>
      </c>
      <c r="Q2" s="23">
        <f>SUM($O$2:O2)</f>
        <v>1</v>
      </c>
      <c r="Y2" s="14"/>
      <c r="Z2" s="13"/>
      <c r="AA2"/>
    </row>
    <row r="3" spans="1:27" x14ac:dyDescent="0.2">
      <c r="A3" s="12" t="s">
        <v>15</v>
      </c>
      <c r="B3" t="s">
        <v>16</v>
      </c>
      <c r="C3" t="s">
        <v>17</v>
      </c>
      <c r="D3" t="s">
        <v>18</v>
      </c>
      <c r="E3" t="s">
        <v>13</v>
      </c>
      <c r="F3">
        <v>113</v>
      </c>
      <c r="G3">
        <v>110</v>
      </c>
      <c r="H3" s="5" t="s">
        <v>14</v>
      </c>
      <c r="I3" s="5">
        <v>0</v>
      </c>
      <c r="J3" s="5">
        <v>0</v>
      </c>
      <c r="K3" t="s">
        <v>9012</v>
      </c>
      <c r="L3" cm="1">
        <f t="array" ref="L3">wordCount(K3)</f>
        <v>3</v>
      </c>
      <c r="M3">
        <f t="shared" si="0"/>
        <v>16</v>
      </c>
      <c r="N3">
        <v>0.76923076923076927</v>
      </c>
      <c r="O3" s="23" cm="1">
        <f t="array" ref="O3">WordListCount(K3,keywords!$A$2:$A$31)-WordListCount(K3,keywords!$B$2:$B$31)</f>
        <v>0</v>
      </c>
      <c r="P3" s="25">
        <f t="shared" si="1"/>
        <v>0.46057870370370368</v>
      </c>
      <c r="Q3" s="23">
        <f>SUM($O$2:O3)</f>
        <v>1</v>
      </c>
      <c r="Y3" s="14"/>
      <c r="Z3" s="13"/>
      <c r="AA3"/>
    </row>
    <row r="4" spans="1:27" x14ac:dyDescent="0.2">
      <c r="A4" s="12" t="s">
        <v>19</v>
      </c>
      <c r="B4" t="s">
        <v>20</v>
      </c>
      <c r="C4" t="s">
        <v>21</v>
      </c>
      <c r="D4" t="s">
        <v>12</v>
      </c>
      <c r="E4" t="s">
        <v>13</v>
      </c>
      <c r="F4">
        <v>44</v>
      </c>
      <c r="G4">
        <v>9</v>
      </c>
      <c r="H4" s="5" t="s">
        <v>22</v>
      </c>
      <c r="I4" s="5">
        <v>0</v>
      </c>
      <c r="J4" s="5">
        <v>0</v>
      </c>
      <c r="K4" t="s">
        <v>9013</v>
      </c>
      <c r="L4" cm="1">
        <f t="array" ref="L4">wordCount(K4)</f>
        <v>5</v>
      </c>
      <c r="M4">
        <f t="shared" si="0"/>
        <v>28</v>
      </c>
      <c r="N4">
        <v>0.88888888888888884</v>
      </c>
      <c r="O4" s="23" cm="1">
        <f t="array" ref="O4">WordListCount(K4,keywords!$A$2:$A$31)-WordListCount(K4,keywords!$B$2:$B$31)</f>
        <v>0</v>
      </c>
      <c r="P4" s="25">
        <f t="shared" si="1"/>
        <v>0.46060185185185182</v>
      </c>
      <c r="Q4" s="23">
        <f>SUM($O$2:O4)</f>
        <v>1</v>
      </c>
      <c r="Y4" s="14"/>
      <c r="Z4" s="13"/>
      <c r="AA4"/>
    </row>
    <row r="5" spans="1:27" x14ac:dyDescent="0.2">
      <c r="A5" s="12" t="s">
        <v>23</v>
      </c>
      <c r="B5" t="s">
        <v>24</v>
      </c>
      <c r="C5" t="s">
        <v>25</v>
      </c>
      <c r="D5" t="s">
        <v>26</v>
      </c>
      <c r="E5" t="s">
        <v>13</v>
      </c>
      <c r="F5">
        <v>1996</v>
      </c>
      <c r="G5">
        <v>1967</v>
      </c>
      <c r="H5" s="5" t="s">
        <v>22</v>
      </c>
      <c r="I5" s="5">
        <v>0</v>
      </c>
      <c r="J5" s="5">
        <v>0</v>
      </c>
      <c r="K5" t="s">
        <v>9896</v>
      </c>
      <c r="L5" cm="1">
        <f t="array" ref="L5">wordCount(K5)</f>
        <v>15</v>
      </c>
      <c r="M5">
        <f t="shared" si="0"/>
        <v>76</v>
      </c>
      <c r="N5">
        <v>0.23529411764705882</v>
      </c>
      <c r="O5" s="23" cm="1">
        <f t="array" ref="O5">WordListCount(K5,keywords!$A$2:$A$31)-WordListCount(K5,keywords!$B$2:$B$31)</f>
        <v>0</v>
      </c>
      <c r="P5" s="25">
        <f t="shared" si="1"/>
        <v>0.4607060185185185</v>
      </c>
      <c r="Q5" s="23">
        <f>SUM($O$2:O5)</f>
        <v>1</v>
      </c>
      <c r="Y5" s="14"/>
      <c r="Z5" s="13"/>
      <c r="AA5"/>
    </row>
    <row r="6" spans="1:27" x14ac:dyDescent="0.2">
      <c r="A6" s="12" t="s">
        <v>27</v>
      </c>
      <c r="B6" t="s">
        <v>28</v>
      </c>
      <c r="C6" t="s">
        <v>29</v>
      </c>
      <c r="D6" t="s">
        <v>30</v>
      </c>
      <c r="E6" t="s">
        <v>13</v>
      </c>
      <c r="F6">
        <v>1164</v>
      </c>
      <c r="G6">
        <v>1998</v>
      </c>
      <c r="H6" s="5" t="s">
        <v>22</v>
      </c>
      <c r="I6" s="5">
        <v>0</v>
      </c>
      <c r="J6" s="5">
        <v>0</v>
      </c>
      <c r="K6" t="s">
        <v>9897</v>
      </c>
      <c r="L6" cm="1">
        <f t="array" ref="L6">wordCount(K6)</f>
        <v>11</v>
      </c>
      <c r="M6">
        <f t="shared" si="0"/>
        <v>58</v>
      </c>
      <c r="N6">
        <v>0.4375</v>
      </c>
      <c r="O6" s="23" cm="1">
        <f t="array" ref="O6">WordListCount(K6,keywords!$A$2:$A$31)-WordListCount(K6,keywords!$B$2:$B$31)</f>
        <v>0</v>
      </c>
      <c r="P6" s="25">
        <f t="shared" si="1"/>
        <v>0.46074074074074073</v>
      </c>
      <c r="Q6" s="23">
        <f>SUM($O$2:O6)</f>
        <v>1</v>
      </c>
      <c r="Y6" s="14"/>
      <c r="Z6" s="13"/>
      <c r="AA6"/>
    </row>
    <row r="7" spans="1:27" x14ac:dyDescent="0.2">
      <c r="A7" s="12" t="s">
        <v>31</v>
      </c>
      <c r="B7" t="s">
        <v>32</v>
      </c>
      <c r="C7" t="s">
        <v>33</v>
      </c>
      <c r="D7" t="s">
        <v>34</v>
      </c>
      <c r="E7" t="s">
        <v>13</v>
      </c>
      <c r="F7">
        <v>28</v>
      </c>
      <c r="G7">
        <v>12</v>
      </c>
      <c r="H7" s="5" t="s">
        <v>22</v>
      </c>
      <c r="I7" s="5">
        <v>0</v>
      </c>
      <c r="J7" s="5">
        <v>0</v>
      </c>
      <c r="K7" t="s">
        <v>9898</v>
      </c>
      <c r="L7" cm="1">
        <f t="array" ref="L7">wordCount(K7)</f>
        <v>14</v>
      </c>
      <c r="M7">
        <f t="shared" si="0"/>
        <v>70</v>
      </c>
      <c r="N7">
        <v>0.14285714285714285</v>
      </c>
      <c r="O7" s="23" cm="1">
        <f t="array" ref="O7">WordListCount(K7,keywords!$A$2:$A$31)-WordListCount(K7,keywords!$B$2:$B$31)</f>
        <v>-2</v>
      </c>
      <c r="P7" s="25">
        <f t="shared" si="1"/>
        <v>0.46084490740740741</v>
      </c>
      <c r="Q7" s="23">
        <f>SUM($O$2:O7)</f>
        <v>-1</v>
      </c>
      <c r="Y7" s="14"/>
      <c r="Z7" s="13"/>
      <c r="AA7"/>
    </row>
    <row r="8" spans="1:27" x14ac:dyDescent="0.2">
      <c r="A8" s="12" t="s">
        <v>35</v>
      </c>
      <c r="B8" t="s">
        <v>36</v>
      </c>
      <c r="C8" t="s">
        <v>37</v>
      </c>
      <c r="D8" t="s">
        <v>12</v>
      </c>
      <c r="E8" t="s">
        <v>13</v>
      </c>
      <c r="F8">
        <v>34</v>
      </c>
      <c r="G8">
        <v>90</v>
      </c>
      <c r="H8" s="5" t="s">
        <v>22</v>
      </c>
      <c r="I8" s="5">
        <v>0</v>
      </c>
      <c r="J8" s="5">
        <v>0</v>
      </c>
      <c r="K8" t="s">
        <v>9899</v>
      </c>
      <c r="L8" cm="1">
        <f t="array" ref="L8">wordCount(K8)</f>
        <v>16</v>
      </c>
      <c r="M8">
        <f t="shared" si="0"/>
        <v>99</v>
      </c>
      <c r="N8">
        <v>0.47368421052631576</v>
      </c>
      <c r="O8" s="23" cm="1">
        <f t="array" ref="O8">WordListCount(K8,keywords!$A$2:$A$31)-WordListCount(K8,keywords!$B$2:$B$31)</f>
        <v>1</v>
      </c>
      <c r="P8" s="25">
        <f t="shared" si="1"/>
        <v>0.46099537037037036</v>
      </c>
      <c r="Q8" s="23">
        <f>SUM($O$2:O8)</f>
        <v>0</v>
      </c>
      <c r="Y8" s="14"/>
      <c r="Z8" s="13"/>
      <c r="AA8"/>
    </row>
    <row r="9" spans="1:27" x14ac:dyDescent="0.2">
      <c r="A9" s="12" t="s">
        <v>38</v>
      </c>
      <c r="B9" t="s">
        <v>39</v>
      </c>
      <c r="C9" t="s">
        <v>40</v>
      </c>
      <c r="D9" t="s">
        <v>41</v>
      </c>
      <c r="E9" t="s">
        <v>13</v>
      </c>
      <c r="F9">
        <v>690</v>
      </c>
      <c r="G9">
        <v>1012</v>
      </c>
      <c r="H9" s="5" t="s">
        <v>42</v>
      </c>
      <c r="I9" s="5">
        <v>0</v>
      </c>
      <c r="J9" s="5">
        <v>0</v>
      </c>
      <c r="K9" t="s">
        <v>9014</v>
      </c>
      <c r="L9" cm="1">
        <f t="array" ref="L9">wordCount(K9)</f>
        <v>8</v>
      </c>
      <c r="M9">
        <f t="shared" si="0"/>
        <v>46</v>
      </c>
      <c r="N9">
        <v>0.75</v>
      </c>
      <c r="O9" s="23" cm="1">
        <f t="array" ref="O9">WordListCount(K9,keywords!$A$2:$A$31)-WordListCount(K9,keywords!$B$2:$B$31)</f>
        <v>0</v>
      </c>
      <c r="P9" s="25">
        <f t="shared" si="1"/>
        <v>0.46119212962962958</v>
      </c>
      <c r="Q9" s="23">
        <f>SUM($O$2:O9)</f>
        <v>0</v>
      </c>
      <c r="Y9" s="14"/>
      <c r="Z9" s="13"/>
      <c r="AA9"/>
    </row>
    <row r="10" spans="1:27" x14ac:dyDescent="0.2">
      <c r="A10" s="12" t="s">
        <v>43</v>
      </c>
      <c r="B10" t="s">
        <v>44</v>
      </c>
      <c r="C10" t="s">
        <v>45</v>
      </c>
      <c r="D10" t="s">
        <v>46</v>
      </c>
      <c r="E10" t="s">
        <v>47</v>
      </c>
      <c r="F10">
        <v>38820</v>
      </c>
      <c r="G10">
        <v>2224</v>
      </c>
      <c r="H10" s="5" t="s">
        <v>22</v>
      </c>
      <c r="I10" s="5">
        <v>0</v>
      </c>
      <c r="J10" s="5">
        <v>0</v>
      </c>
      <c r="K10" t="s">
        <v>9900</v>
      </c>
      <c r="L10" cm="1">
        <f t="array" ref="L10">wordCount(K10)</f>
        <v>18</v>
      </c>
      <c r="M10">
        <f t="shared" si="0"/>
        <v>103</v>
      </c>
      <c r="N10">
        <v>0.46666666666666667</v>
      </c>
      <c r="O10" s="23" cm="1">
        <f t="array" ref="O10">WordListCount(K10,keywords!$A$2:$A$31)-WordListCount(K10,keywords!$B$2:$B$31)</f>
        <v>0</v>
      </c>
      <c r="P10" s="25">
        <f t="shared" si="1"/>
        <v>0.46127314814814818</v>
      </c>
      <c r="Q10" s="23">
        <f>SUM($O$2:O10)</f>
        <v>0</v>
      </c>
      <c r="Y10" s="14"/>
      <c r="Z10" s="13"/>
      <c r="AA10"/>
    </row>
    <row r="11" spans="1:27" x14ac:dyDescent="0.2">
      <c r="A11" s="12" t="s">
        <v>48</v>
      </c>
      <c r="B11" t="s">
        <v>49</v>
      </c>
      <c r="C11" t="s">
        <v>50</v>
      </c>
      <c r="D11" t="s">
        <v>51</v>
      </c>
      <c r="E11" t="s">
        <v>13</v>
      </c>
      <c r="F11">
        <v>2056</v>
      </c>
      <c r="G11">
        <v>453</v>
      </c>
      <c r="H11" s="5" t="s">
        <v>22</v>
      </c>
      <c r="I11" s="5">
        <v>0</v>
      </c>
      <c r="J11" s="5">
        <v>0</v>
      </c>
      <c r="K11" t="s">
        <v>9015</v>
      </c>
      <c r="L11" cm="1">
        <f t="array" ref="L11">wordCount(K11)</f>
        <v>6</v>
      </c>
      <c r="M11">
        <f t="shared" si="0"/>
        <v>36</v>
      </c>
      <c r="N11">
        <v>0.77777777777777779</v>
      </c>
      <c r="O11" s="23" cm="1">
        <f t="array" ref="O11">WordListCount(K11,keywords!$A$2:$A$31)-WordListCount(K11,keywords!$B$2:$B$31)</f>
        <v>0</v>
      </c>
      <c r="P11" s="25">
        <f t="shared" si="1"/>
        <v>0.46136574074074077</v>
      </c>
      <c r="Q11" s="23">
        <f>SUM($O$2:O11)</f>
        <v>0</v>
      </c>
      <c r="Y11" s="14"/>
      <c r="Z11" s="13"/>
      <c r="AA11"/>
    </row>
    <row r="12" spans="1:27" x14ac:dyDescent="0.2">
      <c r="A12" s="12" t="s">
        <v>52</v>
      </c>
      <c r="B12" t="s">
        <v>53</v>
      </c>
      <c r="C12" t="s">
        <v>54</v>
      </c>
      <c r="D12" t="s">
        <v>12</v>
      </c>
      <c r="E12" t="s">
        <v>13</v>
      </c>
      <c r="F12">
        <v>1134</v>
      </c>
      <c r="G12">
        <v>821</v>
      </c>
      <c r="H12" s="5" t="s">
        <v>22</v>
      </c>
      <c r="I12" s="5">
        <v>0</v>
      </c>
      <c r="J12" s="5">
        <v>0</v>
      </c>
      <c r="K12" t="s">
        <v>9901</v>
      </c>
      <c r="L12" cm="1">
        <f t="array" ref="L12">wordCount(K12)</f>
        <v>13</v>
      </c>
      <c r="M12">
        <f t="shared" si="0"/>
        <v>53</v>
      </c>
      <c r="N12">
        <v>0.52941176470588236</v>
      </c>
      <c r="O12" s="23" cm="1">
        <f t="array" ref="O12">WordListCount(K12,keywords!$A$2:$A$31)-WordListCount(K12,keywords!$B$2:$B$31)</f>
        <v>0</v>
      </c>
      <c r="P12" s="25">
        <f t="shared" si="1"/>
        <v>0.46170138888888884</v>
      </c>
      <c r="Q12" s="23">
        <f>SUM($O$2:O12)</f>
        <v>0</v>
      </c>
      <c r="Y12" s="14"/>
      <c r="Z12" s="13"/>
      <c r="AA12"/>
    </row>
    <row r="13" spans="1:27" x14ac:dyDescent="0.2">
      <c r="A13" s="12" t="s">
        <v>55</v>
      </c>
      <c r="B13" t="s">
        <v>56</v>
      </c>
      <c r="C13" t="s">
        <v>57</v>
      </c>
      <c r="D13" t="s">
        <v>58</v>
      </c>
      <c r="E13" t="s">
        <v>13</v>
      </c>
      <c r="F13">
        <v>1373</v>
      </c>
      <c r="G13">
        <v>312</v>
      </c>
      <c r="H13" s="5" t="s">
        <v>59</v>
      </c>
      <c r="I13" s="5">
        <v>0</v>
      </c>
      <c r="J13" s="5">
        <v>0</v>
      </c>
      <c r="K13" t="s">
        <v>9016</v>
      </c>
      <c r="L13" cm="1">
        <f t="array" ref="L13">wordCount(K13)</f>
        <v>19</v>
      </c>
      <c r="M13">
        <f t="shared" si="0"/>
        <v>97</v>
      </c>
      <c r="N13">
        <v>0.53333333333333333</v>
      </c>
      <c r="O13" s="23" cm="1">
        <f t="array" ref="O13">WordListCount(K13,keywords!$A$2:$A$31)-WordListCount(K13,keywords!$B$2:$B$31)</f>
        <v>0</v>
      </c>
      <c r="P13" s="25">
        <f t="shared" si="1"/>
        <v>0.46190972222222221</v>
      </c>
      <c r="Q13" s="23">
        <f>SUM($O$2:O13)</f>
        <v>0</v>
      </c>
      <c r="Y13" s="14"/>
      <c r="Z13" s="13"/>
      <c r="AA13"/>
    </row>
    <row r="14" spans="1:27" x14ac:dyDescent="0.2">
      <c r="A14" s="12" t="s">
        <v>60</v>
      </c>
      <c r="B14" t="s">
        <v>61</v>
      </c>
      <c r="C14" t="s">
        <v>62</v>
      </c>
      <c r="D14" t="s">
        <v>63</v>
      </c>
      <c r="E14" t="s">
        <v>13</v>
      </c>
      <c r="F14">
        <v>629</v>
      </c>
      <c r="G14">
        <v>139</v>
      </c>
      <c r="H14" s="5" t="s">
        <v>22</v>
      </c>
      <c r="I14" s="5">
        <v>0</v>
      </c>
      <c r="J14" s="5">
        <v>0</v>
      </c>
      <c r="K14" t="s">
        <v>9902</v>
      </c>
      <c r="L14" cm="1">
        <f t="array" ref="L14">wordCount(K14)</f>
        <v>16</v>
      </c>
      <c r="M14">
        <f t="shared" si="0"/>
        <v>75</v>
      </c>
      <c r="N14">
        <v>0.45454545454545453</v>
      </c>
      <c r="O14" s="23" cm="1">
        <f t="array" ref="O14">WordListCount(K14,keywords!$A$2:$A$31)-WordListCount(K14,keywords!$B$2:$B$31)</f>
        <v>0</v>
      </c>
      <c r="P14" s="25">
        <f t="shared" si="1"/>
        <v>0.46196759259259257</v>
      </c>
      <c r="Q14" s="23">
        <f>SUM($O$2:O14)</f>
        <v>0</v>
      </c>
      <c r="Y14" s="14"/>
      <c r="Z14" s="13"/>
      <c r="AA14"/>
    </row>
    <row r="15" spans="1:27" x14ac:dyDescent="0.2">
      <c r="A15" s="12" t="s">
        <v>60</v>
      </c>
      <c r="B15" t="s">
        <v>64</v>
      </c>
      <c r="C15" t="s">
        <v>65</v>
      </c>
      <c r="D15" t="s">
        <v>66</v>
      </c>
      <c r="E15" t="s">
        <v>13</v>
      </c>
      <c r="F15">
        <v>6</v>
      </c>
      <c r="G15">
        <v>16</v>
      </c>
      <c r="H15" s="5" t="s">
        <v>59</v>
      </c>
      <c r="I15" s="5">
        <v>0</v>
      </c>
      <c r="J15" s="5">
        <v>0</v>
      </c>
      <c r="K15" t="s">
        <v>9903</v>
      </c>
      <c r="L15" cm="1">
        <f t="array" ref="L15">wordCount(K15)</f>
        <v>7</v>
      </c>
      <c r="M15">
        <f t="shared" si="0"/>
        <v>34</v>
      </c>
      <c r="N15">
        <v>0.76190476190476186</v>
      </c>
      <c r="O15" s="23" cm="1">
        <f t="array" ref="O15">WordListCount(K15,keywords!$A$2:$A$31)-WordListCount(K15,keywords!$B$2:$B$31)</f>
        <v>-1</v>
      </c>
      <c r="P15" s="25">
        <f t="shared" si="1"/>
        <v>0.46196759259259257</v>
      </c>
      <c r="Q15" s="23">
        <f>SUM($O$2:O15)</f>
        <v>-1</v>
      </c>
      <c r="Y15" s="14"/>
      <c r="Z15" s="13"/>
      <c r="AA15"/>
    </row>
    <row r="16" spans="1:27" x14ac:dyDescent="0.2">
      <c r="A16" s="12" t="s">
        <v>67</v>
      </c>
      <c r="B16" t="s">
        <v>68</v>
      </c>
      <c r="C16" t="s">
        <v>69</v>
      </c>
      <c r="D16" t="s">
        <v>70</v>
      </c>
      <c r="E16" t="s">
        <v>13</v>
      </c>
      <c r="F16">
        <v>238</v>
      </c>
      <c r="G16">
        <v>1394</v>
      </c>
      <c r="H16" s="5" t="s">
        <v>22</v>
      </c>
      <c r="I16" s="5">
        <v>0</v>
      </c>
      <c r="J16" s="5">
        <v>0</v>
      </c>
      <c r="K16" t="s">
        <v>9904</v>
      </c>
      <c r="L16" cm="1">
        <f t="array" ref="L16">wordCount(K16)</f>
        <v>14</v>
      </c>
      <c r="M16">
        <f t="shared" si="0"/>
        <v>59</v>
      </c>
      <c r="N16">
        <v>0.4</v>
      </c>
      <c r="O16" s="23" cm="1">
        <f t="array" ref="O16">WordListCount(K16,keywords!$A$2:$A$31)-WordListCount(K16,keywords!$B$2:$B$31)</f>
        <v>0</v>
      </c>
      <c r="P16" s="25">
        <f t="shared" si="1"/>
        <v>0.46211805555555557</v>
      </c>
      <c r="Q16" s="23">
        <f>SUM($O$2:O16)</f>
        <v>-1</v>
      </c>
      <c r="Y16" s="14"/>
      <c r="Z16" s="13"/>
      <c r="AA16"/>
    </row>
    <row r="17" spans="1:27" x14ac:dyDescent="0.2">
      <c r="A17" s="12" t="s">
        <v>71</v>
      </c>
      <c r="B17" t="s">
        <v>72</v>
      </c>
      <c r="C17" t="s">
        <v>73</v>
      </c>
      <c r="D17" t="s">
        <v>74</v>
      </c>
      <c r="E17" t="s">
        <v>13</v>
      </c>
      <c r="F17">
        <v>87</v>
      </c>
      <c r="G17">
        <v>237</v>
      </c>
      <c r="H17" s="5" t="s">
        <v>22</v>
      </c>
      <c r="I17" s="5">
        <v>0</v>
      </c>
      <c r="J17" s="5">
        <v>0</v>
      </c>
      <c r="K17" t="s">
        <v>9017</v>
      </c>
      <c r="L17" cm="1">
        <f t="array" ref="L17">wordCount(K17)</f>
        <v>7</v>
      </c>
      <c r="M17">
        <f t="shared" si="0"/>
        <v>37</v>
      </c>
      <c r="N17">
        <v>0.88888888888888884</v>
      </c>
      <c r="O17" s="23" cm="1">
        <f t="array" ref="O17">WordListCount(K17,keywords!$A$2:$A$31)-WordListCount(K17,keywords!$B$2:$B$31)</f>
        <v>0</v>
      </c>
      <c r="P17" s="25">
        <f t="shared" si="1"/>
        <v>0.46221064814814811</v>
      </c>
      <c r="Q17" s="23">
        <f>SUM($O$2:O17)</f>
        <v>-1</v>
      </c>
      <c r="Y17" s="14"/>
      <c r="Z17" s="13"/>
      <c r="AA17"/>
    </row>
    <row r="18" spans="1:27" x14ac:dyDescent="0.2">
      <c r="A18" s="12" t="s">
        <v>75</v>
      </c>
      <c r="B18" t="s">
        <v>76</v>
      </c>
      <c r="C18" t="s">
        <v>77</v>
      </c>
      <c r="D18" t="s">
        <v>12</v>
      </c>
      <c r="E18" t="s">
        <v>13</v>
      </c>
      <c r="F18">
        <v>37</v>
      </c>
      <c r="G18">
        <v>7</v>
      </c>
      <c r="H18" s="5" t="s">
        <v>42</v>
      </c>
      <c r="I18" s="5">
        <v>0</v>
      </c>
      <c r="J18" s="5">
        <v>0</v>
      </c>
      <c r="K18" t="s">
        <v>9905</v>
      </c>
      <c r="L18" cm="1">
        <f t="array" ref="L18">wordCount(K18)</f>
        <v>14</v>
      </c>
      <c r="M18">
        <f t="shared" si="0"/>
        <v>76</v>
      </c>
      <c r="N18">
        <v>1</v>
      </c>
      <c r="O18" s="23" cm="1">
        <f t="array" ref="O18">WordListCount(K18,keywords!$A$2:$A$31)-WordListCount(K18,keywords!$B$2:$B$31)</f>
        <v>0</v>
      </c>
      <c r="P18" s="25">
        <f t="shared" si="1"/>
        <v>0.46240740740740738</v>
      </c>
      <c r="Q18" s="23">
        <f>SUM($O$2:O18)</f>
        <v>-1</v>
      </c>
      <c r="Y18" s="14"/>
      <c r="Z18" s="13"/>
      <c r="AA18"/>
    </row>
    <row r="19" spans="1:27" x14ac:dyDescent="0.2">
      <c r="A19" s="12" t="s">
        <v>78</v>
      </c>
      <c r="B19" t="s">
        <v>79</v>
      </c>
      <c r="C19" t="s">
        <v>80</v>
      </c>
      <c r="D19" t="s">
        <v>81</v>
      </c>
      <c r="E19" t="s">
        <v>13</v>
      </c>
      <c r="F19">
        <v>106</v>
      </c>
      <c r="G19">
        <v>58</v>
      </c>
      <c r="H19" s="5" t="s">
        <v>42</v>
      </c>
      <c r="I19" s="5">
        <v>0</v>
      </c>
      <c r="J19" s="5">
        <v>0</v>
      </c>
      <c r="K19" t="s">
        <v>9906</v>
      </c>
      <c r="L19" cm="1">
        <f t="array" ref="L19">wordCount(K19)</f>
        <v>12</v>
      </c>
      <c r="M19">
        <f t="shared" si="0"/>
        <v>74</v>
      </c>
      <c r="N19">
        <v>0.58333333333333337</v>
      </c>
      <c r="O19" s="23" cm="1">
        <f t="array" ref="O19">WordListCount(K19,keywords!$A$2:$A$31)-WordListCount(K19,keywords!$B$2:$B$31)</f>
        <v>0</v>
      </c>
      <c r="P19" s="25">
        <f t="shared" si="1"/>
        <v>0.4624537037037037</v>
      </c>
      <c r="Q19" s="23">
        <f>SUM($O$2:O19)</f>
        <v>-1</v>
      </c>
      <c r="Y19" s="14"/>
      <c r="Z19" s="13"/>
      <c r="AA19"/>
    </row>
    <row r="20" spans="1:27" x14ac:dyDescent="0.2">
      <c r="A20" s="12" t="s">
        <v>82</v>
      </c>
      <c r="B20" t="s">
        <v>83</v>
      </c>
      <c r="C20" t="s">
        <v>84</v>
      </c>
      <c r="D20" t="s">
        <v>85</v>
      </c>
      <c r="E20" t="s">
        <v>13</v>
      </c>
      <c r="F20">
        <v>24</v>
      </c>
      <c r="G20">
        <v>118</v>
      </c>
      <c r="H20" s="5" t="s">
        <v>86</v>
      </c>
      <c r="I20" s="5">
        <v>0</v>
      </c>
      <c r="J20" s="5">
        <v>0</v>
      </c>
      <c r="K20" t="s">
        <v>9018</v>
      </c>
      <c r="L20" cm="1">
        <f t="array" ref="L20">wordCount(K20)</f>
        <v>3</v>
      </c>
      <c r="M20">
        <f t="shared" si="0"/>
        <v>12</v>
      </c>
      <c r="N20">
        <v>0.90909090909090906</v>
      </c>
      <c r="O20" s="23" cm="1">
        <f t="array" ref="O20">WordListCount(K20,keywords!$A$2:$A$31)-WordListCount(K20,keywords!$B$2:$B$31)</f>
        <v>0</v>
      </c>
      <c r="P20" s="25">
        <f t="shared" si="1"/>
        <v>0.46258101851851857</v>
      </c>
      <c r="Q20" s="23">
        <f>SUM($O$2:O20)</f>
        <v>-1</v>
      </c>
      <c r="Y20" s="14"/>
      <c r="Z20" s="13"/>
      <c r="AA20"/>
    </row>
    <row r="21" spans="1:27" x14ac:dyDescent="0.2">
      <c r="A21" s="12" t="s">
        <v>87</v>
      </c>
      <c r="B21" t="s">
        <v>88</v>
      </c>
      <c r="C21" t="s">
        <v>89</v>
      </c>
      <c r="D21" t="s">
        <v>12</v>
      </c>
      <c r="E21" t="s">
        <v>13</v>
      </c>
      <c r="F21">
        <v>17</v>
      </c>
      <c r="G21">
        <v>207</v>
      </c>
      <c r="H21" s="5" t="s">
        <v>22</v>
      </c>
      <c r="I21" s="5">
        <v>0</v>
      </c>
      <c r="J21" s="5">
        <v>0</v>
      </c>
      <c r="K21" t="s">
        <v>9907</v>
      </c>
      <c r="L21" cm="1">
        <f t="array" ref="L21">wordCount(K21)</f>
        <v>21</v>
      </c>
      <c r="M21">
        <f t="shared" si="0"/>
        <v>112</v>
      </c>
      <c r="N21">
        <v>0.5641025641025641</v>
      </c>
      <c r="O21" s="23" cm="1">
        <f t="array" ref="O21">WordListCount(K21,keywords!$A$2:$A$31)-WordListCount(K21,keywords!$B$2:$B$31)</f>
        <v>0</v>
      </c>
      <c r="P21" s="25">
        <f t="shared" si="1"/>
        <v>0.46287037037037032</v>
      </c>
      <c r="Q21" s="23">
        <f>SUM($O$2:O21)</f>
        <v>-1</v>
      </c>
      <c r="Y21" s="14"/>
      <c r="Z21" s="13"/>
      <c r="AA21"/>
    </row>
    <row r="22" spans="1:27" x14ac:dyDescent="0.2">
      <c r="A22" s="12" t="s">
        <v>90</v>
      </c>
      <c r="B22" t="s">
        <v>91</v>
      </c>
      <c r="C22" t="s">
        <v>92</v>
      </c>
      <c r="D22" t="s">
        <v>12</v>
      </c>
      <c r="E22" t="s">
        <v>13</v>
      </c>
      <c r="F22">
        <v>44</v>
      </c>
      <c r="G22">
        <v>321</v>
      </c>
      <c r="H22" s="5" t="s">
        <v>22</v>
      </c>
      <c r="I22" s="5">
        <v>0</v>
      </c>
      <c r="J22" s="5">
        <v>0</v>
      </c>
      <c r="K22" t="s">
        <v>9908</v>
      </c>
      <c r="L22" cm="1">
        <f t="array" ref="L22">wordCount(K22)</f>
        <v>8</v>
      </c>
      <c r="M22">
        <f t="shared" si="0"/>
        <v>41</v>
      </c>
      <c r="N22">
        <v>0.61111111111111116</v>
      </c>
      <c r="O22" s="23" cm="1">
        <f t="array" ref="O22">WordListCount(K22,keywords!$A$2:$A$31)-WordListCount(K22,keywords!$B$2:$B$31)</f>
        <v>0</v>
      </c>
      <c r="P22" s="25">
        <f t="shared" si="1"/>
        <v>0.46300925925925923</v>
      </c>
      <c r="Q22" s="23">
        <f>SUM($O$2:O22)</f>
        <v>-1</v>
      </c>
      <c r="Y22" s="14"/>
      <c r="Z22" s="13"/>
      <c r="AA22"/>
    </row>
    <row r="23" spans="1:27" x14ac:dyDescent="0.2">
      <c r="A23" s="12" t="s">
        <v>93</v>
      </c>
      <c r="B23" t="s">
        <v>94</v>
      </c>
      <c r="C23" t="s">
        <v>95</v>
      </c>
      <c r="D23" t="s">
        <v>12</v>
      </c>
      <c r="E23" t="s">
        <v>13</v>
      </c>
      <c r="F23">
        <v>706</v>
      </c>
      <c r="G23">
        <v>493</v>
      </c>
      <c r="H23" s="5" t="s">
        <v>96</v>
      </c>
      <c r="I23" s="5">
        <v>0</v>
      </c>
      <c r="J23" s="5">
        <v>0</v>
      </c>
      <c r="K23" t="s">
        <v>9019</v>
      </c>
      <c r="L23" cm="1">
        <f t="array" ref="L23">wordCount(K23)</f>
        <v>5</v>
      </c>
      <c r="M23">
        <f t="shared" si="0"/>
        <v>26</v>
      </c>
      <c r="N23">
        <v>0.66666666666666663</v>
      </c>
      <c r="O23" s="23" cm="1">
        <f t="array" ref="O23">WordListCount(K23,keywords!$A$2:$A$31)-WordListCount(K23,keywords!$B$2:$B$31)</f>
        <v>0</v>
      </c>
      <c r="P23" s="25">
        <f t="shared" si="1"/>
        <v>0.46436342592592594</v>
      </c>
      <c r="Q23" s="23">
        <f>SUM($O$2:O23)</f>
        <v>-1</v>
      </c>
      <c r="Y23" s="14"/>
      <c r="Z23" s="13"/>
      <c r="AA23"/>
    </row>
    <row r="24" spans="1:27" x14ac:dyDescent="0.2">
      <c r="A24" s="12" t="s">
        <v>97</v>
      </c>
      <c r="B24" t="s">
        <v>98</v>
      </c>
      <c r="C24" t="s">
        <v>99</v>
      </c>
      <c r="D24" t="s">
        <v>100</v>
      </c>
      <c r="E24" t="s">
        <v>13</v>
      </c>
      <c r="F24">
        <v>1196</v>
      </c>
      <c r="G24">
        <v>403</v>
      </c>
      <c r="H24" s="5" t="s">
        <v>22</v>
      </c>
      <c r="I24" s="5">
        <v>0</v>
      </c>
      <c r="J24" s="5">
        <v>0</v>
      </c>
      <c r="K24" t="s">
        <v>9909</v>
      </c>
      <c r="L24" cm="1">
        <f t="array" ref="L24">wordCount(K24)</f>
        <v>7</v>
      </c>
      <c r="M24">
        <f t="shared" si="0"/>
        <v>34</v>
      </c>
      <c r="N24">
        <v>0.8</v>
      </c>
      <c r="O24" s="23" cm="1">
        <f t="array" ref="O24">WordListCount(K24,keywords!$A$2:$A$31)-WordListCount(K24,keywords!$B$2:$B$31)</f>
        <v>0</v>
      </c>
      <c r="P24" s="25">
        <f t="shared" si="1"/>
        <v>0.46468749999999998</v>
      </c>
      <c r="Q24" s="23">
        <f>SUM($O$2:O24)</f>
        <v>-1</v>
      </c>
      <c r="Y24" s="14"/>
      <c r="Z24" s="13"/>
      <c r="AA24"/>
    </row>
    <row r="25" spans="1:27" x14ac:dyDescent="0.2">
      <c r="A25" s="12" t="s">
        <v>101</v>
      </c>
      <c r="B25" t="s">
        <v>102</v>
      </c>
      <c r="C25" t="s">
        <v>103</v>
      </c>
      <c r="D25" t="s">
        <v>104</v>
      </c>
      <c r="E25" t="s">
        <v>13</v>
      </c>
      <c r="F25">
        <v>136</v>
      </c>
      <c r="G25">
        <v>11</v>
      </c>
      <c r="H25" s="5" t="s">
        <v>22</v>
      </c>
      <c r="I25" s="5">
        <v>0</v>
      </c>
      <c r="J25" s="5">
        <v>0</v>
      </c>
      <c r="K25" t="s">
        <v>9910</v>
      </c>
      <c r="L25" cm="1">
        <f t="array" ref="L25">wordCount(K25)</f>
        <v>20</v>
      </c>
      <c r="M25">
        <f t="shared" si="0"/>
        <v>105</v>
      </c>
      <c r="N25">
        <v>0.38461538461538464</v>
      </c>
      <c r="O25" s="23" cm="1">
        <f t="array" ref="O25">WordListCount(K25,keywords!$A$2:$A$31)-WordListCount(K25,keywords!$B$2:$B$31)</f>
        <v>0</v>
      </c>
      <c r="P25" s="25">
        <f t="shared" si="1"/>
        <v>0.46469907407407413</v>
      </c>
      <c r="Q25" s="23">
        <f>SUM($O$2:O25)</f>
        <v>-1</v>
      </c>
      <c r="Y25" s="14"/>
      <c r="Z25" s="13"/>
      <c r="AA25"/>
    </row>
    <row r="26" spans="1:27" x14ac:dyDescent="0.2">
      <c r="A26" s="12" t="s">
        <v>105</v>
      </c>
      <c r="B26" t="s">
        <v>106</v>
      </c>
      <c r="C26" t="s">
        <v>107</v>
      </c>
      <c r="D26" t="s">
        <v>108</v>
      </c>
      <c r="E26" t="s">
        <v>13</v>
      </c>
      <c r="F26">
        <v>118</v>
      </c>
      <c r="G26">
        <v>122</v>
      </c>
      <c r="H26" s="5" t="s">
        <v>22</v>
      </c>
      <c r="I26" s="5">
        <v>0</v>
      </c>
      <c r="J26" s="5">
        <v>0</v>
      </c>
      <c r="K26" t="s">
        <v>9911</v>
      </c>
      <c r="L26" cm="1">
        <f t="array" ref="L26">wordCount(K26)</f>
        <v>5</v>
      </c>
      <c r="M26">
        <f t="shared" si="0"/>
        <v>20</v>
      </c>
      <c r="N26">
        <v>0.69230769230769229</v>
      </c>
      <c r="O26" s="23" cm="1">
        <f t="array" ref="O26">WordListCount(K26,keywords!$A$2:$A$31)-WordListCount(K26,keywords!$B$2:$B$31)</f>
        <v>0</v>
      </c>
      <c r="P26" s="25">
        <f t="shared" si="1"/>
        <v>0.46475694444444443</v>
      </c>
      <c r="Q26" s="23">
        <f>SUM($O$2:O26)</f>
        <v>-1</v>
      </c>
      <c r="Y26" s="14"/>
      <c r="Z26" s="13"/>
      <c r="AA26"/>
    </row>
    <row r="27" spans="1:27" x14ac:dyDescent="0.2">
      <c r="A27" s="12" t="s">
        <v>109</v>
      </c>
      <c r="B27" t="s">
        <v>110</v>
      </c>
      <c r="C27" t="s">
        <v>111</v>
      </c>
      <c r="D27" t="s">
        <v>112</v>
      </c>
      <c r="E27" t="s">
        <v>13</v>
      </c>
      <c r="F27">
        <v>526</v>
      </c>
      <c r="G27">
        <v>558</v>
      </c>
      <c r="H27" s="5" t="s">
        <v>42</v>
      </c>
      <c r="I27" s="5">
        <v>0</v>
      </c>
      <c r="J27" s="5">
        <v>0</v>
      </c>
      <c r="K27" t="s">
        <v>9912</v>
      </c>
      <c r="L27" cm="1">
        <f t="array" ref="L27">wordCount(K27)</f>
        <v>13</v>
      </c>
      <c r="M27">
        <f t="shared" si="0"/>
        <v>57</v>
      </c>
      <c r="N27">
        <v>0.65384615384615385</v>
      </c>
      <c r="O27" s="23" cm="1">
        <f t="array" ref="O27">WordListCount(K27,keywords!$A$2:$A$31)-WordListCount(K27,keywords!$B$2:$B$31)</f>
        <v>0</v>
      </c>
      <c r="P27" s="25">
        <f t="shared" si="1"/>
        <v>0.46501157407407406</v>
      </c>
      <c r="Q27" s="23">
        <f>SUM($O$2:O27)</f>
        <v>-1</v>
      </c>
      <c r="Y27" s="14"/>
      <c r="Z27" s="13"/>
      <c r="AA27"/>
    </row>
    <row r="28" spans="1:27" x14ac:dyDescent="0.2">
      <c r="A28" s="12" t="s">
        <v>113</v>
      </c>
      <c r="B28" t="s">
        <v>114</v>
      </c>
      <c r="C28" t="s">
        <v>115</v>
      </c>
      <c r="D28" t="s">
        <v>116</v>
      </c>
      <c r="E28" t="s">
        <v>13</v>
      </c>
      <c r="F28">
        <v>4</v>
      </c>
      <c r="G28">
        <v>54</v>
      </c>
      <c r="H28" s="5" t="s">
        <v>22</v>
      </c>
      <c r="I28" s="5">
        <v>0</v>
      </c>
      <c r="J28" s="5">
        <v>0</v>
      </c>
      <c r="K28" t="s">
        <v>9913</v>
      </c>
      <c r="L28" cm="1">
        <f t="array" ref="L28">wordCount(K28)</f>
        <v>11</v>
      </c>
      <c r="M28">
        <f t="shared" si="0"/>
        <v>56</v>
      </c>
      <c r="N28">
        <v>0.72727272727272729</v>
      </c>
      <c r="O28" s="23" cm="1">
        <f t="array" ref="O28">WordListCount(K28,keywords!$A$2:$A$31)-WordListCount(K28,keywords!$B$2:$B$31)</f>
        <v>0</v>
      </c>
      <c r="P28" s="25">
        <f t="shared" si="1"/>
        <v>0.4651851851851852</v>
      </c>
      <c r="Q28" s="23">
        <f>SUM($O$2:O28)</f>
        <v>-1</v>
      </c>
      <c r="Y28" s="14"/>
      <c r="Z28" s="13"/>
      <c r="AA28"/>
    </row>
    <row r="29" spans="1:27" x14ac:dyDescent="0.2">
      <c r="A29" s="12" t="s">
        <v>117</v>
      </c>
      <c r="B29" t="s">
        <v>118</v>
      </c>
      <c r="C29" t="s">
        <v>119</v>
      </c>
      <c r="D29" t="s">
        <v>120</v>
      </c>
      <c r="E29" t="s">
        <v>13</v>
      </c>
      <c r="F29">
        <v>17</v>
      </c>
      <c r="G29">
        <v>39</v>
      </c>
      <c r="H29" s="5" t="s">
        <v>22</v>
      </c>
      <c r="I29" s="5">
        <v>0</v>
      </c>
      <c r="J29" s="5">
        <v>0</v>
      </c>
      <c r="K29" t="s">
        <v>9914</v>
      </c>
      <c r="L29" cm="1">
        <f t="array" ref="L29">wordCount(K29)</f>
        <v>10</v>
      </c>
      <c r="M29">
        <f t="shared" si="0"/>
        <v>49</v>
      </c>
      <c r="N29">
        <v>0.55000000000000004</v>
      </c>
      <c r="O29" s="23" cm="1">
        <f t="array" ref="O29">WordListCount(K29,keywords!$A$2:$A$31)-WordListCount(K29,keywords!$B$2:$B$31)</f>
        <v>0</v>
      </c>
      <c r="P29" s="25">
        <f t="shared" si="1"/>
        <v>0.46530092592592592</v>
      </c>
      <c r="Q29" s="23">
        <f>SUM($O$2:O29)</f>
        <v>-1</v>
      </c>
      <c r="Y29" s="14"/>
      <c r="Z29" s="13"/>
      <c r="AA29"/>
    </row>
    <row r="30" spans="1:27" x14ac:dyDescent="0.2">
      <c r="A30" s="33" t="s">
        <v>121</v>
      </c>
      <c r="B30" s="34" t="s">
        <v>122</v>
      </c>
      <c r="C30" s="34" t="s">
        <v>123</v>
      </c>
      <c r="D30" s="34" t="s">
        <v>124</v>
      </c>
      <c r="E30" s="34" t="s">
        <v>13</v>
      </c>
      <c r="F30" s="34">
        <v>841</v>
      </c>
      <c r="G30" s="34">
        <v>899</v>
      </c>
      <c r="H30" s="35" t="s">
        <v>125</v>
      </c>
      <c r="I30" s="35">
        <v>0</v>
      </c>
      <c r="J30" s="35">
        <v>0</v>
      </c>
      <c r="K30" s="34" t="s">
        <v>9020</v>
      </c>
      <c r="L30" s="34" cm="1">
        <f t="array" ref="L30">wordCount(K30)</f>
        <v>20</v>
      </c>
      <c r="M30" s="34">
        <f t="shared" si="0"/>
        <v>90</v>
      </c>
      <c r="N30" s="34">
        <v>0.31818181818181818</v>
      </c>
      <c r="O30" s="36" cm="1">
        <f t="array" ref="O30">WordListCount(K30,keywords!$A$2:$A$31)-WordListCount(K30,keywords!$B$2:$B$31)</f>
        <v>0</v>
      </c>
      <c r="P30" s="37">
        <f t="shared" si="1"/>
        <v>0.46532407407407406</v>
      </c>
      <c r="Q30" s="23">
        <f>SUM($O$2:O30)</f>
        <v>-1</v>
      </c>
    </row>
    <row r="31" spans="1:27" x14ac:dyDescent="0.2">
      <c r="A31" s="12" t="s">
        <v>126</v>
      </c>
      <c r="B31" t="s">
        <v>127</v>
      </c>
      <c r="C31" t="s">
        <v>119</v>
      </c>
      <c r="D31" t="s">
        <v>120</v>
      </c>
      <c r="E31" t="s">
        <v>13</v>
      </c>
      <c r="F31">
        <v>17</v>
      </c>
      <c r="G31">
        <v>39</v>
      </c>
      <c r="H31" s="5" t="s">
        <v>22</v>
      </c>
      <c r="I31" s="5">
        <v>0</v>
      </c>
      <c r="J31" s="5">
        <v>0</v>
      </c>
      <c r="K31" t="s">
        <v>9914</v>
      </c>
      <c r="L31" cm="1">
        <f t="array" ref="L31">wordCount(K31)</f>
        <v>10</v>
      </c>
      <c r="M31">
        <f t="shared" si="0"/>
        <v>49</v>
      </c>
      <c r="N31">
        <v>0.9</v>
      </c>
      <c r="O31" s="23" cm="1">
        <f t="array" ref="O31">WordListCount(K31,keywords!$A$2:$A$31)-WordListCount(K31,keywords!$B$2:$B$31)</f>
        <v>0</v>
      </c>
      <c r="P31" s="25">
        <f t="shared" si="1"/>
        <v>0.46535879629629634</v>
      </c>
      <c r="Q31" s="23">
        <f>SUM($O$2:O31)</f>
        <v>-1</v>
      </c>
      <c r="Y31" s="14"/>
      <c r="Z31" s="13"/>
      <c r="AA31"/>
    </row>
    <row r="32" spans="1:27" x14ac:dyDescent="0.2">
      <c r="A32" s="12" t="s">
        <v>128</v>
      </c>
      <c r="B32" t="s">
        <v>129</v>
      </c>
      <c r="C32" t="s">
        <v>130</v>
      </c>
      <c r="D32" t="s">
        <v>131</v>
      </c>
      <c r="E32" t="s">
        <v>13</v>
      </c>
      <c r="F32">
        <v>94</v>
      </c>
      <c r="G32">
        <v>202</v>
      </c>
      <c r="H32" s="5" t="s">
        <v>22</v>
      </c>
      <c r="I32" s="5">
        <v>0</v>
      </c>
      <c r="J32" s="5">
        <v>0</v>
      </c>
      <c r="K32" t="s">
        <v>9915</v>
      </c>
      <c r="L32" cm="1">
        <f t="array" ref="L32">wordCount(K32)</f>
        <v>19</v>
      </c>
      <c r="M32">
        <f t="shared" si="0"/>
        <v>106</v>
      </c>
      <c r="N32">
        <v>0.5714285714285714</v>
      </c>
      <c r="O32" s="23" cm="1">
        <f t="array" ref="O32">WordListCount(K32,keywords!$A$2:$A$31)-WordListCount(K32,keywords!$B$2:$B$31)</f>
        <v>0</v>
      </c>
      <c r="P32" s="25">
        <f t="shared" si="1"/>
        <v>0.46546296296296297</v>
      </c>
      <c r="Q32" s="23">
        <f>SUM($O$2:O32)</f>
        <v>-1</v>
      </c>
      <c r="Y32" s="14"/>
      <c r="Z32" s="13"/>
      <c r="AA32"/>
    </row>
    <row r="33" spans="1:27" x14ac:dyDescent="0.2">
      <c r="A33" s="12" t="s">
        <v>132</v>
      </c>
      <c r="B33" t="s">
        <v>133</v>
      </c>
      <c r="C33" t="s">
        <v>134</v>
      </c>
      <c r="D33" t="s">
        <v>135</v>
      </c>
      <c r="E33" t="s">
        <v>13</v>
      </c>
      <c r="F33">
        <v>1032</v>
      </c>
      <c r="G33">
        <v>981</v>
      </c>
      <c r="H33" s="5" t="s">
        <v>22</v>
      </c>
      <c r="I33" s="5">
        <v>0</v>
      </c>
      <c r="J33" s="5">
        <v>0</v>
      </c>
      <c r="K33" t="s">
        <v>9916</v>
      </c>
      <c r="L33" cm="1">
        <f t="array" ref="L33">wordCount(K33)</f>
        <v>19</v>
      </c>
      <c r="M33">
        <f t="shared" si="0"/>
        <v>101</v>
      </c>
      <c r="N33">
        <v>0.34782608695652173</v>
      </c>
      <c r="O33" s="23" cm="1">
        <f t="array" ref="O33">WordListCount(K33,keywords!$A$2:$A$31)-WordListCount(K33,keywords!$B$2:$B$31)</f>
        <v>-1</v>
      </c>
      <c r="P33" s="25">
        <f t="shared" si="1"/>
        <v>0.46550925925925929</v>
      </c>
      <c r="Q33" s="23">
        <f>SUM($O$2:O33)</f>
        <v>-2</v>
      </c>
      <c r="Y33" s="14"/>
      <c r="Z33" s="13"/>
      <c r="AA33"/>
    </row>
    <row r="34" spans="1:27" x14ac:dyDescent="0.2">
      <c r="A34" s="12" t="s">
        <v>136</v>
      </c>
      <c r="B34" t="s">
        <v>137</v>
      </c>
      <c r="C34" t="s">
        <v>138</v>
      </c>
      <c r="D34" t="s">
        <v>12</v>
      </c>
      <c r="E34" t="s">
        <v>13</v>
      </c>
      <c r="F34">
        <v>218</v>
      </c>
      <c r="G34">
        <v>126</v>
      </c>
      <c r="H34" s="5" t="s">
        <v>139</v>
      </c>
      <c r="I34" s="5">
        <v>0</v>
      </c>
      <c r="J34" s="5">
        <v>0</v>
      </c>
      <c r="K34" t="s">
        <v>9917</v>
      </c>
      <c r="L34" cm="1">
        <f t="array" ref="L34">wordCount(K34)</f>
        <v>14</v>
      </c>
      <c r="M34">
        <f t="shared" si="0"/>
        <v>68</v>
      </c>
      <c r="N34">
        <v>0.62068965517241381</v>
      </c>
      <c r="O34" s="23" cm="1">
        <f t="array" ref="O34">WordListCount(K34,keywords!$A$2:$A$31)-WordListCount(K34,keywords!$B$2:$B$31)</f>
        <v>0</v>
      </c>
      <c r="P34" s="25">
        <f t="shared" si="1"/>
        <v>0.46556712962962959</v>
      </c>
      <c r="Q34" s="23">
        <f>SUM($O$2:O34)</f>
        <v>-2</v>
      </c>
      <c r="Y34" s="14"/>
      <c r="Z34" s="13"/>
      <c r="AA34"/>
    </row>
    <row r="35" spans="1:27" x14ac:dyDescent="0.2">
      <c r="A35" s="12" t="s">
        <v>140</v>
      </c>
      <c r="B35" t="s">
        <v>141</v>
      </c>
      <c r="C35" t="s">
        <v>142</v>
      </c>
      <c r="D35" t="s">
        <v>143</v>
      </c>
      <c r="E35" t="s">
        <v>13</v>
      </c>
      <c r="F35">
        <v>40</v>
      </c>
      <c r="G35">
        <v>145</v>
      </c>
      <c r="H35" s="5" t="s">
        <v>22</v>
      </c>
      <c r="I35" s="5">
        <v>0</v>
      </c>
      <c r="J35" s="5">
        <v>0</v>
      </c>
      <c r="K35" t="s">
        <v>9918</v>
      </c>
      <c r="L35" cm="1">
        <f t="array" ref="L35">wordCount(K35)</f>
        <v>17</v>
      </c>
      <c r="M35">
        <f t="shared" si="0"/>
        <v>76</v>
      </c>
      <c r="N35">
        <v>0.22222222222222221</v>
      </c>
      <c r="O35" s="23" cm="1">
        <f t="array" ref="O35">WordListCount(K35,keywords!$A$2:$A$31)-WordListCount(K35,keywords!$B$2:$B$31)</f>
        <v>-1</v>
      </c>
      <c r="P35" s="25">
        <f t="shared" si="1"/>
        <v>0.46568287037037037</v>
      </c>
      <c r="Q35" s="23">
        <f>SUM($O$2:O35)</f>
        <v>-3</v>
      </c>
      <c r="Y35" s="14"/>
      <c r="Z35" s="13"/>
      <c r="AA35"/>
    </row>
    <row r="36" spans="1:27" x14ac:dyDescent="0.2">
      <c r="A36" s="12" t="s">
        <v>144</v>
      </c>
      <c r="B36" t="s">
        <v>145</v>
      </c>
      <c r="C36" t="s">
        <v>146</v>
      </c>
      <c r="D36" t="s">
        <v>147</v>
      </c>
      <c r="E36" t="s">
        <v>13</v>
      </c>
      <c r="F36">
        <v>1230</v>
      </c>
      <c r="G36">
        <v>140</v>
      </c>
      <c r="H36" s="5" t="s">
        <v>22</v>
      </c>
      <c r="I36" s="5">
        <v>0</v>
      </c>
      <c r="J36" s="5">
        <v>0</v>
      </c>
      <c r="K36" t="s">
        <v>9919</v>
      </c>
      <c r="L36" cm="1">
        <f t="array" ref="L36">wordCount(K36)</f>
        <v>26</v>
      </c>
      <c r="M36">
        <f t="shared" si="0"/>
        <v>109</v>
      </c>
      <c r="N36">
        <v>0.5641025641025641</v>
      </c>
      <c r="O36" s="23" cm="1">
        <f t="array" ref="O36">WordListCount(K36,keywords!$A$2:$A$31)-WordListCount(K36,keywords!$B$2:$B$31)</f>
        <v>0</v>
      </c>
      <c r="P36" s="25">
        <f t="shared" si="1"/>
        <v>0.46635416666666668</v>
      </c>
      <c r="Q36" s="23">
        <f>SUM($O$2:O36)</f>
        <v>-3</v>
      </c>
      <c r="Y36" s="14"/>
      <c r="Z36" s="13"/>
      <c r="AA36"/>
    </row>
    <row r="37" spans="1:27" x14ac:dyDescent="0.2">
      <c r="A37" s="12" t="s">
        <v>148</v>
      </c>
      <c r="B37" t="s">
        <v>149</v>
      </c>
      <c r="C37" t="s">
        <v>150</v>
      </c>
      <c r="D37" t="s">
        <v>12</v>
      </c>
      <c r="E37" t="s">
        <v>13</v>
      </c>
      <c r="F37">
        <v>6</v>
      </c>
      <c r="G37">
        <v>45</v>
      </c>
      <c r="H37" s="5" t="s">
        <v>22</v>
      </c>
      <c r="I37" s="5">
        <v>0</v>
      </c>
      <c r="J37" s="5">
        <v>0</v>
      </c>
      <c r="K37" t="s">
        <v>9021</v>
      </c>
      <c r="L37" cm="1">
        <f t="array" ref="L37">wordCount(K37)</f>
        <v>4</v>
      </c>
      <c r="M37">
        <f t="shared" si="0"/>
        <v>15</v>
      </c>
      <c r="N37">
        <v>1</v>
      </c>
      <c r="O37" s="23" cm="1">
        <f t="array" ref="O37">WordListCount(K37,keywords!$A$2:$A$31)-WordListCount(K37,keywords!$B$2:$B$31)</f>
        <v>0</v>
      </c>
      <c r="P37" s="25">
        <f t="shared" si="1"/>
        <v>0.46650462962962963</v>
      </c>
      <c r="Q37" s="23">
        <f>SUM($O$2:O37)</f>
        <v>-3</v>
      </c>
      <c r="Y37" s="14"/>
      <c r="Z37" s="13"/>
      <c r="AA37"/>
    </row>
    <row r="38" spans="1:27" x14ac:dyDescent="0.2">
      <c r="A38" s="12" t="s">
        <v>151</v>
      </c>
      <c r="B38" t="s">
        <v>152</v>
      </c>
      <c r="C38" t="s">
        <v>153</v>
      </c>
      <c r="D38" t="s">
        <v>12</v>
      </c>
      <c r="E38" t="s">
        <v>13</v>
      </c>
      <c r="F38">
        <v>60</v>
      </c>
      <c r="G38">
        <v>475</v>
      </c>
      <c r="H38" s="5" t="s">
        <v>22</v>
      </c>
      <c r="I38" s="5">
        <v>0</v>
      </c>
      <c r="J38" s="5">
        <v>0</v>
      </c>
      <c r="K38" t="s">
        <v>9920</v>
      </c>
      <c r="L38" cm="1">
        <f t="array" ref="L38">wordCount(K38)</f>
        <v>12</v>
      </c>
      <c r="M38">
        <f t="shared" si="0"/>
        <v>66</v>
      </c>
      <c r="N38">
        <v>0.56521739130434778</v>
      </c>
      <c r="O38" s="23" cm="1">
        <f t="array" ref="O38">WordListCount(K38,keywords!$A$2:$A$31)-WordListCount(K38,keywords!$B$2:$B$31)</f>
        <v>0</v>
      </c>
      <c r="P38" s="25">
        <f t="shared" si="1"/>
        <v>0.46671296296296294</v>
      </c>
      <c r="Q38" s="23">
        <f>SUM($O$2:O38)</f>
        <v>-3</v>
      </c>
      <c r="Y38" s="14"/>
      <c r="Z38" s="13"/>
      <c r="AA38"/>
    </row>
    <row r="39" spans="1:27" x14ac:dyDescent="0.2">
      <c r="A39" s="12" t="s">
        <v>154</v>
      </c>
      <c r="B39" t="s">
        <v>155</v>
      </c>
      <c r="C39" t="s">
        <v>156</v>
      </c>
      <c r="D39" t="s">
        <v>157</v>
      </c>
      <c r="E39" t="s">
        <v>13</v>
      </c>
      <c r="F39">
        <v>11</v>
      </c>
      <c r="G39">
        <v>322</v>
      </c>
      <c r="H39" s="5" t="s">
        <v>22</v>
      </c>
      <c r="I39" s="5">
        <v>0</v>
      </c>
      <c r="J39" s="5">
        <v>0</v>
      </c>
      <c r="K39" t="s">
        <v>9921</v>
      </c>
      <c r="L39" cm="1">
        <f t="array" ref="L39">wordCount(K39)</f>
        <v>17</v>
      </c>
      <c r="M39">
        <f t="shared" si="0"/>
        <v>87</v>
      </c>
      <c r="N39">
        <v>0.5757575757575758</v>
      </c>
      <c r="O39" s="23" cm="1">
        <f t="array" ref="O39">WordListCount(K39,keywords!$A$2:$A$31)-WordListCount(K39,keywords!$B$2:$B$31)</f>
        <v>1</v>
      </c>
      <c r="P39" s="25">
        <f t="shared" si="1"/>
        <v>0.46695601851851848</v>
      </c>
      <c r="Q39" s="23">
        <f>SUM($O$2:O39)</f>
        <v>-2</v>
      </c>
      <c r="Y39" s="14"/>
      <c r="Z39" s="13"/>
      <c r="AA39"/>
    </row>
    <row r="40" spans="1:27" x14ac:dyDescent="0.2">
      <c r="A40" s="12" t="s">
        <v>158</v>
      </c>
      <c r="B40" t="s">
        <v>159</v>
      </c>
      <c r="C40" t="s">
        <v>160</v>
      </c>
      <c r="D40" t="s">
        <v>161</v>
      </c>
      <c r="E40" t="s">
        <v>13</v>
      </c>
      <c r="F40">
        <v>42</v>
      </c>
      <c r="G40">
        <v>192</v>
      </c>
      <c r="H40" s="5" t="s">
        <v>22</v>
      </c>
      <c r="I40" s="5">
        <v>0</v>
      </c>
      <c r="J40" s="5">
        <v>0</v>
      </c>
      <c r="K40" t="s">
        <v>9022</v>
      </c>
      <c r="L40" cm="1">
        <f t="array" ref="L40">wordCount(K40)</f>
        <v>3</v>
      </c>
      <c r="M40">
        <f t="shared" si="0"/>
        <v>14</v>
      </c>
      <c r="N40">
        <v>0.8</v>
      </c>
      <c r="O40" s="23" cm="1">
        <f t="array" ref="O40">WordListCount(K40,keywords!$A$2:$A$31)-WordListCount(K40,keywords!$B$2:$B$31)</f>
        <v>0</v>
      </c>
      <c r="P40" s="25">
        <f t="shared" si="1"/>
        <v>0.46718750000000003</v>
      </c>
      <c r="Q40" s="23">
        <f>SUM($O$2:O40)</f>
        <v>-2</v>
      </c>
      <c r="Y40" s="14"/>
      <c r="Z40" s="13"/>
      <c r="AA40"/>
    </row>
    <row r="41" spans="1:27" x14ac:dyDescent="0.2">
      <c r="A41" s="12" t="s">
        <v>162</v>
      </c>
      <c r="B41" t="s">
        <v>163</v>
      </c>
      <c r="C41" t="s">
        <v>164</v>
      </c>
      <c r="D41" t="s">
        <v>165</v>
      </c>
      <c r="E41" t="s">
        <v>13</v>
      </c>
      <c r="F41">
        <v>76</v>
      </c>
      <c r="G41">
        <v>163</v>
      </c>
      <c r="H41" s="5" t="s">
        <v>22</v>
      </c>
      <c r="I41" s="5">
        <v>0</v>
      </c>
      <c r="J41" s="5">
        <v>0</v>
      </c>
      <c r="K41" t="s">
        <v>9922</v>
      </c>
      <c r="L41" cm="1">
        <f t="array" ref="L41">wordCount(K41)</f>
        <v>12</v>
      </c>
      <c r="M41">
        <f t="shared" si="0"/>
        <v>57</v>
      </c>
      <c r="N41">
        <v>0.6</v>
      </c>
      <c r="O41" s="23" cm="1">
        <f t="array" ref="O41">WordListCount(K41,keywords!$A$2:$A$31)-WordListCount(K41,keywords!$B$2:$B$31)</f>
        <v>2</v>
      </c>
      <c r="P41" s="25">
        <f t="shared" si="1"/>
        <v>0.46765046296296298</v>
      </c>
      <c r="Q41" s="23">
        <f>SUM($O$2:O41)</f>
        <v>0</v>
      </c>
      <c r="Y41" s="14"/>
      <c r="Z41" s="13"/>
      <c r="AA41"/>
    </row>
    <row r="42" spans="1:27" x14ac:dyDescent="0.2">
      <c r="A42" s="12" t="s">
        <v>166</v>
      </c>
      <c r="B42" t="s">
        <v>167</v>
      </c>
      <c r="C42" t="s">
        <v>168</v>
      </c>
      <c r="D42" t="s">
        <v>169</v>
      </c>
      <c r="E42" t="s">
        <v>13</v>
      </c>
      <c r="F42">
        <v>2748</v>
      </c>
      <c r="G42">
        <v>1544</v>
      </c>
      <c r="H42" s="5" t="s">
        <v>22</v>
      </c>
      <c r="I42" s="5">
        <v>0</v>
      </c>
      <c r="J42" s="5">
        <v>0</v>
      </c>
      <c r="K42" t="s">
        <v>9923</v>
      </c>
      <c r="L42" cm="1">
        <f t="array" ref="L42">wordCount(K42)</f>
        <v>21</v>
      </c>
      <c r="M42">
        <f t="shared" si="0"/>
        <v>93</v>
      </c>
      <c r="N42">
        <v>0.625</v>
      </c>
      <c r="O42" s="23" cm="1">
        <f t="array" ref="O42">WordListCount(K42,keywords!$A$2:$A$31)-WordListCount(K42,keywords!$B$2:$B$31)</f>
        <v>-1</v>
      </c>
      <c r="P42" s="25">
        <f t="shared" si="1"/>
        <v>0.46770833333333334</v>
      </c>
      <c r="Q42" s="23">
        <f>SUM($O$2:O42)</f>
        <v>-1</v>
      </c>
      <c r="Y42" s="14"/>
      <c r="Z42" s="13"/>
      <c r="AA42"/>
    </row>
    <row r="43" spans="1:27" x14ac:dyDescent="0.2">
      <c r="A43" s="12" t="s">
        <v>170</v>
      </c>
      <c r="B43" t="s">
        <v>171</v>
      </c>
      <c r="C43" t="s">
        <v>172</v>
      </c>
      <c r="D43" t="s">
        <v>12</v>
      </c>
      <c r="E43" t="s">
        <v>13</v>
      </c>
      <c r="F43">
        <v>3</v>
      </c>
      <c r="G43">
        <v>1</v>
      </c>
      <c r="H43" s="5" t="s">
        <v>22</v>
      </c>
      <c r="I43" s="5">
        <v>0</v>
      </c>
      <c r="J43" s="5">
        <v>0</v>
      </c>
      <c r="K43" t="s">
        <v>9924</v>
      </c>
      <c r="L43" cm="1">
        <f t="array" ref="L43">wordCount(K43)</f>
        <v>7</v>
      </c>
      <c r="M43">
        <f t="shared" si="0"/>
        <v>37</v>
      </c>
      <c r="N43">
        <v>0.80952380952380953</v>
      </c>
      <c r="O43" s="23" cm="1">
        <f t="array" ref="O43">WordListCount(K43,keywords!$A$2:$A$31)-WordListCount(K43,keywords!$B$2:$B$31)</f>
        <v>0</v>
      </c>
      <c r="P43" s="25">
        <f t="shared" si="1"/>
        <v>0.4679166666666667</v>
      </c>
      <c r="Q43" s="23">
        <f>SUM($O$2:O43)</f>
        <v>-1</v>
      </c>
      <c r="Y43" s="14"/>
      <c r="Z43" s="13"/>
      <c r="AA43"/>
    </row>
    <row r="44" spans="1:27" x14ac:dyDescent="0.2">
      <c r="A44" s="12" t="s">
        <v>173</v>
      </c>
      <c r="B44" t="s">
        <v>174</v>
      </c>
      <c r="C44" t="s">
        <v>175</v>
      </c>
      <c r="D44" t="s">
        <v>176</v>
      </c>
      <c r="E44" t="s">
        <v>13</v>
      </c>
      <c r="F44">
        <v>134</v>
      </c>
      <c r="G44">
        <v>57</v>
      </c>
      <c r="H44" s="5" t="s">
        <v>22</v>
      </c>
      <c r="I44" s="5">
        <v>0</v>
      </c>
      <c r="J44" s="5">
        <v>0</v>
      </c>
      <c r="K44" t="s">
        <v>9023</v>
      </c>
      <c r="L44" cm="1">
        <f t="array" ref="L44">wordCount(K44)</f>
        <v>13</v>
      </c>
      <c r="M44">
        <f t="shared" si="0"/>
        <v>56</v>
      </c>
      <c r="N44">
        <v>0.65625</v>
      </c>
      <c r="O44" s="23" cm="1">
        <f t="array" ref="O44">WordListCount(K44,keywords!$A$2:$A$31)-WordListCount(K44,keywords!$B$2:$B$31)</f>
        <v>0</v>
      </c>
      <c r="P44" s="25">
        <f t="shared" si="1"/>
        <v>0.46859953703703705</v>
      </c>
      <c r="Q44" s="23">
        <f>SUM($O$2:O44)</f>
        <v>-1</v>
      </c>
      <c r="Y44" s="14"/>
      <c r="Z44" s="13"/>
      <c r="AA44"/>
    </row>
    <row r="45" spans="1:27" x14ac:dyDescent="0.2">
      <c r="A45" s="12" t="s">
        <v>177</v>
      </c>
      <c r="B45" t="s">
        <v>178</v>
      </c>
      <c r="C45" t="s">
        <v>179</v>
      </c>
      <c r="D45" t="s">
        <v>180</v>
      </c>
      <c r="E45" t="s">
        <v>13</v>
      </c>
      <c r="F45">
        <v>966</v>
      </c>
      <c r="G45">
        <v>180</v>
      </c>
      <c r="H45" s="5" t="s">
        <v>22</v>
      </c>
      <c r="I45" s="5">
        <v>0</v>
      </c>
      <c r="J45" s="5">
        <v>0</v>
      </c>
      <c r="K45" t="s">
        <v>9925</v>
      </c>
      <c r="L45" cm="1">
        <f t="array" ref="L45">wordCount(K45)</f>
        <v>17</v>
      </c>
      <c r="M45">
        <f t="shared" si="0"/>
        <v>96</v>
      </c>
      <c r="N45">
        <v>0.38461538461538464</v>
      </c>
      <c r="O45" s="23" cm="1">
        <f t="array" ref="O45">WordListCount(K45,keywords!$A$2:$A$31)-WordListCount(K45,keywords!$B$2:$B$31)</f>
        <v>0</v>
      </c>
      <c r="P45" s="25">
        <f t="shared" si="1"/>
        <v>0.46876157407407404</v>
      </c>
      <c r="Q45" s="23">
        <f>SUM($O$2:O45)</f>
        <v>-1</v>
      </c>
      <c r="Y45" s="14"/>
      <c r="Z45" s="13"/>
      <c r="AA45"/>
    </row>
    <row r="46" spans="1:27" x14ac:dyDescent="0.2">
      <c r="A46" s="12" t="s">
        <v>181</v>
      </c>
      <c r="B46" t="s">
        <v>182</v>
      </c>
      <c r="C46" t="s">
        <v>175</v>
      </c>
      <c r="D46" t="s">
        <v>176</v>
      </c>
      <c r="E46" t="s">
        <v>13</v>
      </c>
      <c r="F46">
        <v>134</v>
      </c>
      <c r="G46">
        <v>57</v>
      </c>
      <c r="H46" s="5" t="s">
        <v>22</v>
      </c>
      <c r="I46" s="5">
        <v>0</v>
      </c>
      <c r="J46" s="5">
        <v>0</v>
      </c>
      <c r="K46" t="s">
        <v>9926</v>
      </c>
      <c r="L46" cm="1">
        <f t="array" ref="L46">wordCount(K46)</f>
        <v>10</v>
      </c>
      <c r="M46">
        <f t="shared" si="0"/>
        <v>61</v>
      </c>
      <c r="N46">
        <v>0.76</v>
      </c>
      <c r="O46" s="23" cm="1">
        <f t="array" ref="O46">WordListCount(K46,keywords!$A$2:$A$31)-WordListCount(K46,keywords!$B$2:$B$31)</f>
        <v>0</v>
      </c>
      <c r="P46" s="25">
        <f t="shared" si="1"/>
        <v>0.46907407407407403</v>
      </c>
      <c r="Q46" s="23">
        <f>SUM($O$2:O46)</f>
        <v>-1</v>
      </c>
      <c r="Y46" s="14"/>
      <c r="Z46" s="13"/>
      <c r="AA46"/>
    </row>
    <row r="47" spans="1:27" x14ac:dyDescent="0.2">
      <c r="A47" s="12" t="s">
        <v>183</v>
      </c>
      <c r="B47" t="s">
        <v>184</v>
      </c>
      <c r="C47" t="s">
        <v>185</v>
      </c>
      <c r="D47" t="s">
        <v>186</v>
      </c>
      <c r="E47" t="s">
        <v>13</v>
      </c>
      <c r="F47">
        <v>160</v>
      </c>
      <c r="G47">
        <v>288</v>
      </c>
      <c r="H47" s="5" t="s">
        <v>22</v>
      </c>
      <c r="I47" s="5">
        <v>0</v>
      </c>
      <c r="J47" s="5">
        <v>0</v>
      </c>
      <c r="K47" t="s">
        <v>9024</v>
      </c>
      <c r="L47" cm="1">
        <f t="array" ref="L47">wordCount(K47)</f>
        <v>14</v>
      </c>
      <c r="M47">
        <f t="shared" si="0"/>
        <v>56</v>
      </c>
      <c r="N47">
        <v>0.54545454545454541</v>
      </c>
      <c r="O47" s="23" cm="1">
        <f t="array" ref="O47">WordListCount(K47,keywords!$A$2:$A$31)-WordListCount(K47,keywords!$B$2:$B$31)</f>
        <v>-1</v>
      </c>
      <c r="P47" s="25">
        <f t="shared" si="1"/>
        <v>0.46916666666666668</v>
      </c>
      <c r="Q47" s="23">
        <f>SUM($O$2:O47)</f>
        <v>-2</v>
      </c>
      <c r="Y47" s="14"/>
      <c r="Z47" s="13"/>
      <c r="AA47"/>
    </row>
    <row r="48" spans="1:27" x14ac:dyDescent="0.2">
      <c r="A48" s="12" t="s">
        <v>187</v>
      </c>
      <c r="B48" t="s">
        <v>188</v>
      </c>
      <c r="C48" t="s">
        <v>189</v>
      </c>
      <c r="D48" t="s">
        <v>12</v>
      </c>
      <c r="E48" t="s">
        <v>13</v>
      </c>
      <c r="F48">
        <v>720</v>
      </c>
      <c r="G48">
        <v>502</v>
      </c>
      <c r="H48" s="5" t="s">
        <v>22</v>
      </c>
      <c r="I48" s="5">
        <v>0</v>
      </c>
      <c r="J48" s="5">
        <v>0</v>
      </c>
      <c r="K48" t="s">
        <v>9025</v>
      </c>
      <c r="L48" cm="1">
        <f t="array" ref="L48">wordCount(K48)</f>
        <v>5</v>
      </c>
      <c r="M48">
        <f t="shared" si="0"/>
        <v>29</v>
      </c>
      <c r="N48">
        <v>0.82352941176470584</v>
      </c>
      <c r="O48" s="23" cm="1">
        <f t="array" ref="O48">WordListCount(K48,keywords!$A$2:$A$31)-WordListCount(K48,keywords!$B$2:$B$31)</f>
        <v>0</v>
      </c>
      <c r="P48" s="25">
        <f t="shared" si="1"/>
        <v>0.46921296296296294</v>
      </c>
      <c r="Q48" s="23">
        <f>SUM($O$2:O48)</f>
        <v>-2</v>
      </c>
      <c r="Y48" s="14"/>
      <c r="Z48" s="13"/>
      <c r="AA48"/>
    </row>
    <row r="49" spans="1:27" x14ac:dyDescent="0.2">
      <c r="A49" s="12" t="s">
        <v>190</v>
      </c>
      <c r="B49" t="s">
        <v>191</v>
      </c>
      <c r="C49" t="s">
        <v>192</v>
      </c>
      <c r="D49" t="s">
        <v>193</v>
      </c>
      <c r="E49" t="s">
        <v>13</v>
      </c>
      <c r="F49">
        <v>44</v>
      </c>
      <c r="G49">
        <v>163</v>
      </c>
      <c r="H49" s="5" t="s">
        <v>22</v>
      </c>
      <c r="I49" s="5">
        <v>0</v>
      </c>
      <c r="J49" s="5">
        <v>0</v>
      </c>
      <c r="K49" t="s">
        <v>9927</v>
      </c>
      <c r="L49" cm="1">
        <f t="array" ref="L49">wordCount(K49)</f>
        <v>9</v>
      </c>
      <c r="M49">
        <f t="shared" si="0"/>
        <v>38</v>
      </c>
      <c r="N49">
        <v>0.75</v>
      </c>
      <c r="O49" s="23" cm="1">
        <f t="array" ref="O49">WordListCount(K49,keywords!$A$2:$A$31)-WordListCount(K49,keywords!$B$2:$B$31)</f>
        <v>0</v>
      </c>
      <c r="P49" s="25">
        <f t="shared" si="1"/>
        <v>0.46952546296296299</v>
      </c>
      <c r="Q49" s="23">
        <f>SUM($O$2:O49)</f>
        <v>-2</v>
      </c>
      <c r="Y49" s="14"/>
      <c r="Z49" s="13"/>
      <c r="AA49"/>
    </row>
    <row r="50" spans="1:27" x14ac:dyDescent="0.2">
      <c r="A50" s="12" t="s">
        <v>194</v>
      </c>
      <c r="B50" t="s">
        <v>195</v>
      </c>
      <c r="C50" t="s">
        <v>196</v>
      </c>
      <c r="D50" t="s">
        <v>197</v>
      </c>
      <c r="E50" t="s">
        <v>13</v>
      </c>
      <c r="F50">
        <v>885</v>
      </c>
      <c r="G50">
        <v>406</v>
      </c>
      <c r="H50" s="5" t="s">
        <v>22</v>
      </c>
      <c r="I50" s="5">
        <v>0</v>
      </c>
      <c r="J50" s="5">
        <v>0</v>
      </c>
      <c r="K50" t="s">
        <v>9928</v>
      </c>
      <c r="L50" cm="1">
        <f t="array" ref="L50">wordCount(K50)</f>
        <v>19</v>
      </c>
      <c r="M50">
        <f t="shared" si="0"/>
        <v>105</v>
      </c>
      <c r="N50">
        <v>0.51851851851851849</v>
      </c>
      <c r="O50" s="23" cm="1">
        <f t="array" ref="O50">WordListCount(K50,keywords!$A$2:$A$31)-WordListCount(K50,keywords!$B$2:$B$31)</f>
        <v>0</v>
      </c>
      <c r="P50" s="25">
        <f t="shared" si="1"/>
        <v>0.47001157407407407</v>
      </c>
      <c r="Q50" s="23">
        <f>SUM($O$2:O50)</f>
        <v>-2</v>
      </c>
      <c r="Y50" s="14"/>
      <c r="Z50" s="13"/>
      <c r="AA50"/>
    </row>
    <row r="51" spans="1:27" x14ac:dyDescent="0.2">
      <c r="A51" s="12" t="s">
        <v>198</v>
      </c>
      <c r="B51" t="s">
        <v>199</v>
      </c>
      <c r="C51" t="s">
        <v>200</v>
      </c>
      <c r="D51" t="s">
        <v>12</v>
      </c>
      <c r="E51" t="s">
        <v>13</v>
      </c>
      <c r="F51">
        <v>25</v>
      </c>
      <c r="G51">
        <v>257</v>
      </c>
      <c r="H51" s="5" t="s">
        <v>22</v>
      </c>
      <c r="I51" s="5">
        <v>0</v>
      </c>
      <c r="J51" s="5">
        <v>0</v>
      </c>
      <c r="K51" t="s">
        <v>9929</v>
      </c>
      <c r="L51" cm="1">
        <f t="array" ref="L51">wordCount(K51)</f>
        <v>10</v>
      </c>
      <c r="M51">
        <f t="shared" si="0"/>
        <v>64</v>
      </c>
      <c r="N51">
        <v>0.76</v>
      </c>
      <c r="O51" s="23" cm="1">
        <f t="array" ref="O51">WordListCount(K51,keywords!$A$2:$A$31)-WordListCount(K51,keywords!$B$2:$B$31)</f>
        <v>1</v>
      </c>
      <c r="P51" s="25">
        <f t="shared" si="1"/>
        <v>0.47010416666666671</v>
      </c>
      <c r="Q51" s="23">
        <f>SUM($O$2:O51)</f>
        <v>-1</v>
      </c>
      <c r="Y51" s="14"/>
      <c r="Z51" s="13"/>
      <c r="AA51"/>
    </row>
    <row r="52" spans="1:27" x14ac:dyDescent="0.2">
      <c r="A52" s="33" t="s">
        <v>201</v>
      </c>
      <c r="B52" s="34" t="s">
        <v>202</v>
      </c>
      <c r="C52" s="34" t="s">
        <v>123</v>
      </c>
      <c r="D52" s="34" t="s">
        <v>124</v>
      </c>
      <c r="E52" s="34" t="s">
        <v>13</v>
      </c>
      <c r="F52" s="34">
        <v>841</v>
      </c>
      <c r="G52" s="34">
        <v>899</v>
      </c>
      <c r="H52" s="35" t="s">
        <v>125</v>
      </c>
      <c r="I52" s="35">
        <v>0</v>
      </c>
      <c r="J52" s="35">
        <v>0</v>
      </c>
      <c r="K52" s="34" t="s">
        <v>9026</v>
      </c>
      <c r="L52" s="34" cm="1">
        <f t="array" ref="L52">wordCount(K52)</f>
        <v>21</v>
      </c>
      <c r="M52" s="34">
        <f t="shared" si="0"/>
        <v>97</v>
      </c>
      <c r="N52" s="34">
        <v>0.16666666666666666</v>
      </c>
      <c r="O52" s="36" cm="1">
        <f t="array" ref="O52">WordListCount(K52,keywords!$A$2:$A$31)-WordListCount(K52,keywords!$B$2:$B$31)</f>
        <v>0</v>
      </c>
      <c r="P52" s="37">
        <f t="shared" si="1"/>
        <v>0.47018518518518521</v>
      </c>
      <c r="Q52" s="23">
        <f>SUM($O$2:O52)</f>
        <v>-1</v>
      </c>
    </row>
    <row r="53" spans="1:27" x14ac:dyDescent="0.2">
      <c r="A53" s="12" t="s">
        <v>203</v>
      </c>
      <c r="B53" t="s">
        <v>204</v>
      </c>
      <c r="C53" t="s">
        <v>205</v>
      </c>
      <c r="D53" t="s">
        <v>12</v>
      </c>
      <c r="E53" t="s">
        <v>13</v>
      </c>
      <c r="F53">
        <v>2866</v>
      </c>
      <c r="G53">
        <v>6</v>
      </c>
      <c r="H53" s="5" t="s">
        <v>22</v>
      </c>
      <c r="I53" s="5">
        <v>0</v>
      </c>
      <c r="J53" s="5">
        <v>0</v>
      </c>
      <c r="K53" t="s">
        <v>9027</v>
      </c>
      <c r="L53" cm="1">
        <f t="array" ref="L53">wordCount(K53)</f>
        <v>8</v>
      </c>
      <c r="M53">
        <f t="shared" si="0"/>
        <v>55</v>
      </c>
      <c r="N53">
        <v>0.77777777777777779</v>
      </c>
      <c r="O53" s="23" cm="1">
        <f t="array" ref="O53">WordListCount(K53,keywords!$A$2:$A$31)-WordListCount(K53,keywords!$B$2:$B$31)</f>
        <v>0</v>
      </c>
      <c r="P53" s="25">
        <f t="shared" si="1"/>
        <v>0.47083333333333338</v>
      </c>
      <c r="Q53" s="23">
        <f>SUM($O$2:O53)</f>
        <v>-1</v>
      </c>
      <c r="Y53" s="14"/>
      <c r="Z53" s="13"/>
      <c r="AA53"/>
    </row>
    <row r="54" spans="1:27" x14ac:dyDescent="0.2">
      <c r="A54" s="12" t="s">
        <v>206</v>
      </c>
      <c r="B54" t="s">
        <v>207</v>
      </c>
      <c r="C54" t="s">
        <v>208</v>
      </c>
      <c r="D54" t="s">
        <v>209</v>
      </c>
      <c r="E54" t="s">
        <v>13</v>
      </c>
      <c r="F54">
        <v>1181</v>
      </c>
      <c r="G54">
        <v>767</v>
      </c>
      <c r="H54" s="5" t="s">
        <v>22</v>
      </c>
      <c r="I54" s="5">
        <v>0</v>
      </c>
      <c r="J54" s="5">
        <v>0</v>
      </c>
      <c r="K54" t="s">
        <v>9930</v>
      </c>
      <c r="L54" cm="1">
        <f t="array" ref="L54">wordCount(K54)</f>
        <v>12</v>
      </c>
      <c r="M54">
        <f t="shared" si="0"/>
        <v>41</v>
      </c>
      <c r="N54">
        <v>0.8125</v>
      </c>
      <c r="O54" s="23" cm="1">
        <f t="array" ref="O54">WordListCount(K54,keywords!$A$2:$A$31)-WordListCount(K54,keywords!$B$2:$B$31)</f>
        <v>0</v>
      </c>
      <c r="P54" s="25">
        <f t="shared" si="1"/>
        <v>0.47086805555555555</v>
      </c>
      <c r="Q54" s="23">
        <f>SUM($O$2:O54)</f>
        <v>-1</v>
      </c>
      <c r="Y54" s="14"/>
      <c r="Z54" s="13"/>
      <c r="AA54"/>
    </row>
    <row r="55" spans="1:27" x14ac:dyDescent="0.2">
      <c r="A55" s="12" t="s">
        <v>210</v>
      </c>
      <c r="B55" t="s">
        <v>211</v>
      </c>
      <c r="C55" t="s">
        <v>212</v>
      </c>
      <c r="D55" t="s">
        <v>213</v>
      </c>
      <c r="E55" t="s">
        <v>13</v>
      </c>
      <c r="F55">
        <v>593</v>
      </c>
      <c r="G55">
        <v>236</v>
      </c>
      <c r="H55" s="5" t="s">
        <v>22</v>
      </c>
      <c r="I55" s="5">
        <v>0</v>
      </c>
      <c r="J55" s="5">
        <v>0</v>
      </c>
      <c r="K55" t="s">
        <v>9931</v>
      </c>
      <c r="L55" cm="1">
        <f t="array" ref="L55">wordCount(K55)</f>
        <v>15</v>
      </c>
      <c r="M55">
        <f t="shared" si="0"/>
        <v>62</v>
      </c>
      <c r="N55">
        <v>0.62068965517241381</v>
      </c>
      <c r="O55" s="23" cm="1">
        <f t="array" ref="O55">WordListCount(K55,keywords!$A$2:$A$31)-WordListCount(K55,keywords!$B$2:$B$31)</f>
        <v>1</v>
      </c>
      <c r="P55" s="25">
        <f t="shared" si="1"/>
        <v>0.47099537037037037</v>
      </c>
      <c r="Q55" s="23">
        <f>SUM($O$2:O55)</f>
        <v>0</v>
      </c>
      <c r="Y55" s="14"/>
      <c r="Z55" s="13"/>
      <c r="AA55"/>
    </row>
    <row r="56" spans="1:27" x14ac:dyDescent="0.2">
      <c r="A56" s="12" t="s">
        <v>214</v>
      </c>
      <c r="B56" t="s">
        <v>215</v>
      </c>
      <c r="C56" t="s">
        <v>216</v>
      </c>
      <c r="D56" t="s">
        <v>108</v>
      </c>
      <c r="E56" t="s">
        <v>13</v>
      </c>
      <c r="F56">
        <v>340</v>
      </c>
      <c r="G56">
        <v>54</v>
      </c>
      <c r="H56" s="5" t="s">
        <v>22</v>
      </c>
      <c r="I56" s="5">
        <v>0</v>
      </c>
      <c r="J56" s="5">
        <v>0</v>
      </c>
      <c r="K56" t="s">
        <v>9932</v>
      </c>
      <c r="L56" cm="1">
        <f t="array" ref="L56">wordCount(K56)</f>
        <v>20</v>
      </c>
      <c r="M56">
        <f t="shared" si="0"/>
        <v>103</v>
      </c>
      <c r="N56">
        <v>0.375</v>
      </c>
      <c r="O56" s="23" cm="1">
        <f t="array" ref="O56">WordListCount(K56,keywords!$A$2:$A$31)-WordListCount(K56,keywords!$B$2:$B$31)</f>
        <v>-1</v>
      </c>
      <c r="P56" s="25">
        <f t="shared" si="1"/>
        <v>0.47114583333333332</v>
      </c>
      <c r="Q56" s="23">
        <f>SUM($O$2:O56)</f>
        <v>-1</v>
      </c>
      <c r="Y56" s="14"/>
      <c r="Z56" s="13"/>
      <c r="AA56"/>
    </row>
    <row r="57" spans="1:27" x14ac:dyDescent="0.2">
      <c r="A57" s="12" t="s">
        <v>217</v>
      </c>
      <c r="B57" t="s">
        <v>218</v>
      </c>
      <c r="C57" t="s">
        <v>219</v>
      </c>
      <c r="D57" t="s">
        <v>220</v>
      </c>
      <c r="E57" t="s">
        <v>13</v>
      </c>
      <c r="F57">
        <v>147</v>
      </c>
      <c r="G57">
        <v>335</v>
      </c>
      <c r="H57" s="5" t="s">
        <v>22</v>
      </c>
      <c r="I57" s="5">
        <v>0</v>
      </c>
      <c r="J57" s="5">
        <v>0</v>
      </c>
      <c r="K57" t="s">
        <v>9933</v>
      </c>
      <c r="L57" cm="1">
        <f t="array" ref="L57">wordCount(K57)</f>
        <v>18</v>
      </c>
      <c r="M57">
        <f t="shared" si="0"/>
        <v>84</v>
      </c>
      <c r="N57">
        <v>0.5757575757575758</v>
      </c>
      <c r="O57" s="23" cm="1">
        <f t="array" ref="O57">WordListCount(K57,keywords!$A$2:$A$31)-WordListCount(K57,keywords!$B$2:$B$31)</f>
        <v>0</v>
      </c>
      <c r="P57" s="25">
        <f t="shared" si="1"/>
        <v>0.47172453703703704</v>
      </c>
      <c r="Q57" s="23">
        <f>SUM($O$2:O57)</f>
        <v>-1</v>
      </c>
      <c r="Y57" s="14"/>
      <c r="Z57" s="13"/>
      <c r="AA57"/>
    </row>
    <row r="58" spans="1:27" x14ac:dyDescent="0.2">
      <c r="A58" s="12" t="s">
        <v>221</v>
      </c>
      <c r="B58" t="s">
        <v>222</v>
      </c>
      <c r="C58" t="s">
        <v>223</v>
      </c>
      <c r="D58" t="s">
        <v>224</v>
      </c>
      <c r="E58" t="s">
        <v>13</v>
      </c>
      <c r="F58">
        <v>562</v>
      </c>
      <c r="G58">
        <v>588</v>
      </c>
      <c r="H58" s="5" t="s">
        <v>22</v>
      </c>
      <c r="I58" s="5">
        <v>0</v>
      </c>
      <c r="J58" s="5">
        <v>0</v>
      </c>
      <c r="K58" t="s">
        <v>9934</v>
      </c>
      <c r="L58" cm="1">
        <f t="array" ref="L58">wordCount(K58)</f>
        <v>10</v>
      </c>
      <c r="M58">
        <f t="shared" si="0"/>
        <v>54</v>
      </c>
      <c r="N58">
        <v>0.73076923076923073</v>
      </c>
      <c r="O58" s="23" cm="1">
        <f t="array" ref="O58">WordListCount(K58,keywords!$A$2:$A$31)-WordListCount(K58,keywords!$B$2:$B$31)</f>
        <v>0</v>
      </c>
      <c r="P58" s="25">
        <f t="shared" si="1"/>
        <v>0.4718518518518518</v>
      </c>
      <c r="Q58" s="23">
        <f>SUM($O$2:O58)</f>
        <v>-1</v>
      </c>
      <c r="Y58" s="14"/>
      <c r="Z58" s="13"/>
      <c r="AA58"/>
    </row>
    <row r="59" spans="1:27" x14ac:dyDescent="0.2">
      <c r="A59" s="12" t="s">
        <v>225</v>
      </c>
      <c r="B59" t="s">
        <v>226</v>
      </c>
      <c r="C59" t="s">
        <v>227</v>
      </c>
      <c r="D59" t="s">
        <v>12</v>
      </c>
      <c r="E59" t="s">
        <v>13</v>
      </c>
      <c r="F59">
        <v>9</v>
      </c>
      <c r="G59">
        <v>98</v>
      </c>
      <c r="H59" s="5" t="s">
        <v>22</v>
      </c>
      <c r="I59" s="5">
        <v>0</v>
      </c>
      <c r="J59" s="5">
        <v>0</v>
      </c>
      <c r="K59" t="s">
        <v>9935</v>
      </c>
      <c r="L59" cm="1">
        <f t="array" ref="L59">wordCount(K59)</f>
        <v>12</v>
      </c>
      <c r="M59">
        <f t="shared" si="0"/>
        <v>57</v>
      </c>
      <c r="N59">
        <v>0.65217391304347827</v>
      </c>
      <c r="O59" s="23" cm="1">
        <f t="array" ref="O59">WordListCount(K59,keywords!$A$2:$A$31)-WordListCount(K59,keywords!$B$2:$B$31)</f>
        <v>1</v>
      </c>
      <c r="P59" s="25">
        <f t="shared" si="1"/>
        <v>0.47207175925925932</v>
      </c>
      <c r="Q59" s="23">
        <f>SUM($O$2:O59)</f>
        <v>0</v>
      </c>
      <c r="Y59" s="14"/>
      <c r="Z59" s="13"/>
      <c r="AA59"/>
    </row>
    <row r="60" spans="1:27" x14ac:dyDescent="0.2">
      <c r="A60" s="12" t="s">
        <v>228</v>
      </c>
      <c r="B60" t="s">
        <v>229</v>
      </c>
      <c r="C60" t="s">
        <v>230</v>
      </c>
      <c r="D60" t="s">
        <v>231</v>
      </c>
      <c r="E60" t="s">
        <v>13</v>
      </c>
      <c r="F60">
        <v>1315</v>
      </c>
      <c r="G60">
        <v>541</v>
      </c>
      <c r="H60" s="5" t="s">
        <v>22</v>
      </c>
      <c r="I60" s="5">
        <v>0</v>
      </c>
      <c r="J60" s="5">
        <v>0</v>
      </c>
      <c r="K60" t="s">
        <v>9936</v>
      </c>
      <c r="L60" cm="1">
        <f t="array" ref="L60">wordCount(K60)</f>
        <v>20</v>
      </c>
      <c r="M60">
        <f t="shared" si="0"/>
        <v>100</v>
      </c>
      <c r="N60">
        <v>0.4</v>
      </c>
      <c r="O60" s="23" cm="1">
        <f t="array" ref="O60">WordListCount(K60,keywords!$A$2:$A$31)-WordListCount(K60,keywords!$B$2:$B$31)</f>
        <v>-1</v>
      </c>
      <c r="P60" s="25">
        <f t="shared" si="1"/>
        <v>0.47228009259259257</v>
      </c>
      <c r="Q60" s="23">
        <f>SUM($O$2:O60)</f>
        <v>-1</v>
      </c>
      <c r="Y60" s="14"/>
      <c r="Z60" s="13"/>
      <c r="AA60"/>
    </row>
    <row r="61" spans="1:27" x14ac:dyDescent="0.2">
      <c r="A61" s="12" t="s">
        <v>232</v>
      </c>
      <c r="B61" t="s">
        <v>233</v>
      </c>
      <c r="C61" t="s">
        <v>234</v>
      </c>
      <c r="D61" t="s">
        <v>235</v>
      </c>
      <c r="E61" t="s">
        <v>13</v>
      </c>
      <c r="F61">
        <v>61</v>
      </c>
      <c r="G61">
        <v>121</v>
      </c>
      <c r="H61" s="5" t="s">
        <v>22</v>
      </c>
      <c r="I61" s="5">
        <v>0</v>
      </c>
      <c r="J61" s="5">
        <v>0</v>
      </c>
      <c r="K61" t="s">
        <v>9028</v>
      </c>
      <c r="L61" cm="1">
        <f t="array" ref="L61">wordCount(K61)</f>
        <v>4</v>
      </c>
      <c r="M61">
        <f t="shared" si="0"/>
        <v>19</v>
      </c>
      <c r="N61">
        <v>0.66666666666666663</v>
      </c>
      <c r="O61" s="23" cm="1">
        <f t="array" ref="O61">WordListCount(K61,keywords!$A$2:$A$31)-WordListCount(K61,keywords!$B$2:$B$31)</f>
        <v>0</v>
      </c>
      <c r="P61" s="25">
        <f t="shared" si="1"/>
        <v>0.47280092592592587</v>
      </c>
      <c r="Q61" s="23">
        <f>SUM($O$2:O61)</f>
        <v>-1</v>
      </c>
      <c r="Y61" s="14"/>
      <c r="Z61" s="13"/>
      <c r="AA61"/>
    </row>
    <row r="62" spans="1:27" x14ac:dyDescent="0.2">
      <c r="A62" s="12" t="s">
        <v>236</v>
      </c>
      <c r="B62" t="s">
        <v>237</v>
      </c>
      <c r="C62" t="s">
        <v>238</v>
      </c>
      <c r="D62" t="s">
        <v>12</v>
      </c>
      <c r="E62" t="s">
        <v>13</v>
      </c>
      <c r="F62">
        <v>20</v>
      </c>
      <c r="G62">
        <v>147</v>
      </c>
      <c r="H62" s="5" t="s">
        <v>22</v>
      </c>
      <c r="I62" s="5">
        <v>0</v>
      </c>
      <c r="J62" s="5">
        <v>0</v>
      </c>
      <c r="K62" t="s">
        <v>9937</v>
      </c>
      <c r="L62" cm="1">
        <f t="array" ref="L62">wordCount(K62)</f>
        <v>10</v>
      </c>
      <c r="M62">
        <f t="shared" si="0"/>
        <v>58</v>
      </c>
      <c r="N62">
        <v>0.69230769230769229</v>
      </c>
      <c r="O62" s="23" cm="1">
        <f t="array" ref="O62">WordListCount(K62,keywords!$A$2:$A$31)-WordListCount(K62,keywords!$B$2:$B$31)</f>
        <v>0</v>
      </c>
      <c r="P62" s="25">
        <f t="shared" si="1"/>
        <v>0.47296296296296297</v>
      </c>
      <c r="Q62" s="23">
        <f>SUM($O$2:O62)</f>
        <v>-1</v>
      </c>
      <c r="Y62" s="14"/>
      <c r="Z62" s="13"/>
      <c r="AA62"/>
    </row>
    <row r="63" spans="1:27" x14ac:dyDescent="0.2">
      <c r="A63" s="12" t="s">
        <v>239</v>
      </c>
      <c r="B63" t="s">
        <v>240</v>
      </c>
      <c r="C63" t="s">
        <v>241</v>
      </c>
      <c r="D63" t="s">
        <v>242</v>
      </c>
      <c r="E63" t="s">
        <v>13</v>
      </c>
      <c r="F63">
        <v>9221</v>
      </c>
      <c r="G63">
        <v>7169</v>
      </c>
      <c r="H63" s="5" t="s">
        <v>22</v>
      </c>
      <c r="I63" s="5">
        <v>0</v>
      </c>
      <c r="J63" s="5">
        <v>0</v>
      </c>
      <c r="K63" t="s">
        <v>9029</v>
      </c>
      <c r="L63" cm="1">
        <f t="array" ref="L63">wordCount(K63)</f>
        <v>13</v>
      </c>
      <c r="M63">
        <f t="shared" si="0"/>
        <v>63</v>
      </c>
      <c r="N63">
        <v>0.55000000000000004</v>
      </c>
      <c r="O63" s="23" cm="1">
        <f t="array" ref="O63">WordListCount(K63,keywords!$A$2:$A$31)-WordListCount(K63,keywords!$B$2:$B$31)</f>
        <v>0</v>
      </c>
      <c r="P63" s="25">
        <f t="shared" si="1"/>
        <v>0.47317129629629634</v>
      </c>
      <c r="Q63" s="23">
        <f>SUM($O$2:O63)</f>
        <v>-1</v>
      </c>
      <c r="Y63" s="14"/>
      <c r="Z63" s="13"/>
      <c r="AA63"/>
    </row>
    <row r="64" spans="1:27" x14ac:dyDescent="0.2">
      <c r="A64" s="12" t="s">
        <v>243</v>
      </c>
      <c r="B64" t="s">
        <v>244</v>
      </c>
      <c r="C64" t="s">
        <v>245</v>
      </c>
      <c r="D64" t="s">
        <v>246</v>
      </c>
      <c r="E64" t="s">
        <v>13</v>
      </c>
      <c r="F64">
        <v>3601</v>
      </c>
      <c r="G64">
        <v>4869</v>
      </c>
      <c r="H64" s="5" t="s">
        <v>22</v>
      </c>
      <c r="I64" s="5">
        <v>0</v>
      </c>
      <c r="J64" s="5">
        <v>0</v>
      </c>
      <c r="K64" t="s">
        <v>9030</v>
      </c>
      <c r="L64" cm="1">
        <f t="array" ref="L64">wordCount(K64)</f>
        <v>14</v>
      </c>
      <c r="M64">
        <f t="shared" si="0"/>
        <v>62</v>
      </c>
      <c r="N64">
        <v>0.66666666666666663</v>
      </c>
      <c r="O64" s="23" cm="1">
        <f t="array" ref="O64">WordListCount(K64,keywords!$A$2:$A$31)-WordListCount(K64,keywords!$B$2:$B$31)</f>
        <v>0</v>
      </c>
      <c r="P64" s="25">
        <f t="shared" si="1"/>
        <v>0.47361111111111115</v>
      </c>
      <c r="Q64" s="23">
        <f>SUM($O$2:O64)</f>
        <v>-1</v>
      </c>
      <c r="Y64" s="14"/>
      <c r="Z64" s="13"/>
      <c r="AA64"/>
    </row>
    <row r="65" spans="1:27" x14ac:dyDescent="0.2">
      <c r="A65" s="12" t="s">
        <v>247</v>
      </c>
      <c r="B65" t="s">
        <v>248</v>
      </c>
      <c r="C65" t="s">
        <v>249</v>
      </c>
      <c r="D65" t="s">
        <v>250</v>
      </c>
      <c r="E65" t="s">
        <v>13</v>
      </c>
      <c r="F65">
        <v>22</v>
      </c>
      <c r="G65">
        <v>105</v>
      </c>
      <c r="H65" s="5" t="s">
        <v>22</v>
      </c>
      <c r="I65" s="5">
        <v>0</v>
      </c>
      <c r="J65" s="5">
        <v>0</v>
      </c>
      <c r="K65" t="s">
        <v>9938</v>
      </c>
      <c r="L65" cm="1">
        <f t="array" ref="L65">wordCount(K65)</f>
        <v>21</v>
      </c>
      <c r="M65">
        <f t="shared" si="0"/>
        <v>103</v>
      </c>
      <c r="N65">
        <v>0.6</v>
      </c>
      <c r="O65" s="23" cm="1">
        <f t="array" ref="O65">WordListCount(K65,keywords!$A$2:$A$31)-WordListCount(K65,keywords!$B$2:$B$31)</f>
        <v>0</v>
      </c>
      <c r="P65" s="25">
        <f t="shared" si="1"/>
        <v>0.47413194444444445</v>
      </c>
      <c r="Q65" s="23">
        <f>SUM($O$2:O65)</f>
        <v>-1</v>
      </c>
      <c r="Y65" s="14"/>
      <c r="Z65" s="13"/>
      <c r="AA65"/>
    </row>
    <row r="66" spans="1:27" x14ac:dyDescent="0.2">
      <c r="A66" s="12" t="s">
        <v>251</v>
      </c>
      <c r="B66" t="s">
        <v>252</v>
      </c>
      <c r="C66" t="s">
        <v>253</v>
      </c>
      <c r="D66" t="s">
        <v>12</v>
      </c>
      <c r="E66" t="s">
        <v>13</v>
      </c>
      <c r="F66">
        <v>18</v>
      </c>
      <c r="G66">
        <v>17</v>
      </c>
      <c r="H66" s="5" t="s">
        <v>22</v>
      </c>
      <c r="I66" s="5">
        <v>0</v>
      </c>
      <c r="J66" s="5">
        <v>0</v>
      </c>
      <c r="K66" t="s">
        <v>9031</v>
      </c>
      <c r="L66" cm="1">
        <f t="array" ref="L66">wordCount(K66)</f>
        <v>8</v>
      </c>
      <c r="M66">
        <f t="shared" ref="M66:M129" si="2">LEN(K66)</f>
        <v>43</v>
      </c>
      <c r="N66">
        <v>0.33333333333333331</v>
      </c>
      <c r="O66" s="23" cm="1">
        <f t="array" ref="O66">WordListCount(K66,keywords!$A$2:$A$31)-WordListCount(K66,keywords!$B$2:$B$31)</f>
        <v>0</v>
      </c>
      <c r="P66" s="25">
        <f t="shared" ref="P66:P129" si="3">TIMEVALUE(RIGHT(A66,8))</f>
        <v>0.47488425925925926</v>
      </c>
      <c r="Q66" s="23">
        <f>SUM($O$2:O66)</f>
        <v>-1</v>
      </c>
      <c r="Y66" s="14"/>
      <c r="Z66" s="13"/>
      <c r="AA66"/>
    </row>
    <row r="67" spans="1:27" x14ac:dyDescent="0.2">
      <c r="A67" s="12" t="s">
        <v>254</v>
      </c>
      <c r="B67" t="s">
        <v>255</v>
      </c>
      <c r="C67" t="s">
        <v>256</v>
      </c>
      <c r="D67" t="s">
        <v>257</v>
      </c>
      <c r="E67" t="s">
        <v>13</v>
      </c>
      <c r="F67">
        <v>49</v>
      </c>
      <c r="G67">
        <v>0</v>
      </c>
      <c r="H67" s="5" t="s">
        <v>22</v>
      </c>
      <c r="I67" s="5">
        <v>0</v>
      </c>
      <c r="J67" s="5">
        <v>0</v>
      </c>
      <c r="K67" t="s">
        <v>9939</v>
      </c>
      <c r="L67" cm="1">
        <f t="array" ref="L67">wordCount(K67)</f>
        <v>15</v>
      </c>
      <c r="M67">
        <f t="shared" si="2"/>
        <v>74</v>
      </c>
      <c r="N67">
        <v>0.8125</v>
      </c>
      <c r="O67" s="23" cm="1">
        <f t="array" ref="O67">WordListCount(K67,keywords!$A$2:$A$31)-WordListCount(K67,keywords!$B$2:$B$31)</f>
        <v>0</v>
      </c>
      <c r="P67" s="25">
        <f t="shared" si="3"/>
        <v>0.47517361111111112</v>
      </c>
      <c r="Q67" s="23">
        <f>SUM($O$2:O67)</f>
        <v>-1</v>
      </c>
      <c r="Y67" s="14"/>
      <c r="Z67" s="13"/>
      <c r="AA67"/>
    </row>
    <row r="68" spans="1:27" x14ac:dyDescent="0.2">
      <c r="A68" s="12" t="s">
        <v>258</v>
      </c>
      <c r="B68" t="s">
        <v>259</v>
      </c>
      <c r="C68" t="s">
        <v>260</v>
      </c>
      <c r="D68" t="s">
        <v>12</v>
      </c>
      <c r="E68" t="s">
        <v>13</v>
      </c>
      <c r="F68">
        <v>2788</v>
      </c>
      <c r="G68">
        <v>760</v>
      </c>
      <c r="H68" s="5" t="s">
        <v>22</v>
      </c>
      <c r="I68" s="5">
        <v>0</v>
      </c>
      <c r="J68" s="5">
        <v>0</v>
      </c>
      <c r="K68" t="s">
        <v>9032</v>
      </c>
      <c r="L68" cm="1">
        <f t="array" ref="L68">wordCount(K68)</f>
        <v>4</v>
      </c>
      <c r="M68">
        <f t="shared" si="2"/>
        <v>26</v>
      </c>
      <c r="N68">
        <v>0.75</v>
      </c>
      <c r="O68" s="23" cm="1">
        <f t="array" ref="O68">WordListCount(K68,keywords!$A$2:$A$31)-WordListCount(K68,keywords!$B$2:$B$31)</f>
        <v>0</v>
      </c>
      <c r="P68" s="25">
        <f t="shared" si="3"/>
        <v>0.47530092592592593</v>
      </c>
      <c r="Q68" s="23">
        <f>SUM($O$2:O68)</f>
        <v>-1</v>
      </c>
      <c r="Y68" s="14"/>
      <c r="Z68" s="13"/>
      <c r="AA68"/>
    </row>
    <row r="69" spans="1:27" x14ac:dyDescent="0.2">
      <c r="A69" s="12" t="s">
        <v>261</v>
      </c>
      <c r="B69" t="s">
        <v>262</v>
      </c>
      <c r="C69" t="s">
        <v>263</v>
      </c>
      <c r="D69" t="s">
        <v>12</v>
      </c>
      <c r="E69" t="s">
        <v>13</v>
      </c>
      <c r="F69">
        <v>155</v>
      </c>
      <c r="G69">
        <v>401</v>
      </c>
      <c r="H69" s="5" t="s">
        <v>22</v>
      </c>
      <c r="I69" s="5">
        <v>0</v>
      </c>
      <c r="J69" s="5">
        <v>0</v>
      </c>
      <c r="K69" t="s">
        <v>9940</v>
      </c>
      <c r="L69" cm="1">
        <f t="array" ref="L69">wordCount(K69)</f>
        <v>14</v>
      </c>
      <c r="M69">
        <f t="shared" si="2"/>
        <v>74</v>
      </c>
      <c r="N69">
        <v>0.59090909090909094</v>
      </c>
      <c r="O69" s="23" cm="1">
        <f t="array" ref="O69">WordListCount(K69,keywords!$A$2:$A$31)-WordListCount(K69,keywords!$B$2:$B$31)</f>
        <v>0</v>
      </c>
      <c r="P69" s="25">
        <f t="shared" si="3"/>
        <v>0.47546296296296298</v>
      </c>
      <c r="Q69" s="23">
        <f>SUM($O$2:O69)</f>
        <v>-1</v>
      </c>
      <c r="Y69" s="14"/>
      <c r="Z69" s="13"/>
      <c r="AA69"/>
    </row>
    <row r="70" spans="1:27" x14ac:dyDescent="0.2">
      <c r="A70" s="12" t="s">
        <v>264</v>
      </c>
      <c r="B70" t="s">
        <v>265</v>
      </c>
      <c r="C70" t="s">
        <v>266</v>
      </c>
      <c r="D70" t="s">
        <v>12</v>
      </c>
      <c r="E70" t="s">
        <v>13</v>
      </c>
      <c r="F70">
        <v>473</v>
      </c>
      <c r="G70">
        <v>1342</v>
      </c>
      <c r="H70" s="5" t="s">
        <v>22</v>
      </c>
      <c r="I70" s="5">
        <v>0</v>
      </c>
      <c r="J70" s="5">
        <v>0</v>
      </c>
      <c r="K70" t="s">
        <v>9033</v>
      </c>
      <c r="L70" cm="1">
        <f t="array" ref="L70">wordCount(K70)</f>
        <v>3</v>
      </c>
      <c r="M70">
        <f t="shared" si="2"/>
        <v>19</v>
      </c>
      <c r="N70">
        <v>0.83333333333333337</v>
      </c>
      <c r="O70" s="23" cm="1">
        <f t="array" ref="O70">WordListCount(K70,keywords!$A$2:$A$31)-WordListCount(K70,keywords!$B$2:$B$31)</f>
        <v>0</v>
      </c>
      <c r="P70" s="25">
        <f t="shared" si="3"/>
        <v>0.47549768518518515</v>
      </c>
      <c r="Q70" s="23">
        <f>SUM($O$2:O70)</f>
        <v>-1</v>
      </c>
      <c r="Y70" s="14"/>
      <c r="Z70" s="13"/>
      <c r="AA70"/>
    </row>
    <row r="71" spans="1:27" x14ac:dyDescent="0.2">
      <c r="A71" s="12" t="s">
        <v>267</v>
      </c>
      <c r="B71" t="s">
        <v>262</v>
      </c>
      <c r="C71" t="s">
        <v>263</v>
      </c>
      <c r="D71" t="s">
        <v>12</v>
      </c>
      <c r="E71" t="s">
        <v>13</v>
      </c>
      <c r="F71">
        <v>155</v>
      </c>
      <c r="G71">
        <v>401</v>
      </c>
      <c r="H71" s="5" t="s">
        <v>22</v>
      </c>
      <c r="I71" s="5">
        <v>0</v>
      </c>
      <c r="J71" s="5">
        <v>0</v>
      </c>
      <c r="K71" t="s">
        <v>9940</v>
      </c>
      <c r="L71" cm="1">
        <f t="array" ref="L71">wordCount(K71)</f>
        <v>14</v>
      </c>
      <c r="M71">
        <f t="shared" si="2"/>
        <v>74</v>
      </c>
      <c r="N71">
        <v>0.91666666666666663</v>
      </c>
      <c r="O71" s="23" cm="1">
        <f t="array" ref="O71">WordListCount(K71,keywords!$A$2:$A$31)-WordListCount(K71,keywords!$B$2:$B$31)</f>
        <v>0</v>
      </c>
      <c r="P71" s="25">
        <f t="shared" si="3"/>
        <v>0.47584490740740737</v>
      </c>
      <c r="Q71" s="23">
        <f>SUM($O$2:O71)</f>
        <v>-1</v>
      </c>
      <c r="Y71" s="14"/>
      <c r="Z71" s="13"/>
      <c r="AA71"/>
    </row>
    <row r="72" spans="1:27" x14ac:dyDescent="0.2">
      <c r="A72" s="12" t="s">
        <v>268</v>
      </c>
      <c r="B72" t="s">
        <v>269</v>
      </c>
      <c r="C72" t="s">
        <v>270</v>
      </c>
      <c r="D72" t="s">
        <v>271</v>
      </c>
      <c r="E72" t="s">
        <v>13</v>
      </c>
      <c r="F72">
        <v>81</v>
      </c>
      <c r="G72">
        <v>64</v>
      </c>
      <c r="H72" s="5" t="s">
        <v>22</v>
      </c>
      <c r="I72" s="5">
        <v>0</v>
      </c>
      <c r="J72" s="5">
        <v>0</v>
      </c>
      <c r="K72" t="s">
        <v>9941</v>
      </c>
      <c r="L72" cm="1">
        <f t="array" ref="L72">wordCount(K72)</f>
        <v>3</v>
      </c>
      <c r="M72">
        <f t="shared" si="2"/>
        <v>18</v>
      </c>
      <c r="N72">
        <v>0.625</v>
      </c>
      <c r="O72" s="23" cm="1">
        <f t="array" ref="O72">WordListCount(K72,keywords!$A$2:$A$31)-WordListCount(K72,keywords!$B$2:$B$31)</f>
        <v>0</v>
      </c>
      <c r="P72" s="25">
        <f t="shared" si="3"/>
        <v>0.47587962962962965</v>
      </c>
      <c r="Q72" s="23">
        <f>SUM($O$2:O72)</f>
        <v>-1</v>
      </c>
      <c r="Y72" s="14"/>
      <c r="Z72" s="13"/>
      <c r="AA72"/>
    </row>
    <row r="73" spans="1:27" x14ac:dyDescent="0.2">
      <c r="A73" s="12" t="s">
        <v>272</v>
      </c>
      <c r="B73" t="s">
        <v>273</v>
      </c>
      <c r="C73" t="s">
        <v>274</v>
      </c>
      <c r="D73" t="s">
        <v>275</v>
      </c>
      <c r="E73" t="s">
        <v>13</v>
      </c>
      <c r="F73">
        <v>46</v>
      </c>
      <c r="G73">
        <v>126</v>
      </c>
      <c r="H73" s="5" t="s">
        <v>22</v>
      </c>
      <c r="I73" s="5">
        <v>0</v>
      </c>
      <c r="J73" s="5">
        <v>0</v>
      </c>
      <c r="K73" t="s">
        <v>9942</v>
      </c>
      <c r="L73" cm="1">
        <f t="array" ref="L73">wordCount(K73)</f>
        <v>19</v>
      </c>
      <c r="M73">
        <f t="shared" si="2"/>
        <v>93</v>
      </c>
      <c r="N73">
        <v>0.44</v>
      </c>
      <c r="O73" s="23" cm="1">
        <f t="array" ref="O73">WordListCount(K73,keywords!$A$2:$A$31)-WordListCount(K73,keywords!$B$2:$B$31)</f>
        <v>0</v>
      </c>
      <c r="P73" s="25">
        <f t="shared" si="3"/>
        <v>0.47681712962962958</v>
      </c>
      <c r="Q73" s="23">
        <f>SUM($O$2:O73)</f>
        <v>-1</v>
      </c>
      <c r="Y73" s="14"/>
      <c r="Z73" s="13"/>
      <c r="AA73"/>
    </row>
    <row r="74" spans="1:27" x14ac:dyDescent="0.2">
      <c r="A74" s="12" t="s">
        <v>276</v>
      </c>
      <c r="B74" t="s">
        <v>277</v>
      </c>
      <c r="C74" t="s">
        <v>278</v>
      </c>
      <c r="D74" t="s">
        <v>81</v>
      </c>
      <c r="E74" t="s">
        <v>13</v>
      </c>
      <c r="F74">
        <v>545</v>
      </c>
      <c r="G74">
        <v>805</v>
      </c>
      <c r="H74" s="5" t="s">
        <v>22</v>
      </c>
      <c r="I74" s="5">
        <v>0</v>
      </c>
      <c r="J74" s="5">
        <v>0</v>
      </c>
      <c r="K74" t="s">
        <v>9034</v>
      </c>
      <c r="L74" cm="1">
        <f t="array" ref="L74">wordCount(K74)</f>
        <v>8</v>
      </c>
      <c r="M74">
        <f t="shared" si="2"/>
        <v>32</v>
      </c>
      <c r="N74">
        <v>0.5</v>
      </c>
      <c r="O74" s="23" cm="1">
        <f t="array" ref="O74">WordListCount(K74,keywords!$A$2:$A$31)-WordListCount(K74,keywords!$B$2:$B$31)</f>
        <v>0</v>
      </c>
      <c r="P74" s="25">
        <f t="shared" si="3"/>
        <v>0.47684027777777777</v>
      </c>
      <c r="Q74" s="23">
        <f>SUM($O$2:O74)</f>
        <v>-1</v>
      </c>
      <c r="Y74" s="14"/>
      <c r="Z74" s="13"/>
      <c r="AA74"/>
    </row>
    <row r="75" spans="1:27" x14ac:dyDescent="0.2">
      <c r="A75" s="12" t="s">
        <v>279</v>
      </c>
      <c r="B75" t="s">
        <v>280</v>
      </c>
      <c r="C75" t="s">
        <v>281</v>
      </c>
      <c r="D75" t="s">
        <v>282</v>
      </c>
      <c r="E75" t="s">
        <v>13</v>
      </c>
      <c r="F75">
        <v>419</v>
      </c>
      <c r="G75">
        <v>81</v>
      </c>
      <c r="H75" s="5" t="s">
        <v>283</v>
      </c>
      <c r="I75" s="5">
        <v>0</v>
      </c>
      <c r="J75" s="5">
        <v>0</v>
      </c>
      <c r="K75" t="s">
        <v>9943</v>
      </c>
      <c r="L75" cm="1">
        <f t="array" ref="L75">wordCount(K75)</f>
        <v>8</v>
      </c>
      <c r="M75">
        <f t="shared" si="2"/>
        <v>39</v>
      </c>
      <c r="N75">
        <v>0.73684210526315785</v>
      </c>
      <c r="O75" s="23" cm="1">
        <f t="array" ref="O75">WordListCount(K75,keywords!$A$2:$A$31)-WordListCount(K75,keywords!$B$2:$B$31)</f>
        <v>0</v>
      </c>
      <c r="P75" s="25">
        <f t="shared" si="3"/>
        <v>0.47687499999999999</v>
      </c>
      <c r="Q75" s="23">
        <f>SUM($O$2:O75)</f>
        <v>-1</v>
      </c>
      <c r="Y75" s="14"/>
      <c r="Z75" s="13"/>
      <c r="AA75"/>
    </row>
    <row r="76" spans="1:27" x14ac:dyDescent="0.2">
      <c r="A76" s="12" t="s">
        <v>284</v>
      </c>
      <c r="B76" t="s">
        <v>285</v>
      </c>
      <c r="C76" t="s">
        <v>286</v>
      </c>
      <c r="D76" t="s">
        <v>12</v>
      </c>
      <c r="E76" t="s">
        <v>13</v>
      </c>
      <c r="F76">
        <v>3</v>
      </c>
      <c r="G76">
        <v>5</v>
      </c>
      <c r="H76" s="5" t="s">
        <v>22</v>
      </c>
      <c r="I76" s="5">
        <v>0</v>
      </c>
      <c r="J76" s="5">
        <v>0</v>
      </c>
      <c r="K76" t="s">
        <v>9035</v>
      </c>
      <c r="L76" cm="1">
        <f t="array" ref="L76">wordCount(K76)</f>
        <v>10</v>
      </c>
      <c r="M76">
        <f t="shared" si="2"/>
        <v>60</v>
      </c>
      <c r="N76">
        <v>0.60869565217391308</v>
      </c>
      <c r="O76" s="23" cm="1">
        <f t="array" ref="O76">WordListCount(K76,keywords!$A$2:$A$31)-WordListCount(K76,keywords!$B$2:$B$31)</f>
        <v>0</v>
      </c>
      <c r="P76" s="25">
        <f t="shared" si="3"/>
        <v>0.4773148148148148</v>
      </c>
      <c r="Q76" s="23">
        <f>SUM($O$2:O76)</f>
        <v>-1</v>
      </c>
      <c r="Y76" s="14"/>
      <c r="Z76" s="13"/>
      <c r="AA76"/>
    </row>
    <row r="77" spans="1:27" x14ac:dyDescent="0.2">
      <c r="A77" s="12" t="s">
        <v>287</v>
      </c>
      <c r="B77" t="s">
        <v>288</v>
      </c>
      <c r="C77" t="s">
        <v>289</v>
      </c>
      <c r="D77" t="s">
        <v>12</v>
      </c>
      <c r="E77" t="s">
        <v>13</v>
      </c>
      <c r="F77">
        <v>22</v>
      </c>
      <c r="G77">
        <v>6</v>
      </c>
      <c r="H77" s="5" t="s">
        <v>22</v>
      </c>
      <c r="I77" s="5">
        <v>0</v>
      </c>
      <c r="J77" s="5">
        <v>0</v>
      </c>
      <c r="K77" t="s">
        <v>9036</v>
      </c>
      <c r="L77" cm="1">
        <f t="array" ref="L77">wordCount(K77)</f>
        <v>3</v>
      </c>
      <c r="M77">
        <f t="shared" si="2"/>
        <v>18</v>
      </c>
      <c r="N77">
        <v>0.9285714285714286</v>
      </c>
      <c r="O77" s="23" cm="1">
        <f t="array" ref="O77">WordListCount(K77,keywords!$A$2:$A$31)-WordListCount(K77,keywords!$B$2:$B$31)</f>
        <v>0</v>
      </c>
      <c r="P77" s="25">
        <f t="shared" si="3"/>
        <v>0.47743055555555558</v>
      </c>
      <c r="Q77" s="23">
        <f>SUM($O$2:O77)</f>
        <v>-1</v>
      </c>
      <c r="Y77" s="14"/>
      <c r="Z77" s="13"/>
      <c r="AA77"/>
    </row>
    <row r="78" spans="1:27" x14ac:dyDescent="0.2">
      <c r="A78" s="12" t="s">
        <v>290</v>
      </c>
      <c r="B78" t="s">
        <v>291</v>
      </c>
      <c r="C78" t="s">
        <v>292</v>
      </c>
      <c r="D78" t="s">
        <v>293</v>
      </c>
      <c r="E78" t="s">
        <v>13</v>
      </c>
      <c r="F78">
        <v>49</v>
      </c>
      <c r="G78">
        <v>68</v>
      </c>
      <c r="H78" s="5" t="s">
        <v>22</v>
      </c>
      <c r="I78" s="5">
        <v>0</v>
      </c>
      <c r="J78" s="5">
        <v>0</v>
      </c>
      <c r="K78" t="s">
        <v>9944</v>
      </c>
      <c r="L78" cm="1">
        <f t="array" ref="L78">wordCount(K78)</f>
        <v>19</v>
      </c>
      <c r="M78">
        <f t="shared" si="2"/>
        <v>95</v>
      </c>
      <c r="N78">
        <v>9.0909090909090912E-2</v>
      </c>
      <c r="O78" s="23" cm="1">
        <f t="array" ref="O78">WordListCount(K78,keywords!$A$2:$A$31)-WordListCount(K78,keywords!$B$2:$B$31)</f>
        <v>0</v>
      </c>
      <c r="P78" s="25">
        <f t="shared" si="3"/>
        <v>0.47848379629629628</v>
      </c>
      <c r="Q78" s="23">
        <f>SUM($O$2:O78)</f>
        <v>-1</v>
      </c>
      <c r="Y78" s="14"/>
      <c r="Z78" s="13"/>
      <c r="AA78"/>
    </row>
    <row r="79" spans="1:27" x14ac:dyDescent="0.2">
      <c r="A79" s="12" t="s">
        <v>294</v>
      </c>
      <c r="B79" t="s">
        <v>295</v>
      </c>
      <c r="C79" t="s">
        <v>296</v>
      </c>
      <c r="D79" t="s">
        <v>297</v>
      </c>
      <c r="E79" t="s">
        <v>13</v>
      </c>
      <c r="F79">
        <v>135</v>
      </c>
      <c r="G79">
        <v>258</v>
      </c>
      <c r="H79" s="5" t="s">
        <v>22</v>
      </c>
      <c r="I79" s="5">
        <v>0</v>
      </c>
      <c r="J79" s="5">
        <v>0</v>
      </c>
      <c r="K79" t="s">
        <v>9945</v>
      </c>
      <c r="L79" cm="1">
        <f t="array" ref="L79">wordCount(K79)</f>
        <v>20</v>
      </c>
      <c r="M79">
        <f t="shared" si="2"/>
        <v>113</v>
      </c>
      <c r="N79">
        <v>0.51515151515151514</v>
      </c>
      <c r="O79" s="23" cm="1">
        <f t="array" ref="O79">WordListCount(K79,keywords!$A$2:$A$31)-WordListCount(K79,keywords!$B$2:$B$31)</f>
        <v>0</v>
      </c>
      <c r="P79" s="25">
        <f t="shared" si="3"/>
        <v>0.47869212962962965</v>
      </c>
      <c r="Q79" s="23">
        <f>SUM($O$2:O79)</f>
        <v>-1</v>
      </c>
      <c r="Y79" s="14"/>
      <c r="Z79" s="13"/>
      <c r="AA79"/>
    </row>
    <row r="80" spans="1:27" x14ac:dyDescent="0.2">
      <c r="A80" s="12" t="s">
        <v>298</v>
      </c>
      <c r="B80" t="s">
        <v>299</v>
      </c>
      <c r="C80" t="s">
        <v>300</v>
      </c>
      <c r="D80" t="s">
        <v>12</v>
      </c>
      <c r="E80" t="s">
        <v>13</v>
      </c>
      <c r="F80">
        <v>189</v>
      </c>
      <c r="G80">
        <v>91</v>
      </c>
      <c r="H80" s="5" t="s">
        <v>22</v>
      </c>
      <c r="I80" s="5">
        <v>0</v>
      </c>
      <c r="J80" s="5">
        <v>0</v>
      </c>
      <c r="K80" t="s">
        <v>9946</v>
      </c>
      <c r="L80" cm="1">
        <f t="array" ref="L80">wordCount(K80)</f>
        <v>13</v>
      </c>
      <c r="M80">
        <f t="shared" si="2"/>
        <v>76</v>
      </c>
      <c r="N80">
        <v>0.35714285714285715</v>
      </c>
      <c r="O80" s="23" cm="1">
        <f t="array" ref="O80">WordListCount(K80,keywords!$A$2:$A$31)-WordListCount(K80,keywords!$B$2:$B$31)</f>
        <v>0</v>
      </c>
      <c r="P80" s="25">
        <f t="shared" si="3"/>
        <v>0.4788425925925926</v>
      </c>
      <c r="Q80" s="23">
        <f>SUM($O$2:O80)</f>
        <v>-1</v>
      </c>
      <c r="Y80" s="14"/>
      <c r="Z80" s="13"/>
      <c r="AA80"/>
    </row>
    <row r="81" spans="1:27" x14ac:dyDescent="0.2">
      <c r="A81" s="12" t="s">
        <v>301</v>
      </c>
      <c r="B81" t="s">
        <v>302</v>
      </c>
      <c r="C81" t="s">
        <v>303</v>
      </c>
      <c r="D81" t="s">
        <v>12</v>
      </c>
      <c r="E81" t="s">
        <v>13</v>
      </c>
      <c r="F81">
        <v>413</v>
      </c>
      <c r="G81">
        <v>557</v>
      </c>
      <c r="H81" s="5" t="s">
        <v>22</v>
      </c>
      <c r="I81" s="5">
        <v>0</v>
      </c>
      <c r="J81" s="5">
        <v>0</v>
      </c>
      <c r="K81" t="s">
        <v>9947</v>
      </c>
      <c r="L81" cm="1">
        <f t="array" ref="L81">wordCount(K81)</f>
        <v>6</v>
      </c>
      <c r="M81">
        <f t="shared" si="2"/>
        <v>34</v>
      </c>
      <c r="N81">
        <v>0.72222222222222221</v>
      </c>
      <c r="O81" s="23" cm="1">
        <f t="array" ref="O81">WordListCount(K81,keywords!$A$2:$A$31)-WordListCount(K81,keywords!$B$2:$B$31)</f>
        <v>0</v>
      </c>
      <c r="P81" s="25">
        <f t="shared" si="3"/>
        <v>0.47912037037037036</v>
      </c>
      <c r="Q81" s="23">
        <f>SUM($O$2:O81)</f>
        <v>-1</v>
      </c>
      <c r="Y81" s="14"/>
      <c r="Z81" s="13"/>
      <c r="AA81"/>
    </row>
    <row r="82" spans="1:27" x14ac:dyDescent="0.2">
      <c r="A82" s="12" t="s">
        <v>304</v>
      </c>
      <c r="B82" t="s">
        <v>305</v>
      </c>
      <c r="C82" t="s">
        <v>306</v>
      </c>
      <c r="D82" t="s">
        <v>307</v>
      </c>
      <c r="E82" t="s">
        <v>13</v>
      </c>
      <c r="F82">
        <v>228</v>
      </c>
      <c r="G82">
        <v>1</v>
      </c>
      <c r="H82" s="5" t="s">
        <v>22</v>
      </c>
      <c r="I82" s="5">
        <v>0</v>
      </c>
      <c r="J82" s="5">
        <v>0</v>
      </c>
      <c r="K82" t="s">
        <v>9037</v>
      </c>
      <c r="L82" cm="1">
        <f t="array" ref="L82">wordCount(K82)</f>
        <v>7</v>
      </c>
      <c r="M82">
        <f t="shared" si="2"/>
        <v>105</v>
      </c>
      <c r="N82">
        <v>0.3</v>
      </c>
      <c r="O82" s="23" cm="1">
        <f t="array" ref="O82">WordListCount(K82,keywords!$A$2:$A$31)-WordListCount(K82,keywords!$B$2:$B$31)</f>
        <v>0</v>
      </c>
      <c r="P82" s="25">
        <f t="shared" si="3"/>
        <v>0.47918981481481482</v>
      </c>
      <c r="Q82" s="23">
        <f>SUM($O$2:O82)</f>
        <v>-1</v>
      </c>
      <c r="Y82" s="14"/>
      <c r="Z82" s="13"/>
      <c r="AA82"/>
    </row>
    <row r="83" spans="1:27" x14ac:dyDescent="0.2">
      <c r="A83" s="12" t="s">
        <v>308</v>
      </c>
      <c r="B83" t="s">
        <v>309</v>
      </c>
      <c r="C83" t="s">
        <v>310</v>
      </c>
      <c r="D83" t="s">
        <v>12</v>
      </c>
      <c r="E83" t="s">
        <v>13</v>
      </c>
      <c r="F83">
        <v>3633</v>
      </c>
      <c r="G83">
        <v>3728</v>
      </c>
      <c r="H83" s="5" t="s">
        <v>22</v>
      </c>
      <c r="I83" s="5">
        <v>0</v>
      </c>
      <c r="J83" s="5">
        <v>0</v>
      </c>
      <c r="K83" t="s">
        <v>9038</v>
      </c>
      <c r="L83" cm="1">
        <f t="array" ref="L83">wordCount(K83)</f>
        <v>14</v>
      </c>
      <c r="M83">
        <f t="shared" si="2"/>
        <v>85</v>
      </c>
      <c r="N83">
        <v>0.56000000000000005</v>
      </c>
      <c r="O83" s="23" cm="1">
        <f t="array" ref="O83">WordListCount(K83,keywords!$A$2:$A$31)-WordListCount(K83,keywords!$B$2:$B$31)</f>
        <v>0</v>
      </c>
      <c r="P83" s="25">
        <f t="shared" si="3"/>
        <v>0.47945601851851855</v>
      </c>
      <c r="Q83" s="23">
        <f>SUM($O$2:O83)</f>
        <v>-1</v>
      </c>
      <c r="Y83" s="14"/>
      <c r="Z83" s="13"/>
      <c r="AA83"/>
    </row>
    <row r="84" spans="1:27" x14ac:dyDescent="0.2">
      <c r="A84" s="12" t="s">
        <v>311</v>
      </c>
      <c r="B84" t="s">
        <v>312</v>
      </c>
      <c r="C84" t="s">
        <v>313</v>
      </c>
      <c r="D84" t="s">
        <v>12</v>
      </c>
      <c r="E84" t="s">
        <v>13</v>
      </c>
      <c r="F84">
        <v>27</v>
      </c>
      <c r="G84">
        <v>23</v>
      </c>
      <c r="H84" s="5" t="s">
        <v>22</v>
      </c>
      <c r="I84" s="5">
        <v>0</v>
      </c>
      <c r="J84" s="5">
        <v>0</v>
      </c>
      <c r="K84" t="s">
        <v>9948</v>
      </c>
      <c r="L84" cm="1">
        <f t="array" ref="L84">wordCount(K84)</f>
        <v>17</v>
      </c>
      <c r="M84">
        <f t="shared" si="2"/>
        <v>88</v>
      </c>
      <c r="N84">
        <v>0.44444444444444442</v>
      </c>
      <c r="O84" s="23" cm="1">
        <f t="array" ref="O84">WordListCount(K84,keywords!$A$2:$A$31)-WordListCount(K84,keywords!$B$2:$B$31)</f>
        <v>0</v>
      </c>
      <c r="P84" s="25">
        <f t="shared" si="3"/>
        <v>0.47980324074074071</v>
      </c>
      <c r="Q84" s="23">
        <f>SUM($O$2:O84)</f>
        <v>-1</v>
      </c>
      <c r="Y84" s="14"/>
      <c r="Z84" s="13"/>
      <c r="AA84"/>
    </row>
    <row r="85" spans="1:27" x14ac:dyDescent="0.2">
      <c r="A85" s="12" t="s">
        <v>314</v>
      </c>
      <c r="B85" t="s">
        <v>315</v>
      </c>
      <c r="C85" t="s">
        <v>205</v>
      </c>
      <c r="D85" t="s">
        <v>12</v>
      </c>
      <c r="E85" t="s">
        <v>13</v>
      </c>
      <c r="F85">
        <v>2866</v>
      </c>
      <c r="G85">
        <v>6</v>
      </c>
      <c r="H85" s="5" t="s">
        <v>22</v>
      </c>
      <c r="I85" s="5">
        <v>0</v>
      </c>
      <c r="J85" s="5">
        <v>0</v>
      </c>
      <c r="K85" t="s">
        <v>9039</v>
      </c>
      <c r="L85" cm="1">
        <f t="array" ref="L85">wordCount(K85)</f>
        <v>8</v>
      </c>
      <c r="M85">
        <f t="shared" si="2"/>
        <v>55</v>
      </c>
      <c r="N85">
        <v>0.72727272727272729</v>
      </c>
      <c r="O85" s="23" cm="1">
        <f t="array" ref="O85">WordListCount(K85,keywords!$A$2:$A$31)-WordListCount(K85,keywords!$B$2:$B$31)</f>
        <v>0</v>
      </c>
      <c r="P85" s="25">
        <f t="shared" si="3"/>
        <v>0.47986111111111113</v>
      </c>
      <c r="Q85" s="23">
        <f>SUM($O$2:O85)</f>
        <v>-1</v>
      </c>
      <c r="Y85" s="14"/>
      <c r="Z85" s="13"/>
      <c r="AA85"/>
    </row>
    <row r="86" spans="1:27" x14ac:dyDescent="0.2">
      <c r="A86" s="12" t="s">
        <v>316</v>
      </c>
      <c r="B86" t="s">
        <v>317</v>
      </c>
      <c r="C86" t="s">
        <v>318</v>
      </c>
      <c r="D86" t="s">
        <v>319</v>
      </c>
      <c r="E86" t="s">
        <v>13</v>
      </c>
      <c r="F86">
        <v>51</v>
      </c>
      <c r="G86">
        <v>62</v>
      </c>
      <c r="H86" s="5" t="s">
        <v>22</v>
      </c>
      <c r="I86" s="5">
        <v>0</v>
      </c>
      <c r="J86" s="5">
        <v>0</v>
      </c>
      <c r="K86" t="s">
        <v>9949</v>
      </c>
      <c r="L86" cm="1">
        <f t="array" ref="L86">wordCount(K86)</f>
        <v>14</v>
      </c>
      <c r="M86">
        <f t="shared" si="2"/>
        <v>75</v>
      </c>
      <c r="N86">
        <v>0.56666666666666665</v>
      </c>
      <c r="O86" s="23" cm="1">
        <f t="array" ref="O86">WordListCount(K86,keywords!$A$2:$A$31)-WordListCount(K86,keywords!$B$2:$B$31)</f>
        <v>0</v>
      </c>
      <c r="P86" s="25">
        <f t="shared" si="3"/>
        <v>0.48002314814814812</v>
      </c>
      <c r="Q86" s="23">
        <f>SUM($O$2:O86)</f>
        <v>-1</v>
      </c>
      <c r="Y86" s="14"/>
      <c r="Z86" s="13"/>
      <c r="AA86"/>
    </row>
    <row r="87" spans="1:27" x14ac:dyDescent="0.2">
      <c r="A87" s="12" t="s">
        <v>320</v>
      </c>
      <c r="B87" t="s">
        <v>321</v>
      </c>
      <c r="C87" t="s">
        <v>322</v>
      </c>
      <c r="D87" t="s">
        <v>323</v>
      </c>
      <c r="E87" t="s">
        <v>13</v>
      </c>
      <c r="F87">
        <v>456</v>
      </c>
      <c r="G87">
        <v>132</v>
      </c>
      <c r="H87" s="5" t="s">
        <v>22</v>
      </c>
      <c r="I87" s="5">
        <v>0</v>
      </c>
      <c r="J87" s="5">
        <v>0</v>
      </c>
      <c r="K87" t="s">
        <v>9040</v>
      </c>
      <c r="L87" cm="1">
        <f t="array" ref="L87">wordCount(K87)</f>
        <v>14</v>
      </c>
      <c r="M87">
        <f t="shared" si="2"/>
        <v>78</v>
      </c>
      <c r="N87">
        <v>0.53846153846153844</v>
      </c>
      <c r="O87" s="23" cm="1">
        <f t="array" ref="O87">WordListCount(K87,keywords!$A$2:$A$31)-WordListCount(K87,keywords!$B$2:$B$31)</f>
        <v>1</v>
      </c>
      <c r="P87" s="25">
        <f t="shared" si="3"/>
        <v>0.48037037037037034</v>
      </c>
      <c r="Q87" s="23">
        <f>SUM($O$2:O87)</f>
        <v>0</v>
      </c>
      <c r="Y87" s="14"/>
      <c r="Z87" s="13"/>
      <c r="AA87"/>
    </row>
    <row r="88" spans="1:27" x14ac:dyDescent="0.2">
      <c r="A88" s="12" t="s">
        <v>324</v>
      </c>
      <c r="B88" t="s">
        <v>325</v>
      </c>
      <c r="C88" t="s">
        <v>326</v>
      </c>
      <c r="D88" t="s">
        <v>12</v>
      </c>
      <c r="E88" t="s">
        <v>13</v>
      </c>
      <c r="F88">
        <v>29</v>
      </c>
      <c r="G88">
        <v>152</v>
      </c>
      <c r="H88" s="5" t="s">
        <v>22</v>
      </c>
      <c r="I88" s="5">
        <v>0</v>
      </c>
      <c r="J88" s="5">
        <v>0</v>
      </c>
      <c r="K88" t="s">
        <v>9950</v>
      </c>
      <c r="L88" cm="1">
        <f t="array" ref="L88">wordCount(K88)</f>
        <v>26</v>
      </c>
      <c r="M88">
        <f t="shared" si="2"/>
        <v>121</v>
      </c>
      <c r="N88">
        <v>0.34375</v>
      </c>
      <c r="O88" s="23" cm="1">
        <f t="array" ref="O88">WordListCount(K88,keywords!$A$2:$A$31)-WordListCount(K88,keywords!$B$2:$B$31)</f>
        <v>0</v>
      </c>
      <c r="P88" s="25">
        <f t="shared" si="3"/>
        <v>0.48049768518518521</v>
      </c>
      <c r="Q88" s="23">
        <f>SUM($O$2:O88)</f>
        <v>0</v>
      </c>
      <c r="Y88" s="14"/>
      <c r="Z88" s="13"/>
      <c r="AA88"/>
    </row>
    <row r="89" spans="1:27" x14ac:dyDescent="0.2">
      <c r="A89" s="12" t="s">
        <v>327</v>
      </c>
      <c r="B89" t="s">
        <v>328</v>
      </c>
      <c r="C89" t="s">
        <v>329</v>
      </c>
      <c r="D89" t="s">
        <v>12</v>
      </c>
      <c r="E89" t="s">
        <v>13</v>
      </c>
      <c r="F89">
        <v>90</v>
      </c>
      <c r="G89">
        <v>117</v>
      </c>
      <c r="H89" s="5" t="s">
        <v>59</v>
      </c>
      <c r="I89" s="5">
        <v>0</v>
      </c>
      <c r="J89" s="5">
        <v>0</v>
      </c>
      <c r="K89" t="s">
        <v>9951</v>
      </c>
      <c r="L89" cm="1">
        <f t="array" ref="L89">wordCount(K89)</f>
        <v>22</v>
      </c>
      <c r="M89">
        <f t="shared" si="2"/>
        <v>106</v>
      </c>
      <c r="N89">
        <v>0.61111111111111116</v>
      </c>
      <c r="O89" s="23" cm="1">
        <f t="array" ref="O89">WordListCount(K89,keywords!$A$2:$A$31)-WordListCount(K89,keywords!$B$2:$B$31)</f>
        <v>-1</v>
      </c>
      <c r="P89" s="25">
        <f t="shared" si="3"/>
        <v>0.48059027777777774</v>
      </c>
      <c r="Q89" s="23">
        <f>SUM($O$2:O89)</f>
        <v>-1</v>
      </c>
      <c r="Y89" s="14"/>
      <c r="Z89" s="13"/>
      <c r="AA89"/>
    </row>
    <row r="90" spans="1:27" x14ac:dyDescent="0.2">
      <c r="A90" s="12" t="s">
        <v>330</v>
      </c>
      <c r="B90" t="s">
        <v>331</v>
      </c>
      <c r="C90" t="s">
        <v>332</v>
      </c>
      <c r="D90" t="s">
        <v>333</v>
      </c>
      <c r="E90" t="s">
        <v>13</v>
      </c>
      <c r="F90">
        <v>207</v>
      </c>
      <c r="G90">
        <v>630</v>
      </c>
      <c r="H90" s="5" t="s">
        <v>22</v>
      </c>
      <c r="I90" s="5">
        <v>0</v>
      </c>
      <c r="J90" s="5">
        <v>0</v>
      </c>
      <c r="K90" t="s">
        <v>9952</v>
      </c>
      <c r="L90" cm="1">
        <f t="array" ref="L90">wordCount(K90)</f>
        <v>7</v>
      </c>
      <c r="M90">
        <f t="shared" si="2"/>
        <v>35</v>
      </c>
      <c r="N90">
        <v>0.6</v>
      </c>
      <c r="O90" s="23" cm="1">
        <f t="array" ref="O90">WordListCount(K90,keywords!$A$2:$A$31)-WordListCount(K90,keywords!$B$2:$B$31)</f>
        <v>0</v>
      </c>
      <c r="P90" s="25">
        <f t="shared" si="3"/>
        <v>0.48062500000000002</v>
      </c>
      <c r="Q90" s="23">
        <f>SUM($O$2:O90)</f>
        <v>-1</v>
      </c>
      <c r="Y90" s="14"/>
      <c r="Z90" s="13"/>
      <c r="AA90"/>
    </row>
    <row r="91" spans="1:27" x14ac:dyDescent="0.2">
      <c r="A91" s="12" t="s">
        <v>334</v>
      </c>
      <c r="B91" t="s">
        <v>335</v>
      </c>
      <c r="C91" t="s">
        <v>336</v>
      </c>
      <c r="D91" t="s">
        <v>337</v>
      </c>
      <c r="E91" t="s">
        <v>13</v>
      </c>
      <c r="F91">
        <v>720</v>
      </c>
      <c r="G91">
        <v>1404</v>
      </c>
      <c r="H91" s="5" t="s">
        <v>22</v>
      </c>
      <c r="I91" s="5">
        <v>0</v>
      </c>
      <c r="J91" s="5">
        <v>0</v>
      </c>
      <c r="K91" t="s">
        <v>9953</v>
      </c>
      <c r="L91" cm="1">
        <f t="array" ref="L91">wordCount(K91)</f>
        <v>21</v>
      </c>
      <c r="M91">
        <f t="shared" si="2"/>
        <v>102</v>
      </c>
      <c r="N91">
        <v>0.56666666666666665</v>
      </c>
      <c r="O91" s="23" cm="1">
        <f t="array" ref="O91">WordListCount(K91,keywords!$A$2:$A$31)-WordListCount(K91,keywords!$B$2:$B$31)</f>
        <v>0</v>
      </c>
      <c r="P91" s="25">
        <f t="shared" si="3"/>
        <v>0.48082175925925924</v>
      </c>
      <c r="Q91" s="23">
        <f>SUM($O$2:O91)</f>
        <v>-1</v>
      </c>
      <c r="Y91" s="14"/>
      <c r="Z91" s="13"/>
      <c r="AA91"/>
    </row>
    <row r="92" spans="1:27" x14ac:dyDescent="0.2">
      <c r="A92" s="12" t="s">
        <v>338</v>
      </c>
      <c r="B92" t="s">
        <v>339</v>
      </c>
      <c r="C92" t="s">
        <v>340</v>
      </c>
      <c r="D92" t="s">
        <v>12</v>
      </c>
      <c r="E92" t="s">
        <v>13</v>
      </c>
      <c r="F92">
        <v>18</v>
      </c>
      <c r="G92">
        <v>74</v>
      </c>
      <c r="H92" s="5" t="s">
        <v>22</v>
      </c>
      <c r="I92" s="5">
        <v>0</v>
      </c>
      <c r="J92" s="5">
        <v>0</v>
      </c>
      <c r="K92" t="s">
        <v>9041</v>
      </c>
      <c r="L92" cm="1">
        <f t="array" ref="L92">wordCount(K92)</f>
        <v>13</v>
      </c>
      <c r="M92">
        <f t="shared" si="2"/>
        <v>67</v>
      </c>
      <c r="N92">
        <v>0.56521739130434778</v>
      </c>
      <c r="O92" s="23" cm="1">
        <f t="array" ref="O92">WordListCount(K92,keywords!$A$2:$A$31)-WordListCount(K92,keywords!$B$2:$B$31)</f>
        <v>0</v>
      </c>
      <c r="P92" s="25">
        <f t="shared" si="3"/>
        <v>0.48097222222222219</v>
      </c>
      <c r="Q92" s="23">
        <f>SUM($O$2:O92)</f>
        <v>-1</v>
      </c>
      <c r="Y92" s="14"/>
      <c r="Z92" s="13"/>
      <c r="AA92"/>
    </row>
    <row r="93" spans="1:27" x14ac:dyDescent="0.2">
      <c r="A93" s="12" t="s">
        <v>341</v>
      </c>
      <c r="B93" t="s">
        <v>342</v>
      </c>
      <c r="C93" t="s">
        <v>343</v>
      </c>
      <c r="D93" t="s">
        <v>344</v>
      </c>
      <c r="E93" t="s">
        <v>13</v>
      </c>
      <c r="F93">
        <v>705</v>
      </c>
      <c r="G93">
        <v>5001</v>
      </c>
      <c r="H93" s="5" t="s">
        <v>22</v>
      </c>
      <c r="I93" s="5">
        <v>0</v>
      </c>
      <c r="J93" s="5">
        <v>0</v>
      </c>
      <c r="K93" t="s">
        <v>9954</v>
      </c>
      <c r="L93" cm="1">
        <f t="array" ref="L93">wordCount(K93)</f>
        <v>5</v>
      </c>
      <c r="M93">
        <f t="shared" si="2"/>
        <v>31</v>
      </c>
      <c r="N93">
        <v>0.72727272727272729</v>
      </c>
      <c r="O93" s="23" cm="1">
        <f t="array" ref="O93">WordListCount(K93,keywords!$A$2:$A$31)-WordListCount(K93,keywords!$B$2:$B$31)</f>
        <v>0</v>
      </c>
      <c r="P93" s="25">
        <f t="shared" si="3"/>
        <v>0.48114583333333333</v>
      </c>
      <c r="Q93" s="23">
        <f>SUM($O$2:O93)</f>
        <v>-1</v>
      </c>
      <c r="Y93" s="14"/>
      <c r="Z93" s="13"/>
      <c r="AA93"/>
    </row>
    <row r="94" spans="1:27" x14ac:dyDescent="0.2">
      <c r="A94" s="12" t="s">
        <v>345</v>
      </c>
      <c r="B94" t="s">
        <v>346</v>
      </c>
      <c r="C94" t="s">
        <v>347</v>
      </c>
      <c r="D94" t="s">
        <v>12</v>
      </c>
      <c r="E94" t="s">
        <v>13</v>
      </c>
      <c r="F94">
        <v>156</v>
      </c>
      <c r="G94">
        <v>960</v>
      </c>
      <c r="H94" s="5" t="s">
        <v>22</v>
      </c>
      <c r="I94" s="5">
        <v>0</v>
      </c>
      <c r="J94" s="5">
        <v>0</v>
      </c>
      <c r="K94" t="s">
        <v>9042</v>
      </c>
      <c r="L94" cm="1">
        <f t="array" ref="L94">wordCount(K94)</f>
        <v>20</v>
      </c>
      <c r="M94">
        <f t="shared" si="2"/>
        <v>106</v>
      </c>
      <c r="N94">
        <v>0.41935483870967744</v>
      </c>
      <c r="O94" s="23" cm="1">
        <f t="array" ref="O94">WordListCount(K94,keywords!$A$2:$A$31)-WordListCount(K94,keywords!$B$2:$B$31)</f>
        <v>0</v>
      </c>
      <c r="P94" s="25">
        <f t="shared" si="3"/>
        <v>0.48190972222222223</v>
      </c>
      <c r="Q94" s="23">
        <f>SUM($O$2:O94)</f>
        <v>-1</v>
      </c>
      <c r="Y94" s="14"/>
      <c r="Z94" s="13"/>
      <c r="AA94"/>
    </row>
    <row r="95" spans="1:27" x14ac:dyDescent="0.2">
      <c r="A95" s="12" t="s">
        <v>348</v>
      </c>
      <c r="B95" t="s">
        <v>349</v>
      </c>
      <c r="C95" t="s">
        <v>350</v>
      </c>
      <c r="D95" t="s">
        <v>351</v>
      </c>
      <c r="E95" t="s">
        <v>13</v>
      </c>
      <c r="F95">
        <v>5053</v>
      </c>
      <c r="G95">
        <v>958</v>
      </c>
      <c r="H95" s="5" t="s">
        <v>59</v>
      </c>
      <c r="I95" s="5">
        <v>0</v>
      </c>
      <c r="J95" s="5">
        <v>0</v>
      </c>
      <c r="K95" t="s">
        <v>9955</v>
      </c>
      <c r="L95" cm="1">
        <f t="array" ref="L95">wordCount(K95)</f>
        <v>8</v>
      </c>
      <c r="M95">
        <f t="shared" si="2"/>
        <v>33</v>
      </c>
      <c r="N95">
        <v>0.61904761904761907</v>
      </c>
      <c r="O95" s="23" cm="1">
        <f t="array" ref="O95">WordListCount(K95,keywords!$A$2:$A$31)-WordListCount(K95,keywords!$B$2:$B$31)</f>
        <v>0</v>
      </c>
      <c r="P95" s="25">
        <f t="shared" si="3"/>
        <v>0.48278935185185184</v>
      </c>
      <c r="Q95" s="23">
        <f>SUM($O$2:O95)</f>
        <v>-1</v>
      </c>
      <c r="Y95" s="14"/>
      <c r="Z95" s="13"/>
      <c r="AA95"/>
    </row>
    <row r="96" spans="1:27" x14ac:dyDescent="0.2">
      <c r="A96" s="12" t="s">
        <v>352</v>
      </c>
      <c r="B96" t="s">
        <v>353</v>
      </c>
      <c r="C96" t="s">
        <v>354</v>
      </c>
      <c r="D96" t="s">
        <v>355</v>
      </c>
      <c r="E96" t="s">
        <v>13</v>
      </c>
      <c r="F96">
        <v>824</v>
      </c>
      <c r="G96">
        <v>660</v>
      </c>
      <c r="H96" s="5" t="s">
        <v>22</v>
      </c>
      <c r="I96" s="5">
        <v>0</v>
      </c>
      <c r="J96" s="5">
        <v>0</v>
      </c>
      <c r="K96" t="s">
        <v>9956</v>
      </c>
      <c r="L96" cm="1">
        <f t="array" ref="L96">wordCount(K96)</f>
        <v>22</v>
      </c>
      <c r="M96">
        <f t="shared" si="2"/>
        <v>110</v>
      </c>
      <c r="N96">
        <v>0.38709677419354838</v>
      </c>
      <c r="O96" s="23" cm="1">
        <f t="array" ref="O96">WordListCount(K96,keywords!$A$2:$A$31)-WordListCount(K96,keywords!$B$2:$B$31)</f>
        <v>0</v>
      </c>
      <c r="P96" s="25">
        <f t="shared" si="3"/>
        <v>0.48298611111111112</v>
      </c>
      <c r="Q96" s="23">
        <f>SUM($O$2:O96)</f>
        <v>-1</v>
      </c>
      <c r="Y96" s="14"/>
      <c r="Z96" s="13"/>
      <c r="AA96"/>
    </row>
    <row r="97" spans="1:27" x14ac:dyDescent="0.2">
      <c r="A97" s="12" t="s">
        <v>356</v>
      </c>
      <c r="B97" t="s">
        <v>357</v>
      </c>
      <c r="C97" t="s">
        <v>358</v>
      </c>
      <c r="D97" t="s">
        <v>359</v>
      </c>
      <c r="E97" t="s">
        <v>13</v>
      </c>
      <c r="F97">
        <v>125</v>
      </c>
      <c r="G97">
        <v>438</v>
      </c>
      <c r="H97" s="5" t="s">
        <v>360</v>
      </c>
      <c r="I97" s="5">
        <v>0</v>
      </c>
      <c r="J97" s="5">
        <v>0</v>
      </c>
      <c r="K97" t="s">
        <v>9043</v>
      </c>
      <c r="L97" cm="1">
        <f t="array" ref="L97">wordCount(K97)</f>
        <v>5</v>
      </c>
      <c r="M97">
        <f t="shared" si="2"/>
        <v>12</v>
      </c>
      <c r="N97">
        <v>0.89473684210526316</v>
      </c>
      <c r="O97" s="23" cm="1">
        <f t="array" ref="O97">WordListCount(K97,keywords!$A$2:$A$31)-WordListCount(K97,keywords!$B$2:$B$31)</f>
        <v>0</v>
      </c>
      <c r="P97" s="25">
        <f t="shared" si="3"/>
        <v>0.48320601851851852</v>
      </c>
      <c r="Q97" s="23">
        <f>SUM($O$2:O97)</f>
        <v>-1</v>
      </c>
      <c r="Y97" s="14"/>
      <c r="Z97" s="13"/>
      <c r="AA97"/>
    </row>
    <row r="98" spans="1:27" x14ac:dyDescent="0.2">
      <c r="A98" s="12" t="s">
        <v>361</v>
      </c>
      <c r="B98" t="s">
        <v>362</v>
      </c>
      <c r="C98" t="s">
        <v>363</v>
      </c>
      <c r="D98" t="s">
        <v>364</v>
      </c>
      <c r="E98" t="s">
        <v>13</v>
      </c>
      <c r="F98">
        <v>594</v>
      </c>
      <c r="G98">
        <v>80</v>
      </c>
      <c r="H98" s="5" t="s">
        <v>22</v>
      </c>
      <c r="I98" s="5">
        <v>0</v>
      </c>
      <c r="J98" s="5">
        <v>0</v>
      </c>
      <c r="K98" t="s">
        <v>9044</v>
      </c>
      <c r="L98" cm="1">
        <f t="array" ref="L98">wordCount(K98)</f>
        <v>15</v>
      </c>
      <c r="M98">
        <f t="shared" si="2"/>
        <v>81</v>
      </c>
      <c r="N98">
        <v>0.61538461538461542</v>
      </c>
      <c r="O98" s="23" cm="1">
        <f t="array" ref="O98">WordListCount(K98,keywords!$A$2:$A$31)-WordListCount(K98,keywords!$B$2:$B$31)</f>
        <v>0</v>
      </c>
      <c r="P98" s="25">
        <f t="shared" si="3"/>
        <v>0.48343749999999996</v>
      </c>
      <c r="Q98" s="23">
        <f>SUM($O$2:O98)</f>
        <v>-1</v>
      </c>
      <c r="Y98" s="14"/>
      <c r="Z98" s="13"/>
      <c r="AA98"/>
    </row>
    <row r="99" spans="1:27" x14ac:dyDescent="0.2">
      <c r="A99" s="12" t="s">
        <v>365</v>
      </c>
      <c r="B99" t="s">
        <v>366</v>
      </c>
      <c r="C99" t="s">
        <v>367</v>
      </c>
      <c r="D99" t="s">
        <v>368</v>
      </c>
      <c r="E99" t="s">
        <v>13</v>
      </c>
      <c r="F99">
        <v>26</v>
      </c>
      <c r="G99">
        <v>144</v>
      </c>
      <c r="H99" s="5" t="s">
        <v>22</v>
      </c>
      <c r="I99" s="5">
        <v>0</v>
      </c>
      <c r="J99" s="5">
        <v>0</v>
      </c>
      <c r="K99" t="s">
        <v>9045</v>
      </c>
      <c r="L99" cm="1">
        <f t="array" ref="L99">wordCount(K99)</f>
        <v>6</v>
      </c>
      <c r="M99">
        <f t="shared" si="2"/>
        <v>32</v>
      </c>
      <c r="N99">
        <v>0.76470588235294112</v>
      </c>
      <c r="O99" s="23" cm="1">
        <f t="array" ref="O99">WordListCount(K99,keywords!$A$2:$A$31)-WordListCount(K99,keywords!$B$2:$B$31)</f>
        <v>0</v>
      </c>
      <c r="P99" s="25">
        <f t="shared" si="3"/>
        <v>0.48381944444444441</v>
      </c>
      <c r="Q99" s="23">
        <f>SUM($O$2:O99)</f>
        <v>-1</v>
      </c>
      <c r="Y99" s="14"/>
      <c r="Z99" s="13"/>
      <c r="AA99"/>
    </row>
    <row r="100" spans="1:27" x14ac:dyDescent="0.2">
      <c r="A100" s="12" t="s">
        <v>369</v>
      </c>
      <c r="B100" t="s">
        <v>370</v>
      </c>
      <c r="C100" t="s">
        <v>371</v>
      </c>
      <c r="D100" t="s">
        <v>12</v>
      </c>
      <c r="E100" t="s">
        <v>13</v>
      </c>
      <c r="F100">
        <v>6</v>
      </c>
      <c r="G100">
        <v>77</v>
      </c>
      <c r="H100" s="5" t="s">
        <v>22</v>
      </c>
      <c r="I100" s="5">
        <v>0</v>
      </c>
      <c r="J100" s="5">
        <v>0</v>
      </c>
      <c r="K100" t="s">
        <v>9957</v>
      </c>
      <c r="L100" cm="1">
        <f t="array" ref="L100">wordCount(K100)</f>
        <v>9</v>
      </c>
      <c r="M100">
        <f t="shared" si="2"/>
        <v>56</v>
      </c>
      <c r="N100">
        <v>0.53333333333333333</v>
      </c>
      <c r="O100" s="23" cm="1">
        <f t="array" ref="O100">WordListCount(K100,keywords!$A$2:$A$31)-WordListCount(K100,keywords!$B$2:$B$31)</f>
        <v>-1</v>
      </c>
      <c r="P100" s="25">
        <f t="shared" si="3"/>
        <v>0.48409722222222223</v>
      </c>
      <c r="Q100" s="23">
        <f>SUM($O$2:O100)</f>
        <v>-2</v>
      </c>
      <c r="Y100" s="14"/>
      <c r="Z100" s="13"/>
      <c r="AA100"/>
    </row>
    <row r="101" spans="1:27" x14ac:dyDescent="0.2">
      <c r="A101" s="12" t="s">
        <v>372</v>
      </c>
      <c r="B101" t="s">
        <v>373</v>
      </c>
      <c r="C101" t="s">
        <v>374</v>
      </c>
      <c r="D101" t="s">
        <v>12</v>
      </c>
      <c r="E101" t="s">
        <v>13</v>
      </c>
      <c r="F101">
        <v>22</v>
      </c>
      <c r="G101">
        <v>240</v>
      </c>
      <c r="H101" s="5" t="s">
        <v>22</v>
      </c>
      <c r="I101" s="5">
        <v>0</v>
      </c>
      <c r="J101" s="5">
        <v>0</v>
      </c>
      <c r="K101" t="s">
        <v>9958</v>
      </c>
      <c r="L101" cm="1">
        <f t="array" ref="L101">wordCount(K101)</f>
        <v>16</v>
      </c>
      <c r="M101">
        <f t="shared" si="2"/>
        <v>70</v>
      </c>
      <c r="N101">
        <v>0.4</v>
      </c>
      <c r="O101" s="23" cm="1">
        <f t="array" ref="O101">WordListCount(K101,keywords!$A$2:$A$31)-WordListCount(K101,keywords!$B$2:$B$31)</f>
        <v>0</v>
      </c>
      <c r="P101" s="25">
        <f t="shared" si="3"/>
        <v>0.48533564814814811</v>
      </c>
      <c r="Q101" s="23">
        <f>SUM($O$2:O101)</f>
        <v>-2</v>
      </c>
      <c r="Y101" s="14"/>
      <c r="Z101" s="13"/>
      <c r="AA101"/>
    </row>
    <row r="102" spans="1:27" x14ac:dyDescent="0.2">
      <c r="A102" s="12" t="s">
        <v>375</v>
      </c>
      <c r="B102" t="s">
        <v>376</v>
      </c>
      <c r="C102" t="s">
        <v>377</v>
      </c>
      <c r="D102" t="s">
        <v>378</v>
      </c>
      <c r="E102" t="s">
        <v>13</v>
      </c>
      <c r="F102">
        <v>9948</v>
      </c>
      <c r="G102">
        <v>389</v>
      </c>
      <c r="H102" s="5" t="s">
        <v>22</v>
      </c>
      <c r="I102" s="5">
        <v>0</v>
      </c>
      <c r="J102" s="5">
        <v>0</v>
      </c>
      <c r="K102" t="s">
        <v>9959</v>
      </c>
      <c r="L102" cm="1">
        <f t="array" ref="L102">wordCount(K102)</f>
        <v>11</v>
      </c>
      <c r="M102">
        <f t="shared" si="2"/>
        <v>72</v>
      </c>
      <c r="N102">
        <v>0.16666666666666666</v>
      </c>
      <c r="O102" s="23" cm="1">
        <f t="array" ref="O102">WordListCount(K102,keywords!$A$2:$A$31)-WordListCount(K102,keywords!$B$2:$B$31)</f>
        <v>-1</v>
      </c>
      <c r="P102" s="25">
        <f t="shared" si="3"/>
        <v>0.48555555555555557</v>
      </c>
      <c r="Q102" s="23">
        <f>SUM($O$2:O102)</f>
        <v>-3</v>
      </c>
      <c r="Y102" s="14"/>
      <c r="Z102" s="13"/>
      <c r="AA102"/>
    </row>
    <row r="103" spans="1:27" x14ac:dyDescent="0.2">
      <c r="A103" s="12" t="s">
        <v>379</v>
      </c>
      <c r="B103" t="s">
        <v>380</v>
      </c>
      <c r="C103" t="s">
        <v>381</v>
      </c>
      <c r="D103" t="s">
        <v>12</v>
      </c>
      <c r="E103" t="s">
        <v>13</v>
      </c>
      <c r="F103">
        <v>6</v>
      </c>
      <c r="G103">
        <v>91</v>
      </c>
      <c r="H103" s="5" t="s">
        <v>382</v>
      </c>
      <c r="I103" s="5">
        <v>0</v>
      </c>
      <c r="J103" s="5">
        <v>0</v>
      </c>
      <c r="K103" t="s">
        <v>9046</v>
      </c>
      <c r="L103" cm="1">
        <f t="array" ref="L103">wordCount(K103)</f>
        <v>2</v>
      </c>
      <c r="M103">
        <f t="shared" si="2"/>
        <v>12</v>
      </c>
      <c r="N103">
        <v>0.875</v>
      </c>
      <c r="O103" s="23" cm="1">
        <f t="array" ref="O103">WordListCount(K103,keywords!$A$2:$A$31)-WordListCount(K103,keywords!$B$2:$B$31)</f>
        <v>0</v>
      </c>
      <c r="P103" s="25">
        <f t="shared" si="3"/>
        <v>0.48557870370370365</v>
      </c>
      <c r="Q103" s="23">
        <f>SUM($O$2:O103)</f>
        <v>-3</v>
      </c>
      <c r="Y103" s="14"/>
      <c r="Z103" s="13"/>
      <c r="AA103"/>
    </row>
    <row r="104" spans="1:27" x14ac:dyDescent="0.2">
      <c r="A104" s="12" t="s">
        <v>383</v>
      </c>
      <c r="B104" t="s">
        <v>384</v>
      </c>
      <c r="C104" t="s">
        <v>385</v>
      </c>
      <c r="D104" t="s">
        <v>386</v>
      </c>
      <c r="E104" t="s">
        <v>13</v>
      </c>
      <c r="F104">
        <v>1374</v>
      </c>
      <c r="G104">
        <v>294</v>
      </c>
      <c r="H104" s="5" t="s">
        <v>22</v>
      </c>
      <c r="I104" s="5">
        <v>0</v>
      </c>
      <c r="J104" s="5">
        <v>0</v>
      </c>
      <c r="K104" t="s">
        <v>9960</v>
      </c>
      <c r="L104" cm="1">
        <f t="array" ref="L104">wordCount(K104)</f>
        <v>16</v>
      </c>
      <c r="M104">
        <f t="shared" si="2"/>
        <v>80</v>
      </c>
      <c r="N104">
        <v>0.23529411764705882</v>
      </c>
      <c r="O104" s="23" cm="1">
        <f t="array" ref="O104">WordListCount(K104,keywords!$A$2:$A$31)-WordListCount(K104,keywords!$B$2:$B$31)</f>
        <v>0</v>
      </c>
      <c r="P104" s="25">
        <f t="shared" si="3"/>
        <v>0.48608796296296292</v>
      </c>
      <c r="Q104" s="23">
        <f>SUM($O$2:O104)</f>
        <v>-3</v>
      </c>
      <c r="Y104" s="14"/>
      <c r="Z104" s="13"/>
      <c r="AA104"/>
    </row>
    <row r="105" spans="1:27" x14ac:dyDescent="0.2">
      <c r="A105" s="12" t="s">
        <v>387</v>
      </c>
      <c r="B105" t="s">
        <v>388</v>
      </c>
      <c r="C105" t="s">
        <v>130</v>
      </c>
      <c r="D105" t="s">
        <v>131</v>
      </c>
      <c r="E105" t="s">
        <v>13</v>
      </c>
      <c r="F105">
        <v>93</v>
      </c>
      <c r="G105">
        <v>202</v>
      </c>
      <c r="H105" s="5" t="s">
        <v>22</v>
      </c>
      <c r="I105" s="5">
        <v>0</v>
      </c>
      <c r="J105" s="5">
        <v>0</v>
      </c>
      <c r="K105" t="s">
        <v>9961</v>
      </c>
      <c r="L105" cm="1">
        <f t="array" ref="L105">wordCount(K105)</f>
        <v>21</v>
      </c>
      <c r="M105">
        <f t="shared" si="2"/>
        <v>100</v>
      </c>
      <c r="N105">
        <v>0.61764705882352944</v>
      </c>
      <c r="O105" s="23" cm="1">
        <f t="array" ref="O105">WordListCount(K105,keywords!$A$2:$A$31)-WordListCount(K105,keywords!$B$2:$B$31)</f>
        <v>1</v>
      </c>
      <c r="P105" s="25">
        <f t="shared" si="3"/>
        <v>0.48629629629629628</v>
      </c>
      <c r="Q105" s="23">
        <f>SUM($O$2:O105)</f>
        <v>-2</v>
      </c>
      <c r="Y105" s="14"/>
      <c r="Z105" s="13"/>
      <c r="AA105"/>
    </row>
    <row r="106" spans="1:27" x14ac:dyDescent="0.2">
      <c r="A106" s="12" t="s">
        <v>389</v>
      </c>
      <c r="B106" t="s">
        <v>390</v>
      </c>
      <c r="C106" t="s">
        <v>391</v>
      </c>
      <c r="D106" t="s">
        <v>392</v>
      </c>
      <c r="E106" t="s">
        <v>13</v>
      </c>
      <c r="F106">
        <v>506</v>
      </c>
      <c r="G106">
        <v>442</v>
      </c>
      <c r="H106" s="5" t="s">
        <v>393</v>
      </c>
      <c r="I106" s="5">
        <v>0</v>
      </c>
      <c r="J106" s="5">
        <v>0</v>
      </c>
      <c r="K106" t="s">
        <v>9047</v>
      </c>
      <c r="L106" cm="1">
        <f t="array" ref="L106">wordCount(K106)</f>
        <v>1</v>
      </c>
      <c r="M106">
        <f t="shared" si="2"/>
        <v>7</v>
      </c>
      <c r="N106">
        <v>0.9375</v>
      </c>
      <c r="O106" s="23" cm="1">
        <f t="array" ref="O106">WordListCount(K106,keywords!$A$2:$A$31)-WordListCount(K106,keywords!$B$2:$B$31)</f>
        <v>0</v>
      </c>
      <c r="P106" s="25">
        <f t="shared" si="3"/>
        <v>0.48648148148148151</v>
      </c>
      <c r="Q106" s="23">
        <f>SUM($O$2:O106)</f>
        <v>-2</v>
      </c>
      <c r="Y106" s="14"/>
      <c r="Z106" s="13"/>
      <c r="AA106"/>
    </row>
    <row r="107" spans="1:27" x14ac:dyDescent="0.2">
      <c r="A107" s="12" t="s">
        <v>394</v>
      </c>
      <c r="B107" t="s">
        <v>395</v>
      </c>
      <c r="C107" t="s">
        <v>396</v>
      </c>
      <c r="D107" t="s">
        <v>12</v>
      </c>
      <c r="E107" t="s">
        <v>13</v>
      </c>
      <c r="F107">
        <v>1438</v>
      </c>
      <c r="G107">
        <v>29</v>
      </c>
      <c r="H107" s="5" t="s">
        <v>59</v>
      </c>
      <c r="I107" s="5">
        <v>0</v>
      </c>
      <c r="J107" s="5">
        <v>0</v>
      </c>
      <c r="K107" t="s">
        <v>9048</v>
      </c>
      <c r="L107" cm="1">
        <f t="array" ref="L107">wordCount(K107)</f>
        <v>8</v>
      </c>
      <c r="M107">
        <f t="shared" si="2"/>
        <v>41</v>
      </c>
      <c r="N107">
        <v>0.875</v>
      </c>
      <c r="O107" s="23" cm="1">
        <f t="array" ref="O107">WordListCount(K107,keywords!$A$2:$A$31)-WordListCount(K107,keywords!$B$2:$B$31)</f>
        <v>0</v>
      </c>
      <c r="P107" s="25">
        <f t="shared" si="3"/>
        <v>0.48688657407407404</v>
      </c>
      <c r="Q107" s="23">
        <f>SUM($O$2:O107)</f>
        <v>-2</v>
      </c>
      <c r="Y107" s="14"/>
      <c r="Z107" s="13"/>
      <c r="AA107"/>
    </row>
    <row r="108" spans="1:27" x14ac:dyDescent="0.2">
      <c r="A108" s="12" t="s">
        <v>397</v>
      </c>
      <c r="B108" t="s">
        <v>398</v>
      </c>
      <c r="C108" t="s">
        <v>399</v>
      </c>
      <c r="D108" t="s">
        <v>400</v>
      </c>
      <c r="E108" t="s">
        <v>13</v>
      </c>
      <c r="F108">
        <v>16</v>
      </c>
      <c r="G108">
        <v>65</v>
      </c>
      <c r="H108" s="5" t="s">
        <v>22</v>
      </c>
      <c r="I108" s="5">
        <v>0</v>
      </c>
      <c r="J108" s="5">
        <v>0</v>
      </c>
      <c r="K108" t="s">
        <v>9962</v>
      </c>
      <c r="L108" cm="1">
        <f t="array" ref="L108">wordCount(K108)</f>
        <v>10</v>
      </c>
      <c r="M108">
        <f t="shared" si="2"/>
        <v>54</v>
      </c>
      <c r="N108">
        <v>0.68181818181818177</v>
      </c>
      <c r="O108" s="23" cm="1">
        <f t="array" ref="O108">WordListCount(K108,keywords!$A$2:$A$31)-WordListCount(K108,keywords!$B$2:$B$31)</f>
        <v>0</v>
      </c>
      <c r="P108" s="25">
        <f t="shared" si="3"/>
        <v>0.48734953703703704</v>
      </c>
      <c r="Q108" s="23">
        <f>SUM($O$2:O108)</f>
        <v>-2</v>
      </c>
      <c r="Y108" s="14"/>
      <c r="Z108" s="13"/>
      <c r="AA108"/>
    </row>
    <row r="109" spans="1:27" x14ac:dyDescent="0.2">
      <c r="A109" s="12" t="s">
        <v>401</v>
      </c>
      <c r="B109" t="s">
        <v>402</v>
      </c>
      <c r="C109" t="s">
        <v>403</v>
      </c>
      <c r="D109" t="s">
        <v>404</v>
      </c>
      <c r="E109" t="s">
        <v>13</v>
      </c>
      <c r="F109">
        <v>1060</v>
      </c>
      <c r="G109">
        <v>362</v>
      </c>
      <c r="H109" s="5" t="s">
        <v>22</v>
      </c>
      <c r="I109" s="5">
        <v>0</v>
      </c>
      <c r="J109" s="5">
        <v>0</v>
      </c>
      <c r="K109" t="s">
        <v>9963</v>
      </c>
      <c r="L109" cm="1">
        <f t="array" ref="L109">wordCount(K109)</f>
        <v>20</v>
      </c>
      <c r="M109">
        <f t="shared" si="2"/>
        <v>121</v>
      </c>
      <c r="N109">
        <v>0.34782608695652173</v>
      </c>
      <c r="O109" s="23" cm="1">
        <f t="array" ref="O109">WordListCount(K109,keywords!$A$2:$A$31)-WordListCount(K109,keywords!$B$2:$B$31)</f>
        <v>0</v>
      </c>
      <c r="P109" s="25">
        <f t="shared" si="3"/>
        <v>0.48774305555555553</v>
      </c>
      <c r="Q109" s="23">
        <f>SUM($O$2:O109)</f>
        <v>-2</v>
      </c>
      <c r="Y109" s="14"/>
      <c r="Z109" s="13"/>
      <c r="AA109"/>
    </row>
    <row r="110" spans="1:27" x14ac:dyDescent="0.2">
      <c r="A110" s="12" t="s">
        <v>405</v>
      </c>
      <c r="B110" t="s">
        <v>406</v>
      </c>
      <c r="C110" t="s">
        <v>407</v>
      </c>
      <c r="D110" t="s">
        <v>12</v>
      </c>
      <c r="E110" t="s">
        <v>13</v>
      </c>
      <c r="F110">
        <v>0</v>
      </c>
      <c r="G110">
        <v>0</v>
      </c>
      <c r="H110" s="5" t="s">
        <v>22</v>
      </c>
      <c r="I110" s="5">
        <v>0</v>
      </c>
      <c r="J110" s="5">
        <v>0</v>
      </c>
      <c r="K110" t="s">
        <v>9047</v>
      </c>
      <c r="L110" cm="1">
        <f t="array" ref="L110">wordCount(K110)</f>
        <v>1</v>
      </c>
      <c r="M110">
        <f t="shared" si="2"/>
        <v>7</v>
      </c>
      <c r="N110">
        <v>0.5</v>
      </c>
      <c r="O110" s="23" cm="1">
        <f t="array" ref="O110">WordListCount(K110,keywords!$A$2:$A$31)-WordListCount(K110,keywords!$B$2:$B$31)</f>
        <v>0</v>
      </c>
      <c r="P110" s="25">
        <f t="shared" si="3"/>
        <v>0.48811342592592594</v>
      </c>
      <c r="Q110" s="23">
        <f>SUM($O$2:O110)</f>
        <v>-2</v>
      </c>
      <c r="Y110" s="14"/>
      <c r="Z110" s="13"/>
      <c r="AA110"/>
    </row>
    <row r="111" spans="1:27" x14ac:dyDescent="0.2">
      <c r="A111" s="12" t="s">
        <v>408</v>
      </c>
      <c r="B111" t="s">
        <v>409</v>
      </c>
      <c r="C111" t="s">
        <v>410</v>
      </c>
      <c r="D111" t="s">
        <v>411</v>
      </c>
      <c r="E111" t="s">
        <v>13</v>
      </c>
      <c r="F111">
        <v>1449</v>
      </c>
      <c r="G111">
        <v>4998</v>
      </c>
      <c r="H111" s="5" t="s">
        <v>22</v>
      </c>
      <c r="I111" s="5">
        <v>0</v>
      </c>
      <c r="J111" s="5">
        <v>0</v>
      </c>
      <c r="K111" t="s">
        <v>9964</v>
      </c>
      <c r="L111" cm="1">
        <f t="array" ref="L111">wordCount(K111)</f>
        <v>5</v>
      </c>
      <c r="M111">
        <f t="shared" si="2"/>
        <v>26</v>
      </c>
      <c r="N111">
        <v>0.88461538461538458</v>
      </c>
      <c r="O111" s="23" cm="1">
        <f t="array" ref="O111">WordListCount(K111,keywords!$A$2:$A$31)-WordListCount(K111,keywords!$B$2:$B$31)</f>
        <v>0</v>
      </c>
      <c r="P111" s="25">
        <f t="shared" si="3"/>
        <v>0.48846064814814816</v>
      </c>
      <c r="Q111" s="23">
        <f>SUM($O$2:O111)</f>
        <v>-2</v>
      </c>
      <c r="Y111" s="14"/>
      <c r="Z111" s="13"/>
      <c r="AA111"/>
    </row>
    <row r="112" spans="1:27" x14ac:dyDescent="0.2">
      <c r="A112" s="12" t="s">
        <v>412</v>
      </c>
      <c r="B112" t="s">
        <v>413</v>
      </c>
      <c r="C112" t="s">
        <v>414</v>
      </c>
      <c r="D112" t="s">
        <v>415</v>
      </c>
      <c r="E112" t="s">
        <v>13</v>
      </c>
      <c r="F112">
        <v>2251</v>
      </c>
      <c r="G112">
        <v>3132</v>
      </c>
      <c r="H112" s="5" t="s">
        <v>22</v>
      </c>
      <c r="I112" s="5">
        <v>0</v>
      </c>
      <c r="J112" s="5">
        <v>0</v>
      </c>
      <c r="K112" t="s">
        <v>9965</v>
      </c>
      <c r="L112" cm="1">
        <f t="array" ref="L112">wordCount(K112)</f>
        <v>16</v>
      </c>
      <c r="M112">
        <f t="shared" si="2"/>
        <v>79</v>
      </c>
      <c r="N112">
        <v>0.41666666666666669</v>
      </c>
      <c r="O112" s="23" cm="1">
        <f t="array" ref="O112">WordListCount(K112,keywords!$A$2:$A$31)-WordListCount(K112,keywords!$B$2:$B$31)</f>
        <v>-2</v>
      </c>
      <c r="P112" s="25">
        <f t="shared" si="3"/>
        <v>0.48905092592592592</v>
      </c>
      <c r="Q112" s="23">
        <f>SUM($O$2:O112)</f>
        <v>-4</v>
      </c>
      <c r="Y112" s="14"/>
      <c r="Z112" s="13"/>
      <c r="AA112"/>
    </row>
    <row r="113" spans="1:27" x14ac:dyDescent="0.2">
      <c r="A113" s="12" t="s">
        <v>416</v>
      </c>
      <c r="B113" t="s">
        <v>417</v>
      </c>
      <c r="C113" t="s">
        <v>418</v>
      </c>
      <c r="D113" t="s">
        <v>419</v>
      </c>
      <c r="E113" t="s">
        <v>13</v>
      </c>
      <c r="F113">
        <v>48</v>
      </c>
      <c r="G113">
        <v>230</v>
      </c>
      <c r="H113" s="5" t="s">
        <v>22</v>
      </c>
      <c r="I113" s="5">
        <v>0</v>
      </c>
      <c r="J113" s="5">
        <v>0</v>
      </c>
      <c r="K113" t="s">
        <v>9966</v>
      </c>
      <c r="L113" cm="1">
        <f t="array" ref="L113">wordCount(K113)</f>
        <v>19</v>
      </c>
      <c r="M113">
        <f t="shared" si="2"/>
        <v>87</v>
      </c>
      <c r="N113">
        <v>0.38095238095238093</v>
      </c>
      <c r="O113" s="23" cm="1">
        <f t="array" ref="O113">WordListCount(K113,keywords!$A$2:$A$31)-WordListCount(K113,keywords!$B$2:$B$31)</f>
        <v>0</v>
      </c>
      <c r="P113" s="25">
        <f t="shared" si="3"/>
        <v>0.48912037037037037</v>
      </c>
      <c r="Q113" s="23">
        <f>SUM($O$2:O113)</f>
        <v>-4</v>
      </c>
      <c r="Y113" s="14"/>
      <c r="Z113" s="13"/>
      <c r="AA113"/>
    </row>
    <row r="114" spans="1:27" x14ac:dyDescent="0.2">
      <c r="A114" s="12" t="s">
        <v>420</v>
      </c>
      <c r="B114" t="s">
        <v>421</v>
      </c>
      <c r="C114" t="s">
        <v>422</v>
      </c>
      <c r="D114" t="s">
        <v>12</v>
      </c>
      <c r="E114" t="s">
        <v>13</v>
      </c>
      <c r="F114">
        <v>9</v>
      </c>
      <c r="G114">
        <v>85</v>
      </c>
      <c r="H114" s="5" t="s">
        <v>22</v>
      </c>
      <c r="I114" s="5">
        <v>0</v>
      </c>
      <c r="J114" s="5">
        <v>0</v>
      </c>
      <c r="K114" t="s">
        <v>9967</v>
      </c>
      <c r="L114" cm="1">
        <f t="array" ref="L114">wordCount(K114)</f>
        <v>11</v>
      </c>
      <c r="M114">
        <f t="shared" si="2"/>
        <v>59</v>
      </c>
      <c r="N114">
        <v>0.5</v>
      </c>
      <c r="O114" s="23" cm="1">
        <f t="array" ref="O114">WordListCount(K114,keywords!$A$2:$A$31)-WordListCount(K114,keywords!$B$2:$B$31)</f>
        <v>0</v>
      </c>
      <c r="P114" s="25">
        <f t="shared" si="3"/>
        <v>0.48914351851851851</v>
      </c>
      <c r="Q114" s="23">
        <f>SUM($O$2:O114)</f>
        <v>-4</v>
      </c>
      <c r="Y114" s="14"/>
      <c r="Z114" s="13"/>
      <c r="AA114"/>
    </row>
    <row r="115" spans="1:27" x14ac:dyDescent="0.2">
      <c r="A115" s="12" t="s">
        <v>423</v>
      </c>
      <c r="B115" t="s">
        <v>424</v>
      </c>
      <c r="C115" t="s">
        <v>425</v>
      </c>
      <c r="D115" t="s">
        <v>426</v>
      </c>
      <c r="E115" t="s">
        <v>13</v>
      </c>
      <c r="F115">
        <v>1</v>
      </c>
      <c r="G115">
        <v>3</v>
      </c>
      <c r="H115" s="5" t="s">
        <v>22</v>
      </c>
      <c r="I115" s="5">
        <v>0</v>
      </c>
      <c r="J115" s="5">
        <v>0</v>
      </c>
      <c r="K115" t="s">
        <v>9968</v>
      </c>
      <c r="L115" cm="1">
        <f t="array" ref="L115">wordCount(K115)</f>
        <v>14</v>
      </c>
      <c r="M115">
        <f t="shared" si="2"/>
        <v>76</v>
      </c>
      <c r="N115">
        <v>0.33333333333333331</v>
      </c>
      <c r="O115" s="23" cm="1">
        <f t="array" ref="O115">WordListCount(K115,keywords!$A$2:$A$31)-WordListCount(K115,keywords!$B$2:$B$31)</f>
        <v>0</v>
      </c>
      <c r="P115" s="25">
        <f t="shared" si="3"/>
        <v>0.48953703703703705</v>
      </c>
      <c r="Q115" s="23">
        <f>SUM($O$2:O115)</f>
        <v>-4</v>
      </c>
      <c r="Y115" s="14"/>
      <c r="Z115" s="13"/>
      <c r="AA115"/>
    </row>
    <row r="116" spans="1:27" x14ac:dyDescent="0.2">
      <c r="A116" s="12" t="s">
        <v>427</v>
      </c>
      <c r="B116" t="s">
        <v>428</v>
      </c>
      <c r="C116" t="s">
        <v>429</v>
      </c>
      <c r="D116" t="s">
        <v>430</v>
      </c>
      <c r="E116" t="s">
        <v>13</v>
      </c>
      <c r="F116">
        <v>1661</v>
      </c>
      <c r="G116">
        <v>1479</v>
      </c>
      <c r="H116" s="5" t="s">
        <v>22</v>
      </c>
      <c r="I116" s="5">
        <v>0</v>
      </c>
      <c r="J116" s="5">
        <v>0</v>
      </c>
      <c r="K116" t="s">
        <v>9969</v>
      </c>
      <c r="L116" cm="1">
        <f t="array" ref="L116">wordCount(K116)</f>
        <v>9</v>
      </c>
      <c r="M116">
        <f t="shared" si="2"/>
        <v>64</v>
      </c>
      <c r="N116">
        <v>0.8</v>
      </c>
      <c r="O116" s="23" cm="1">
        <f t="array" ref="O116">WordListCount(K116,keywords!$A$2:$A$31)-WordListCount(K116,keywords!$B$2:$B$31)</f>
        <v>0</v>
      </c>
      <c r="P116" s="25">
        <f t="shared" si="3"/>
        <v>0.4896064814814815</v>
      </c>
      <c r="Q116" s="23">
        <f>SUM($O$2:O116)</f>
        <v>-4</v>
      </c>
      <c r="Y116" s="14"/>
      <c r="Z116" s="13"/>
      <c r="AA116"/>
    </row>
    <row r="117" spans="1:27" x14ac:dyDescent="0.2">
      <c r="A117" s="12" t="s">
        <v>431</v>
      </c>
      <c r="B117" t="s">
        <v>432</v>
      </c>
      <c r="C117" t="s">
        <v>433</v>
      </c>
      <c r="D117" t="s">
        <v>434</v>
      </c>
      <c r="E117" t="s">
        <v>13</v>
      </c>
      <c r="F117">
        <v>281</v>
      </c>
      <c r="G117">
        <v>267</v>
      </c>
      <c r="H117" s="5" t="s">
        <v>22</v>
      </c>
      <c r="I117" s="5">
        <v>0</v>
      </c>
      <c r="J117" s="5">
        <v>0</v>
      </c>
      <c r="K117" t="s">
        <v>9970</v>
      </c>
      <c r="L117" cm="1">
        <f t="array" ref="L117">wordCount(K117)</f>
        <v>14</v>
      </c>
      <c r="M117">
        <f t="shared" si="2"/>
        <v>66</v>
      </c>
      <c r="N117">
        <v>0.52173913043478259</v>
      </c>
      <c r="O117" s="23" cm="1">
        <f t="array" ref="O117">WordListCount(K117,keywords!$A$2:$A$31)-WordListCount(K117,keywords!$B$2:$B$31)</f>
        <v>0</v>
      </c>
      <c r="P117" s="25">
        <f t="shared" si="3"/>
        <v>0.48975694444444445</v>
      </c>
      <c r="Q117" s="23">
        <f>SUM($O$2:O117)</f>
        <v>-4</v>
      </c>
      <c r="Y117" s="14"/>
      <c r="Z117" s="13"/>
      <c r="AA117"/>
    </row>
    <row r="118" spans="1:27" x14ac:dyDescent="0.2">
      <c r="A118" s="12" t="s">
        <v>435</v>
      </c>
      <c r="B118" t="s">
        <v>436</v>
      </c>
      <c r="C118" t="s">
        <v>437</v>
      </c>
      <c r="D118" t="s">
        <v>12</v>
      </c>
      <c r="E118" t="s">
        <v>13</v>
      </c>
      <c r="F118">
        <v>38</v>
      </c>
      <c r="G118">
        <v>284</v>
      </c>
      <c r="H118" s="5" t="s">
        <v>22</v>
      </c>
      <c r="I118" s="5">
        <v>0</v>
      </c>
      <c r="J118" s="5">
        <v>0</v>
      </c>
      <c r="K118" t="s">
        <v>9971</v>
      </c>
      <c r="L118" cm="1">
        <f t="array" ref="L118">wordCount(K118)</f>
        <v>6</v>
      </c>
      <c r="M118">
        <f t="shared" si="2"/>
        <v>28</v>
      </c>
      <c r="N118">
        <v>0.61538461538461542</v>
      </c>
      <c r="O118" s="23" cm="1">
        <f t="array" ref="O118">WordListCount(K118,keywords!$A$2:$A$31)-WordListCount(K118,keywords!$B$2:$B$31)</f>
        <v>0</v>
      </c>
      <c r="P118" s="25">
        <f t="shared" si="3"/>
        <v>0.48976851851851855</v>
      </c>
      <c r="Q118" s="23">
        <f>SUM($O$2:O118)</f>
        <v>-4</v>
      </c>
      <c r="Y118" s="14"/>
      <c r="Z118" s="13"/>
      <c r="AA118"/>
    </row>
    <row r="119" spans="1:27" x14ac:dyDescent="0.2">
      <c r="A119" s="12" t="s">
        <v>438</v>
      </c>
      <c r="B119" t="s">
        <v>439</v>
      </c>
      <c r="C119" t="s">
        <v>440</v>
      </c>
      <c r="D119" t="s">
        <v>441</v>
      </c>
      <c r="E119" t="s">
        <v>13</v>
      </c>
      <c r="F119">
        <v>2713</v>
      </c>
      <c r="G119">
        <v>1823</v>
      </c>
      <c r="H119" s="5" t="s">
        <v>22</v>
      </c>
      <c r="I119" s="5">
        <v>0</v>
      </c>
      <c r="J119" s="5">
        <v>0</v>
      </c>
      <c r="K119" t="s">
        <v>9972</v>
      </c>
      <c r="L119" cm="1">
        <f t="array" ref="L119">wordCount(K119)</f>
        <v>14</v>
      </c>
      <c r="M119">
        <f t="shared" si="2"/>
        <v>101</v>
      </c>
      <c r="N119">
        <v>0.8571428571428571</v>
      </c>
      <c r="O119" s="23" cm="1">
        <f t="array" ref="O119">WordListCount(K119,keywords!$A$2:$A$31)-WordListCount(K119,keywords!$B$2:$B$31)</f>
        <v>0</v>
      </c>
      <c r="P119" s="25">
        <f t="shared" si="3"/>
        <v>0.4899189814814815</v>
      </c>
      <c r="Q119" s="23">
        <f>SUM($O$2:O119)</f>
        <v>-4</v>
      </c>
      <c r="Y119" s="14"/>
      <c r="Z119" s="13"/>
      <c r="AA119"/>
    </row>
    <row r="120" spans="1:27" x14ac:dyDescent="0.2">
      <c r="A120" s="12" t="s">
        <v>442</v>
      </c>
      <c r="B120" t="s">
        <v>443</v>
      </c>
      <c r="C120" t="s">
        <v>444</v>
      </c>
      <c r="D120" t="s">
        <v>445</v>
      </c>
      <c r="E120" t="s">
        <v>13</v>
      </c>
      <c r="F120">
        <v>663</v>
      </c>
      <c r="G120">
        <v>879</v>
      </c>
      <c r="H120" s="5" t="s">
        <v>22</v>
      </c>
      <c r="I120" s="5">
        <v>0</v>
      </c>
      <c r="J120" s="5">
        <v>0</v>
      </c>
      <c r="K120" t="s">
        <v>9973</v>
      </c>
      <c r="L120" cm="1">
        <f t="array" ref="L120">wordCount(K120)</f>
        <v>12</v>
      </c>
      <c r="M120">
        <f t="shared" si="2"/>
        <v>60</v>
      </c>
      <c r="N120">
        <v>0.57894736842105265</v>
      </c>
      <c r="O120" s="23" cm="1">
        <f t="array" ref="O120">WordListCount(K120,keywords!$A$2:$A$31)-WordListCount(K120,keywords!$B$2:$B$31)</f>
        <v>0</v>
      </c>
      <c r="P120" s="25">
        <f t="shared" si="3"/>
        <v>0.48993055555555554</v>
      </c>
      <c r="Q120" s="23">
        <f>SUM($O$2:O120)</f>
        <v>-4</v>
      </c>
      <c r="Y120" s="14"/>
      <c r="Z120" s="13"/>
      <c r="AA120"/>
    </row>
    <row r="121" spans="1:27" x14ac:dyDescent="0.2">
      <c r="A121" s="12" t="s">
        <v>446</v>
      </c>
      <c r="B121" t="s">
        <v>447</v>
      </c>
      <c r="C121" t="s">
        <v>332</v>
      </c>
      <c r="D121" t="s">
        <v>333</v>
      </c>
      <c r="E121" t="s">
        <v>13</v>
      </c>
      <c r="F121">
        <v>207</v>
      </c>
      <c r="G121">
        <v>630</v>
      </c>
      <c r="H121" s="5" t="s">
        <v>22</v>
      </c>
      <c r="I121" s="5">
        <v>0</v>
      </c>
      <c r="J121" s="5">
        <v>0</v>
      </c>
      <c r="K121" t="s">
        <v>9974</v>
      </c>
      <c r="L121" cm="1">
        <f t="array" ref="L121">wordCount(K121)</f>
        <v>14</v>
      </c>
      <c r="M121">
        <f t="shared" si="2"/>
        <v>64</v>
      </c>
      <c r="N121">
        <v>0.4</v>
      </c>
      <c r="O121" s="23" cm="1">
        <f t="array" ref="O121">WordListCount(K121,keywords!$A$2:$A$31)-WordListCount(K121,keywords!$B$2:$B$31)</f>
        <v>2</v>
      </c>
      <c r="P121" s="25">
        <f t="shared" si="3"/>
        <v>0.49001157407407409</v>
      </c>
      <c r="Q121" s="23">
        <f>SUM($O$2:O121)</f>
        <v>-2</v>
      </c>
      <c r="Y121" s="14"/>
      <c r="Z121" s="13"/>
      <c r="AA121"/>
    </row>
    <row r="122" spans="1:27" x14ac:dyDescent="0.2">
      <c r="A122" s="12" t="s">
        <v>448</v>
      </c>
      <c r="B122" t="s">
        <v>449</v>
      </c>
      <c r="C122" t="s">
        <v>440</v>
      </c>
      <c r="D122" t="s">
        <v>441</v>
      </c>
      <c r="E122" t="s">
        <v>13</v>
      </c>
      <c r="F122">
        <v>2713</v>
      </c>
      <c r="G122">
        <v>1823</v>
      </c>
      <c r="H122" s="5" t="s">
        <v>22</v>
      </c>
      <c r="I122" s="5">
        <v>0</v>
      </c>
      <c r="J122" s="5">
        <v>0</v>
      </c>
      <c r="K122" t="s">
        <v>9975</v>
      </c>
      <c r="L122" cm="1">
        <f t="array" ref="L122">wordCount(K122)</f>
        <v>14</v>
      </c>
      <c r="M122">
        <f t="shared" si="2"/>
        <v>101</v>
      </c>
      <c r="N122">
        <v>0.33333333333333331</v>
      </c>
      <c r="O122" s="23" cm="1">
        <f t="array" ref="O122">WordListCount(K122,keywords!$A$2:$A$31)-WordListCount(K122,keywords!$B$2:$B$31)</f>
        <v>0</v>
      </c>
      <c r="P122" s="25">
        <f t="shared" si="3"/>
        <v>0.49018518518518522</v>
      </c>
      <c r="Q122" s="23">
        <f>SUM($O$2:O122)</f>
        <v>-2</v>
      </c>
      <c r="Y122" s="14"/>
      <c r="Z122" s="13"/>
      <c r="AA122"/>
    </row>
    <row r="123" spans="1:27" x14ac:dyDescent="0.2">
      <c r="A123" s="12" t="s">
        <v>450</v>
      </c>
      <c r="B123" t="s">
        <v>451</v>
      </c>
      <c r="C123" t="s">
        <v>452</v>
      </c>
      <c r="D123" t="s">
        <v>453</v>
      </c>
      <c r="E123" t="s">
        <v>13</v>
      </c>
      <c r="F123">
        <v>192</v>
      </c>
      <c r="G123">
        <v>141</v>
      </c>
      <c r="H123" s="5" t="s">
        <v>22</v>
      </c>
      <c r="I123" s="5">
        <v>0</v>
      </c>
      <c r="J123" s="5">
        <v>0</v>
      </c>
      <c r="K123" t="s">
        <v>9976</v>
      </c>
      <c r="L123" cm="1">
        <f t="array" ref="L123">wordCount(K123)</f>
        <v>13</v>
      </c>
      <c r="M123">
        <f t="shared" si="2"/>
        <v>65</v>
      </c>
      <c r="N123">
        <v>0.5</v>
      </c>
      <c r="O123" s="23" cm="1">
        <f t="array" ref="O123">WordListCount(K123,keywords!$A$2:$A$31)-WordListCount(K123,keywords!$B$2:$B$31)</f>
        <v>0</v>
      </c>
      <c r="P123" s="25">
        <f t="shared" si="3"/>
        <v>0.49126157407407406</v>
      </c>
      <c r="Q123" s="23">
        <f>SUM($O$2:O123)</f>
        <v>-2</v>
      </c>
      <c r="Y123" s="14"/>
      <c r="Z123" s="13"/>
      <c r="AA123"/>
    </row>
    <row r="124" spans="1:27" x14ac:dyDescent="0.2">
      <c r="A124" s="12" t="s">
        <v>454</v>
      </c>
      <c r="B124" t="s">
        <v>455</v>
      </c>
      <c r="C124" t="s">
        <v>456</v>
      </c>
      <c r="D124" t="s">
        <v>12</v>
      </c>
      <c r="E124" t="s">
        <v>13</v>
      </c>
      <c r="F124">
        <v>8</v>
      </c>
      <c r="G124">
        <v>3</v>
      </c>
      <c r="H124" s="5" t="s">
        <v>22</v>
      </c>
      <c r="I124" s="5">
        <v>0</v>
      </c>
      <c r="J124" s="5">
        <v>0</v>
      </c>
      <c r="K124" t="s">
        <v>9977</v>
      </c>
      <c r="L124" cm="1">
        <f t="array" ref="L124">wordCount(K124)</f>
        <v>14</v>
      </c>
      <c r="M124">
        <f t="shared" si="2"/>
        <v>69</v>
      </c>
      <c r="N124">
        <v>0.59375</v>
      </c>
      <c r="O124" s="23" cm="1">
        <f t="array" ref="O124">WordListCount(K124,keywords!$A$2:$A$31)-WordListCount(K124,keywords!$B$2:$B$31)</f>
        <v>1</v>
      </c>
      <c r="P124" s="25">
        <f t="shared" si="3"/>
        <v>0.49133101851851851</v>
      </c>
      <c r="Q124" s="23">
        <f>SUM($O$2:O124)</f>
        <v>-1</v>
      </c>
      <c r="Y124" s="14"/>
      <c r="Z124" s="13"/>
      <c r="AA124"/>
    </row>
    <row r="125" spans="1:27" x14ac:dyDescent="0.2">
      <c r="A125" s="12" t="s">
        <v>457</v>
      </c>
      <c r="B125" t="s">
        <v>458</v>
      </c>
      <c r="C125" t="s">
        <v>459</v>
      </c>
      <c r="D125" t="s">
        <v>12</v>
      </c>
      <c r="E125" t="s">
        <v>13</v>
      </c>
      <c r="F125">
        <v>12</v>
      </c>
      <c r="G125">
        <v>1</v>
      </c>
      <c r="H125" s="5" t="s">
        <v>22</v>
      </c>
      <c r="I125" s="5">
        <v>0</v>
      </c>
      <c r="J125" s="5">
        <v>0</v>
      </c>
      <c r="K125" t="s">
        <v>9049</v>
      </c>
      <c r="L125" cm="1">
        <f t="array" ref="L125">wordCount(K125)</f>
        <v>15</v>
      </c>
      <c r="M125">
        <f t="shared" si="2"/>
        <v>104</v>
      </c>
      <c r="N125">
        <v>0.8125</v>
      </c>
      <c r="O125" s="23" cm="1">
        <f t="array" ref="O125">WordListCount(K125,keywords!$A$2:$A$31)-WordListCount(K125,keywords!$B$2:$B$31)</f>
        <v>0</v>
      </c>
      <c r="P125" s="25">
        <f t="shared" si="3"/>
        <v>0.49145833333333333</v>
      </c>
      <c r="Q125" s="23">
        <f>SUM($O$2:O125)</f>
        <v>-1</v>
      </c>
      <c r="Y125" s="14"/>
      <c r="Z125" s="13"/>
      <c r="AA125"/>
    </row>
    <row r="126" spans="1:27" x14ac:dyDescent="0.2">
      <c r="A126" s="12" t="s">
        <v>460</v>
      </c>
      <c r="B126" t="s">
        <v>461</v>
      </c>
      <c r="C126" t="s">
        <v>462</v>
      </c>
      <c r="D126" t="s">
        <v>463</v>
      </c>
      <c r="E126" t="s">
        <v>13</v>
      </c>
      <c r="F126">
        <v>1268</v>
      </c>
      <c r="G126">
        <v>375</v>
      </c>
      <c r="H126" s="5" t="s">
        <v>22</v>
      </c>
      <c r="I126" s="5">
        <v>0</v>
      </c>
      <c r="J126" s="5">
        <v>0</v>
      </c>
      <c r="K126" t="s">
        <v>9978</v>
      </c>
      <c r="L126" cm="1">
        <f t="array" ref="L126">wordCount(K126)</f>
        <v>19</v>
      </c>
      <c r="M126">
        <f t="shared" si="2"/>
        <v>114</v>
      </c>
      <c r="N126">
        <v>0.32142857142857145</v>
      </c>
      <c r="O126" s="23" cm="1">
        <f t="array" ref="O126">WordListCount(K126,keywords!$A$2:$A$31)-WordListCount(K126,keywords!$B$2:$B$31)</f>
        <v>0</v>
      </c>
      <c r="P126" s="25">
        <f t="shared" si="3"/>
        <v>0.49146990740740742</v>
      </c>
      <c r="Q126" s="23">
        <f>SUM($O$2:O126)</f>
        <v>-1</v>
      </c>
      <c r="Y126" s="14"/>
      <c r="Z126" s="13"/>
      <c r="AA126"/>
    </row>
    <row r="127" spans="1:27" x14ac:dyDescent="0.2">
      <c r="A127" s="12" t="s">
        <v>464</v>
      </c>
      <c r="B127" t="s">
        <v>465</v>
      </c>
      <c r="C127" t="s">
        <v>466</v>
      </c>
      <c r="D127" t="s">
        <v>12</v>
      </c>
      <c r="E127" t="s">
        <v>13</v>
      </c>
      <c r="F127">
        <v>3</v>
      </c>
      <c r="G127">
        <v>10</v>
      </c>
      <c r="H127" s="5" t="s">
        <v>22</v>
      </c>
      <c r="I127" s="5">
        <v>0</v>
      </c>
      <c r="J127" s="5">
        <v>0</v>
      </c>
      <c r="K127" t="s">
        <v>9050</v>
      </c>
      <c r="L127" cm="1">
        <f t="array" ref="L127">wordCount(K127)</f>
        <v>5</v>
      </c>
      <c r="M127">
        <f t="shared" si="2"/>
        <v>29</v>
      </c>
      <c r="N127">
        <v>0.77777777777777779</v>
      </c>
      <c r="O127" s="23" cm="1">
        <f t="array" ref="O127">WordListCount(K127,keywords!$A$2:$A$31)-WordListCount(K127,keywords!$B$2:$B$31)</f>
        <v>0</v>
      </c>
      <c r="P127" s="25">
        <f t="shared" si="3"/>
        <v>0.49160879629629628</v>
      </c>
      <c r="Q127" s="23">
        <f>SUM($O$2:O127)</f>
        <v>-1</v>
      </c>
      <c r="Y127" s="14"/>
      <c r="Z127" s="13"/>
      <c r="AA127"/>
    </row>
    <row r="128" spans="1:27" x14ac:dyDescent="0.2">
      <c r="A128" s="12" t="s">
        <v>467</v>
      </c>
      <c r="B128" t="s">
        <v>468</v>
      </c>
      <c r="C128" t="s">
        <v>469</v>
      </c>
      <c r="D128" t="s">
        <v>470</v>
      </c>
      <c r="E128" t="s">
        <v>13</v>
      </c>
      <c r="F128">
        <v>6122</v>
      </c>
      <c r="G128">
        <v>384</v>
      </c>
      <c r="H128" s="5" t="s">
        <v>22</v>
      </c>
      <c r="I128" s="5">
        <v>0</v>
      </c>
      <c r="J128" s="5">
        <v>0</v>
      </c>
      <c r="K128" t="s">
        <v>9979</v>
      </c>
      <c r="L128" cm="1">
        <f t="array" ref="L128">wordCount(K128)</f>
        <v>6</v>
      </c>
      <c r="M128">
        <f t="shared" si="2"/>
        <v>27</v>
      </c>
      <c r="N128">
        <v>0.70588235294117652</v>
      </c>
      <c r="O128" s="23" cm="1">
        <f t="array" ref="O128">WordListCount(K128,keywords!$A$2:$A$31)-WordListCount(K128,keywords!$B$2:$B$31)</f>
        <v>0</v>
      </c>
      <c r="P128" s="25">
        <f t="shared" si="3"/>
        <v>0.49187500000000001</v>
      </c>
      <c r="Q128" s="23">
        <f>SUM($O$2:O128)</f>
        <v>-1</v>
      </c>
      <c r="Y128" s="14"/>
      <c r="Z128" s="13"/>
      <c r="AA128"/>
    </row>
    <row r="129" spans="1:27" x14ac:dyDescent="0.2">
      <c r="A129" s="12" t="s">
        <v>471</v>
      </c>
      <c r="B129" t="s">
        <v>472</v>
      </c>
      <c r="C129" t="s">
        <v>473</v>
      </c>
      <c r="D129" t="s">
        <v>12</v>
      </c>
      <c r="E129" t="s">
        <v>13</v>
      </c>
      <c r="F129">
        <v>98</v>
      </c>
      <c r="G129">
        <v>564</v>
      </c>
      <c r="H129" s="5" t="s">
        <v>96</v>
      </c>
      <c r="I129" s="5">
        <v>0</v>
      </c>
      <c r="J129" s="5">
        <v>0</v>
      </c>
      <c r="K129" t="s">
        <v>9980</v>
      </c>
      <c r="L129" cm="1">
        <f t="array" ref="L129">wordCount(K129)</f>
        <v>20</v>
      </c>
      <c r="M129">
        <f t="shared" si="2"/>
        <v>99</v>
      </c>
      <c r="N129">
        <v>0.27272727272727271</v>
      </c>
      <c r="O129" s="23" cm="1">
        <f t="array" ref="O129">WordListCount(K129,keywords!$A$2:$A$31)-WordListCount(K129,keywords!$B$2:$B$31)</f>
        <v>0</v>
      </c>
      <c r="P129" s="25">
        <f t="shared" si="3"/>
        <v>0.49225694444444446</v>
      </c>
      <c r="Q129" s="23">
        <f>SUM($O$2:O129)</f>
        <v>-1</v>
      </c>
      <c r="Y129" s="14"/>
      <c r="Z129" s="13"/>
      <c r="AA129"/>
    </row>
    <row r="130" spans="1:27" x14ac:dyDescent="0.2">
      <c r="A130" s="12" t="s">
        <v>477</v>
      </c>
      <c r="B130" t="s">
        <v>478</v>
      </c>
      <c r="C130" t="s">
        <v>479</v>
      </c>
      <c r="D130" t="s">
        <v>480</v>
      </c>
      <c r="E130" t="s">
        <v>13</v>
      </c>
      <c r="F130">
        <v>436</v>
      </c>
      <c r="G130">
        <v>3796</v>
      </c>
      <c r="H130" s="5" t="s">
        <v>22</v>
      </c>
      <c r="I130" s="5">
        <v>0</v>
      </c>
      <c r="J130" s="5">
        <v>0</v>
      </c>
      <c r="K130" t="s">
        <v>9982</v>
      </c>
      <c r="L130" cm="1">
        <f t="array" ref="L130">wordCount(K130)</f>
        <v>12</v>
      </c>
      <c r="M130">
        <f t="shared" ref="M130:M193" si="4">LEN(K130)</f>
        <v>66</v>
      </c>
      <c r="N130">
        <v>0.66666666666666663</v>
      </c>
      <c r="O130" s="23" cm="1">
        <f t="array" ref="O130">WordListCount(K130,keywords!$A$2:$A$31)-WordListCount(K130,keywords!$B$2:$B$31)</f>
        <v>1</v>
      </c>
      <c r="P130" s="25">
        <f t="shared" ref="P130:P193" si="5">TIMEVALUE(RIGHT(A130,8))</f>
        <v>0.49245370370370373</v>
      </c>
      <c r="Q130" s="23">
        <f>SUM($O$2:O130)</f>
        <v>0</v>
      </c>
      <c r="Y130" s="14"/>
      <c r="Z130" s="13"/>
      <c r="AA130"/>
    </row>
    <row r="131" spans="1:27" x14ac:dyDescent="0.2">
      <c r="A131" s="12" t="s">
        <v>474</v>
      </c>
      <c r="B131" t="s">
        <v>475</v>
      </c>
      <c r="C131" t="s">
        <v>476</v>
      </c>
      <c r="D131" t="s">
        <v>12</v>
      </c>
      <c r="E131" t="s">
        <v>13</v>
      </c>
      <c r="F131">
        <v>145</v>
      </c>
      <c r="G131">
        <v>493</v>
      </c>
      <c r="H131" s="5" t="s">
        <v>382</v>
      </c>
      <c r="I131" s="5">
        <v>0</v>
      </c>
      <c r="J131" s="5">
        <v>0</v>
      </c>
      <c r="K131" t="s">
        <v>9981</v>
      </c>
      <c r="L131" cm="1">
        <f t="array" ref="L131">wordCount(K131)</f>
        <v>10</v>
      </c>
      <c r="M131">
        <f t="shared" si="4"/>
        <v>54</v>
      </c>
      <c r="N131">
        <v>0.6</v>
      </c>
      <c r="O131" s="23" cm="1">
        <f t="array" ref="O131">WordListCount(K131,keywords!$A$2:$A$31)-WordListCount(K131,keywords!$B$2:$B$31)</f>
        <v>0</v>
      </c>
      <c r="P131" s="25">
        <f t="shared" si="5"/>
        <v>0.4924884259259259</v>
      </c>
      <c r="Q131" s="23">
        <f>SUM($O$2:O131)</f>
        <v>0</v>
      </c>
      <c r="Y131" s="14"/>
      <c r="Z131" s="13"/>
      <c r="AA131"/>
    </row>
    <row r="132" spans="1:27" x14ac:dyDescent="0.2">
      <c r="A132" s="12" t="s">
        <v>481</v>
      </c>
      <c r="B132" t="s">
        <v>482</v>
      </c>
      <c r="C132" t="s">
        <v>483</v>
      </c>
      <c r="D132" t="s">
        <v>12</v>
      </c>
      <c r="E132" t="s">
        <v>13</v>
      </c>
      <c r="F132">
        <v>17</v>
      </c>
      <c r="G132">
        <v>95</v>
      </c>
      <c r="H132" s="5" t="s">
        <v>59</v>
      </c>
      <c r="I132" s="5">
        <v>0</v>
      </c>
      <c r="J132" s="5">
        <v>0</v>
      </c>
      <c r="K132" t="s">
        <v>9983</v>
      </c>
      <c r="L132" cm="1">
        <f t="array" ref="L132">wordCount(K132)</f>
        <v>10</v>
      </c>
      <c r="M132">
        <f t="shared" si="4"/>
        <v>55</v>
      </c>
      <c r="N132">
        <v>0.69230769230769229</v>
      </c>
      <c r="O132" s="23" cm="1">
        <f t="array" ref="O132">WordListCount(K132,keywords!$A$2:$A$31)-WordListCount(K132,keywords!$B$2:$B$31)</f>
        <v>0</v>
      </c>
      <c r="P132" s="25">
        <f t="shared" si="5"/>
        <v>0.49254629629629632</v>
      </c>
      <c r="Q132" s="23">
        <f>SUM($O$2:O132)</f>
        <v>0</v>
      </c>
      <c r="Y132" s="14"/>
      <c r="Z132" s="13"/>
      <c r="AA132"/>
    </row>
    <row r="133" spans="1:27" x14ac:dyDescent="0.2">
      <c r="A133" s="12" t="s">
        <v>484</v>
      </c>
      <c r="B133" t="s">
        <v>485</v>
      </c>
      <c r="C133" t="s">
        <v>486</v>
      </c>
      <c r="D133" t="s">
        <v>12</v>
      </c>
      <c r="E133" t="s">
        <v>13</v>
      </c>
      <c r="F133">
        <v>54</v>
      </c>
      <c r="G133">
        <v>96</v>
      </c>
      <c r="H133" s="5" t="s">
        <v>22</v>
      </c>
      <c r="I133" s="5">
        <v>0</v>
      </c>
      <c r="J133" s="5">
        <v>0</v>
      </c>
      <c r="K133" t="s">
        <v>9984</v>
      </c>
      <c r="L133" cm="1">
        <f t="array" ref="L133">wordCount(K133)</f>
        <v>20</v>
      </c>
      <c r="M133">
        <f t="shared" si="4"/>
        <v>84</v>
      </c>
      <c r="N133">
        <v>0.56000000000000005</v>
      </c>
      <c r="O133" s="23" cm="1">
        <f t="array" ref="O133">WordListCount(K133,keywords!$A$2:$A$31)-WordListCount(K133,keywords!$B$2:$B$31)</f>
        <v>0</v>
      </c>
      <c r="P133" s="25">
        <f t="shared" si="5"/>
        <v>0.49259259259259264</v>
      </c>
      <c r="Q133" s="23">
        <f>SUM($O$2:O133)</f>
        <v>0</v>
      </c>
      <c r="Y133" s="14"/>
      <c r="Z133" s="13"/>
      <c r="AA133"/>
    </row>
    <row r="134" spans="1:27" x14ac:dyDescent="0.2">
      <c r="A134" s="12" t="s">
        <v>487</v>
      </c>
      <c r="B134" t="s">
        <v>488</v>
      </c>
      <c r="C134" t="s">
        <v>489</v>
      </c>
      <c r="D134" t="s">
        <v>12</v>
      </c>
      <c r="E134" t="s">
        <v>13</v>
      </c>
      <c r="F134">
        <v>18</v>
      </c>
      <c r="G134">
        <v>25</v>
      </c>
      <c r="H134" s="5" t="s">
        <v>22</v>
      </c>
      <c r="I134" s="5">
        <v>0</v>
      </c>
      <c r="J134" s="5">
        <v>0</v>
      </c>
      <c r="K134" t="s">
        <v>9985</v>
      </c>
      <c r="L134" cm="1">
        <f t="array" ref="L134">wordCount(K134)</f>
        <v>3</v>
      </c>
      <c r="M134">
        <f t="shared" si="4"/>
        <v>20</v>
      </c>
      <c r="N134">
        <v>0.8</v>
      </c>
      <c r="O134" s="23" cm="1">
        <f t="array" ref="O134">WordListCount(K134,keywords!$A$2:$A$31)-WordListCount(K134,keywords!$B$2:$B$31)</f>
        <v>0</v>
      </c>
      <c r="P134" s="25">
        <f t="shared" si="5"/>
        <v>0.49265046296296294</v>
      </c>
      <c r="Q134" s="23">
        <f>SUM($O$2:O134)</f>
        <v>0</v>
      </c>
      <c r="Y134" s="14"/>
      <c r="Z134" s="13"/>
      <c r="AA134"/>
    </row>
    <row r="135" spans="1:27" x14ac:dyDescent="0.2">
      <c r="A135" s="12" t="s">
        <v>490</v>
      </c>
      <c r="B135" t="s">
        <v>491</v>
      </c>
      <c r="C135" t="s">
        <v>492</v>
      </c>
      <c r="D135" t="s">
        <v>493</v>
      </c>
      <c r="E135" t="s">
        <v>13</v>
      </c>
      <c r="F135">
        <v>3</v>
      </c>
      <c r="G135">
        <v>13</v>
      </c>
      <c r="H135" s="5" t="s">
        <v>22</v>
      </c>
      <c r="I135" s="5">
        <v>0</v>
      </c>
      <c r="J135" s="5">
        <v>0</v>
      </c>
      <c r="K135" t="s">
        <v>9986</v>
      </c>
      <c r="L135" cm="1">
        <f t="array" ref="L135">wordCount(K135)</f>
        <v>24</v>
      </c>
      <c r="M135">
        <f t="shared" si="4"/>
        <v>94</v>
      </c>
      <c r="N135">
        <v>0.34615384615384615</v>
      </c>
      <c r="O135" s="23" cm="1">
        <f t="array" ref="O135">WordListCount(K135,keywords!$A$2:$A$31)-WordListCount(K135,keywords!$B$2:$B$31)</f>
        <v>0</v>
      </c>
      <c r="P135" s="25">
        <f t="shared" si="5"/>
        <v>0.49275462962962963</v>
      </c>
      <c r="Q135" s="23">
        <f>SUM($O$2:O135)</f>
        <v>0</v>
      </c>
      <c r="Y135" s="14"/>
      <c r="Z135" s="13"/>
      <c r="AA135"/>
    </row>
    <row r="136" spans="1:27" x14ac:dyDescent="0.2">
      <c r="A136" s="12" t="s">
        <v>494</v>
      </c>
      <c r="B136" t="s">
        <v>495</v>
      </c>
      <c r="C136" t="s">
        <v>496</v>
      </c>
      <c r="D136" t="s">
        <v>497</v>
      </c>
      <c r="E136" t="s">
        <v>13</v>
      </c>
      <c r="F136">
        <v>366</v>
      </c>
      <c r="G136">
        <v>225</v>
      </c>
      <c r="H136" s="5" t="s">
        <v>22</v>
      </c>
      <c r="I136" s="5">
        <v>0</v>
      </c>
      <c r="J136" s="5">
        <v>0</v>
      </c>
      <c r="K136" t="s">
        <v>9987</v>
      </c>
      <c r="L136" cm="1">
        <f t="array" ref="L136">wordCount(K136)</f>
        <v>24</v>
      </c>
      <c r="M136">
        <f t="shared" si="4"/>
        <v>103</v>
      </c>
      <c r="N136">
        <v>0.76</v>
      </c>
      <c r="O136" s="23" cm="1">
        <f t="array" ref="O136">WordListCount(K136,keywords!$A$2:$A$31)-WordListCount(K136,keywords!$B$2:$B$31)</f>
        <v>0</v>
      </c>
      <c r="P136" s="25">
        <f t="shared" si="5"/>
        <v>0.49281250000000004</v>
      </c>
      <c r="Q136" s="23">
        <f>SUM($O$2:O136)</f>
        <v>0</v>
      </c>
      <c r="Y136" s="14"/>
      <c r="Z136" s="13"/>
      <c r="AA136"/>
    </row>
    <row r="137" spans="1:27" x14ac:dyDescent="0.2">
      <c r="A137" s="12" t="s">
        <v>498</v>
      </c>
      <c r="B137" t="s">
        <v>499</v>
      </c>
      <c r="C137" t="s">
        <v>500</v>
      </c>
      <c r="D137" t="s">
        <v>501</v>
      </c>
      <c r="E137" t="s">
        <v>13</v>
      </c>
      <c r="F137">
        <v>292</v>
      </c>
      <c r="G137">
        <v>0</v>
      </c>
      <c r="H137" s="5" t="s">
        <v>125</v>
      </c>
      <c r="I137" s="5">
        <v>0</v>
      </c>
      <c r="J137" s="5">
        <v>0</v>
      </c>
      <c r="K137" t="s">
        <v>9051</v>
      </c>
      <c r="L137" cm="1">
        <f t="array" ref="L137">wordCount(K137)</f>
        <v>11</v>
      </c>
      <c r="M137">
        <f t="shared" si="4"/>
        <v>57</v>
      </c>
      <c r="N137">
        <v>0.52631578947368418</v>
      </c>
      <c r="O137" s="23" cm="1">
        <f t="array" ref="O137">WordListCount(K137,keywords!$A$2:$A$31)-WordListCount(K137,keywords!$B$2:$B$31)</f>
        <v>0</v>
      </c>
      <c r="P137" s="25">
        <f t="shared" si="5"/>
        <v>0.49292824074074071</v>
      </c>
      <c r="Q137" s="23">
        <f>SUM($O$2:O137)</f>
        <v>0</v>
      </c>
      <c r="Y137" s="14"/>
      <c r="Z137" s="13"/>
      <c r="AA137"/>
    </row>
    <row r="138" spans="1:27" x14ac:dyDescent="0.2">
      <c r="A138" s="12" t="s">
        <v>502</v>
      </c>
      <c r="B138" t="s">
        <v>503</v>
      </c>
      <c r="C138" t="s">
        <v>504</v>
      </c>
      <c r="D138" t="s">
        <v>505</v>
      </c>
      <c r="E138" t="s">
        <v>13</v>
      </c>
      <c r="F138">
        <v>39</v>
      </c>
      <c r="G138">
        <v>179</v>
      </c>
      <c r="H138" s="5" t="s">
        <v>22</v>
      </c>
      <c r="I138" s="5">
        <v>0</v>
      </c>
      <c r="J138" s="5">
        <v>0</v>
      </c>
      <c r="K138" t="s">
        <v>9052</v>
      </c>
      <c r="L138" cm="1">
        <f t="array" ref="L138">wordCount(K138)</f>
        <v>20</v>
      </c>
      <c r="M138">
        <f t="shared" si="4"/>
        <v>99</v>
      </c>
      <c r="N138">
        <v>0.2608695652173913</v>
      </c>
      <c r="O138" s="23" cm="1">
        <f t="array" ref="O138">WordListCount(K138,keywords!$A$2:$A$31)-WordListCount(K138,keywords!$B$2:$B$31)</f>
        <v>-1</v>
      </c>
      <c r="P138" s="25">
        <f t="shared" si="5"/>
        <v>0.49297453703703703</v>
      </c>
      <c r="Q138" s="23">
        <f>SUM($O$2:O138)</f>
        <v>-1</v>
      </c>
      <c r="Y138" s="14"/>
      <c r="Z138" s="13"/>
      <c r="AA138"/>
    </row>
    <row r="139" spans="1:27" x14ac:dyDescent="0.2">
      <c r="A139" s="12" t="s">
        <v>506</v>
      </c>
      <c r="B139" t="s">
        <v>507</v>
      </c>
      <c r="C139" t="s">
        <v>508</v>
      </c>
      <c r="D139" t="s">
        <v>74</v>
      </c>
      <c r="E139" t="s">
        <v>13</v>
      </c>
      <c r="F139">
        <v>79</v>
      </c>
      <c r="G139">
        <v>607</v>
      </c>
      <c r="H139" s="5" t="s">
        <v>22</v>
      </c>
      <c r="I139" s="5">
        <v>0</v>
      </c>
      <c r="J139" s="5">
        <v>0</v>
      </c>
      <c r="K139" t="s">
        <v>9988</v>
      </c>
      <c r="L139" cm="1">
        <f t="array" ref="L139">wordCount(K139)</f>
        <v>8</v>
      </c>
      <c r="M139">
        <f t="shared" si="4"/>
        <v>45</v>
      </c>
      <c r="N139">
        <v>0.58823529411764708</v>
      </c>
      <c r="O139" s="23" cm="1">
        <f t="array" ref="O139">WordListCount(K139,keywords!$A$2:$A$31)-WordListCount(K139,keywords!$B$2:$B$31)</f>
        <v>0</v>
      </c>
      <c r="P139" s="25">
        <f t="shared" si="5"/>
        <v>0.4934837962962963</v>
      </c>
      <c r="Q139" s="23">
        <f>SUM($O$2:O139)</f>
        <v>-1</v>
      </c>
      <c r="Y139" s="14"/>
      <c r="Z139" s="13"/>
      <c r="AA139"/>
    </row>
    <row r="140" spans="1:27" x14ac:dyDescent="0.2">
      <c r="A140" s="12" t="s">
        <v>509</v>
      </c>
      <c r="B140" t="s">
        <v>510</v>
      </c>
      <c r="C140" t="s">
        <v>511</v>
      </c>
      <c r="D140" t="s">
        <v>512</v>
      </c>
      <c r="E140" t="s">
        <v>13</v>
      </c>
      <c r="F140">
        <v>1899</v>
      </c>
      <c r="G140">
        <v>540</v>
      </c>
      <c r="H140" s="5" t="s">
        <v>22</v>
      </c>
      <c r="I140" s="5">
        <v>0</v>
      </c>
      <c r="J140" s="5">
        <v>0</v>
      </c>
      <c r="K140" t="s">
        <v>9053</v>
      </c>
      <c r="L140" cm="1">
        <f t="array" ref="L140">wordCount(K140)</f>
        <v>11</v>
      </c>
      <c r="M140">
        <f t="shared" si="4"/>
        <v>55</v>
      </c>
      <c r="N140">
        <v>0.90909090909090906</v>
      </c>
      <c r="O140" s="23" cm="1">
        <f t="array" ref="O140">WordListCount(K140,keywords!$A$2:$A$31)-WordListCount(K140,keywords!$B$2:$B$31)</f>
        <v>0</v>
      </c>
      <c r="P140" s="25">
        <f t="shared" si="5"/>
        <v>0.49379629629629629</v>
      </c>
      <c r="Q140" s="23">
        <f>SUM($O$2:O140)</f>
        <v>-1</v>
      </c>
      <c r="Y140" s="14"/>
      <c r="Z140" s="13"/>
      <c r="AA140"/>
    </row>
    <row r="141" spans="1:27" x14ac:dyDescent="0.2">
      <c r="A141" s="12" t="s">
        <v>513</v>
      </c>
      <c r="B141" t="s">
        <v>514</v>
      </c>
      <c r="C141" t="s">
        <v>515</v>
      </c>
      <c r="D141" t="s">
        <v>516</v>
      </c>
      <c r="E141" t="s">
        <v>13</v>
      </c>
      <c r="F141">
        <v>34</v>
      </c>
      <c r="G141">
        <v>76</v>
      </c>
      <c r="H141" s="5" t="s">
        <v>22</v>
      </c>
      <c r="I141" s="5">
        <v>0</v>
      </c>
      <c r="J141" s="5">
        <v>0</v>
      </c>
      <c r="K141" t="s">
        <v>9989</v>
      </c>
      <c r="L141" cm="1">
        <f t="array" ref="L141">wordCount(K141)</f>
        <v>21</v>
      </c>
      <c r="M141">
        <f t="shared" si="4"/>
        <v>127</v>
      </c>
      <c r="N141">
        <v>0.17391304347826086</v>
      </c>
      <c r="O141" s="23" cm="1">
        <f t="array" ref="O141">WordListCount(K141,keywords!$A$2:$A$31)-WordListCount(K141,keywords!$B$2:$B$31)</f>
        <v>0</v>
      </c>
      <c r="P141" s="25">
        <f t="shared" si="5"/>
        <v>0.49436342592592591</v>
      </c>
      <c r="Q141" s="23">
        <f>SUM($O$2:O141)</f>
        <v>-1</v>
      </c>
      <c r="Y141" s="14"/>
      <c r="Z141" s="13"/>
      <c r="AA141"/>
    </row>
    <row r="142" spans="1:27" x14ac:dyDescent="0.2">
      <c r="A142" s="12" t="s">
        <v>517</v>
      </c>
      <c r="B142" t="s">
        <v>518</v>
      </c>
      <c r="C142" t="s">
        <v>519</v>
      </c>
      <c r="D142" t="s">
        <v>12</v>
      </c>
      <c r="E142" t="s">
        <v>13</v>
      </c>
      <c r="F142">
        <v>333</v>
      </c>
      <c r="G142">
        <v>410</v>
      </c>
      <c r="H142" s="5" t="s">
        <v>22</v>
      </c>
      <c r="I142" s="5">
        <v>0</v>
      </c>
      <c r="J142" s="5">
        <v>0</v>
      </c>
      <c r="K142" t="s">
        <v>9990</v>
      </c>
      <c r="L142" cm="1">
        <f t="array" ref="L142">wordCount(K142)</f>
        <v>11</v>
      </c>
      <c r="M142">
        <f t="shared" si="4"/>
        <v>47</v>
      </c>
      <c r="N142">
        <v>0.75862068965517238</v>
      </c>
      <c r="O142" s="23" cm="1">
        <f t="array" ref="O142">WordListCount(K142,keywords!$A$2:$A$31)-WordListCount(K142,keywords!$B$2:$B$31)</f>
        <v>0</v>
      </c>
      <c r="P142" s="25">
        <f t="shared" si="5"/>
        <v>0.49451388888888892</v>
      </c>
      <c r="Q142" s="23">
        <f>SUM($O$2:O142)</f>
        <v>-1</v>
      </c>
      <c r="Y142" s="14"/>
      <c r="Z142" s="13"/>
      <c r="AA142"/>
    </row>
    <row r="143" spans="1:27" x14ac:dyDescent="0.2">
      <c r="A143" s="12" t="s">
        <v>520</v>
      </c>
      <c r="B143" t="s">
        <v>521</v>
      </c>
      <c r="C143" t="s">
        <v>208</v>
      </c>
      <c r="D143" t="s">
        <v>209</v>
      </c>
      <c r="E143" t="s">
        <v>13</v>
      </c>
      <c r="F143">
        <v>1181</v>
      </c>
      <c r="G143">
        <v>766</v>
      </c>
      <c r="H143" s="5" t="s">
        <v>22</v>
      </c>
      <c r="I143" s="5">
        <v>0</v>
      </c>
      <c r="J143" s="5">
        <v>0</v>
      </c>
      <c r="K143" t="s">
        <v>9991</v>
      </c>
      <c r="L143" cm="1">
        <f t="array" ref="L143">wordCount(K143)</f>
        <v>3</v>
      </c>
      <c r="M143">
        <f t="shared" si="4"/>
        <v>23</v>
      </c>
      <c r="N143">
        <v>0.85</v>
      </c>
      <c r="O143" s="23" cm="1">
        <f t="array" ref="O143">WordListCount(K143,keywords!$A$2:$A$31)-WordListCount(K143,keywords!$B$2:$B$31)</f>
        <v>0</v>
      </c>
      <c r="P143" s="25">
        <f t="shared" si="5"/>
        <v>0.49461805555555555</v>
      </c>
      <c r="Q143" s="23">
        <f>SUM($O$2:O143)</f>
        <v>-1</v>
      </c>
      <c r="Y143" s="14"/>
      <c r="Z143" s="13"/>
      <c r="AA143"/>
    </row>
    <row r="144" spans="1:27" x14ac:dyDescent="0.2">
      <c r="A144" s="12" t="s">
        <v>522</v>
      </c>
      <c r="B144" t="s">
        <v>523</v>
      </c>
      <c r="C144" t="s">
        <v>524</v>
      </c>
      <c r="D144" t="s">
        <v>525</v>
      </c>
      <c r="E144" t="s">
        <v>13</v>
      </c>
      <c r="F144">
        <v>216</v>
      </c>
      <c r="G144">
        <v>219</v>
      </c>
      <c r="H144" s="5" t="s">
        <v>22</v>
      </c>
      <c r="I144" s="5">
        <v>0</v>
      </c>
      <c r="J144" s="5">
        <v>0</v>
      </c>
      <c r="K144" t="s">
        <v>9992</v>
      </c>
      <c r="L144" cm="1">
        <f t="array" ref="L144">wordCount(K144)</f>
        <v>26</v>
      </c>
      <c r="M144">
        <f t="shared" si="4"/>
        <v>102</v>
      </c>
      <c r="N144">
        <v>0.56521739130434778</v>
      </c>
      <c r="O144" s="23" cm="1">
        <f t="array" ref="O144">WordListCount(K144,keywords!$A$2:$A$31)-WordListCount(K144,keywords!$B$2:$B$31)</f>
        <v>0</v>
      </c>
      <c r="P144" s="25">
        <f t="shared" si="5"/>
        <v>0.49480324074074072</v>
      </c>
      <c r="Q144" s="23">
        <f>SUM($O$2:O144)</f>
        <v>-1</v>
      </c>
      <c r="Y144" s="14"/>
      <c r="Z144" s="13"/>
      <c r="AA144"/>
    </row>
    <row r="145" spans="1:27" x14ac:dyDescent="0.2">
      <c r="A145" s="12" t="s">
        <v>526</v>
      </c>
      <c r="B145" t="s">
        <v>527</v>
      </c>
      <c r="C145" t="s">
        <v>358</v>
      </c>
      <c r="D145" t="s">
        <v>359</v>
      </c>
      <c r="E145" t="s">
        <v>13</v>
      </c>
      <c r="F145">
        <v>127</v>
      </c>
      <c r="G145">
        <v>452</v>
      </c>
      <c r="H145" s="5" t="s">
        <v>360</v>
      </c>
      <c r="I145" s="5">
        <v>0</v>
      </c>
      <c r="J145" s="5">
        <v>0</v>
      </c>
      <c r="K145" t="s">
        <v>9054</v>
      </c>
      <c r="L145" cm="1">
        <f t="array" ref="L145">wordCount(K145)</f>
        <v>4</v>
      </c>
      <c r="M145">
        <f t="shared" si="4"/>
        <v>9</v>
      </c>
      <c r="N145">
        <v>0.75</v>
      </c>
      <c r="O145" s="23" cm="1">
        <f t="array" ref="O145">WordListCount(K145,keywords!$A$2:$A$31)-WordListCount(K145,keywords!$B$2:$B$31)</f>
        <v>0</v>
      </c>
      <c r="P145" s="25">
        <f t="shared" si="5"/>
        <v>0.49513888888888885</v>
      </c>
      <c r="Q145" s="23">
        <f>SUM($O$2:O145)</f>
        <v>-1</v>
      </c>
      <c r="Y145" s="14"/>
      <c r="Z145" s="13"/>
      <c r="AA145"/>
    </row>
    <row r="146" spans="1:27" x14ac:dyDescent="0.2">
      <c r="A146" s="12" t="s">
        <v>528</v>
      </c>
      <c r="B146" t="s">
        <v>529</v>
      </c>
      <c r="C146" t="s">
        <v>530</v>
      </c>
      <c r="D146" t="s">
        <v>531</v>
      </c>
      <c r="E146" t="s">
        <v>13</v>
      </c>
      <c r="F146">
        <v>325</v>
      </c>
      <c r="G146">
        <v>1007</v>
      </c>
      <c r="H146" s="5" t="s">
        <v>22</v>
      </c>
      <c r="I146" s="5">
        <v>0</v>
      </c>
      <c r="J146" s="5">
        <v>0</v>
      </c>
      <c r="K146" t="s">
        <v>9993</v>
      </c>
      <c r="L146" cm="1">
        <f t="array" ref="L146">wordCount(K146)</f>
        <v>9</v>
      </c>
      <c r="M146">
        <f t="shared" si="4"/>
        <v>39</v>
      </c>
      <c r="N146">
        <v>0.36363636363636365</v>
      </c>
      <c r="O146" s="23" cm="1">
        <f t="array" ref="O146">WordListCount(K146,keywords!$A$2:$A$31)-WordListCount(K146,keywords!$B$2:$B$31)</f>
        <v>0</v>
      </c>
      <c r="P146" s="25">
        <f t="shared" si="5"/>
        <v>0.49524305555555559</v>
      </c>
      <c r="Q146" s="23">
        <f>SUM($O$2:O146)</f>
        <v>-1</v>
      </c>
      <c r="Y146" s="14"/>
      <c r="Z146" s="13"/>
      <c r="AA146"/>
    </row>
    <row r="147" spans="1:27" x14ac:dyDescent="0.2">
      <c r="A147" s="12" t="s">
        <v>532</v>
      </c>
      <c r="B147" t="s">
        <v>533</v>
      </c>
      <c r="C147" t="s">
        <v>534</v>
      </c>
      <c r="D147" t="s">
        <v>535</v>
      </c>
      <c r="E147" t="s">
        <v>13</v>
      </c>
      <c r="F147">
        <v>95</v>
      </c>
      <c r="G147">
        <v>285</v>
      </c>
      <c r="H147" s="5" t="s">
        <v>22</v>
      </c>
      <c r="I147" s="5">
        <v>0</v>
      </c>
      <c r="J147" s="5">
        <v>0</v>
      </c>
      <c r="K147" t="s">
        <v>9055</v>
      </c>
      <c r="L147" cm="1">
        <f t="array" ref="L147">wordCount(K147)</f>
        <v>6</v>
      </c>
      <c r="M147">
        <f t="shared" si="4"/>
        <v>33</v>
      </c>
      <c r="N147">
        <v>0.72727272727272729</v>
      </c>
      <c r="O147" s="23" cm="1">
        <f t="array" ref="O147">WordListCount(K147,keywords!$A$2:$A$31)-WordListCount(K147,keywords!$B$2:$B$31)</f>
        <v>0</v>
      </c>
      <c r="P147" s="25">
        <f t="shared" si="5"/>
        <v>0.49527777777777776</v>
      </c>
      <c r="Q147" s="23">
        <f>SUM($O$2:O147)</f>
        <v>-1</v>
      </c>
      <c r="Y147" s="14"/>
      <c r="Z147" s="13"/>
      <c r="AA147"/>
    </row>
    <row r="148" spans="1:27" x14ac:dyDescent="0.2">
      <c r="A148" s="12" t="s">
        <v>536</v>
      </c>
      <c r="B148" t="s">
        <v>537</v>
      </c>
      <c r="C148" t="s">
        <v>538</v>
      </c>
      <c r="D148" t="s">
        <v>539</v>
      </c>
      <c r="E148" t="s">
        <v>13</v>
      </c>
      <c r="F148">
        <v>586</v>
      </c>
      <c r="G148">
        <v>483</v>
      </c>
      <c r="H148" s="5" t="s">
        <v>22</v>
      </c>
      <c r="I148" s="5">
        <v>0</v>
      </c>
      <c r="J148" s="5">
        <v>0</v>
      </c>
      <c r="K148" t="s">
        <v>9994</v>
      </c>
      <c r="L148" cm="1">
        <f t="array" ref="L148">wordCount(K148)</f>
        <v>7</v>
      </c>
      <c r="M148">
        <f t="shared" si="4"/>
        <v>35</v>
      </c>
      <c r="N148">
        <v>0.78260869565217395</v>
      </c>
      <c r="O148" s="23" cm="1">
        <f t="array" ref="O148">WordListCount(K148,keywords!$A$2:$A$31)-WordListCount(K148,keywords!$B$2:$B$31)</f>
        <v>0</v>
      </c>
      <c r="P148" s="25">
        <f t="shared" si="5"/>
        <v>0.49532407407407408</v>
      </c>
      <c r="Q148" s="23">
        <f>SUM($O$2:O148)</f>
        <v>-1</v>
      </c>
      <c r="Y148" s="14"/>
      <c r="Z148" s="13"/>
      <c r="AA148"/>
    </row>
    <row r="149" spans="1:27" x14ac:dyDescent="0.2">
      <c r="A149" s="12" t="s">
        <v>540</v>
      </c>
      <c r="B149" t="s">
        <v>541</v>
      </c>
      <c r="C149" t="s">
        <v>542</v>
      </c>
      <c r="D149" t="s">
        <v>12</v>
      </c>
      <c r="E149" t="s">
        <v>13</v>
      </c>
      <c r="F149">
        <v>6759</v>
      </c>
      <c r="G149">
        <v>97</v>
      </c>
      <c r="H149" s="5" t="s">
        <v>393</v>
      </c>
      <c r="I149" s="5">
        <v>0</v>
      </c>
      <c r="J149" s="5">
        <v>0</v>
      </c>
      <c r="K149" t="s">
        <v>9056</v>
      </c>
      <c r="L149" cm="1">
        <f t="array" ref="L149">wordCount(K149)</f>
        <v>8</v>
      </c>
      <c r="M149">
        <f t="shared" si="4"/>
        <v>42</v>
      </c>
      <c r="N149">
        <v>0.875</v>
      </c>
      <c r="O149" s="23" cm="1">
        <f t="array" ref="O149">WordListCount(K149,keywords!$A$2:$A$31)-WordListCount(K149,keywords!$B$2:$B$31)</f>
        <v>0</v>
      </c>
      <c r="P149" s="25">
        <f t="shared" si="5"/>
        <v>0.49561342592592594</v>
      </c>
      <c r="Q149" s="23">
        <f>SUM($O$2:O149)</f>
        <v>-1</v>
      </c>
      <c r="Y149" s="14"/>
      <c r="Z149" s="13"/>
      <c r="AA149"/>
    </row>
    <row r="150" spans="1:27" x14ac:dyDescent="0.2">
      <c r="A150" s="12" t="s">
        <v>543</v>
      </c>
      <c r="B150" t="s">
        <v>544</v>
      </c>
      <c r="C150" t="s">
        <v>545</v>
      </c>
      <c r="D150" t="s">
        <v>12</v>
      </c>
      <c r="E150" t="s">
        <v>13</v>
      </c>
      <c r="F150">
        <v>833</v>
      </c>
      <c r="G150">
        <v>1</v>
      </c>
      <c r="H150" s="5" t="s">
        <v>22</v>
      </c>
      <c r="I150" s="5">
        <v>0</v>
      </c>
      <c r="J150" s="5">
        <v>0</v>
      </c>
      <c r="K150" t="s">
        <v>9995</v>
      </c>
      <c r="L150" cm="1">
        <f t="array" ref="L150">wordCount(K150)</f>
        <v>13</v>
      </c>
      <c r="M150">
        <f t="shared" si="4"/>
        <v>67</v>
      </c>
      <c r="N150">
        <v>0.33333333333333331</v>
      </c>
      <c r="O150" s="23" cm="1">
        <f t="array" ref="O150">WordListCount(K150,keywords!$A$2:$A$31)-WordListCount(K150,keywords!$B$2:$B$31)</f>
        <v>-1</v>
      </c>
      <c r="P150" s="25">
        <f t="shared" si="5"/>
        <v>0.49562499999999998</v>
      </c>
      <c r="Q150" s="23">
        <f>SUM($O$2:O150)</f>
        <v>-2</v>
      </c>
      <c r="Y150" s="14"/>
      <c r="Z150" s="13"/>
      <c r="AA150"/>
    </row>
    <row r="151" spans="1:27" x14ac:dyDescent="0.2">
      <c r="A151" s="12" t="s">
        <v>546</v>
      </c>
      <c r="B151" t="s">
        <v>547</v>
      </c>
      <c r="C151" t="s">
        <v>548</v>
      </c>
      <c r="D151" t="s">
        <v>549</v>
      </c>
      <c r="E151" t="s">
        <v>13</v>
      </c>
      <c r="F151">
        <v>680</v>
      </c>
      <c r="G151">
        <v>30</v>
      </c>
      <c r="H151" s="5" t="s">
        <v>22</v>
      </c>
      <c r="I151" s="5">
        <v>0</v>
      </c>
      <c r="J151" s="5">
        <v>0</v>
      </c>
      <c r="K151" t="s">
        <v>9996</v>
      </c>
      <c r="L151" cm="1">
        <f t="array" ref="L151">wordCount(K151)</f>
        <v>14</v>
      </c>
      <c r="M151">
        <f t="shared" si="4"/>
        <v>71</v>
      </c>
      <c r="N151">
        <v>0.21428571428571427</v>
      </c>
      <c r="O151" s="23" cm="1">
        <f t="array" ref="O151">WordListCount(K151,keywords!$A$2:$A$31)-WordListCount(K151,keywords!$B$2:$B$31)</f>
        <v>1</v>
      </c>
      <c r="P151" s="25">
        <f t="shared" si="5"/>
        <v>0.49614583333333334</v>
      </c>
      <c r="Q151" s="23">
        <f>SUM($O$2:O151)</f>
        <v>-1</v>
      </c>
      <c r="Y151" s="14"/>
      <c r="Z151" s="13"/>
      <c r="AA151"/>
    </row>
    <row r="152" spans="1:27" x14ac:dyDescent="0.2">
      <c r="A152" s="12" t="s">
        <v>550</v>
      </c>
      <c r="B152" t="s">
        <v>551</v>
      </c>
      <c r="C152" t="s">
        <v>552</v>
      </c>
      <c r="D152" t="s">
        <v>553</v>
      </c>
      <c r="E152" t="s">
        <v>13</v>
      </c>
      <c r="F152">
        <v>1431</v>
      </c>
      <c r="G152">
        <v>1784</v>
      </c>
      <c r="H152" s="5" t="s">
        <v>22</v>
      </c>
      <c r="I152" s="5">
        <v>0</v>
      </c>
      <c r="J152" s="5">
        <v>0</v>
      </c>
      <c r="K152" t="s">
        <v>9997</v>
      </c>
      <c r="L152" cm="1">
        <f t="array" ref="L152">wordCount(K152)</f>
        <v>5</v>
      </c>
      <c r="M152">
        <f t="shared" si="4"/>
        <v>28</v>
      </c>
      <c r="N152">
        <v>0.625</v>
      </c>
      <c r="O152" s="23" cm="1">
        <f t="array" ref="O152">WordListCount(K152,keywords!$A$2:$A$31)-WordListCount(K152,keywords!$B$2:$B$31)</f>
        <v>0</v>
      </c>
      <c r="P152" s="25">
        <f t="shared" si="5"/>
        <v>0.49634259259259261</v>
      </c>
      <c r="Q152" s="23">
        <f>SUM($O$2:O152)</f>
        <v>-1</v>
      </c>
      <c r="Y152" s="14"/>
      <c r="Z152" s="13"/>
      <c r="AA152"/>
    </row>
    <row r="153" spans="1:27" x14ac:dyDescent="0.2">
      <c r="A153" s="12" t="s">
        <v>554</v>
      </c>
      <c r="B153" t="s">
        <v>555</v>
      </c>
      <c r="C153" t="s">
        <v>556</v>
      </c>
      <c r="D153" t="s">
        <v>12</v>
      </c>
      <c r="E153" t="s">
        <v>13</v>
      </c>
      <c r="F153">
        <v>28</v>
      </c>
      <c r="G153">
        <v>7</v>
      </c>
      <c r="H153" s="5" t="s">
        <v>42</v>
      </c>
      <c r="I153" s="5">
        <v>0</v>
      </c>
      <c r="J153" s="5">
        <v>0</v>
      </c>
      <c r="K153" t="s">
        <v>9906</v>
      </c>
      <c r="L153" cm="1">
        <f t="array" ref="L153">wordCount(K153)</f>
        <v>12</v>
      </c>
      <c r="M153">
        <f t="shared" si="4"/>
        <v>74</v>
      </c>
      <c r="N153">
        <v>0.92307692307692313</v>
      </c>
      <c r="O153" s="23" cm="1">
        <f t="array" ref="O153">WordListCount(K153,keywords!$A$2:$A$31)-WordListCount(K153,keywords!$B$2:$B$31)</f>
        <v>0</v>
      </c>
      <c r="P153" s="25">
        <f t="shared" si="5"/>
        <v>0.49657407407407406</v>
      </c>
      <c r="Q153" s="23">
        <f>SUM($O$2:O153)</f>
        <v>-1</v>
      </c>
      <c r="Y153" s="14"/>
      <c r="Z153" s="13"/>
      <c r="AA153"/>
    </row>
    <row r="154" spans="1:27" x14ac:dyDescent="0.2">
      <c r="A154" s="12" t="s">
        <v>557</v>
      </c>
      <c r="B154" t="s">
        <v>558</v>
      </c>
      <c r="C154" t="s">
        <v>559</v>
      </c>
      <c r="D154" t="s">
        <v>560</v>
      </c>
      <c r="E154" t="s">
        <v>13</v>
      </c>
      <c r="F154">
        <v>27</v>
      </c>
      <c r="G154">
        <v>477</v>
      </c>
      <c r="H154" s="5" t="s">
        <v>22</v>
      </c>
      <c r="I154" s="5">
        <v>0</v>
      </c>
      <c r="J154" s="5">
        <v>0</v>
      </c>
      <c r="K154" t="s">
        <v>9998</v>
      </c>
      <c r="L154" cm="1">
        <f t="array" ref="L154">wordCount(K154)</f>
        <v>18</v>
      </c>
      <c r="M154">
        <f t="shared" si="4"/>
        <v>88</v>
      </c>
      <c r="N154">
        <v>0.62857142857142856</v>
      </c>
      <c r="O154" s="23" cm="1">
        <f t="array" ref="O154">WordListCount(K154,keywords!$A$2:$A$31)-WordListCount(K154,keywords!$B$2:$B$31)</f>
        <v>0</v>
      </c>
      <c r="P154" s="25">
        <f t="shared" si="5"/>
        <v>0.49709490740740742</v>
      </c>
      <c r="Q154" s="23">
        <f>SUM($O$2:O154)</f>
        <v>-1</v>
      </c>
      <c r="Y154" s="14"/>
      <c r="Z154" s="13"/>
      <c r="AA154"/>
    </row>
    <row r="155" spans="1:27" x14ac:dyDescent="0.2">
      <c r="A155" s="12" t="s">
        <v>561</v>
      </c>
      <c r="B155" t="s">
        <v>562</v>
      </c>
      <c r="C155" t="s">
        <v>563</v>
      </c>
      <c r="D155" t="s">
        <v>564</v>
      </c>
      <c r="E155" t="s">
        <v>13</v>
      </c>
      <c r="F155">
        <v>543</v>
      </c>
      <c r="G155">
        <v>179</v>
      </c>
      <c r="H155" s="5" t="s">
        <v>22</v>
      </c>
      <c r="I155" s="5">
        <v>0</v>
      </c>
      <c r="J155" s="5">
        <v>0</v>
      </c>
      <c r="K155" t="s">
        <v>9999</v>
      </c>
      <c r="L155" cm="1">
        <f t="array" ref="L155">wordCount(K155)</f>
        <v>13</v>
      </c>
      <c r="M155">
        <f t="shared" si="4"/>
        <v>55</v>
      </c>
      <c r="N155">
        <v>0.625</v>
      </c>
      <c r="O155" s="23" cm="1">
        <f t="array" ref="O155">WordListCount(K155,keywords!$A$2:$A$31)-WordListCount(K155,keywords!$B$2:$B$31)</f>
        <v>0</v>
      </c>
      <c r="P155" s="25">
        <f t="shared" si="5"/>
        <v>0.49782407407407409</v>
      </c>
      <c r="Q155" s="23">
        <f>SUM($O$2:O155)</f>
        <v>-1</v>
      </c>
      <c r="Y155" s="14"/>
      <c r="Z155" s="13"/>
      <c r="AA155"/>
    </row>
    <row r="156" spans="1:27" x14ac:dyDescent="0.2">
      <c r="A156" s="12" t="s">
        <v>565</v>
      </c>
      <c r="B156" t="s">
        <v>566</v>
      </c>
      <c r="C156" t="s">
        <v>567</v>
      </c>
      <c r="D156" t="s">
        <v>12</v>
      </c>
      <c r="E156" t="s">
        <v>13</v>
      </c>
      <c r="F156">
        <v>0</v>
      </c>
      <c r="G156">
        <v>2</v>
      </c>
      <c r="H156" s="5" t="s">
        <v>22</v>
      </c>
      <c r="I156" s="5">
        <v>0</v>
      </c>
      <c r="J156" s="5">
        <v>0</v>
      </c>
      <c r="K156" t="s">
        <v>10000</v>
      </c>
      <c r="L156" cm="1">
        <f t="array" ref="L156">wordCount(K156)</f>
        <v>17</v>
      </c>
      <c r="M156">
        <f t="shared" si="4"/>
        <v>83</v>
      </c>
      <c r="N156">
        <v>0.22222222222222221</v>
      </c>
      <c r="O156" s="23" cm="1">
        <f t="array" ref="O156">WordListCount(K156,keywords!$A$2:$A$31)-WordListCount(K156,keywords!$B$2:$B$31)</f>
        <v>0</v>
      </c>
      <c r="P156" s="25">
        <f t="shared" si="5"/>
        <v>0.49806712962962968</v>
      </c>
      <c r="Q156" s="23">
        <f>SUM($O$2:O156)</f>
        <v>-1</v>
      </c>
      <c r="Y156" s="14"/>
      <c r="Z156" s="13"/>
      <c r="AA156"/>
    </row>
    <row r="157" spans="1:27" x14ac:dyDescent="0.2">
      <c r="A157" s="12" t="s">
        <v>568</v>
      </c>
      <c r="B157" t="s">
        <v>569</v>
      </c>
      <c r="C157" t="s">
        <v>492</v>
      </c>
      <c r="D157" t="s">
        <v>493</v>
      </c>
      <c r="E157" t="s">
        <v>13</v>
      </c>
      <c r="F157">
        <v>3</v>
      </c>
      <c r="G157">
        <v>13</v>
      </c>
      <c r="H157" s="5" t="s">
        <v>22</v>
      </c>
      <c r="I157" s="5">
        <v>0</v>
      </c>
      <c r="J157" s="5">
        <v>0</v>
      </c>
      <c r="K157" t="s">
        <v>10001</v>
      </c>
      <c r="L157" cm="1">
        <f t="array" ref="L157">wordCount(K157)</f>
        <v>10</v>
      </c>
      <c r="M157">
        <f t="shared" si="4"/>
        <v>42</v>
      </c>
      <c r="N157">
        <v>0.5625</v>
      </c>
      <c r="O157" s="23" cm="1">
        <f t="array" ref="O157">WordListCount(K157,keywords!$A$2:$A$31)-WordListCount(K157,keywords!$B$2:$B$31)</f>
        <v>-1</v>
      </c>
      <c r="P157" s="25">
        <f t="shared" si="5"/>
        <v>0.49828703703703708</v>
      </c>
      <c r="Q157" s="23">
        <f>SUM($O$2:O157)</f>
        <v>-2</v>
      </c>
      <c r="Y157" s="14"/>
      <c r="Z157" s="13"/>
      <c r="AA157"/>
    </row>
    <row r="158" spans="1:27" x14ac:dyDescent="0.2">
      <c r="A158" s="12" t="s">
        <v>570</v>
      </c>
      <c r="B158" t="s">
        <v>571</v>
      </c>
      <c r="C158" t="s">
        <v>572</v>
      </c>
      <c r="D158" t="s">
        <v>573</v>
      </c>
      <c r="E158" t="s">
        <v>13</v>
      </c>
      <c r="F158">
        <v>212</v>
      </c>
      <c r="G158">
        <v>342</v>
      </c>
      <c r="H158" s="5" t="s">
        <v>139</v>
      </c>
      <c r="I158" s="5">
        <v>0</v>
      </c>
      <c r="J158" s="5">
        <v>0</v>
      </c>
      <c r="K158" t="s">
        <v>9057</v>
      </c>
      <c r="L158" cm="1">
        <f t="array" ref="L158">wordCount(K158)</f>
        <v>13</v>
      </c>
      <c r="M158">
        <f t="shared" si="4"/>
        <v>65</v>
      </c>
      <c r="N158">
        <v>0.42105263157894735</v>
      </c>
      <c r="O158" s="23" cm="1">
        <f t="array" ref="O158">WordListCount(K158,keywords!$A$2:$A$31)-WordListCount(K158,keywords!$B$2:$B$31)</f>
        <v>-1</v>
      </c>
      <c r="P158" s="25">
        <f t="shared" si="5"/>
        <v>0.49834490740740739</v>
      </c>
      <c r="Q158" s="23">
        <f>SUM($O$2:O158)</f>
        <v>-3</v>
      </c>
      <c r="Y158" s="14"/>
      <c r="Z158" s="13"/>
      <c r="AA158"/>
    </row>
    <row r="159" spans="1:27" x14ac:dyDescent="0.2">
      <c r="A159" s="12" t="s">
        <v>574</v>
      </c>
      <c r="B159" t="s">
        <v>575</v>
      </c>
      <c r="C159" t="s">
        <v>576</v>
      </c>
      <c r="D159" t="s">
        <v>577</v>
      </c>
      <c r="E159" t="s">
        <v>13</v>
      </c>
      <c r="F159">
        <v>1461</v>
      </c>
      <c r="G159">
        <v>110</v>
      </c>
      <c r="H159" s="5" t="s">
        <v>22</v>
      </c>
      <c r="I159" s="5">
        <v>0</v>
      </c>
      <c r="J159" s="5">
        <v>0</v>
      </c>
      <c r="K159" t="s">
        <v>10002</v>
      </c>
      <c r="L159" cm="1">
        <f t="array" ref="L159">wordCount(K159)</f>
        <v>9</v>
      </c>
      <c r="M159">
        <f t="shared" si="4"/>
        <v>42</v>
      </c>
      <c r="N159">
        <v>0.45454545454545453</v>
      </c>
      <c r="O159" s="23" cm="1">
        <f t="array" ref="O159">WordListCount(K159,keywords!$A$2:$A$31)-WordListCount(K159,keywords!$B$2:$B$31)</f>
        <v>0</v>
      </c>
      <c r="P159" s="25">
        <f t="shared" si="5"/>
        <v>0.49846064814814817</v>
      </c>
      <c r="Q159" s="23">
        <f>SUM($O$2:O159)</f>
        <v>-3</v>
      </c>
      <c r="Y159" s="14"/>
      <c r="Z159" s="13"/>
      <c r="AA159"/>
    </row>
    <row r="160" spans="1:27" x14ac:dyDescent="0.2">
      <c r="A160" s="12" t="s">
        <v>578</v>
      </c>
      <c r="B160" t="s">
        <v>579</v>
      </c>
      <c r="C160" t="s">
        <v>205</v>
      </c>
      <c r="D160" t="s">
        <v>12</v>
      </c>
      <c r="E160" t="s">
        <v>13</v>
      </c>
      <c r="F160">
        <v>2866</v>
      </c>
      <c r="G160">
        <v>6</v>
      </c>
      <c r="H160" s="5" t="s">
        <v>22</v>
      </c>
      <c r="I160" s="5">
        <v>0</v>
      </c>
      <c r="J160" s="5">
        <v>0</v>
      </c>
      <c r="K160" t="s">
        <v>9058</v>
      </c>
      <c r="L160" cm="1">
        <f t="array" ref="L160">wordCount(K160)</f>
        <v>8</v>
      </c>
      <c r="M160">
        <f t="shared" si="4"/>
        <v>55</v>
      </c>
      <c r="N160">
        <v>0.77777777777777779</v>
      </c>
      <c r="O160" s="23" cm="1">
        <f t="array" ref="O160">WordListCount(K160,keywords!$A$2:$A$31)-WordListCount(K160,keywords!$B$2:$B$31)</f>
        <v>0</v>
      </c>
      <c r="P160" s="25">
        <f t="shared" si="5"/>
        <v>0.49861111111111112</v>
      </c>
      <c r="Q160" s="23">
        <f>SUM($O$2:O160)</f>
        <v>-3</v>
      </c>
      <c r="Y160" s="14"/>
      <c r="Z160" s="13"/>
      <c r="AA160"/>
    </row>
    <row r="161" spans="1:27" x14ac:dyDescent="0.2">
      <c r="A161" s="12" t="s">
        <v>580</v>
      </c>
      <c r="B161" t="s">
        <v>581</v>
      </c>
      <c r="C161" t="s">
        <v>582</v>
      </c>
      <c r="D161" t="s">
        <v>583</v>
      </c>
      <c r="E161" t="s">
        <v>13</v>
      </c>
      <c r="F161">
        <v>759</v>
      </c>
      <c r="G161">
        <v>867</v>
      </c>
      <c r="H161" s="5" t="s">
        <v>22</v>
      </c>
      <c r="I161" s="5">
        <v>0</v>
      </c>
      <c r="J161" s="5">
        <v>0</v>
      </c>
      <c r="K161" t="s">
        <v>10003</v>
      </c>
      <c r="L161" cm="1">
        <f t="array" ref="L161">wordCount(K161)</f>
        <v>20</v>
      </c>
      <c r="M161">
        <f t="shared" si="4"/>
        <v>95</v>
      </c>
      <c r="N161">
        <v>0.44827586206896552</v>
      </c>
      <c r="O161" s="23" cm="1">
        <f t="array" ref="O161">WordListCount(K161,keywords!$A$2:$A$31)-WordListCount(K161,keywords!$B$2:$B$31)</f>
        <v>1</v>
      </c>
      <c r="P161" s="25">
        <f t="shared" si="5"/>
        <v>0.49975694444444446</v>
      </c>
      <c r="Q161" s="23">
        <f>SUM($O$2:O161)</f>
        <v>-2</v>
      </c>
      <c r="Y161" s="14"/>
      <c r="Z161" s="13"/>
      <c r="AA161"/>
    </row>
    <row r="162" spans="1:27" x14ac:dyDescent="0.2">
      <c r="A162" s="12" t="s">
        <v>584</v>
      </c>
      <c r="B162" t="s">
        <v>585</v>
      </c>
      <c r="C162" t="s">
        <v>586</v>
      </c>
      <c r="D162" t="s">
        <v>12</v>
      </c>
      <c r="E162" t="s">
        <v>13</v>
      </c>
      <c r="F162">
        <v>236</v>
      </c>
      <c r="G162">
        <v>2</v>
      </c>
      <c r="H162" s="5" t="s">
        <v>22</v>
      </c>
      <c r="I162" s="5">
        <v>0</v>
      </c>
      <c r="J162" s="5">
        <v>0</v>
      </c>
      <c r="K162" t="s">
        <v>10004</v>
      </c>
      <c r="L162" cm="1">
        <f t="array" ref="L162">wordCount(K162)</f>
        <v>19</v>
      </c>
      <c r="M162">
        <f t="shared" si="4"/>
        <v>108</v>
      </c>
      <c r="N162">
        <v>0.43478260869565216</v>
      </c>
      <c r="O162" s="23" cm="1">
        <f t="array" ref="O162">WordListCount(K162,keywords!$A$2:$A$31)-WordListCount(K162,keywords!$B$2:$B$31)</f>
        <v>0</v>
      </c>
      <c r="P162" s="25">
        <f t="shared" si="5"/>
        <v>0.5</v>
      </c>
      <c r="Q162" s="23">
        <f>SUM($O$2:O162)</f>
        <v>-2</v>
      </c>
      <c r="Y162" s="14"/>
      <c r="Z162" s="13"/>
      <c r="AA162"/>
    </row>
    <row r="163" spans="1:27" x14ac:dyDescent="0.2">
      <c r="A163" s="12" t="s">
        <v>587</v>
      </c>
      <c r="B163" t="s">
        <v>588</v>
      </c>
      <c r="C163" t="s">
        <v>589</v>
      </c>
      <c r="D163" t="s">
        <v>590</v>
      </c>
      <c r="E163" t="s">
        <v>13</v>
      </c>
      <c r="F163">
        <v>386</v>
      </c>
      <c r="G163">
        <v>72</v>
      </c>
      <c r="H163" s="5" t="s">
        <v>22</v>
      </c>
      <c r="I163" s="5">
        <v>0</v>
      </c>
      <c r="J163" s="5">
        <v>0</v>
      </c>
      <c r="K163" t="s">
        <v>10005</v>
      </c>
      <c r="L163" cm="1">
        <f t="array" ref="L163">wordCount(K163)</f>
        <v>9</v>
      </c>
      <c r="M163">
        <f t="shared" si="4"/>
        <v>56</v>
      </c>
      <c r="N163">
        <v>0.81818181818181823</v>
      </c>
      <c r="O163" s="23" cm="1">
        <f t="array" ref="O163">WordListCount(K163,keywords!$A$2:$A$31)-WordListCount(K163,keywords!$B$2:$B$31)</f>
        <v>0</v>
      </c>
      <c r="P163" s="25">
        <f t="shared" si="5"/>
        <v>0.50001157407407404</v>
      </c>
      <c r="Q163" s="23">
        <f>SUM($O$2:O163)</f>
        <v>-2</v>
      </c>
      <c r="Y163" s="14"/>
      <c r="Z163" s="13"/>
      <c r="AA163"/>
    </row>
    <row r="164" spans="1:27" x14ac:dyDescent="0.2">
      <c r="A164" s="12" t="s">
        <v>587</v>
      </c>
      <c r="B164" t="s">
        <v>595</v>
      </c>
      <c r="C164" t="s">
        <v>596</v>
      </c>
      <c r="D164" t="s">
        <v>597</v>
      </c>
      <c r="E164" t="s">
        <v>13</v>
      </c>
      <c r="F164">
        <v>998</v>
      </c>
      <c r="G164">
        <v>1</v>
      </c>
      <c r="H164" s="5" t="s">
        <v>382</v>
      </c>
      <c r="I164" s="5">
        <v>0</v>
      </c>
      <c r="J164" s="5">
        <v>0</v>
      </c>
      <c r="K164" t="s">
        <v>9059</v>
      </c>
      <c r="L164" cm="1">
        <f t="array" ref="L164">wordCount(K164)</f>
        <v>5</v>
      </c>
      <c r="M164">
        <f t="shared" si="4"/>
        <v>30</v>
      </c>
      <c r="N164">
        <v>0.8</v>
      </c>
      <c r="O164" s="23" cm="1">
        <f t="array" ref="O164">WordListCount(K164,keywords!$A$2:$A$31)-WordListCount(K164,keywords!$B$2:$B$31)</f>
        <v>0</v>
      </c>
      <c r="P164" s="25">
        <f t="shared" si="5"/>
        <v>0.50001157407407404</v>
      </c>
      <c r="Q164" s="23">
        <f>SUM($O$2:O164)</f>
        <v>-2</v>
      </c>
      <c r="Y164" s="14"/>
      <c r="Z164" s="13"/>
      <c r="AA164"/>
    </row>
    <row r="165" spans="1:27" x14ac:dyDescent="0.2">
      <c r="A165" s="12" t="s">
        <v>591</v>
      </c>
      <c r="B165" t="s">
        <v>598</v>
      </c>
      <c r="C165" t="s">
        <v>599</v>
      </c>
      <c r="D165" t="s">
        <v>74</v>
      </c>
      <c r="E165" t="s">
        <v>13</v>
      </c>
      <c r="F165">
        <v>580</v>
      </c>
      <c r="G165">
        <v>0</v>
      </c>
      <c r="H165" s="5" t="s">
        <v>22</v>
      </c>
      <c r="I165" s="5">
        <v>0</v>
      </c>
      <c r="J165" s="5">
        <v>0</v>
      </c>
      <c r="K165" t="s">
        <v>10007</v>
      </c>
      <c r="L165" cm="1">
        <f t="array" ref="L165">wordCount(K165)</f>
        <v>11</v>
      </c>
      <c r="M165">
        <f t="shared" si="4"/>
        <v>64</v>
      </c>
      <c r="N165">
        <v>0.63157894736842102</v>
      </c>
      <c r="O165" s="23" cm="1">
        <f t="array" ref="O165">WordListCount(K165,keywords!$A$2:$A$31)-WordListCount(K165,keywords!$B$2:$B$31)</f>
        <v>0</v>
      </c>
      <c r="P165" s="25">
        <f t="shared" si="5"/>
        <v>0.50002314814814819</v>
      </c>
      <c r="Q165" s="23">
        <f>SUM($O$2:O165)</f>
        <v>-2</v>
      </c>
      <c r="Y165" s="14"/>
      <c r="Z165" s="13"/>
      <c r="AA165"/>
    </row>
    <row r="166" spans="1:27" x14ac:dyDescent="0.2">
      <c r="A166" s="12" t="s">
        <v>591</v>
      </c>
      <c r="B166" t="s">
        <v>592</v>
      </c>
      <c r="C166" t="s">
        <v>593</v>
      </c>
      <c r="D166" t="s">
        <v>594</v>
      </c>
      <c r="E166" t="s">
        <v>13</v>
      </c>
      <c r="F166">
        <v>499</v>
      </c>
      <c r="G166">
        <v>352</v>
      </c>
      <c r="H166" s="5" t="s">
        <v>14</v>
      </c>
      <c r="I166" s="5">
        <v>0</v>
      </c>
      <c r="J166" s="5">
        <v>0</v>
      </c>
      <c r="K166" t="s">
        <v>10006</v>
      </c>
      <c r="L166" cm="1">
        <f t="array" ref="L166">wordCount(K166)</f>
        <v>10</v>
      </c>
      <c r="M166">
        <f t="shared" si="4"/>
        <v>69</v>
      </c>
      <c r="N166">
        <v>0.69230769230769229</v>
      </c>
      <c r="O166" s="23" cm="1">
        <f t="array" ref="O166">WordListCount(K166,keywords!$A$2:$A$31)-WordListCount(K166,keywords!$B$2:$B$31)</f>
        <v>0</v>
      </c>
      <c r="P166" s="25">
        <f t="shared" si="5"/>
        <v>0.50002314814814819</v>
      </c>
      <c r="Q166" s="23">
        <f>SUM($O$2:O166)</f>
        <v>-2</v>
      </c>
      <c r="Y166" s="14"/>
      <c r="Z166" s="13"/>
      <c r="AA166"/>
    </row>
    <row r="167" spans="1:27" x14ac:dyDescent="0.2">
      <c r="A167" s="12" t="s">
        <v>600</v>
      </c>
      <c r="B167" t="s">
        <v>601</v>
      </c>
      <c r="C167" t="s">
        <v>306</v>
      </c>
      <c r="D167" t="s">
        <v>307</v>
      </c>
      <c r="E167" t="s">
        <v>13</v>
      </c>
      <c r="F167">
        <v>228</v>
      </c>
      <c r="G167">
        <v>1</v>
      </c>
      <c r="H167" s="5" t="s">
        <v>22</v>
      </c>
      <c r="I167" s="5">
        <v>0</v>
      </c>
      <c r="J167" s="5">
        <v>0</v>
      </c>
      <c r="K167" t="s">
        <v>9060</v>
      </c>
      <c r="L167" cm="1">
        <f t="array" ref="L167">wordCount(K167)</f>
        <v>7</v>
      </c>
      <c r="M167">
        <f t="shared" si="4"/>
        <v>105</v>
      </c>
      <c r="N167">
        <v>0.53846153846153844</v>
      </c>
      <c r="O167" s="23" cm="1">
        <f t="array" ref="O167">WordListCount(K167,keywords!$A$2:$A$31)-WordListCount(K167,keywords!$B$2:$B$31)</f>
        <v>0</v>
      </c>
      <c r="P167" s="25">
        <f t="shared" si="5"/>
        <v>0.50003472222222223</v>
      </c>
      <c r="Q167" s="23">
        <f>SUM($O$2:O167)</f>
        <v>-2</v>
      </c>
      <c r="Y167" s="14"/>
      <c r="Z167" s="13"/>
      <c r="AA167"/>
    </row>
    <row r="168" spans="1:27" x14ac:dyDescent="0.2">
      <c r="A168" s="12" t="s">
        <v>602</v>
      </c>
      <c r="B168" t="s">
        <v>603</v>
      </c>
      <c r="C168" t="s">
        <v>604</v>
      </c>
      <c r="D168" t="s">
        <v>605</v>
      </c>
      <c r="E168" t="s">
        <v>13</v>
      </c>
      <c r="F168">
        <v>168</v>
      </c>
      <c r="G168">
        <v>115</v>
      </c>
      <c r="H168" s="5" t="s">
        <v>22</v>
      </c>
      <c r="I168" s="5">
        <v>0</v>
      </c>
      <c r="J168" s="5">
        <v>0</v>
      </c>
      <c r="K168" t="s">
        <v>10008</v>
      </c>
      <c r="L168" cm="1">
        <f t="array" ref="L168">wordCount(K168)</f>
        <v>13</v>
      </c>
      <c r="M168">
        <f t="shared" si="4"/>
        <v>68</v>
      </c>
      <c r="N168">
        <v>0.75</v>
      </c>
      <c r="O168" s="23" cm="1">
        <f t="array" ref="O168">WordListCount(K168,keywords!$A$2:$A$31)-WordListCount(K168,keywords!$B$2:$B$31)</f>
        <v>0</v>
      </c>
      <c r="P168" s="25">
        <f t="shared" si="5"/>
        <v>0.50004629629629627</v>
      </c>
      <c r="Q168" s="23">
        <f>SUM($O$2:O168)</f>
        <v>-2</v>
      </c>
      <c r="Y168" s="14"/>
      <c r="Z168" s="13"/>
      <c r="AA168"/>
    </row>
    <row r="169" spans="1:27" x14ac:dyDescent="0.2">
      <c r="A169" s="12" t="s">
        <v>606</v>
      </c>
      <c r="B169" t="s">
        <v>607</v>
      </c>
      <c r="C169" t="s">
        <v>608</v>
      </c>
      <c r="D169" t="s">
        <v>197</v>
      </c>
      <c r="E169" t="s">
        <v>13</v>
      </c>
      <c r="F169">
        <v>48</v>
      </c>
      <c r="G169">
        <v>18</v>
      </c>
      <c r="H169" s="5" t="s">
        <v>22</v>
      </c>
      <c r="I169" s="5">
        <v>0</v>
      </c>
      <c r="J169" s="5">
        <v>0</v>
      </c>
      <c r="K169" t="s">
        <v>9061</v>
      </c>
      <c r="L169" cm="1">
        <f t="array" ref="L169">wordCount(K169)</f>
        <v>7</v>
      </c>
      <c r="M169">
        <f t="shared" si="4"/>
        <v>41</v>
      </c>
      <c r="N169">
        <v>0.7142857142857143</v>
      </c>
      <c r="O169" s="23" cm="1">
        <f t="array" ref="O169">WordListCount(K169,keywords!$A$2:$A$31)-WordListCount(K169,keywords!$B$2:$B$31)</f>
        <v>0</v>
      </c>
      <c r="P169" s="25">
        <f t="shared" si="5"/>
        <v>0.50005787037037031</v>
      </c>
      <c r="Q169" s="23">
        <f>SUM($O$2:O169)</f>
        <v>-2</v>
      </c>
      <c r="Y169" s="14"/>
      <c r="Z169" s="13"/>
      <c r="AA169"/>
    </row>
    <row r="170" spans="1:27" x14ac:dyDescent="0.2">
      <c r="A170" s="12" t="s">
        <v>606</v>
      </c>
      <c r="B170" t="s">
        <v>609</v>
      </c>
      <c r="C170" t="s">
        <v>610</v>
      </c>
      <c r="D170" t="s">
        <v>611</v>
      </c>
      <c r="E170" t="s">
        <v>13</v>
      </c>
      <c r="F170">
        <v>11598</v>
      </c>
      <c r="G170">
        <v>1531</v>
      </c>
      <c r="H170" s="5" t="s">
        <v>59</v>
      </c>
      <c r="I170" s="5">
        <v>0</v>
      </c>
      <c r="J170" s="5">
        <v>0</v>
      </c>
      <c r="K170" t="s">
        <v>9062</v>
      </c>
      <c r="L170" cm="1">
        <f t="array" ref="L170">wordCount(K170)</f>
        <v>5</v>
      </c>
      <c r="M170">
        <f t="shared" si="4"/>
        <v>21</v>
      </c>
      <c r="N170">
        <v>0.66666666666666663</v>
      </c>
      <c r="O170" s="23" cm="1">
        <f t="array" ref="O170">WordListCount(K170,keywords!$A$2:$A$31)-WordListCount(K170,keywords!$B$2:$B$31)</f>
        <v>0</v>
      </c>
      <c r="P170" s="25">
        <f t="shared" si="5"/>
        <v>0.50005787037037031</v>
      </c>
      <c r="Q170" s="23">
        <f>SUM($O$2:O170)</f>
        <v>-2</v>
      </c>
      <c r="Y170" s="14"/>
      <c r="Z170" s="13"/>
      <c r="AA170"/>
    </row>
    <row r="171" spans="1:27" x14ac:dyDescent="0.2">
      <c r="A171" s="12" t="s">
        <v>612</v>
      </c>
      <c r="B171" t="s">
        <v>613</v>
      </c>
      <c r="C171" t="s">
        <v>614</v>
      </c>
      <c r="D171" t="s">
        <v>12</v>
      </c>
      <c r="E171" t="s">
        <v>13</v>
      </c>
      <c r="F171">
        <v>446</v>
      </c>
      <c r="G171">
        <v>1474</v>
      </c>
      <c r="H171" s="5" t="s">
        <v>22</v>
      </c>
      <c r="I171" s="5">
        <v>0</v>
      </c>
      <c r="J171" s="5">
        <v>0</v>
      </c>
      <c r="K171" t="s">
        <v>9063</v>
      </c>
      <c r="L171" cm="1">
        <f t="array" ref="L171">wordCount(K171)</f>
        <v>9</v>
      </c>
      <c r="M171">
        <f t="shared" si="4"/>
        <v>52</v>
      </c>
      <c r="N171">
        <v>0.7142857142857143</v>
      </c>
      <c r="O171" s="23" cm="1">
        <f t="array" ref="O171">WordListCount(K171,keywords!$A$2:$A$31)-WordListCount(K171,keywords!$B$2:$B$31)</f>
        <v>0</v>
      </c>
      <c r="P171" s="25">
        <f t="shared" si="5"/>
        <v>0.50013888888888891</v>
      </c>
      <c r="Q171" s="23">
        <f>SUM($O$2:O171)</f>
        <v>-2</v>
      </c>
      <c r="Y171" s="14"/>
      <c r="Z171" s="13"/>
      <c r="AA171"/>
    </row>
    <row r="172" spans="1:27" x14ac:dyDescent="0.2">
      <c r="A172" s="12" t="s">
        <v>615</v>
      </c>
      <c r="B172" t="s">
        <v>616</v>
      </c>
      <c r="C172" t="s">
        <v>617</v>
      </c>
      <c r="D172" t="s">
        <v>12</v>
      </c>
      <c r="E172" t="s">
        <v>13</v>
      </c>
      <c r="F172">
        <v>8723</v>
      </c>
      <c r="G172">
        <v>268</v>
      </c>
      <c r="H172" s="5" t="s">
        <v>22</v>
      </c>
      <c r="I172" s="5">
        <v>0</v>
      </c>
      <c r="J172" s="5">
        <v>0</v>
      </c>
      <c r="K172" t="s">
        <v>10009</v>
      </c>
      <c r="L172" cm="1">
        <f t="array" ref="L172">wordCount(K172)</f>
        <v>14</v>
      </c>
      <c r="M172">
        <f t="shared" si="4"/>
        <v>101</v>
      </c>
      <c r="N172">
        <v>0.8571428571428571</v>
      </c>
      <c r="O172" s="23" cm="1">
        <f t="array" ref="O172">WordListCount(K172,keywords!$A$2:$A$31)-WordListCount(K172,keywords!$B$2:$B$31)</f>
        <v>0</v>
      </c>
      <c r="P172" s="25">
        <f t="shared" si="5"/>
        <v>0.5001620370370371</v>
      </c>
      <c r="Q172" s="23">
        <f>SUM($O$2:O172)</f>
        <v>-2</v>
      </c>
      <c r="Y172" s="14"/>
      <c r="Z172" s="13"/>
      <c r="AA172"/>
    </row>
    <row r="173" spans="1:27" x14ac:dyDescent="0.2">
      <c r="A173" s="12" t="s">
        <v>618</v>
      </c>
      <c r="B173" t="s">
        <v>619</v>
      </c>
      <c r="C173" t="s">
        <v>620</v>
      </c>
      <c r="D173" t="s">
        <v>621</v>
      </c>
      <c r="E173" t="s">
        <v>13</v>
      </c>
      <c r="F173">
        <v>1</v>
      </c>
      <c r="G173">
        <v>0</v>
      </c>
      <c r="H173" s="5" t="s">
        <v>22</v>
      </c>
      <c r="I173" s="5">
        <v>0</v>
      </c>
      <c r="J173" s="5">
        <v>0</v>
      </c>
      <c r="K173" t="s">
        <v>9064</v>
      </c>
      <c r="L173" cm="1">
        <f t="array" ref="L173">wordCount(K173)</f>
        <v>20</v>
      </c>
      <c r="M173">
        <f t="shared" si="4"/>
        <v>120</v>
      </c>
      <c r="N173">
        <v>0.375</v>
      </c>
      <c r="O173" s="23" cm="1">
        <f t="array" ref="O173">WordListCount(K173,keywords!$A$2:$A$31)-WordListCount(K173,keywords!$B$2:$B$31)</f>
        <v>0</v>
      </c>
      <c r="P173" s="25">
        <f t="shared" si="5"/>
        <v>0.50020833333333337</v>
      </c>
      <c r="Q173" s="23">
        <f>SUM($O$2:O173)</f>
        <v>-2</v>
      </c>
      <c r="Y173" s="14"/>
      <c r="Z173" s="13"/>
      <c r="AA173"/>
    </row>
    <row r="174" spans="1:27" x14ac:dyDescent="0.2">
      <c r="A174" s="12" t="s">
        <v>622</v>
      </c>
      <c r="B174" t="s">
        <v>623</v>
      </c>
      <c r="C174" t="s">
        <v>624</v>
      </c>
      <c r="D174" t="s">
        <v>12</v>
      </c>
      <c r="E174" t="s">
        <v>13</v>
      </c>
      <c r="F174">
        <v>327</v>
      </c>
      <c r="G174">
        <v>372</v>
      </c>
      <c r="H174" s="5" t="s">
        <v>22</v>
      </c>
      <c r="I174" s="5">
        <v>0</v>
      </c>
      <c r="J174" s="5">
        <v>0</v>
      </c>
      <c r="K174" t="s">
        <v>10010</v>
      </c>
      <c r="L174" cm="1">
        <f t="array" ref="L174">wordCount(K174)</f>
        <v>22</v>
      </c>
      <c r="M174">
        <f t="shared" si="4"/>
        <v>101</v>
      </c>
      <c r="N174">
        <v>0.43333333333333335</v>
      </c>
      <c r="O174" s="23" cm="1">
        <f t="array" ref="O174">WordListCount(K174,keywords!$A$2:$A$31)-WordListCount(K174,keywords!$B$2:$B$31)</f>
        <v>1</v>
      </c>
      <c r="P174" s="25">
        <f t="shared" si="5"/>
        <v>0.50025462962962963</v>
      </c>
      <c r="Q174" s="23">
        <f>SUM($O$2:O174)</f>
        <v>-1</v>
      </c>
      <c r="Y174" s="14"/>
      <c r="Z174" s="13"/>
      <c r="AA174"/>
    </row>
    <row r="175" spans="1:27" x14ac:dyDescent="0.2">
      <c r="A175" s="12" t="s">
        <v>625</v>
      </c>
      <c r="B175" t="s">
        <v>626</v>
      </c>
      <c r="C175" t="s">
        <v>627</v>
      </c>
      <c r="D175" t="s">
        <v>628</v>
      </c>
      <c r="E175" t="s">
        <v>13</v>
      </c>
      <c r="F175">
        <v>64</v>
      </c>
      <c r="G175">
        <v>140</v>
      </c>
      <c r="H175" s="5" t="s">
        <v>22</v>
      </c>
      <c r="I175" s="5">
        <v>0</v>
      </c>
      <c r="J175" s="5">
        <v>0</v>
      </c>
      <c r="K175" t="s">
        <v>10011</v>
      </c>
      <c r="L175" cm="1">
        <f t="array" ref="L175">wordCount(K175)</f>
        <v>10</v>
      </c>
      <c r="M175">
        <f t="shared" si="4"/>
        <v>55</v>
      </c>
      <c r="N175">
        <v>0.61538461538461542</v>
      </c>
      <c r="O175" s="23" cm="1">
        <f t="array" ref="O175">WordListCount(K175,keywords!$A$2:$A$31)-WordListCount(K175,keywords!$B$2:$B$31)</f>
        <v>0</v>
      </c>
      <c r="P175" s="25">
        <f t="shared" si="5"/>
        <v>0.50033564814814813</v>
      </c>
      <c r="Q175" s="23">
        <f>SUM($O$2:O175)</f>
        <v>-1</v>
      </c>
      <c r="Y175" s="14"/>
      <c r="Z175" s="13"/>
      <c r="AA175"/>
    </row>
    <row r="176" spans="1:27" x14ac:dyDescent="0.2">
      <c r="A176" s="12" t="s">
        <v>629</v>
      </c>
      <c r="B176" t="s">
        <v>630</v>
      </c>
      <c r="C176" t="s">
        <v>631</v>
      </c>
      <c r="D176" t="s">
        <v>12</v>
      </c>
      <c r="E176" t="s">
        <v>13</v>
      </c>
      <c r="F176">
        <v>93</v>
      </c>
      <c r="G176">
        <v>2</v>
      </c>
      <c r="H176" s="5" t="s">
        <v>86</v>
      </c>
      <c r="I176" s="5">
        <v>0</v>
      </c>
      <c r="J176" s="5">
        <v>0</v>
      </c>
      <c r="K176" t="s">
        <v>9065</v>
      </c>
      <c r="L176" cm="1">
        <f t="array" ref="L176">wordCount(K176)</f>
        <v>8</v>
      </c>
      <c r="M176">
        <f t="shared" si="4"/>
        <v>43</v>
      </c>
      <c r="N176">
        <v>0.6</v>
      </c>
      <c r="O176" s="23" cm="1">
        <f t="array" ref="O176">WordListCount(K176,keywords!$A$2:$A$31)-WordListCount(K176,keywords!$B$2:$B$31)</f>
        <v>0</v>
      </c>
      <c r="P176" s="25">
        <f t="shared" si="5"/>
        <v>0.50035879629629632</v>
      </c>
      <c r="Q176" s="23">
        <f>SUM($O$2:O176)</f>
        <v>-1</v>
      </c>
      <c r="Y176" s="14"/>
      <c r="Z176" s="13"/>
      <c r="AA176"/>
    </row>
    <row r="177" spans="1:27" x14ac:dyDescent="0.2">
      <c r="A177" s="12" t="s">
        <v>632</v>
      </c>
      <c r="B177" t="s">
        <v>633</v>
      </c>
      <c r="C177" t="s">
        <v>634</v>
      </c>
      <c r="D177" t="s">
        <v>635</v>
      </c>
      <c r="E177" t="s">
        <v>13</v>
      </c>
      <c r="F177">
        <v>2120</v>
      </c>
      <c r="G177">
        <v>4146</v>
      </c>
      <c r="H177" s="5" t="s">
        <v>22</v>
      </c>
      <c r="I177" s="5">
        <v>0</v>
      </c>
      <c r="J177" s="5">
        <v>0</v>
      </c>
      <c r="K177" t="s">
        <v>9066</v>
      </c>
      <c r="L177" cm="1">
        <f t="array" ref="L177">wordCount(K177)</f>
        <v>21</v>
      </c>
      <c r="M177">
        <f t="shared" si="4"/>
        <v>102</v>
      </c>
      <c r="N177">
        <v>0.52631578947368418</v>
      </c>
      <c r="O177" s="23" cm="1">
        <f t="array" ref="O177">WordListCount(K177,keywords!$A$2:$A$31)-WordListCount(K177,keywords!$B$2:$B$31)</f>
        <v>2</v>
      </c>
      <c r="P177" s="25">
        <f t="shared" si="5"/>
        <v>0.50045138888888896</v>
      </c>
      <c r="Q177" s="23">
        <f>SUM($O$2:O177)</f>
        <v>1</v>
      </c>
      <c r="Y177" s="14"/>
      <c r="Z177" s="13"/>
      <c r="AA177"/>
    </row>
    <row r="178" spans="1:27" x14ac:dyDescent="0.2">
      <c r="A178" s="12" t="s">
        <v>636</v>
      </c>
      <c r="B178" t="s">
        <v>637</v>
      </c>
      <c r="C178" t="s">
        <v>638</v>
      </c>
      <c r="D178" t="s">
        <v>12</v>
      </c>
      <c r="E178" t="s">
        <v>13</v>
      </c>
      <c r="F178">
        <v>4994</v>
      </c>
      <c r="G178">
        <v>5323</v>
      </c>
      <c r="H178" s="5" t="s">
        <v>86</v>
      </c>
      <c r="I178" s="5">
        <v>0</v>
      </c>
      <c r="J178" s="5">
        <v>0</v>
      </c>
      <c r="K178" t="s">
        <v>10012</v>
      </c>
      <c r="L178" cm="1">
        <f t="array" ref="L178">wordCount(K178)</f>
        <v>12</v>
      </c>
      <c r="M178">
        <f t="shared" si="4"/>
        <v>59</v>
      </c>
      <c r="N178">
        <v>0.59090909090909094</v>
      </c>
      <c r="O178" s="23" cm="1">
        <f t="array" ref="O178">WordListCount(K178,keywords!$A$2:$A$31)-WordListCount(K178,keywords!$B$2:$B$31)</f>
        <v>0</v>
      </c>
      <c r="P178" s="25">
        <f t="shared" si="5"/>
        <v>0.50064814814814818</v>
      </c>
      <c r="Q178" s="23">
        <f>SUM($O$2:O178)</f>
        <v>1</v>
      </c>
      <c r="Y178" s="14"/>
      <c r="Z178" s="13"/>
      <c r="AA178"/>
    </row>
    <row r="179" spans="1:27" x14ac:dyDescent="0.2">
      <c r="A179" s="12" t="s">
        <v>639</v>
      </c>
      <c r="B179" t="s">
        <v>640</v>
      </c>
      <c r="C179" t="s">
        <v>641</v>
      </c>
      <c r="D179" t="s">
        <v>642</v>
      </c>
      <c r="E179" t="s">
        <v>13</v>
      </c>
      <c r="F179">
        <v>380</v>
      </c>
      <c r="G179">
        <v>402</v>
      </c>
      <c r="H179" s="5" t="s">
        <v>22</v>
      </c>
      <c r="I179" s="5">
        <v>0</v>
      </c>
      <c r="J179" s="5">
        <v>0</v>
      </c>
      <c r="K179" t="s">
        <v>10013</v>
      </c>
      <c r="L179" cm="1">
        <f t="array" ref="L179">wordCount(K179)</f>
        <v>11</v>
      </c>
      <c r="M179">
        <f t="shared" si="4"/>
        <v>66</v>
      </c>
      <c r="N179">
        <v>0.33333333333333331</v>
      </c>
      <c r="O179" s="23" cm="1">
        <f t="array" ref="O179">WordListCount(K179,keywords!$A$2:$A$31)-WordListCount(K179,keywords!$B$2:$B$31)</f>
        <v>0</v>
      </c>
      <c r="P179" s="25">
        <f t="shared" si="5"/>
        <v>0.50065972222222221</v>
      </c>
      <c r="Q179" s="23">
        <f>SUM($O$2:O179)</f>
        <v>1</v>
      </c>
      <c r="Y179" s="14"/>
      <c r="Z179" s="13"/>
      <c r="AA179"/>
    </row>
    <row r="180" spans="1:27" x14ac:dyDescent="0.2">
      <c r="A180" s="12" t="s">
        <v>647</v>
      </c>
      <c r="B180" t="s">
        <v>648</v>
      </c>
      <c r="C180" t="s">
        <v>511</v>
      </c>
      <c r="D180" t="s">
        <v>512</v>
      </c>
      <c r="E180" t="s">
        <v>13</v>
      </c>
      <c r="F180">
        <v>1899</v>
      </c>
      <c r="G180">
        <v>540</v>
      </c>
      <c r="H180" s="5" t="s">
        <v>22</v>
      </c>
      <c r="I180" s="5">
        <v>0</v>
      </c>
      <c r="J180" s="5">
        <v>0</v>
      </c>
      <c r="K180" t="s">
        <v>9067</v>
      </c>
      <c r="L180" cm="1">
        <f t="array" ref="L180">wordCount(K180)</f>
        <v>9</v>
      </c>
      <c r="M180">
        <f t="shared" si="4"/>
        <v>45</v>
      </c>
      <c r="N180">
        <v>0.65</v>
      </c>
      <c r="O180" s="23" cm="1">
        <f t="array" ref="O180">WordListCount(K180,keywords!$A$2:$A$31)-WordListCount(K180,keywords!$B$2:$B$31)</f>
        <v>0</v>
      </c>
      <c r="P180" s="25">
        <f t="shared" si="5"/>
        <v>0.50071759259259252</v>
      </c>
      <c r="Q180" s="23">
        <f>SUM($O$2:O180)</f>
        <v>1</v>
      </c>
      <c r="Y180" s="14"/>
      <c r="Z180" s="13"/>
      <c r="AA180"/>
    </row>
    <row r="181" spans="1:27" x14ac:dyDescent="0.2">
      <c r="A181" s="12" t="s">
        <v>643</v>
      </c>
      <c r="B181" t="s">
        <v>644</v>
      </c>
      <c r="C181" t="s">
        <v>645</v>
      </c>
      <c r="D181" t="s">
        <v>646</v>
      </c>
      <c r="E181" t="s">
        <v>13</v>
      </c>
      <c r="F181">
        <v>14</v>
      </c>
      <c r="G181">
        <v>27</v>
      </c>
      <c r="H181" s="5" t="s">
        <v>59</v>
      </c>
      <c r="I181" s="5">
        <v>0</v>
      </c>
      <c r="J181" s="5">
        <v>0</v>
      </c>
      <c r="K181" t="s">
        <v>10014</v>
      </c>
      <c r="L181" cm="1">
        <f t="array" ref="L181">wordCount(K181)</f>
        <v>5</v>
      </c>
      <c r="M181">
        <f t="shared" si="4"/>
        <v>12</v>
      </c>
      <c r="N181">
        <v>0.8666666666666667</v>
      </c>
      <c r="O181" s="23" cm="1">
        <f t="array" ref="O181">WordListCount(K181,keywords!$A$2:$A$31)-WordListCount(K181,keywords!$B$2:$B$31)</f>
        <v>1</v>
      </c>
      <c r="P181" s="25">
        <f t="shared" si="5"/>
        <v>0.50072916666666667</v>
      </c>
      <c r="Q181" s="23">
        <f>SUM($O$2:O181)</f>
        <v>2</v>
      </c>
      <c r="Y181" s="14"/>
      <c r="Z181" s="13"/>
      <c r="AA181"/>
    </row>
    <row r="182" spans="1:27" x14ac:dyDescent="0.2">
      <c r="A182" s="12" t="s">
        <v>649</v>
      </c>
      <c r="B182" t="s">
        <v>650</v>
      </c>
      <c r="C182" t="s">
        <v>651</v>
      </c>
      <c r="D182" t="s">
        <v>652</v>
      </c>
      <c r="E182" t="s">
        <v>13</v>
      </c>
      <c r="F182">
        <v>13371</v>
      </c>
      <c r="G182">
        <v>13241</v>
      </c>
      <c r="H182" s="5" t="s">
        <v>22</v>
      </c>
      <c r="I182" s="5">
        <v>0</v>
      </c>
      <c r="J182" s="5">
        <v>0</v>
      </c>
      <c r="K182" t="s">
        <v>9068</v>
      </c>
      <c r="L182" cm="1">
        <f t="array" ref="L182">wordCount(K182)</f>
        <v>6</v>
      </c>
      <c r="M182">
        <f t="shared" si="4"/>
        <v>36</v>
      </c>
      <c r="N182">
        <v>0.8571428571428571</v>
      </c>
      <c r="O182" s="23" cm="1">
        <f t="array" ref="O182">WordListCount(K182,keywords!$A$2:$A$31)-WordListCount(K182,keywords!$B$2:$B$31)</f>
        <v>0</v>
      </c>
      <c r="P182" s="25">
        <f t="shared" si="5"/>
        <v>0.50074074074074071</v>
      </c>
      <c r="Q182" s="23">
        <f>SUM($O$2:O182)</f>
        <v>2</v>
      </c>
      <c r="Y182" s="14"/>
      <c r="Z182" s="13"/>
      <c r="AA182"/>
    </row>
    <row r="183" spans="1:27" x14ac:dyDescent="0.2">
      <c r="A183" s="12" t="s">
        <v>653</v>
      </c>
      <c r="B183" t="s">
        <v>654</v>
      </c>
      <c r="C183" t="s">
        <v>418</v>
      </c>
      <c r="D183" t="s">
        <v>419</v>
      </c>
      <c r="E183" t="s">
        <v>13</v>
      </c>
      <c r="F183">
        <v>48</v>
      </c>
      <c r="G183">
        <v>230</v>
      </c>
      <c r="H183" s="5" t="s">
        <v>22</v>
      </c>
      <c r="I183" s="5">
        <v>0</v>
      </c>
      <c r="J183" s="5">
        <v>0</v>
      </c>
      <c r="K183" t="s">
        <v>10015</v>
      </c>
      <c r="L183" cm="1">
        <f t="array" ref="L183">wordCount(K183)</f>
        <v>13</v>
      </c>
      <c r="M183">
        <f t="shared" si="4"/>
        <v>63</v>
      </c>
      <c r="N183">
        <v>0.69230769230769229</v>
      </c>
      <c r="O183" s="23" cm="1">
        <f t="array" ref="O183">WordListCount(K183,keywords!$A$2:$A$31)-WordListCount(K183,keywords!$B$2:$B$31)</f>
        <v>0</v>
      </c>
      <c r="P183" s="25">
        <f t="shared" si="5"/>
        <v>0.50077546296296294</v>
      </c>
      <c r="Q183" s="23">
        <f>SUM($O$2:O183)</f>
        <v>2</v>
      </c>
      <c r="Y183" s="14"/>
      <c r="Z183" s="13"/>
      <c r="AA183"/>
    </row>
    <row r="184" spans="1:27" x14ac:dyDescent="0.2">
      <c r="A184" s="12" t="s">
        <v>655</v>
      </c>
      <c r="B184" t="s">
        <v>656</v>
      </c>
      <c r="C184" t="s">
        <v>657</v>
      </c>
      <c r="D184" t="s">
        <v>658</v>
      </c>
      <c r="E184" t="s">
        <v>13</v>
      </c>
      <c r="F184">
        <v>3565</v>
      </c>
      <c r="G184">
        <v>88</v>
      </c>
      <c r="H184" s="5" t="s">
        <v>22</v>
      </c>
      <c r="I184" s="5">
        <v>0</v>
      </c>
      <c r="J184" s="5">
        <v>0</v>
      </c>
      <c r="K184" t="s">
        <v>9069</v>
      </c>
      <c r="L184" cm="1">
        <f t="array" ref="L184">wordCount(K184)</f>
        <v>12</v>
      </c>
      <c r="M184">
        <f t="shared" si="4"/>
        <v>63</v>
      </c>
      <c r="N184">
        <v>0.6</v>
      </c>
      <c r="O184" s="23" cm="1">
        <f t="array" ref="O184">WordListCount(K184,keywords!$A$2:$A$31)-WordListCount(K184,keywords!$B$2:$B$31)</f>
        <v>0</v>
      </c>
      <c r="P184" s="25">
        <f t="shared" si="5"/>
        <v>0.50123842592592593</v>
      </c>
      <c r="Q184" s="23">
        <f>SUM($O$2:O184)</f>
        <v>2</v>
      </c>
      <c r="Y184" s="14"/>
      <c r="Z184" s="13"/>
      <c r="AA184"/>
    </row>
    <row r="185" spans="1:27" x14ac:dyDescent="0.2">
      <c r="A185" s="12" t="s">
        <v>659</v>
      </c>
      <c r="B185" t="s">
        <v>660</v>
      </c>
      <c r="C185" t="s">
        <v>661</v>
      </c>
      <c r="D185" t="s">
        <v>12</v>
      </c>
      <c r="E185" t="s">
        <v>13</v>
      </c>
      <c r="F185">
        <v>36245</v>
      </c>
      <c r="G185">
        <v>2776</v>
      </c>
      <c r="H185" s="5" t="s">
        <v>22</v>
      </c>
      <c r="I185" s="5">
        <v>0</v>
      </c>
      <c r="J185" s="5">
        <v>0</v>
      </c>
      <c r="K185" t="s">
        <v>10016</v>
      </c>
      <c r="L185" cm="1">
        <f t="array" ref="L185">wordCount(K185)</f>
        <v>14</v>
      </c>
      <c r="M185">
        <f t="shared" si="4"/>
        <v>70</v>
      </c>
      <c r="N185">
        <v>0.4375</v>
      </c>
      <c r="O185" s="23" cm="1">
        <f t="array" ref="O185">WordListCount(K185,keywords!$A$2:$A$31)-WordListCount(K185,keywords!$B$2:$B$31)</f>
        <v>0</v>
      </c>
      <c r="P185" s="25">
        <f t="shared" si="5"/>
        <v>0.50127314814814816</v>
      </c>
      <c r="Q185" s="23">
        <f>SUM($O$2:O185)</f>
        <v>2</v>
      </c>
      <c r="Y185" s="14"/>
      <c r="Z185" s="13"/>
      <c r="AA185"/>
    </row>
    <row r="186" spans="1:27" x14ac:dyDescent="0.2">
      <c r="A186" s="12" t="s">
        <v>662</v>
      </c>
      <c r="B186" t="s">
        <v>663</v>
      </c>
      <c r="C186" t="s">
        <v>664</v>
      </c>
      <c r="D186" t="s">
        <v>12</v>
      </c>
      <c r="E186" t="s">
        <v>13</v>
      </c>
      <c r="F186">
        <v>192</v>
      </c>
      <c r="G186">
        <v>28</v>
      </c>
      <c r="H186" s="5" t="s">
        <v>22</v>
      </c>
      <c r="I186" s="5">
        <v>0</v>
      </c>
      <c r="J186" s="5">
        <v>0</v>
      </c>
      <c r="K186" t="s">
        <v>10017</v>
      </c>
      <c r="L186" cm="1">
        <f t="array" ref="L186">wordCount(K186)</f>
        <v>13</v>
      </c>
      <c r="M186">
        <f t="shared" si="4"/>
        <v>53</v>
      </c>
      <c r="N186">
        <v>0.73333333333333328</v>
      </c>
      <c r="O186" s="23" cm="1">
        <f t="array" ref="O186">WordListCount(K186,keywords!$A$2:$A$31)-WordListCount(K186,keywords!$B$2:$B$31)</f>
        <v>0</v>
      </c>
      <c r="P186" s="25">
        <f t="shared" si="5"/>
        <v>0.50134259259259262</v>
      </c>
      <c r="Q186" s="23">
        <f>SUM($O$2:O186)</f>
        <v>2</v>
      </c>
      <c r="Y186" s="14"/>
      <c r="Z186" s="13"/>
      <c r="AA186"/>
    </row>
    <row r="187" spans="1:27" x14ac:dyDescent="0.2">
      <c r="A187" s="12" t="s">
        <v>665</v>
      </c>
      <c r="B187" t="s">
        <v>666</v>
      </c>
      <c r="C187" t="s">
        <v>667</v>
      </c>
      <c r="D187" t="s">
        <v>668</v>
      </c>
      <c r="E187" t="s">
        <v>13</v>
      </c>
      <c r="F187">
        <v>213</v>
      </c>
      <c r="G187">
        <v>98</v>
      </c>
      <c r="H187" s="5" t="s">
        <v>22</v>
      </c>
      <c r="I187" s="5">
        <v>0</v>
      </c>
      <c r="J187" s="5">
        <v>0</v>
      </c>
      <c r="K187" t="s">
        <v>9070</v>
      </c>
      <c r="L187" cm="1">
        <f t="array" ref="L187">wordCount(K187)</f>
        <v>6</v>
      </c>
      <c r="M187">
        <f t="shared" si="4"/>
        <v>26</v>
      </c>
      <c r="N187">
        <v>0.68421052631578949</v>
      </c>
      <c r="O187" s="23" cm="1">
        <f t="array" ref="O187">WordListCount(K187,keywords!$A$2:$A$31)-WordListCount(K187,keywords!$B$2:$B$31)</f>
        <v>0</v>
      </c>
      <c r="P187" s="25">
        <f t="shared" si="5"/>
        <v>0.50145833333333334</v>
      </c>
      <c r="Q187" s="23">
        <f>SUM($O$2:O187)</f>
        <v>2</v>
      </c>
      <c r="Y187" s="14"/>
      <c r="Z187" s="13"/>
      <c r="AA187"/>
    </row>
    <row r="188" spans="1:27" x14ac:dyDescent="0.2">
      <c r="A188" s="12" t="s">
        <v>669</v>
      </c>
      <c r="B188" t="s">
        <v>670</v>
      </c>
      <c r="C188" t="s">
        <v>671</v>
      </c>
      <c r="D188" t="s">
        <v>672</v>
      </c>
      <c r="E188" t="s">
        <v>13</v>
      </c>
      <c r="F188">
        <v>36</v>
      </c>
      <c r="G188">
        <v>41</v>
      </c>
      <c r="H188" s="5" t="s">
        <v>22</v>
      </c>
      <c r="I188" s="5">
        <v>0</v>
      </c>
      <c r="J188" s="5">
        <v>0</v>
      </c>
      <c r="K188" t="s">
        <v>9071</v>
      </c>
      <c r="L188" cm="1">
        <f t="array" ref="L188">wordCount(K188)</f>
        <v>5</v>
      </c>
      <c r="M188">
        <f t="shared" si="4"/>
        <v>19</v>
      </c>
      <c r="N188">
        <v>0.83333333333333337</v>
      </c>
      <c r="O188" s="23" cm="1">
        <f t="array" ref="O188">WordListCount(K188,keywords!$A$2:$A$31)-WordListCount(K188,keywords!$B$2:$B$31)</f>
        <v>-2</v>
      </c>
      <c r="P188" s="25">
        <f t="shared" si="5"/>
        <v>0.50151620370370364</v>
      </c>
      <c r="Q188" s="23">
        <f>SUM($O$2:O188)</f>
        <v>0</v>
      </c>
      <c r="Y188" s="14"/>
      <c r="Z188" s="13"/>
      <c r="AA188"/>
    </row>
    <row r="189" spans="1:27" x14ac:dyDescent="0.2">
      <c r="A189" s="12" t="s">
        <v>673</v>
      </c>
      <c r="B189" t="s">
        <v>674</v>
      </c>
      <c r="C189" t="s">
        <v>675</v>
      </c>
      <c r="D189" t="s">
        <v>676</v>
      </c>
      <c r="E189" t="s">
        <v>13</v>
      </c>
      <c r="F189">
        <v>3259</v>
      </c>
      <c r="G189">
        <v>2</v>
      </c>
      <c r="H189" s="5" t="s">
        <v>677</v>
      </c>
      <c r="I189" s="5">
        <v>0</v>
      </c>
      <c r="J189" s="5">
        <v>0</v>
      </c>
      <c r="K189" t="s">
        <v>10018</v>
      </c>
      <c r="L189" cm="1">
        <f t="array" ref="L189">wordCount(K189)</f>
        <v>13</v>
      </c>
      <c r="M189">
        <f t="shared" si="4"/>
        <v>89</v>
      </c>
      <c r="N189">
        <v>0.5</v>
      </c>
      <c r="O189" s="23" cm="1">
        <f t="array" ref="O189">WordListCount(K189,keywords!$A$2:$A$31)-WordListCount(K189,keywords!$B$2:$B$31)</f>
        <v>0</v>
      </c>
      <c r="P189" s="25">
        <f t="shared" si="5"/>
        <v>0.50172453703703701</v>
      </c>
      <c r="Q189" s="23">
        <f>SUM($O$2:O189)</f>
        <v>0</v>
      </c>
      <c r="Y189" s="14"/>
      <c r="Z189" s="13"/>
      <c r="AA189"/>
    </row>
    <row r="190" spans="1:27" x14ac:dyDescent="0.2">
      <c r="A190" s="12" t="s">
        <v>678</v>
      </c>
      <c r="B190" t="s">
        <v>650</v>
      </c>
      <c r="C190" t="s">
        <v>50</v>
      </c>
      <c r="D190" t="s">
        <v>51</v>
      </c>
      <c r="E190" t="s">
        <v>13</v>
      </c>
      <c r="F190">
        <v>2056</v>
      </c>
      <c r="G190">
        <v>453</v>
      </c>
      <c r="H190" s="5" t="s">
        <v>22</v>
      </c>
      <c r="I190" s="5">
        <v>0</v>
      </c>
      <c r="J190" s="5">
        <v>0</v>
      </c>
      <c r="K190" t="s">
        <v>9068</v>
      </c>
      <c r="L190" cm="1">
        <f t="array" ref="L190">wordCount(K190)</f>
        <v>6</v>
      </c>
      <c r="M190">
        <f t="shared" si="4"/>
        <v>36</v>
      </c>
      <c r="N190">
        <v>0.8571428571428571</v>
      </c>
      <c r="O190" s="23" cm="1">
        <f t="array" ref="O190">WordListCount(K190,keywords!$A$2:$A$31)-WordListCount(K190,keywords!$B$2:$B$31)</f>
        <v>0</v>
      </c>
      <c r="P190" s="25">
        <f t="shared" si="5"/>
        <v>0.5017476851851852</v>
      </c>
      <c r="Q190" s="23">
        <f>SUM($O$2:O190)</f>
        <v>0</v>
      </c>
      <c r="Y190" s="14"/>
      <c r="Z190" s="13"/>
      <c r="AA190"/>
    </row>
    <row r="191" spans="1:27" x14ac:dyDescent="0.2">
      <c r="A191" s="12" t="s">
        <v>679</v>
      </c>
      <c r="B191" t="s">
        <v>680</v>
      </c>
      <c r="C191" t="s">
        <v>681</v>
      </c>
      <c r="D191" t="s">
        <v>12</v>
      </c>
      <c r="E191" t="s">
        <v>13</v>
      </c>
      <c r="F191">
        <v>31241</v>
      </c>
      <c r="G191">
        <v>146</v>
      </c>
      <c r="H191" s="5" t="s">
        <v>283</v>
      </c>
      <c r="I191" s="5">
        <v>0</v>
      </c>
      <c r="J191" s="5">
        <v>0</v>
      </c>
      <c r="K191" t="s">
        <v>9072</v>
      </c>
      <c r="L191" cm="1">
        <f t="array" ref="L191">wordCount(K191)</f>
        <v>4</v>
      </c>
      <c r="M191">
        <f t="shared" si="4"/>
        <v>19</v>
      </c>
      <c r="N191">
        <v>0.4</v>
      </c>
      <c r="O191" s="23" cm="1">
        <f t="array" ref="O191">WordListCount(K191,keywords!$A$2:$A$31)-WordListCount(K191,keywords!$B$2:$B$31)</f>
        <v>0</v>
      </c>
      <c r="P191" s="25">
        <f t="shared" si="5"/>
        <v>0.50178240740740743</v>
      </c>
      <c r="Q191" s="23">
        <f>SUM($O$2:O191)</f>
        <v>0</v>
      </c>
      <c r="Y191" s="14"/>
      <c r="Z191" s="13"/>
      <c r="AA191"/>
    </row>
    <row r="192" spans="1:27" x14ac:dyDescent="0.2">
      <c r="A192" s="12" t="s">
        <v>682</v>
      </c>
      <c r="B192" t="s">
        <v>683</v>
      </c>
      <c r="C192" t="s">
        <v>684</v>
      </c>
      <c r="D192" t="s">
        <v>12</v>
      </c>
      <c r="E192" t="s">
        <v>13</v>
      </c>
      <c r="F192">
        <v>2</v>
      </c>
      <c r="G192">
        <v>75</v>
      </c>
      <c r="H192" s="5" t="s">
        <v>22</v>
      </c>
      <c r="I192" s="5">
        <v>0</v>
      </c>
      <c r="J192" s="5">
        <v>0</v>
      </c>
      <c r="K192" t="s">
        <v>10019</v>
      </c>
      <c r="L192" cm="1">
        <f t="array" ref="L192">wordCount(K192)</f>
        <v>9</v>
      </c>
      <c r="M192">
        <f t="shared" si="4"/>
        <v>41</v>
      </c>
      <c r="N192">
        <v>0.5</v>
      </c>
      <c r="O192" s="23" cm="1">
        <f t="array" ref="O192">WordListCount(K192,keywords!$A$2:$A$31)-WordListCount(K192,keywords!$B$2:$B$31)</f>
        <v>0</v>
      </c>
      <c r="P192" s="25">
        <f t="shared" si="5"/>
        <v>0.50181712962962965</v>
      </c>
      <c r="Q192" s="23">
        <f>SUM($O$2:O192)</f>
        <v>0</v>
      </c>
      <c r="Y192" s="14"/>
      <c r="Z192" s="13"/>
      <c r="AA192"/>
    </row>
    <row r="193" spans="1:27" x14ac:dyDescent="0.2">
      <c r="A193" s="12" t="s">
        <v>685</v>
      </c>
      <c r="B193" t="s">
        <v>686</v>
      </c>
      <c r="C193" t="s">
        <v>687</v>
      </c>
      <c r="D193" t="s">
        <v>12</v>
      </c>
      <c r="E193" t="s">
        <v>13</v>
      </c>
      <c r="F193">
        <v>37</v>
      </c>
      <c r="G193">
        <v>14</v>
      </c>
      <c r="H193" s="5" t="s">
        <v>42</v>
      </c>
      <c r="I193" s="5">
        <v>0</v>
      </c>
      <c r="J193" s="5">
        <v>0</v>
      </c>
      <c r="K193" t="s">
        <v>9073</v>
      </c>
      <c r="L193" cm="1">
        <f t="array" ref="L193">wordCount(K193)</f>
        <v>3</v>
      </c>
      <c r="M193">
        <f t="shared" si="4"/>
        <v>49</v>
      </c>
      <c r="N193">
        <v>0.86363636363636365</v>
      </c>
      <c r="O193" s="23" cm="1">
        <f t="array" ref="O193">WordListCount(K193,keywords!$A$2:$A$31)-WordListCount(K193,keywords!$B$2:$B$31)</f>
        <v>0</v>
      </c>
      <c r="P193" s="25">
        <f t="shared" si="5"/>
        <v>0.50222222222222224</v>
      </c>
      <c r="Q193" s="23">
        <f>SUM($O$2:O193)</f>
        <v>0</v>
      </c>
      <c r="Y193" s="14"/>
      <c r="Z193" s="13"/>
      <c r="AA193"/>
    </row>
    <row r="194" spans="1:27" x14ac:dyDescent="0.2">
      <c r="A194" s="12" t="s">
        <v>688</v>
      </c>
      <c r="B194" t="s">
        <v>689</v>
      </c>
      <c r="C194" t="s">
        <v>21</v>
      </c>
      <c r="D194" t="s">
        <v>12</v>
      </c>
      <c r="E194" t="s">
        <v>13</v>
      </c>
      <c r="F194">
        <v>44</v>
      </c>
      <c r="G194">
        <v>9</v>
      </c>
      <c r="H194" s="5" t="s">
        <v>22</v>
      </c>
      <c r="I194" s="5">
        <v>0</v>
      </c>
      <c r="J194" s="5">
        <v>0</v>
      </c>
      <c r="K194" t="s">
        <v>9074</v>
      </c>
      <c r="L194" cm="1">
        <f t="array" ref="L194">wordCount(K194)</f>
        <v>5</v>
      </c>
      <c r="M194">
        <f t="shared" ref="M194:M257" si="6">LEN(K194)</f>
        <v>28</v>
      </c>
      <c r="N194">
        <v>0.83333333333333337</v>
      </c>
      <c r="O194" s="23" cm="1">
        <f t="array" ref="O194">WordListCount(K194,keywords!$A$2:$A$31)-WordListCount(K194,keywords!$B$2:$B$31)</f>
        <v>0</v>
      </c>
      <c r="P194" s="25">
        <f t="shared" ref="P194:P257" si="7">TIMEVALUE(RIGHT(A194,8))</f>
        <v>0.50228009259259265</v>
      </c>
      <c r="Q194" s="23">
        <f>SUM($O$2:O194)</f>
        <v>0</v>
      </c>
      <c r="Y194" s="14"/>
      <c r="Z194" s="13"/>
      <c r="AA194"/>
    </row>
    <row r="195" spans="1:27" x14ac:dyDescent="0.2">
      <c r="A195" s="12" t="s">
        <v>690</v>
      </c>
      <c r="B195" t="s">
        <v>691</v>
      </c>
      <c r="C195" t="s">
        <v>692</v>
      </c>
      <c r="D195" t="s">
        <v>693</v>
      </c>
      <c r="E195" t="s">
        <v>13</v>
      </c>
      <c r="F195">
        <v>6</v>
      </c>
      <c r="G195">
        <v>62</v>
      </c>
      <c r="H195" s="5" t="s">
        <v>677</v>
      </c>
      <c r="I195" s="5">
        <v>0</v>
      </c>
      <c r="J195" s="5">
        <v>0</v>
      </c>
      <c r="K195" t="s">
        <v>9075</v>
      </c>
      <c r="L195" cm="1">
        <f t="array" ref="L195">wordCount(K195)</f>
        <v>11</v>
      </c>
      <c r="M195">
        <f t="shared" si="6"/>
        <v>50</v>
      </c>
      <c r="N195">
        <v>0.625</v>
      </c>
      <c r="O195" s="23" cm="1">
        <f t="array" ref="O195">WordListCount(K195,keywords!$A$2:$A$31)-WordListCount(K195,keywords!$B$2:$B$31)</f>
        <v>0</v>
      </c>
      <c r="P195" s="25">
        <f t="shared" si="7"/>
        <v>0.50229166666666669</v>
      </c>
      <c r="Q195" s="23">
        <f>SUM($O$2:O195)</f>
        <v>0</v>
      </c>
      <c r="Y195" s="14"/>
      <c r="Z195" s="13"/>
      <c r="AA195"/>
    </row>
    <row r="196" spans="1:27" x14ac:dyDescent="0.2">
      <c r="A196" s="12" t="s">
        <v>694</v>
      </c>
      <c r="B196" t="s">
        <v>695</v>
      </c>
      <c r="C196" t="s">
        <v>696</v>
      </c>
      <c r="D196" t="s">
        <v>697</v>
      </c>
      <c r="E196" t="s">
        <v>13</v>
      </c>
      <c r="F196">
        <v>7064</v>
      </c>
      <c r="G196">
        <v>262</v>
      </c>
      <c r="H196" s="5" t="s">
        <v>22</v>
      </c>
      <c r="I196" s="5">
        <v>0</v>
      </c>
      <c r="J196" s="5">
        <v>0</v>
      </c>
      <c r="K196" t="s">
        <v>10020</v>
      </c>
      <c r="L196" cm="1">
        <f t="array" ref="L196">wordCount(K196)</f>
        <v>10</v>
      </c>
      <c r="M196">
        <f t="shared" si="6"/>
        <v>100</v>
      </c>
      <c r="N196">
        <v>0.61538461538461542</v>
      </c>
      <c r="O196" s="23" cm="1">
        <f t="array" ref="O196">WordListCount(K196,keywords!$A$2:$A$31)-WordListCount(K196,keywords!$B$2:$B$31)</f>
        <v>0</v>
      </c>
      <c r="P196" s="25">
        <f t="shared" si="7"/>
        <v>0.50252314814814814</v>
      </c>
      <c r="Q196" s="23">
        <f>SUM($O$2:O196)</f>
        <v>0</v>
      </c>
      <c r="Y196" s="14"/>
      <c r="Z196" s="13"/>
      <c r="AA196"/>
    </row>
    <row r="197" spans="1:27" x14ac:dyDescent="0.2">
      <c r="A197" s="12" t="s">
        <v>698</v>
      </c>
      <c r="B197" t="s">
        <v>699</v>
      </c>
      <c r="C197" t="s">
        <v>700</v>
      </c>
      <c r="D197" t="s">
        <v>12</v>
      </c>
      <c r="E197" t="s">
        <v>13</v>
      </c>
      <c r="F197">
        <v>5570</v>
      </c>
      <c r="G197">
        <v>906</v>
      </c>
      <c r="H197" s="5" t="s">
        <v>22</v>
      </c>
      <c r="I197" s="5">
        <v>0</v>
      </c>
      <c r="J197" s="5">
        <v>0</v>
      </c>
      <c r="K197" t="s">
        <v>10021</v>
      </c>
      <c r="L197" cm="1">
        <f t="array" ref="L197">wordCount(K197)</f>
        <v>4</v>
      </c>
      <c r="M197">
        <f t="shared" si="6"/>
        <v>15</v>
      </c>
      <c r="N197">
        <v>0.83333333333333337</v>
      </c>
      <c r="O197" s="23" cm="1">
        <f t="array" ref="O197">WordListCount(K197,keywords!$A$2:$A$31)-WordListCount(K197,keywords!$B$2:$B$31)</f>
        <v>0</v>
      </c>
      <c r="P197" s="25">
        <f t="shared" si="7"/>
        <v>0.50258101851851855</v>
      </c>
      <c r="Q197" s="23">
        <f>SUM($O$2:O197)</f>
        <v>0</v>
      </c>
      <c r="Y197" s="14"/>
      <c r="Z197" s="13"/>
      <c r="AA197"/>
    </row>
    <row r="198" spans="1:27" x14ac:dyDescent="0.2">
      <c r="A198" s="12" t="s">
        <v>701</v>
      </c>
      <c r="B198" t="s">
        <v>702</v>
      </c>
      <c r="C198" t="s">
        <v>703</v>
      </c>
      <c r="D198" t="s">
        <v>704</v>
      </c>
      <c r="E198" t="s">
        <v>47</v>
      </c>
      <c r="F198">
        <v>46227</v>
      </c>
      <c r="G198">
        <v>2125</v>
      </c>
      <c r="H198" s="5" t="s">
        <v>22</v>
      </c>
      <c r="I198" s="5">
        <v>0</v>
      </c>
      <c r="J198" s="5">
        <v>0</v>
      </c>
      <c r="K198" t="s">
        <v>10022</v>
      </c>
      <c r="L198" cm="1">
        <f t="array" ref="L198">wordCount(K198)</f>
        <v>23</v>
      </c>
      <c r="M198">
        <f t="shared" si="6"/>
        <v>132</v>
      </c>
      <c r="N198">
        <v>0.44827586206896552</v>
      </c>
      <c r="O198" s="23" cm="1">
        <f t="array" ref="O198">WordListCount(K198,keywords!$A$2:$A$31)-WordListCount(K198,keywords!$B$2:$B$31)</f>
        <v>0</v>
      </c>
      <c r="P198" s="25">
        <f t="shared" si="7"/>
        <v>0.50262731481481482</v>
      </c>
      <c r="Q198" s="23">
        <f>SUM($O$2:O198)</f>
        <v>0</v>
      </c>
      <c r="Y198" s="14"/>
      <c r="Z198" s="13"/>
      <c r="AA198"/>
    </row>
    <row r="199" spans="1:27" x14ac:dyDescent="0.2">
      <c r="A199" s="12" t="s">
        <v>705</v>
      </c>
      <c r="B199" t="s">
        <v>706</v>
      </c>
      <c r="C199" t="s">
        <v>707</v>
      </c>
      <c r="D199" t="s">
        <v>12</v>
      </c>
      <c r="E199" t="s">
        <v>13</v>
      </c>
      <c r="F199">
        <v>11311</v>
      </c>
      <c r="G199">
        <v>11675</v>
      </c>
      <c r="H199" s="5" t="s">
        <v>22</v>
      </c>
      <c r="I199" s="5">
        <v>0</v>
      </c>
      <c r="J199" s="5">
        <v>0</v>
      </c>
      <c r="K199" t="s">
        <v>9076</v>
      </c>
      <c r="L199" cm="1">
        <f t="array" ref="L199">wordCount(K199)</f>
        <v>9</v>
      </c>
      <c r="M199">
        <f t="shared" si="6"/>
        <v>56</v>
      </c>
      <c r="N199">
        <v>0.66666666666666663</v>
      </c>
      <c r="O199" s="23" cm="1">
        <f t="array" ref="O199">WordListCount(K199,keywords!$A$2:$A$31)-WordListCount(K199,keywords!$B$2:$B$31)</f>
        <v>0</v>
      </c>
      <c r="P199" s="25">
        <f t="shared" si="7"/>
        <v>0.50291666666666668</v>
      </c>
      <c r="Q199" s="23">
        <f>SUM($O$2:O199)</f>
        <v>0</v>
      </c>
      <c r="Y199" s="14"/>
      <c r="Z199" s="13"/>
      <c r="AA199"/>
    </row>
    <row r="200" spans="1:27" x14ac:dyDescent="0.2">
      <c r="A200" s="12" t="s">
        <v>708</v>
      </c>
      <c r="B200" t="s">
        <v>709</v>
      </c>
      <c r="C200" t="s">
        <v>710</v>
      </c>
      <c r="D200" t="s">
        <v>337</v>
      </c>
      <c r="E200" t="s">
        <v>13</v>
      </c>
      <c r="F200">
        <v>964</v>
      </c>
      <c r="G200">
        <v>267</v>
      </c>
      <c r="H200" s="5" t="s">
        <v>22</v>
      </c>
      <c r="I200" s="5">
        <v>0</v>
      </c>
      <c r="J200" s="5">
        <v>0</v>
      </c>
      <c r="K200" t="s">
        <v>10023</v>
      </c>
      <c r="L200" cm="1">
        <f t="array" ref="L200">wordCount(K200)</f>
        <v>17</v>
      </c>
      <c r="M200">
        <f t="shared" si="6"/>
        <v>81</v>
      </c>
      <c r="N200">
        <v>0.56000000000000005</v>
      </c>
      <c r="O200" s="23" cm="1">
        <f t="array" ref="O200">WordListCount(K200,keywords!$A$2:$A$31)-WordListCount(K200,keywords!$B$2:$B$31)</f>
        <v>0</v>
      </c>
      <c r="P200" s="25">
        <f t="shared" si="7"/>
        <v>0.50292824074074072</v>
      </c>
      <c r="Q200" s="23">
        <f>SUM($O$2:O200)</f>
        <v>0</v>
      </c>
      <c r="Y200" s="14"/>
      <c r="Z200" s="13"/>
      <c r="AA200"/>
    </row>
    <row r="201" spans="1:27" x14ac:dyDescent="0.2">
      <c r="A201" s="12" t="s">
        <v>711</v>
      </c>
      <c r="B201" t="s">
        <v>712</v>
      </c>
      <c r="C201" t="s">
        <v>713</v>
      </c>
      <c r="D201" t="s">
        <v>714</v>
      </c>
      <c r="E201" t="s">
        <v>13</v>
      </c>
      <c r="F201">
        <v>4758</v>
      </c>
      <c r="G201">
        <v>3442</v>
      </c>
      <c r="H201" s="5" t="s">
        <v>22</v>
      </c>
      <c r="I201" s="5">
        <v>0</v>
      </c>
      <c r="J201" s="5">
        <v>0</v>
      </c>
      <c r="K201" t="s">
        <v>9068</v>
      </c>
      <c r="L201" cm="1">
        <f t="array" ref="L201">wordCount(K201)</f>
        <v>6</v>
      </c>
      <c r="M201">
        <f t="shared" si="6"/>
        <v>36</v>
      </c>
      <c r="N201">
        <v>0.8571428571428571</v>
      </c>
      <c r="O201" s="23" cm="1">
        <f t="array" ref="O201">WordListCount(K201,keywords!$A$2:$A$31)-WordListCount(K201,keywords!$B$2:$B$31)</f>
        <v>0</v>
      </c>
      <c r="P201" s="25">
        <f t="shared" si="7"/>
        <v>0.50304398148148144</v>
      </c>
      <c r="Q201" s="23">
        <f>SUM($O$2:O201)</f>
        <v>0</v>
      </c>
      <c r="Y201" s="14"/>
      <c r="Z201" s="13"/>
      <c r="AA201"/>
    </row>
    <row r="202" spans="1:27" x14ac:dyDescent="0.2">
      <c r="A202" s="12" t="s">
        <v>715</v>
      </c>
      <c r="B202" t="s">
        <v>716</v>
      </c>
      <c r="C202" t="s">
        <v>717</v>
      </c>
      <c r="D202" t="s">
        <v>718</v>
      </c>
      <c r="E202" t="s">
        <v>13</v>
      </c>
      <c r="F202">
        <v>51</v>
      </c>
      <c r="G202">
        <v>152</v>
      </c>
      <c r="H202" s="5" t="s">
        <v>22</v>
      </c>
      <c r="I202" s="5">
        <v>0</v>
      </c>
      <c r="J202" s="5">
        <v>0</v>
      </c>
      <c r="K202" t="s">
        <v>10024</v>
      </c>
      <c r="L202" cm="1">
        <f t="array" ref="L202">wordCount(K202)</f>
        <v>19</v>
      </c>
      <c r="M202">
        <f t="shared" si="6"/>
        <v>105</v>
      </c>
      <c r="N202">
        <v>0.55555555555555558</v>
      </c>
      <c r="O202" s="23" cm="1">
        <f t="array" ref="O202">WordListCount(K202,keywords!$A$2:$A$31)-WordListCount(K202,keywords!$B$2:$B$31)</f>
        <v>0</v>
      </c>
      <c r="P202" s="25">
        <f t="shared" si="7"/>
        <v>0.50307870370370367</v>
      </c>
      <c r="Q202" s="23">
        <f>SUM($O$2:O202)</f>
        <v>0</v>
      </c>
      <c r="Y202" s="14"/>
      <c r="Z202" s="13"/>
      <c r="AA202"/>
    </row>
    <row r="203" spans="1:27" x14ac:dyDescent="0.2">
      <c r="A203" s="12" t="s">
        <v>719</v>
      </c>
      <c r="B203" t="s">
        <v>720</v>
      </c>
      <c r="C203" t="s">
        <v>721</v>
      </c>
      <c r="D203" t="s">
        <v>516</v>
      </c>
      <c r="E203" t="s">
        <v>13</v>
      </c>
      <c r="F203">
        <v>1784</v>
      </c>
      <c r="G203">
        <v>914</v>
      </c>
      <c r="H203" s="5" t="s">
        <v>22</v>
      </c>
      <c r="I203" s="5">
        <v>0</v>
      </c>
      <c r="J203" s="5">
        <v>0</v>
      </c>
      <c r="K203" t="s">
        <v>10025</v>
      </c>
      <c r="L203" cm="1">
        <f t="array" ref="L203">wordCount(K203)</f>
        <v>4</v>
      </c>
      <c r="M203">
        <f t="shared" si="6"/>
        <v>21</v>
      </c>
      <c r="N203">
        <v>0.81818181818181823</v>
      </c>
      <c r="O203" s="23" cm="1">
        <f t="array" ref="O203">WordListCount(K203,keywords!$A$2:$A$31)-WordListCount(K203,keywords!$B$2:$B$31)</f>
        <v>0</v>
      </c>
      <c r="P203" s="25">
        <f t="shared" si="7"/>
        <v>0.50331018518518522</v>
      </c>
      <c r="Q203" s="23">
        <f>SUM($O$2:O203)</f>
        <v>0</v>
      </c>
      <c r="Y203" s="14"/>
      <c r="Z203" s="13"/>
      <c r="AA203"/>
    </row>
    <row r="204" spans="1:27" x14ac:dyDescent="0.2">
      <c r="A204" s="12" t="s">
        <v>722</v>
      </c>
      <c r="B204" t="s">
        <v>723</v>
      </c>
      <c r="C204" t="s">
        <v>724</v>
      </c>
      <c r="D204" t="s">
        <v>12</v>
      </c>
      <c r="E204" t="s">
        <v>13</v>
      </c>
      <c r="F204">
        <v>4</v>
      </c>
      <c r="G204">
        <v>19</v>
      </c>
      <c r="H204" s="5" t="s">
        <v>14</v>
      </c>
      <c r="I204" s="5">
        <v>0</v>
      </c>
      <c r="J204" s="5">
        <v>0</v>
      </c>
      <c r="K204" t="s">
        <v>9077</v>
      </c>
      <c r="L204" cm="1">
        <f t="array" ref="L204">wordCount(K204)</f>
        <v>1</v>
      </c>
      <c r="M204">
        <f t="shared" si="6"/>
        <v>42</v>
      </c>
      <c r="N204">
        <v>0.9375</v>
      </c>
      <c r="O204" s="23" cm="1">
        <f t="array" ref="O204">WordListCount(K204,keywords!$A$2:$A$31)-WordListCount(K204,keywords!$B$2:$B$31)</f>
        <v>0</v>
      </c>
      <c r="P204" s="25">
        <f t="shared" si="7"/>
        <v>0.50340277777777775</v>
      </c>
      <c r="Q204" s="23">
        <f>SUM($O$2:O204)</f>
        <v>0</v>
      </c>
      <c r="Y204" s="14"/>
      <c r="Z204" s="13"/>
      <c r="AA204"/>
    </row>
    <row r="205" spans="1:27" x14ac:dyDescent="0.2">
      <c r="A205" s="12" t="s">
        <v>725</v>
      </c>
      <c r="B205" t="s">
        <v>726</v>
      </c>
      <c r="C205" t="s">
        <v>727</v>
      </c>
      <c r="D205" t="s">
        <v>12</v>
      </c>
      <c r="E205" t="s">
        <v>13</v>
      </c>
      <c r="F205">
        <v>81</v>
      </c>
      <c r="G205">
        <v>328</v>
      </c>
      <c r="H205" s="5" t="s">
        <v>96</v>
      </c>
      <c r="I205" s="5">
        <v>0</v>
      </c>
      <c r="J205" s="5">
        <v>0</v>
      </c>
      <c r="K205" t="s">
        <v>10026</v>
      </c>
      <c r="L205" cm="1">
        <f t="array" ref="L205">wordCount(K205)</f>
        <v>17</v>
      </c>
      <c r="M205">
        <f t="shared" si="6"/>
        <v>80</v>
      </c>
      <c r="N205">
        <v>0.51724137931034486</v>
      </c>
      <c r="O205" s="23" cm="1">
        <f t="array" ref="O205">WordListCount(K205,keywords!$A$2:$A$31)-WordListCount(K205,keywords!$B$2:$B$31)</f>
        <v>-1</v>
      </c>
      <c r="P205" s="25">
        <f t="shared" si="7"/>
        <v>0.50346064814814817</v>
      </c>
      <c r="Q205" s="23">
        <f>SUM($O$2:O205)</f>
        <v>-1</v>
      </c>
      <c r="Y205" s="14"/>
      <c r="Z205" s="13"/>
      <c r="AA205"/>
    </row>
    <row r="206" spans="1:27" x14ac:dyDescent="0.2">
      <c r="A206" s="12" t="s">
        <v>728</v>
      </c>
      <c r="B206" t="s">
        <v>729</v>
      </c>
      <c r="C206" t="s">
        <v>687</v>
      </c>
      <c r="D206" t="s">
        <v>12</v>
      </c>
      <c r="E206" t="s">
        <v>13</v>
      </c>
      <c r="F206">
        <v>37</v>
      </c>
      <c r="G206">
        <v>14</v>
      </c>
      <c r="H206" s="5" t="s">
        <v>42</v>
      </c>
      <c r="I206" s="5">
        <v>0</v>
      </c>
      <c r="J206" s="5">
        <v>0</v>
      </c>
      <c r="K206" t="s">
        <v>9078</v>
      </c>
      <c r="L206" cm="1">
        <f t="array" ref="L206">wordCount(K206)</f>
        <v>3</v>
      </c>
      <c r="M206">
        <f t="shared" si="6"/>
        <v>50</v>
      </c>
      <c r="N206">
        <v>0.81818181818181823</v>
      </c>
      <c r="O206" s="23" cm="1">
        <f t="array" ref="O206">WordListCount(K206,keywords!$A$2:$A$31)-WordListCount(K206,keywords!$B$2:$B$31)</f>
        <v>0</v>
      </c>
      <c r="P206" s="25">
        <f t="shared" si="7"/>
        <v>0.50364583333333335</v>
      </c>
      <c r="Q206" s="23">
        <f>SUM($O$2:O206)</f>
        <v>-1</v>
      </c>
      <c r="Y206" s="14"/>
      <c r="Z206" s="13"/>
      <c r="AA206"/>
    </row>
    <row r="207" spans="1:27" x14ac:dyDescent="0.2">
      <c r="A207" s="12" t="s">
        <v>730</v>
      </c>
      <c r="B207" t="s">
        <v>731</v>
      </c>
      <c r="C207" t="s">
        <v>732</v>
      </c>
      <c r="D207" t="s">
        <v>51</v>
      </c>
      <c r="E207" t="s">
        <v>13</v>
      </c>
      <c r="F207">
        <v>172</v>
      </c>
      <c r="G207">
        <v>84</v>
      </c>
      <c r="H207" s="5" t="s">
        <v>22</v>
      </c>
      <c r="I207" s="5">
        <v>0</v>
      </c>
      <c r="J207" s="5">
        <v>0</v>
      </c>
      <c r="K207" t="s">
        <v>10027</v>
      </c>
      <c r="L207" cm="1">
        <f t="array" ref="L207">wordCount(K207)</f>
        <v>5</v>
      </c>
      <c r="M207">
        <f t="shared" si="6"/>
        <v>19</v>
      </c>
      <c r="N207">
        <v>0.8125</v>
      </c>
      <c r="O207" s="23" cm="1">
        <f t="array" ref="O207">WordListCount(K207,keywords!$A$2:$A$31)-WordListCount(K207,keywords!$B$2:$B$31)</f>
        <v>0</v>
      </c>
      <c r="P207" s="25">
        <f t="shared" si="7"/>
        <v>0.50378472222222226</v>
      </c>
      <c r="Q207" s="23">
        <f>SUM($O$2:O207)</f>
        <v>-1</v>
      </c>
      <c r="Y207" s="14"/>
      <c r="Z207" s="13"/>
      <c r="AA207"/>
    </row>
    <row r="208" spans="1:27" x14ac:dyDescent="0.2">
      <c r="A208" s="12" t="s">
        <v>733</v>
      </c>
      <c r="B208" t="s">
        <v>734</v>
      </c>
      <c r="C208" t="s">
        <v>735</v>
      </c>
      <c r="D208" t="s">
        <v>736</v>
      </c>
      <c r="E208" t="s">
        <v>13</v>
      </c>
      <c r="F208">
        <v>1011</v>
      </c>
      <c r="G208">
        <v>2557</v>
      </c>
      <c r="H208" s="5" t="s">
        <v>22</v>
      </c>
      <c r="I208" s="5">
        <v>0</v>
      </c>
      <c r="J208" s="5">
        <v>0</v>
      </c>
      <c r="K208" t="s">
        <v>9079</v>
      </c>
      <c r="L208" cm="1">
        <f t="array" ref="L208">wordCount(K208)</f>
        <v>3</v>
      </c>
      <c r="M208">
        <f t="shared" si="6"/>
        <v>23</v>
      </c>
      <c r="N208">
        <v>0.88888888888888884</v>
      </c>
      <c r="O208" s="23" cm="1">
        <f t="array" ref="O208">WordListCount(K208,keywords!$A$2:$A$31)-WordListCount(K208,keywords!$B$2:$B$31)</f>
        <v>0</v>
      </c>
      <c r="P208" s="25">
        <f t="shared" si="7"/>
        <v>0.50440972222222225</v>
      </c>
      <c r="Q208" s="23">
        <f>SUM($O$2:O208)</f>
        <v>-1</v>
      </c>
      <c r="Y208" s="14"/>
      <c r="Z208" s="13"/>
      <c r="AA208"/>
    </row>
    <row r="209" spans="1:27" x14ac:dyDescent="0.2">
      <c r="A209" s="12" t="s">
        <v>737</v>
      </c>
      <c r="B209" t="s">
        <v>738</v>
      </c>
      <c r="C209" t="s">
        <v>739</v>
      </c>
      <c r="D209" t="s">
        <v>697</v>
      </c>
      <c r="E209" t="s">
        <v>13</v>
      </c>
      <c r="F209">
        <v>85</v>
      </c>
      <c r="G209">
        <v>79</v>
      </c>
      <c r="H209" s="5" t="s">
        <v>22</v>
      </c>
      <c r="I209" s="5">
        <v>0</v>
      </c>
      <c r="J209" s="5">
        <v>0</v>
      </c>
      <c r="K209" t="s">
        <v>10028</v>
      </c>
      <c r="L209" cm="1">
        <f t="array" ref="L209">wordCount(K209)</f>
        <v>16</v>
      </c>
      <c r="M209">
        <f t="shared" si="6"/>
        <v>109</v>
      </c>
      <c r="N209">
        <v>0.65384615384615385</v>
      </c>
      <c r="O209" s="23" cm="1">
        <f t="array" ref="O209">WordListCount(K209,keywords!$A$2:$A$31)-WordListCount(K209,keywords!$B$2:$B$31)</f>
        <v>0</v>
      </c>
      <c r="P209" s="25">
        <f t="shared" si="7"/>
        <v>0.50465277777777773</v>
      </c>
      <c r="Q209" s="23">
        <f>SUM($O$2:O209)</f>
        <v>-1</v>
      </c>
      <c r="Y209" s="14"/>
      <c r="Z209" s="13"/>
      <c r="AA209"/>
    </row>
    <row r="210" spans="1:27" x14ac:dyDescent="0.2">
      <c r="A210" s="12" t="s">
        <v>740</v>
      </c>
      <c r="B210" t="s">
        <v>741</v>
      </c>
      <c r="C210" t="s">
        <v>742</v>
      </c>
      <c r="D210" t="s">
        <v>743</v>
      </c>
      <c r="E210" t="s">
        <v>13</v>
      </c>
      <c r="F210">
        <v>1996</v>
      </c>
      <c r="G210">
        <v>2545</v>
      </c>
      <c r="H210" s="5" t="s">
        <v>22</v>
      </c>
      <c r="I210" s="5">
        <v>0</v>
      </c>
      <c r="J210" s="5">
        <v>0</v>
      </c>
      <c r="K210" t="s">
        <v>10029</v>
      </c>
      <c r="L210" cm="1">
        <f t="array" ref="L210">wordCount(K210)</f>
        <v>9</v>
      </c>
      <c r="M210">
        <f t="shared" si="6"/>
        <v>44</v>
      </c>
      <c r="N210">
        <v>0.73076923076923073</v>
      </c>
      <c r="O210" s="23" cm="1">
        <f t="array" ref="O210">WordListCount(K210,keywords!$A$2:$A$31)-WordListCount(K210,keywords!$B$2:$B$31)</f>
        <v>0</v>
      </c>
      <c r="P210" s="25">
        <f t="shared" si="7"/>
        <v>0.50487268518518513</v>
      </c>
      <c r="Q210" s="23">
        <f>SUM($O$2:O210)</f>
        <v>-1</v>
      </c>
      <c r="Y210" s="14"/>
      <c r="Z210" s="13"/>
      <c r="AA210"/>
    </row>
    <row r="211" spans="1:27" x14ac:dyDescent="0.2">
      <c r="A211" s="12" t="s">
        <v>744</v>
      </c>
      <c r="B211" t="s">
        <v>745</v>
      </c>
      <c r="C211" t="s">
        <v>452</v>
      </c>
      <c r="D211" t="s">
        <v>453</v>
      </c>
      <c r="E211" t="s">
        <v>13</v>
      </c>
      <c r="F211">
        <v>192</v>
      </c>
      <c r="G211">
        <v>141</v>
      </c>
      <c r="H211" s="5" t="s">
        <v>22</v>
      </c>
      <c r="I211" s="5">
        <v>0</v>
      </c>
      <c r="J211" s="5">
        <v>0</v>
      </c>
      <c r="K211" t="s">
        <v>10030</v>
      </c>
      <c r="L211" cm="1">
        <f t="array" ref="L211">wordCount(K211)</f>
        <v>12</v>
      </c>
      <c r="M211">
        <f t="shared" si="6"/>
        <v>66</v>
      </c>
      <c r="N211">
        <v>0.5</v>
      </c>
      <c r="O211" s="23" cm="1">
        <f t="array" ref="O211">WordListCount(K211,keywords!$A$2:$A$31)-WordListCount(K211,keywords!$B$2:$B$31)</f>
        <v>0</v>
      </c>
      <c r="P211" s="25">
        <f t="shared" si="7"/>
        <v>0.505</v>
      </c>
      <c r="Q211" s="23">
        <f>SUM($O$2:O211)</f>
        <v>-1</v>
      </c>
      <c r="Y211" s="14"/>
      <c r="Z211" s="13"/>
      <c r="AA211"/>
    </row>
    <row r="212" spans="1:27" x14ac:dyDescent="0.2">
      <c r="A212" s="12" t="s">
        <v>746</v>
      </c>
      <c r="B212" t="s">
        <v>747</v>
      </c>
      <c r="C212" t="s">
        <v>440</v>
      </c>
      <c r="D212" t="s">
        <v>441</v>
      </c>
      <c r="E212" t="s">
        <v>13</v>
      </c>
      <c r="F212">
        <v>2715</v>
      </c>
      <c r="G212">
        <v>1823</v>
      </c>
      <c r="H212" s="5" t="s">
        <v>22</v>
      </c>
      <c r="I212" s="5">
        <v>0</v>
      </c>
      <c r="J212" s="5">
        <v>0</v>
      </c>
      <c r="K212" t="s">
        <v>10031</v>
      </c>
      <c r="L212" cm="1">
        <f t="array" ref="L212">wordCount(K212)</f>
        <v>14</v>
      </c>
      <c r="M212">
        <f t="shared" si="6"/>
        <v>101</v>
      </c>
      <c r="N212">
        <v>0.8571428571428571</v>
      </c>
      <c r="O212" s="23" cm="1">
        <f t="array" ref="O212">WordListCount(K212,keywords!$A$2:$A$31)-WordListCount(K212,keywords!$B$2:$B$31)</f>
        <v>0</v>
      </c>
      <c r="P212" s="25">
        <f t="shared" si="7"/>
        <v>0.50512731481481488</v>
      </c>
      <c r="Q212" s="23">
        <f>SUM($O$2:O212)</f>
        <v>-1</v>
      </c>
      <c r="Y212" s="14"/>
      <c r="Z212" s="13"/>
      <c r="AA212"/>
    </row>
    <row r="213" spans="1:27" x14ac:dyDescent="0.2">
      <c r="A213" s="12" t="s">
        <v>748</v>
      </c>
      <c r="B213" t="s">
        <v>749</v>
      </c>
      <c r="C213" t="s">
        <v>750</v>
      </c>
      <c r="D213" t="s">
        <v>751</v>
      </c>
      <c r="E213" t="s">
        <v>13</v>
      </c>
      <c r="F213">
        <v>14</v>
      </c>
      <c r="G213">
        <v>138</v>
      </c>
      <c r="H213" s="5" t="s">
        <v>22</v>
      </c>
      <c r="I213" s="5">
        <v>0</v>
      </c>
      <c r="J213" s="5">
        <v>0</v>
      </c>
      <c r="K213" t="s">
        <v>10032</v>
      </c>
      <c r="L213" cm="1">
        <f t="array" ref="L213">wordCount(K213)</f>
        <v>14</v>
      </c>
      <c r="M213">
        <f t="shared" si="6"/>
        <v>65</v>
      </c>
      <c r="N213">
        <v>0.3125</v>
      </c>
      <c r="O213" s="23" cm="1">
        <f t="array" ref="O213">WordListCount(K213,keywords!$A$2:$A$31)-WordListCount(K213,keywords!$B$2:$B$31)</f>
        <v>-1</v>
      </c>
      <c r="P213" s="25">
        <f t="shared" si="7"/>
        <v>0.50542824074074078</v>
      </c>
      <c r="Q213" s="23">
        <f>SUM($O$2:O213)</f>
        <v>-2</v>
      </c>
      <c r="Y213" s="14"/>
      <c r="Z213" s="13"/>
      <c r="AA213"/>
    </row>
    <row r="214" spans="1:27" x14ac:dyDescent="0.2">
      <c r="A214" s="12" t="s">
        <v>752</v>
      </c>
      <c r="B214" t="s">
        <v>753</v>
      </c>
      <c r="C214" t="s">
        <v>754</v>
      </c>
      <c r="D214" t="s">
        <v>755</v>
      </c>
      <c r="E214" t="s">
        <v>13</v>
      </c>
      <c r="F214">
        <v>8962</v>
      </c>
      <c r="G214">
        <v>1047</v>
      </c>
      <c r="H214" s="5" t="s">
        <v>22</v>
      </c>
      <c r="I214" s="5">
        <v>0</v>
      </c>
      <c r="J214" s="5">
        <v>0</v>
      </c>
      <c r="K214" t="s">
        <v>10033</v>
      </c>
      <c r="L214" cm="1">
        <f t="array" ref="L214">wordCount(K214)</f>
        <v>11</v>
      </c>
      <c r="M214">
        <f t="shared" si="6"/>
        <v>60</v>
      </c>
      <c r="N214">
        <v>0.4375</v>
      </c>
      <c r="O214" s="23" cm="1">
        <f t="array" ref="O214">WordListCount(K214,keywords!$A$2:$A$31)-WordListCount(K214,keywords!$B$2:$B$31)</f>
        <v>0</v>
      </c>
      <c r="P214" s="25">
        <f t="shared" si="7"/>
        <v>0.50642361111111112</v>
      </c>
      <c r="Q214" s="23">
        <f>SUM($O$2:O214)</f>
        <v>-2</v>
      </c>
      <c r="Y214" s="14"/>
      <c r="Z214" s="13"/>
      <c r="AA214"/>
    </row>
    <row r="215" spans="1:27" x14ac:dyDescent="0.2">
      <c r="A215" s="12" t="s">
        <v>756</v>
      </c>
      <c r="B215" t="s">
        <v>757</v>
      </c>
      <c r="C215" t="s">
        <v>758</v>
      </c>
      <c r="D215" t="s">
        <v>759</v>
      </c>
      <c r="E215" t="s">
        <v>13</v>
      </c>
      <c r="F215">
        <v>3968</v>
      </c>
      <c r="G215">
        <v>3419</v>
      </c>
      <c r="H215" s="5" t="s">
        <v>22</v>
      </c>
      <c r="I215" s="5">
        <v>0</v>
      </c>
      <c r="J215" s="5">
        <v>0</v>
      </c>
      <c r="K215" t="s">
        <v>9080</v>
      </c>
      <c r="L215" cm="1">
        <f t="array" ref="L215">wordCount(K215)</f>
        <v>11</v>
      </c>
      <c r="M215">
        <f t="shared" si="6"/>
        <v>58</v>
      </c>
      <c r="N215">
        <v>0.7</v>
      </c>
      <c r="O215" s="23" cm="1">
        <f t="array" ref="O215">WordListCount(K215,keywords!$A$2:$A$31)-WordListCount(K215,keywords!$B$2:$B$31)</f>
        <v>0</v>
      </c>
      <c r="P215" s="25">
        <f t="shared" si="7"/>
        <v>0.50656250000000003</v>
      </c>
      <c r="Q215" s="23">
        <f>SUM($O$2:O215)</f>
        <v>-2</v>
      </c>
      <c r="Y215" s="14"/>
      <c r="Z215" s="13"/>
      <c r="AA215"/>
    </row>
    <row r="216" spans="1:27" x14ac:dyDescent="0.2">
      <c r="A216" s="12" t="s">
        <v>760</v>
      </c>
      <c r="B216" t="s">
        <v>761</v>
      </c>
      <c r="C216" t="s">
        <v>440</v>
      </c>
      <c r="D216" t="s">
        <v>441</v>
      </c>
      <c r="E216" t="s">
        <v>13</v>
      </c>
      <c r="F216">
        <v>2715</v>
      </c>
      <c r="G216">
        <v>1823</v>
      </c>
      <c r="H216" s="5" t="s">
        <v>22</v>
      </c>
      <c r="I216" s="5">
        <v>0</v>
      </c>
      <c r="J216" s="5">
        <v>0</v>
      </c>
      <c r="K216" t="s">
        <v>10034</v>
      </c>
      <c r="L216" cm="1">
        <f t="array" ref="L216">wordCount(K216)</f>
        <v>14</v>
      </c>
      <c r="M216">
        <f t="shared" si="6"/>
        <v>101</v>
      </c>
      <c r="N216">
        <v>0.8571428571428571</v>
      </c>
      <c r="O216" s="23" cm="1">
        <f t="array" ref="O216">WordListCount(K216,keywords!$A$2:$A$31)-WordListCount(K216,keywords!$B$2:$B$31)</f>
        <v>0</v>
      </c>
      <c r="P216" s="25">
        <f t="shared" si="7"/>
        <v>0.50670138888888883</v>
      </c>
      <c r="Q216" s="23">
        <f>SUM($O$2:O216)</f>
        <v>-2</v>
      </c>
      <c r="Y216" s="14"/>
      <c r="Z216" s="13"/>
      <c r="AA216"/>
    </row>
    <row r="217" spans="1:27" x14ac:dyDescent="0.2">
      <c r="A217" s="12" t="s">
        <v>762</v>
      </c>
      <c r="B217" t="s">
        <v>763</v>
      </c>
      <c r="C217" t="s">
        <v>119</v>
      </c>
      <c r="D217" t="s">
        <v>120</v>
      </c>
      <c r="E217" t="s">
        <v>13</v>
      </c>
      <c r="F217">
        <v>17</v>
      </c>
      <c r="G217">
        <v>39</v>
      </c>
      <c r="H217" s="5" t="s">
        <v>22</v>
      </c>
      <c r="I217" s="5">
        <v>0</v>
      </c>
      <c r="J217" s="5">
        <v>0</v>
      </c>
      <c r="K217" t="s">
        <v>9914</v>
      </c>
      <c r="L217" cm="1">
        <f t="array" ref="L217">wordCount(K217)</f>
        <v>10</v>
      </c>
      <c r="M217">
        <f t="shared" si="6"/>
        <v>49</v>
      </c>
      <c r="N217">
        <v>0.9</v>
      </c>
      <c r="O217" s="23" cm="1">
        <f t="array" ref="O217">WordListCount(K217,keywords!$A$2:$A$31)-WordListCount(K217,keywords!$B$2:$B$31)</f>
        <v>0</v>
      </c>
      <c r="P217" s="25">
        <f t="shared" si="7"/>
        <v>0.50696759259259261</v>
      </c>
      <c r="Q217" s="23">
        <f>SUM($O$2:O217)</f>
        <v>-2</v>
      </c>
      <c r="Y217" s="14"/>
      <c r="Z217" s="13"/>
      <c r="AA217"/>
    </row>
    <row r="218" spans="1:27" x14ac:dyDescent="0.2">
      <c r="A218" s="33" t="s">
        <v>764</v>
      </c>
      <c r="B218" s="34" t="s">
        <v>765</v>
      </c>
      <c r="C218" s="34" t="s">
        <v>123</v>
      </c>
      <c r="D218" s="34" t="s">
        <v>124</v>
      </c>
      <c r="E218" s="34" t="s">
        <v>13</v>
      </c>
      <c r="F218" s="34">
        <v>840</v>
      </c>
      <c r="G218" s="34">
        <v>899</v>
      </c>
      <c r="H218" s="35" t="s">
        <v>125</v>
      </c>
      <c r="I218" s="35">
        <v>0</v>
      </c>
      <c r="J218" s="35">
        <v>0</v>
      </c>
      <c r="K218" s="34" t="s">
        <v>9081</v>
      </c>
      <c r="L218" s="34" cm="1">
        <f t="array" ref="L218">wordCount(K218)</f>
        <v>20</v>
      </c>
      <c r="M218" s="34">
        <f t="shared" si="6"/>
        <v>90</v>
      </c>
      <c r="N218" s="34">
        <v>0.8</v>
      </c>
      <c r="O218" s="36" cm="1">
        <f t="array" ref="O218">WordListCount(K218,keywords!$A$2:$A$31)-WordListCount(K218,keywords!$B$2:$B$31)</f>
        <v>0</v>
      </c>
      <c r="P218" s="37">
        <f t="shared" si="7"/>
        <v>0.50699074074074069</v>
      </c>
      <c r="Q218" s="23">
        <f>SUM($O$2:O218)</f>
        <v>-2</v>
      </c>
    </row>
    <row r="219" spans="1:27" x14ac:dyDescent="0.2">
      <c r="A219" s="12" t="s">
        <v>766</v>
      </c>
      <c r="B219" t="s">
        <v>767</v>
      </c>
      <c r="C219" t="s">
        <v>119</v>
      </c>
      <c r="D219" t="s">
        <v>120</v>
      </c>
      <c r="E219" t="s">
        <v>13</v>
      </c>
      <c r="F219">
        <v>17</v>
      </c>
      <c r="G219">
        <v>39</v>
      </c>
      <c r="H219" s="5" t="s">
        <v>22</v>
      </c>
      <c r="I219" s="5">
        <v>0</v>
      </c>
      <c r="J219" s="5">
        <v>0</v>
      </c>
      <c r="K219" t="s">
        <v>9914</v>
      </c>
      <c r="L219" cm="1">
        <f t="array" ref="L219">wordCount(K219)</f>
        <v>10</v>
      </c>
      <c r="M219">
        <f t="shared" si="6"/>
        <v>49</v>
      </c>
      <c r="N219">
        <v>0.9</v>
      </c>
      <c r="O219" s="23" cm="1">
        <f t="array" ref="O219">WordListCount(K219,keywords!$A$2:$A$31)-WordListCount(K219,keywords!$B$2:$B$31)</f>
        <v>0</v>
      </c>
      <c r="P219" s="25">
        <f t="shared" si="7"/>
        <v>0.50707175925925929</v>
      </c>
      <c r="Q219" s="23">
        <f>SUM($O$2:O219)</f>
        <v>-2</v>
      </c>
      <c r="Y219" s="14"/>
      <c r="Z219" s="13"/>
      <c r="AA219"/>
    </row>
    <row r="220" spans="1:27" x14ac:dyDescent="0.2">
      <c r="A220" s="12" t="s">
        <v>768</v>
      </c>
      <c r="B220" t="s">
        <v>769</v>
      </c>
      <c r="C220" t="s">
        <v>371</v>
      </c>
      <c r="D220" t="s">
        <v>12</v>
      </c>
      <c r="E220" t="s">
        <v>13</v>
      </c>
      <c r="F220">
        <v>6</v>
      </c>
      <c r="G220">
        <v>77</v>
      </c>
      <c r="H220" s="5" t="s">
        <v>22</v>
      </c>
      <c r="I220" s="5">
        <v>0</v>
      </c>
      <c r="J220" s="5">
        <v>0</v>
      </c>
      <c r="K220" t="s">
        <v>10035</v>
      </c>
      <c r="L220" cm="1">
        <f t="array" ref="L220">wordCount(K220)</f>
        <v>14</v>
      </c>
      <c r="M220">
        <f t="shared" si="6"/>
        <v>84</v>
      </c>
      <c r="N220">
        <v>0.42105263157894735</v>
      </c>
      <c r="O220" s="23" cm="1">
        <f t="array" ref="O220">WordListCount(K220,keywords!$A$2:$A$31)-WordListCount(K220,keywords!$B$2:$B$31)</f>
        <v>-1</v>
      </c>
      <c r="P220" s="25">
        <f t="shared" si="7"/>
        <v>0.50709490740740748</v>
      </c>
      <c r="Q220" s="23">
        <f>SUM($O$2:O220)</f>
        <v>-3</v>
      </c>
      <c r="Y220" s="14"/>
      <c r="Z220" s="13"/>
      <c r="AA220"/>
    </row>
    <row r="221" spans="1:27" x14ac:dyDescent="0.2">
      <c r="A221" s="12" t="s">
        <v>770</v>
      </c>
      <c r="B221" t="s">
        <v>771</v>
      </c>
      <c r="C221" t="s">
        <v>772</v>
      </c>
      <c r="D221" t="s">
        <v>12</v>
      </c>
      <c r="E221" t="s">
        <v>13</v>
      </c>
      <c r="F221">
        <v>80</v>
      </c>
      <c r="G221">
        <v>235</v>
      </c>
      <c r="H221" s="5" t="s">
        <v>22</v>
      </c>
      <c r="I221" s="5">
        <v>0</v>
      </c>
      <c r="J221" s="5">
        <v>0</v>
      </c>
      <c r="K221" t="s">
        <v>10036</v>
      </c>
      <c r="L221" cm="1">
        <f t="array" ref="L221">wordCount(K221)</f>
        <v>7</v>
      </c>
      <c r="M221">
        <f t="shared" si="6"/>
        <v>38</v>
      </c>
      <c r="N221">
        <v>0.86956521739130432</v>
      </c>
      <c r="O221" s="23" cm="1">
        <f t="array" ref="O221">WordListCount(K221,keywords!$A$2:$A$31)-WordListCount(K221,keywords!$B$2:$B$31)</f>
        <v>0</v>
      </c>
      <c r="P221" s="25">
        <f t="shared" si="7"/>
        <v>0.50714120370370364</v>
      </c>
      <c r="Q221" s="23">
        <f>SUM($O$2:O221)</f>
        <v>-3</v>
      </c>
      <c r="Y221" s="14"/>
      <c r="Z221" s="13"/>
      <c r="AA221"/>
    </row>
    <row r="222" spans="1:27" x14ac:dyDescent="0.2">
      <c r="A222" s="12" t="s">
        <v>773</v>
      </c>
      <c r="B222" t="s">
        <v>774</v>
      </c>
      <c r="C222" t="s">
        <v>775</v>
      </c>
      <c r="D222" t="s">
        <v>776</v>
      </c>
      <c r="E222" t="s">
        <v>13</v>
      </c>
      <c r="F222">
        <v>218</v>
      </c>
      <c r="G222">
        <v>686</v>
      </c>
      <c r="H222" s="5" t="s">
        <v>22</v>
      </c>
      <c r="I222" s="5">
        <v>0</v>
      </c>
      <c r="J222" s="5">
        <v>0</v>
      </c>
      <c r="K222" t="s">
        <v>10037</v>
      </c>
      <c r="L222" cm="1">
        <f t="array" ref="L222">wordCount(K222)</f>
        <v>19</v>
      </c>
      <c r="M222">
        <f t="shared" si="6"/>
        <v>99</v>
      </c>
      <c r="N222">
        <v>0.44827586206896552</v>
      </c>
      <c r="O222" s="23" cm="1">
        <f t="array" ref="O222">WordListCount(K222,keywords!$A$2:$A$31)-WordListCount(K222,keywords!$B$2:$B$31)</f>
        <v>0</v>
      </c>
      <c r="P222" s="25">
        <f t="shared" si="7"/>
        <v>0.50724537037037043</v>
      </c>
      <c r="Q222" s="23">
        <f>SUM($O$2:O222)</f>
        <v>-3</v>
      </c>
      <c r="Y222" s="14"/>
      <c r="Z222" s="13"/>
      <c r="AA222"/>
    </row>
    <row r="223" spans="1:27" x14ac:dyDescent="0.2">
      <c r="A223" s="12" t="s">
        <v>777</v>
      </c>
      <c r="B223" t="s">
        <v>778</v>
      </c>
      <c r="C223" t="s">
        <v>779</v>
      </c>
      <c r="D223" t="s">
        <v>12</v>
      </c>
      <c r="E223" t="s">
        <v>13</v>
      </c>
      <c r="F223">
        <v>46</v>
      </c>
      <c r="G223">
        <v>96</v>
      </c>
      <c r="H223" s="5" t="s">
        <v>22</v>
      </c>
      <c r="I223" s="5">
        <v>0</v>
      </c>
      <c r="J223" s="5">
        <v>0</v>
      </c>
      <c r="K223" t="s">
        <v>10038</v>
      </c>
      <c r="L223" cm="1">
        <f t="array" ref="L223">wordCount(K223)</f>
        <v>24</v>
      </c>
      <c r="M223">
        <f t="shared" si="6"/>
        <v>117</v>
      </c>
      <c r="N223">
        <v>0.47058823529411764</v>
      </c>
      <c r="O223" s="23" cm="1">
        <f t="array" ref="O223">WordListCount(K223,keywords!$A$2:$A$31)-WordListCount(K223,keywords!$B$2:$B$31)</f>
        <v>0</v>
      </c>
      <c r="P223" s="25">
        <f t="shared" si="7"/>
        <v>0.50730324074074074</v>
      </c>
      <c r="Q223" s="23">
        <f>SUM($O$2:O223)</f>
        <v>-3</v>
      </c>
      <c r="Y223" s="14"/>
      <c r="Z223" s="13"/>
      <c r="AA223"/>
    </row>
    <row r="224" spans="1:27" x14ac:dyDescent="0.2">
      <c r="A224" s="12" t="s">
        <v>780</v>
      </c>
      <c r="B224" t="s">
        <v>781</v>
      </c>
      <c r="C224" t="s">
        <v>782</v>
      </c>
      <c r="D224" t="s">
        <v>12</v>
      </c>
      <c r="E224" t="s">
        <v>13</v>
      </c>
      <c r="F224">
        <v>17345</v>
      </c>
      <c r="G224">
        <v>12513</v>
      </c>
      <c r="H224" s="5" t="s">
        <v>22</v>
      </c>
      <c r="I224" s="5">
        <v>0</v>
      </c>
      <c r="J224" s="5">
        <v>0</v>
      </c>
      <c r="K224" t="s">
        <v>10039</v>
      </c>
      <c r="L224" cm="1">
        <f t="array" ref="L224">wordCount(K224)</f>
        <v>24</v>
      </c>
      <c r="M224">
        <f t="shared" si="6"/>
        <v>122</v>
      </c>
      <c r="N224">
        <v>0.37931034482758619</v>
      </c>
      <c r="O224" s="23" cm="1">
        <f t="array" ref="O224">WordListCount(K224,keywords!$A$2:$A$31)-WordListCount(K224,keywords!$B$2:$B$31)</f>
        <v>-1</v>
      </c>
      <c r="P224" s="25">
        <f t="shared" si="7"/>
        <v>0.50731481481481489</v>
      </c>
      <c r="Q224" s="23">
        <f>SUM($O$2:O224)</f>
        <v>-4</v>
      </c>
      <c r="Y224" s="14"/>
      <c r="Z224" s="13"/>
      <c r="AA224"/>
    </row>
    <row r="225" spans="1:27" x14ac:dyDescent="0.2">
      <c r="A225" s="12" t="s">
        <v>783</v>
      </c>
      <c r="B225" t="s">
        <v>784</v>
      </c>
      <c r="C225" t="s">
        <v>785</v>
      </c>
      <c r="D225" t="s">
        <v>786</v>
      </c>
      <c r="E225" t="s">
        <v>13</v>
      </c>
      <c r="F225">
        <v>11</v>
      </c>
      <c r="G225">
        <v>15</v>
      </c>
      <c r="H225" s="5" t="s">
        <v>22</v>
      </c>
      <c r="I225" s="5">
        <v>0</v>
      </c>
      <c r="J225" s="5">
        <v>0</v>
      </c>
      <c r="K225" t="s">
        <v>10040</v>
      </c>
      <c r="L225" cm="1">
        <f t="array" ref="L225">wordCount(K225)</f>
        <v>13</v>
      </c>
      <c r="M225">
        <f t="shared" si="6"/>
        <v>68</v>
      </c>
      <c r="N225">
        <v>0.55555555555555558</v>
      </c>
      <c r="O225" s="23" cm="1">
        <f t="array" ref="O225">WordListCount(K225,keywords!$A$2:$A$31)-WordListCount(K225,keywords!$B$2:$B$31)</f>
        <v>0</v>
      </c>
      <c r="P225" s="25">
        <f t="shared" si="7"/>
        <v>0.50732638888888892</v>
      </c>
      <c r="Q225" s="23">
        <f>SUM($O$2:O225)</f>
        <v>-4</v>
      </c>
      <c r="Y225" s="14"/>
      <c r="Z225" s="13"/>
      <c r="AA225"/>
    </row>
    <row r="226" spans="1:27" x14ac:dyDescent="0.2">
      <c r="A226" s="12" t="s">
        <v>787</v>
      </c>
      <c r="B226" t="s">
        <v>788</v>
      </c>
      <c r="C226" t="s">
        <v>789</v>
      </c>
      <c r="D226" t="s">
        <v>790</v>
      </c>
      <c r="E226" t="s">
        <v>13</v>
      </c>
      <c r="F226">
        <v>230</v>
      </c>
      <c r="G226">
        <v>172</v>
      </c>
      <c r="H226" s="5" t="s">
        <v>22</v>
      </c>
      <c r="I226" s="5">
        <v>0</v>
      </c>
      <c r="J226" s="5">
        <v>0</v>
      </c>
      <c r="K226" t="s">
        <v>10041</v>
      </c>
      <c r="L226" cm="1">
        <f t="array" ref="L226">wordCount(K226)</f>
        <v>17</v>
      </c>
      <c r="M226">
        <f t="shared" si="6"/>
        <v>84</v>
      </c>
      <c r="N226">
        <v>0.53333333333333333</v>
      </c>
      <c r="O226" s="23" cm="1">
        <f t="array" ref="O226">WordListCount(K226,keywords!$A$2:$A$31)-WordListCount(K226,keywords!$B$2:$B$31)</f>
        <v>-1</v>
      </c>
      <c r="P226" s="25">
        <f t="shared" si="7"/>
        <v>0.50738425925925923</v>
      </c>
      <c r="Q226" s="23">
        <f>SUM($O$2:O226)</f>
        <v>-5</v>
      </c>
      <c r="Y226" s="14"/>
      <c r="Z226" s="13"/>
      <c r="AA226"/>
    </row>
    <row r="227" spans="1:27" x14ac:dyDescent="0.2">
      <c r="A227" s="12" t="s">
        <v>791</v>
      </c>
      <c r="B227" t="s">
        <v>792</v>
      </c>
      <c r="C227" t="s">
        <v>793</v>
      </c>
      <c r="D227" t="s">
        <v>12</v>
      </c>
      <c r="E227" t="s">
        <v>13</v>
      </c>
      <c r="F227">
        <v>32</v>
      </c>
      <c r="G227">
        <v>0</v>
      </c>
      <c r="H227" s="5" t="s">
        <v>22</v>
      </c>
      <c r="I227" s="5">
        <v>0</v>
      </c>
      <c r="J227" s="5">
        <v>0</v>
      </c>
      <c r="K227" t="s">
        <v>10042</v>
      </c>
      <c r="L227" cm="1">
        <f t="array" ref="L227">wordCount(K227)</f>
        <v>12</v>
      </c>
      <c r="M227">
        <f t="shared" si="6"/>
        <v>77</v>
      </c>
      <c r="N227">
        <v>0.52173913043478259</v>
      </c>
      <c r="O227" s="23" cm="1">
        <f t="array" ref="O227">WordListCount(K227,keywords!$A$2:$A$31)-WordListCount(K227,keywords!$B$2:$B$31)</f>
        <v>0</v>
      </c>
      <c r="P227" s="25">
        <f t="shared" si="7"/>
        <v>0.5078125</v>
      </c>
      <c r="Q227" s="23">
        <f>SUM($O$2:O227)</f>
        <v>-5</v>
      </c>
      <c r="Y227" s="14"/>
      <c r="Z227" s="13"/>
      <c r="AA227"/>
    </row>
    <row r="228" spans="1:27" x14ac:dyDescent="0.2">
      <c r="A228" s="12" t="s">
        <v>794</v>
      </c>
      <c r="B228" t="s">
        <v>795</v>
      </c>
      <c r="C228" t="s">
        <v>796</v>
      </c>
      <c r="D228" t="s">
        <v>797</v>
      </c>
      <c r="E228" t="s">
        <v>13</v>
      </c>
      <c r="F228">
        <v>3058</v>
      </c>
      <c r="G228">
        <v>983</v>
      </c>
      <c r="H228" s="5" t="s">
        <v>22</v>
      </c>
      <c r="I228" s="5">
        <v>0</v>
      </c>
      <c r="J228" s="5">
        <v>0</v>
      </c>
      <c r="K228" t="s">
        <v>10043</v>
      </c>
      <c r="L228" cm="1">
        <f t="array" ref="L228">wordCount(K228)</f>
        <v>17</v>
      </c>
      <c r="M228">
        <f t="shared" si="6"/>
        <v>59</v>
      </c>
      <c r="N228">
        <v>0.875</v>
      </c>
      <c r="O228" s="23" cm="1">
        <f t="array" ref="O228">WordListCount(K228,keywords!$A$2:$A$31)-WordListCount(K228,keywords!$B$2:$B$31)</f>
        <v>0</v>
      </c>
      <c r="P228" s="25">
        <f t="shared" si="7"/>
        <v>0.50789351851851849</v>
      </c>
      <c r="Q228" s="23">
        <f>SUM($O$2:O228)</f>
        <v>-5</v>
      </c>
      <c r="Y228" s="14"/>
      <c r="Z228" s="13"/>
      <c r="AA228"/>
    </row>
    <row r="229" spans="1:27" x14ac:dyDescent="0.2">
      <c r="A229" s="12" t="s">
        <v>798</v>
      </c>
      <c r="B229" t="s">
        <v>799</v>
      </c>
      <c r="C229" t="s">
        <v>371</v>
      </c>
      <c r="D229" t="s">
        <v>12</v>
      </c>
      <c r="E229" t="s">
        <v>13</v>
      </c>
      <c r="F229">
        <v>6</v>
      </c>
      <c r="G229">
        <v>77</v>
      </c>
      <c r="H229" s="5" t="s">
        <v>22</v>
      </c>
      <c r="I229" s="5">
        <v>0</v>
      </c>
      <c r="J229" s="5">
        <v>0</v>
      </c>
      <c r="K229" t="s">
        <v>9082</v>
      </c>
      <c r="L229" cm="1">
        <f t="array" ref="L229">wordCount(K229)</f>
        <v>13</v>
      </c>
      <c r="M229">
        <f t="shared" si="6"/>
        <v>74</v>
      </c>
      <c r="N229">
        <v>0.52173913043478259</v>
      </c>
      <c r="O229" s="23" cm="1">
        <f t="array" ref="O229">WordListCount(K229,keywords!$A$2:$A$31)-WordListCount(K229,keywords!$B$2:$B$31)</f>
        <v>-1</v>
      </c>
      <c r="P229" s="25">
        <f t="shared" si="7"/>
        <v>0.50804398148148155</v>
      </c>
      <c r="Q229" s="23">
        <f>SUM($O$2:O229)</f>
        <v>-6</v>
      </c>
      <c r="Y229" s="14"/>
      <c r="Z229" s="13"/>
      <c r="AA229"/>
    </row>
    <row r="230" spans="1:27" x14ac:dyDescent="0.2">
      <c r="A230" s="12" t="s">
        <v>800</v>
      </c>
      <c r="B230" t="s">
        <v>801</v>
      </c>
      <c r="C230" t="s">
        <v>802</v>
      </c>
      <c r="D230" t="s">
        <v>803</v>
      </c>
      <c r="E230" t="s">
        <v>13</v>
      </c>
      <c r="F230">
        <v>87</v>
      </c>
      <c r="G230">
        <v>51</v>
      </c>
      <c r="H230" s="5" t="s">
        <v>22</v>
      </c>
      <c r="I230" s="5">
        <v>0</v>
      </c>
      <c r="J230" s="5">
        <v>0</v>
      </c>
      <c r="K230" t="s">
        <v>10044</v>
      </c>
      <c r="L230" cm="1">
        <f t="array" ref="L230">wordCount(K230)</f>
        <v>26</v>
      </c>
      <c r="M230">
        <f t="shared" si="6"/>
        <v>113</v>
      </c>
      <c r="N230">
        <v>0.55555555555555558</v>
      </c>
      <c r="O230" s="23" cm="1">
        <f t="array" ref="O230">WordListCount(K230,keywords!$A$2:$A$31)-WordListCount(K230,keywords!$B$2:$B$31)</f>
        <v>0</v>
      </c>
      <c r="P230" s="25">
        <f t="shared" si="7"/>
        <v>0.5083333333333333</v>
      </c>
      <c r="Q230" s="23">
        <f>SUM($O$2:O230)</f>
        <v>-6</v>
      </c>
      <c r="Y230" s="14"/>
      <c r="Z230" s="13"/>
      <c r="AA230"/>
    </row>
    <row r="231" spans="1:27" x14ac:dyDescent="0.2">
      <c r="A231" s="12" t="s">
        <v>804</v>
      </c>
      <c r="B231" t="s">
        <v>805</v>
      </c>
      <c r="C231" t="s">
        <v>806</v>
      </c>
      <c r="D231" t="s">
        <v>12</v>
      </c>
      <c r="E231" t="s">
        <v>13</v>
      </c>
      <c r="F231">
        <v>428</v>
      </c>
      <c r="G231">
        <v>599</v>
      </c>
      <c r="H231" s="5" t="s">
        <v>22</v>
      </c>
      <c r="I231" s="5">
        <v>0</v>
      </c>
      <c r="J231" s="5">
        <v>0</v>
      </c>
      <c r="K231" t="s">
        <v>10045</v>
      </c>
      <c r="L231" cm="1">
        <f t="array" ref="L231">wordCount(K231)</f>
        <v>6</v>
      </c>
      <c r="M231">
        <f t="shared" si="6"/>
        <v>43</v>
      </c>
      <c r="N231">
        <v>0.33333333333333331</v>
      </c>
      <c r="O231" s="23" cm="1">
        <f t="array" ref="O231">WordListCount(K231,keywords!$A$2:$A$31)-WordListCount(K231,keywords!$B$2:$B$31)</f>
        <v>0</v>
      </c>
      <c r="P231" s="25">
        <f t="shared" si="7"/>
        <v>0.50839120370370372</v>
      </c>
      <c r="Q231" s="23">
        <f>SUM($O$2:O231)</f>
        <v>-6</v>
      </c>
      <c r="Y231" s="14"/>
      <c r="Z231" s="13"/>
      <c r="AA231"/>
    </row>
    <row r="232" spans="1:27" x14ac:dyDescent="0.2">
      <c r="A232" s="12" t="s">
        <v>807</v>
      </c>
      <c r="B232" t="s">
        <v>808</v>
      </c>
      <c r="C232" t="s">
        <v>809</v>
      </c>
      <c r="D232" t="s">
        <v>12</v>
      </c>
      <c r="E232" t="s">
        <v>13</v>
      </c>
      <c r="F232">
        <v>142</v>
      </c>
      <c r="G232">
        <v>133</v>
      </c>
      <c r="H232" s="5" t="s">
        <v>677</v>
      </c>
      <c r="I232" s="5">
        <v>0</v>
      </c>
      <c r="J232" s="5">
        <v>0</v>
      </c>
      <c r="K232" t="s">
        <v>10046</v>
      </c>
      <c r="L232" cm="1">
        <f t="array" ref="L232">wordCount(K232)</f>
        <v>16</v>
      </c>
      <c r="M232">
        <f t="shared" si="6"/>
        <v>82</v>
      </c>
      <c r="N232">
        <v>0.45833333333333331</v>
      </c>
      <c r="O232" s="23" cm="1">
        <f t="array" ref="O232">WordListCount(K232,keywords!$A$2:$A$31)-WordListCount(K232,keywords!$B$2:$B$31)</f>
        <v>0</v>
      </c>
      <c r="P232" s="25">
        <f t="shared" si="7"/>
        <v>0.50861111111111112</v>
      </c>
      <c r="Q232" s="23">
        <f>SUM($O$2:O232)</f>
        <v>-6</v>
      </c>
      <c r="Y232" s="14"/>
      <c r="Z232" s="13"/>
      <c r="AA232"/>
    </row>
    <row r="233" spans="1:27" x14ac:dyDescent="0.2">
      <c r="A233" s="12" t="s">
        <v>810</v>
      </c>
      <c r="B233" t="s">
        <v>811</v>
      </c>
      <c r="C233" t="s">
        <v>812</v>
      </c>
      <c r="D233" t="s">
        <v>786</v>
      </c>
      <c r="E233" t="s">
        <v>13</v>
      </c>
      <c r="F233">
        <v>56</v>
      </c>
      <c r="G233">
        <v>272</v>
      </c>
      <c r="H233" s="5" t="s">
        <v>22</v>
      </c>
      <c r="I233" s="5">
        <v>0</v>
      </c>
      <c r="J233" s="5">
        <v>0</v>
      </c>
      <c r="K233" t="s">
        <v>10047</v>
      </c>
      <c r="L233" cm="1">
        <f t="array" ref="L233">wordCount(K233)</f>
        <v>21</v>
      </c>
      <c r="M233">
        <f t="shared" si="6"/>
        <v>89</v>
      </c>
      <c r="N233">
        <v>0.27777777777777779</v>
      </c>
      <c r="O233" s="23" cm="1">
        <f t="array" ref="O233">WordListCount(K233,keywords!$A$2:$A$31)-WordListCount(K233,keywords!$B$2:$B$31)</f>
        <v>0</v>
      </c>
      <c r="P233" s="25">
        <f t="shared" si="7"/>
        <v>0.50916666666666666</v>
      </c>
      <c r="Q233" s="23">
        <f>SUM($O$2:O233)</f>
        <v>-6</v>
      </c>
      <c r="Y233" s="14"/>
      <c r="Z233" s="13"/>
      <c r="AA233"/>
    </row>
    <row r="234" spans="1:27" x14ac:dyDescent="0.2">
      <c r="A234" s="12" t="s">
        <v>813</v>
      </c>
      <c r="B234" t="s">
        <v>814</v>
      </c>
      <c r="C234" t="s">
        <v>815</v>
      </c>
      <c r="D234" t="s">
        <v>12</v>
      </c>
      <c r="E234" t="s">
        <v>13</v>
      </c>
      <c r="F234">
        <v>141</v>
      </c>
      <c r="G234">
        <v>292</v>
      </c>
      <c r="H234" s="5" t="s">
        <v>22</v>
      </c>
      <c r="I234" s="5">
        <v>0</v>
      </c>
      <c r="J234" s="5">
        <v>0</v>
      </c>
      <c r="K234" t="s">
        <v>10048</v>
      </c>
      <c r="L234" cm="1">
        <f t="array" ref="L234">wordCount(K234)</f>
        <v>21</v>
      </c>
      <c r="M234">
        <f t="shared" si="6"/>
        <v>91</v>
      </c>
      <c r="N234">
        <v>0.20833333333333334</v>
      </c>
      <c r="O234" s="23" cm="1">
        <f t="array" ref="O234">WordListCount(K234,keywords!$A$2:$A$31)-WordListCount(K234,keywords!$B$2:$B$31)</f>
        <v>2</v>
      </c>
      <c r="P234" s="25">
        <f t="shared" si="7"/>
        <v>0.50947916666666659</v>
      </c>
      <c r="Q234" s="23">
        <f>SUM($O$2:O234)</f>
        <v>-4</v>
      </c>
      <c r="Y234" s="14"/>
      <c r="Z234" s="13"/>
      <c r="AA234"/>
    </row>
    <row r="235" spans="1:27" x14ac:dyDescent="0.2">
      <c r="A235" s="12" t="s">
        <v>816</v>
      </c>
      <c r="B235" t="s">
        <v>817</v>
      </c>
      <c r="C235" t="s">
        <v>818</v>
      </c>
      <c r="D235" t="s">
        <v>819</v>
      </c>
      <c r="E235" t="s">
        <v>13</v>
      </c>
      <c r="F235">
        <v>909</v>
      </c>
      <c r="G235">
        <v>826</v>
      </c>
      <c r="H235" s="5" t="s">
        <v>22</v>
      </c>
      <c r="I235" s="5">
        <v>0</v>
      </c>
      <c r="J235" s="5">
        <v>0</v>
      </c>
      <c r="K235" t="s">
        <v>10049</v>
      </c>
      <c r="L235" cm="1">
        <f t="array" ref="L235">wordCount(K235)</f>
        <v>2</v>
      </c>
      <c r="M235">
        <f t="shared" si="6"/>
        <v>11</v>
      </c>
      <c r="N235">
        <v>0.93333333333333335</v>
      </c>
      <c r="O235" s="23" cm="1">
        <f t="array" ref="O235">WordListCount(K235,keywords!$A$2:$A$31)-WordListCount(K235,keywords!$B$2:$B$31)</f>
        <v>0</v>
      </c>
      <c r="P235" s="25">
        <f t="shared" si="7"/>
        <v>0.50962962962962965</v>
      </c>
      <c r="Q235" s="23">
        <f>SUM($O$2:O235)</f>
        <v>-4</v>
      </c>
      <c r="Y235" s="14"/>
      <c r="Z235" s="13"/>
      <c r="AA235"/>
    </row>
    <row r="236" spans="1:27" x14ac:dyDescent="0.2">
      <c r="A236" s="12" t="s">
        <v>820</v>
      </c>
      <c r="B236" t="s">
        <v>821</v>
      </c>
      <c r="C236" t="s">
        <v>822</v>
      </c>
      <c r="D236" t="s">
        <v>12</v>
      </c>
      <c r="E236" t="s">
        <v>13</v>
      </c>
      <c r="F236">
        <v>11</v>
      </c>
      <c r="G236">
        <v>54</v>
      </c>
      <c r="H236" s="5" t="s">
        <v>22</v>
      </c>
      <c r="I236" s="5">
        <v>0</v>
      </c>
      <c r="J236" s="5">
        <v>0</v>
      </c>
      <c r="K236" t="s">
        <v>9083</v>
      </c>
      <c r="L236" cm="1">
        <f t="array" ref="L236">wordCount(K236)</f>
        <v>4</v>
      </c>
      <c r="M236">
        <f t="shared" si="6"/>
        <v>22</v>
      </c>
      <c r="N236">
        <v>0.72727272727272729</v>
      </c>
      <c r="O236" s="23" cm="1">
        <f t="array" ref="O236">WordListCount(K236,keywords!$A$2:$A$31)-WordListCount(K236,keywords!$B$2:$B$31)</f>
        <v>0</v>
      </c>
      <c r="P236" s="25">
        <f t="shared" si="7"/>
        <v>0.50965277777777784</v>
      </c>
      <c r="Q236" s="23">
        <f>SUM($O$2:O236)</f>
        <v>-4</v>
      </c>
      <c r="Y236" s="14"/>
      <c r="Z236" s="13"/>
      <c r="AA236"/>
    </row>
    <row r="237" spans="1:27" x14ac:dyDescent="0.2">
      <c r="A237" s="12" t="s">
        <v>823</v>
      </c>
      <c r="B237" t="s">
        <v>824</v>
      </c>
      <c r="C237" t="s">
        <v>73</v>
      </c>
      <c r="D237" t="s">
        <v>74</v>
      </c>
      <c r="E237" t="s">
        <v>13</v>
      </c>
      <c r="F237">
        <v>87</v>
      </c>
      <c r="G237">
        <v>237</v>
      </c>
      <c r="H237" s="5" t="s">
        <v>22</v>
      </c>
      <c r="I237" s="5">
        <v>0</v>
      </c>
      <c r="J237" s="5">
        <v>0</v>
      </c>
      <c r="K237" t="s">
        <v>9084</v>
      </c>
      <c r="L237" cm="1">
        <f t="array" ref="L237">wordCount(K237)</f>
        <v>7</v>
      </c>
      <c r="M237">
        <f t="shared" si="6"/>
        <v>37</v>
      </c>
      <c r="N237">
        <v>1</v>
      </c>
      <c r="O237" s="23" cm="1">
        <f t="array" ref="O237">WordListCount(K237,keywords!$A$2:$A$31)-WordListCount(K237,keywords!$B$2:$B$31)</f>
        <v>0</v>
      </c>
      <c r="P237" s="25">
        <f t="shared" si="7"/>
        <v>0.50982638888888887</v>
      </c>
      <c r="Q237" s="23">
        <f>SUM($O$2:O237)</f>
        <v>-4</v>
      </c>
      <c r="Y237" s="14"/>
      <c r="Z237" s="13"/>
      <c r="AA237"/>
    </row>
    <row r="238" spans="1:27" x14ac:dyDescent="0.2">
      <c r="A238" s="12" t="s">
        <v>825</v>
      </c>
      <c r="B238" t="s">
        <v>826</v>
      </c>
      <c r="C238" t="s">
        <v>827</v>
      </c>
      <c r="D238" t="s">
        <v>12</v>
      </c>
      <c r="E238" t="s">
        <v>13</v>
      </c>
      <c r="F238">
        <v>316</v>
      </c>
      <c r="G238">
        <v>201</v>
      </c>
      <c r="H238" s="5" t="s">
        <v>22</v>
      </c>
      <c r="I238" s="5">
        <v>0</v>
      </c>
      <c r="J238" s="5">
        <v>0</v>
      </c>
      <c r="K238" t="s">
        <v>10050</v>
      </c>
      <c r="L238" cm="1">
        <f t="array" ref="L238">wordCount(K238)</f>
        <v>14</v>
      </c>
      <c r="M238">
        <f t="shared" si="6"/>
        <v>90</v>
      </c>
      <c r="N238">
        <v>0.27777777777777779</v>
      </c>
      <c r="O238" s="23" cm="1">
        <f t="array" ref="O238">WordListCount(K238,keywords!$A$2:$A$31)-WordListCount(K238,keywords!$B$2:$B$31)</f>
        <v>0</v>
      </c>
      <c r="P238" s="25">
        <f t="shared" si="7"/>
        <v>0.51017361111111115</v>
      </c>
      <c r="Q238" s="23">
        <f>SUM($O$2:O238)</f>
        <v>-4</v>
      </c>
      <c r="Y238" s="14"/>
      <c r="Z238" s="13"/>
      <c r="AA238"/>
    </row>
    <row r="239" spans="1:27" x14ac:dyDescent="0.2">
      <c r="A239" s="12" t="s">
        <v>828</v>
      </c>
      <c r="B239" t="s">
        <v>829</v>
      </c>
      <c r="C239" t="s">
        <v>179</v>
      </c>
      <c r="D239" t="s">
        <v>180</v>
      </c>
      <c r="E239" t="s">
        <v>13</v>
      </c>
      <c r="F239">
        <v>967</v>
      </c>
      <c r="G239">
        <v>180</v>
      </c>
      <c r="H239" s="5" t="s">
        <v>22</v>
      </c>
      <c r="I239" s="5">
        <v>0</v>
      </c>
      <c r="J239" s="5">
        <v>0</v>
      </c>
      <c r="K239" t="s">
        <v>10051</v>
      </c>
      <c r="L239" cm="1">
        <f t="array" ref="L239">wordCount(K239)</f>
        <v>17</v>
      </c>
      <c r="M239">
        <f t="shared" si="6"/>
        <v>96</v>
      </c>
      <c r="N239">
        <v>0.75</v>
      </c>
      <c r="O239" s="23" cm="1">
        <f t="array" ref="O239">WordListCount(K239,keywords!$A$2:$A$31)-WordListCount(K239,keywords!$B$2:$B$31)</f>
        <v>0</v>
      </c>
      <c r="P239" s="25">
        <f t="shared" si="7"/>
        <v>0.51042824074074067</v>
      </c>
      <c r="Q239" s="23">
        <f>SUM($O$2:O239)</f>
        <v>-4</v>
      </c>
      <c r="Y239" s="14"/>
      <c r="Z239" s="13"/>
      <c r="AA239"/>
    </row>
    <row r="240" spans="1:27" x14ac:dyDescent="0.2">
      <c r="A240" s="12" t="s">
        <v>830</v>
      </c>
      <c r="B240" t="s">
        <v>831</v>
      </c>
      <c r="C240" t="s">
        <v>832</v>
      </c>
      <c r="D240" t="s">
        <v>12</v>
      </c>
      <c r="E240" t="s">
        <v>13</v>
      </c>
      <c r="F240">
        <v>17</v>
      </c>
      <c r="G240">
        <v>167</v>
      </c>
      <c r="H240" s="5" t="s">
        <v>22</v>
      </c>
      <c r="I240" s="5">
        <v>0</v>
      </c>
      <c r="J240" s="5">
        <v>0</v>
      </c>
      <c r="K240" t="s">
        <v>10052</v>
      </c>
      <c r="L240" cm="1">
        <f t="array" ref="L240">wordCount(K240)</f>
        <v>22</v>
      </c>
      <c r="M240">
        <f t="shared" si="6"/>
        <v>113</v>
      </c>
      <c r="N240">
        <v>0.25</v>
      </c>
      <c r="O240" s="23" cm="1">
        <f t="array" ref="O240">WordListCount(K240,keywords!$A$2:$A$31)-WordListCount(K240,keywords!$B$2:$B$31)</f>
        <v>0</v>
      </c>
      <c r="P240" s="25">
        <f t="shared" si="7"/>
        <v>0.51053240740740746</v>
      </c>
      <c r="Q240" s="23">
        <f>SUM($O$2:O240)</f>
        <v>-4</v>
      </c>
      <c r="Y240" s="14"/>
      <c r="Z240" s="13"/>
      <c r="AA240"/>
    </row>
    <row r="241" spans="1:27" x14ac:dyDescent="0.2">
      <c r="A241" s="12" t="s">
        <v>833</v>
      </c>
      <c r="B241" t="s">
        <v>834</v>
      </c>
      <c r="C241" t="s">
        <v>310</v>
      </c>
      <c r="D241" t="s">
        <v>12</v>
      </c>
      <c r="E241" t="s">
        <v>13</v>
      </c>
      <c r="F241">
        <v>3632</v>
      </c>
      <c r="G241">
        <v>3728</v>
      </c>
      <c r="H241" s="5" t="s">
        <v>22</v>
      </c>
      <c r="I241" s="5">
        <v>0</v>
      </c>
      <c r="J241" s="5">
        <v>0</v>
      </c>
      <c r="K241" t="s">
        <v>9085</v>
      </c>
      <c r="L241" cm="1">
        <f t="array" ref="L241">wordCount(K241)</f>
        <v>12</v>
      </c>
      <c r="M241">
        <f t="shared" si="6"/>
        <v>54</v>
      </c>
      <c r="N241">
        <v>0.65384615384615385</v>
      </c>
      <c r="O241" s="23" cm="1">
        <f t="array" ref="O241">WordListCount(K241,keywords!$A$2:$A$31)-WordListCount(K241,keywords!$B$2:$B$31)</f>
        <v>0</v>
      </c>
      <c r="P241" s="25">
        <f t="shared" si="7"/>
        <v>0.51140046296296293</v>
      </c>
      <c r="Q241" s="23">
        <f>SUM($O$2:O241)</f>
        <v>-4</v>
      </c>
      <c r="Y241" s="14"/>
      <c r="Z241" s="13"/>
      <c r="AA241"/>
    </row>
    <row r="242" spans="1:27" x14ac:dyDescent="0.2">
      <c r="A242" s="12" t="s">
        <v>835</v>
      </c>
      <c r="B242" t="s">
        <v>836</v>
      </c>
      <c r="C242" t="s">
        <v>837</v>
      </c>
      <c r="D242" t="s">
        <v>12</v>
      </c>
      <c r="E242" t="s">
        <v>13</v>
      </c>
      <c r="F242">
        <v>382</v>
      </c>
      <c r="G242">
        <v>2318</v>
      </c>
      <c r="H242" s="5" t="s">
        <v>22</v>
      </c>
      <c r="I242" s="5">
        <v>0</v>
      </c>
      <c r="J242" s="5">
        <v>0</v>
      </c>
      <c r="K242" t="s">
        <v>9047</v>
      </c>
      <c r="L242" cm="1">
        <f t="array" ref="L242">wordCount(K242)</f>
        <v>1</v>
      </c>
      <c r="M242">
        <f t="shared" si="6"/>
        <v>7</v>
      </c>
      <c r="N242">
        <v>0.5</v>
      </c>
      <c r="O242" s="23" cm="1">
        <f t="array" ref="O242">WordListCount(K242,keywords!$A$2:$A$31)-WordListCount(K242,keywords!$B$2:$B$31)</f>
        <v>0</v>
      </c>
      <c r="P242" s="25">
        <f t="shared" si="7"/>
        <v>0.51146990740740739</v>
      </c>
      <c r="Q242" s="23">
        <f>SUM($O$2:O242)</f>
        <v>-4</v>
      </c>
      <c r="Y242" s="14"/>
      <c r="Z242" s="13"/>
      <c r="AA242"/>
    </row>
    <row r="243" spans="1:27" x14ac:dyDescent="0.2">
      <c r="A243" s="12" t="s">
        <v>838</v>
      </c>
      <c r="B243" t="s">
        <v>839</v>
      </c>
      <c r="C243" t="s">
        <v>840</v>
      </c>
      <c r="D243" t="s">
        <v>108</v>
      </c>
      <c r="E243" t="s">
        <v>13</v>
      </c>
      <c r="F243">
        <v>288</v>
      </c>
      <c r="G243">
        <v>880</v>
      </c>
      <c r="H243" s="5" t="s">
        <v>22</v>
      </c>
      <c r="I243" s="5">
        <v>0</v>
      </c>
      <c r="J243" s="5">
        <v>0</v>
      </c>
      <c r="K243" t="s">
        <v>10053</v>
      </c>
      <c r="L243" cm="1">
        <f t="array" ref="L243">wordCount(K243)</f>
        <v>9</v>
      </c>
      <c r="M243">
        <f t="shared" si="6"/>
        <v>48</v>
      </c>
      <c r="N243">
        <v>0.2</v>
      </c>
      <c r="O243" s="23" cm="1">
        <f t="array" ref="O243">WordListCount(K243,keywords!$A$2:$A$31)-WordListCount(K243,keywords!$B$2:$B$31)</f>
        <v>0</v>
      </c>
      <c r="P243" s="25">
        <f t="shared" si="7"/>
        <v>0.51168981481481479</v>
      </c>
      <c r="Q243" s="23">
        <f>SUM($O$2:O243)</f>
        <v>-4</v>
      </c>
      <c r="Y243" s="14"/>
      <c r="Z243" s="13"/>
      <c r="AA243"/>
    </row>
    <row r="244" spans="1:27" x14ac:dyDescent="0.2">
      <c r="A244" s="33" t="s">
        <v>841</v>
      </c>
      <c r="B244" s="34" t="s">
        <v>842</v>
      </c>
      <c r="C244" s="34" t="s">
        <v>123</v>
      </c>
      <c r="D244" s="34" t="s">
        <v>124</v>
      </c>
      <c r="E244" s="34" t="s">
        <v>13</v>
      </c>
      <c r="F244" s="34">
        <v>840</v>
      </c>
      <c r="G244" s="34">
        <v>899</v>
      </c>
      <c r="H244" s="35" t="s">
        <v>125</v>
      </c>
      <c r="I244" s="35">
        <v>0</v>
      </c>
      <c r="J244" s="35">
        <v>0</v>
      </c>
      <c r="K244" s="34" t="s">
        <v>9086</v>
      </c>
      <c r="L244" s="34" cm="1">
        <f t="array" ref="L244">wordCount(K244)</f>
        <v>21</v>
      </c>
      <c r="M244" s="34">
        <f t="shared" si="6"/>
        <v>99</v>
      </c>
      <c r="N244" s="34">
        <v>0.81818181818181823</v>
      </c>
      <c r="O244" s="36" cm="1">
        <f t="array" ref="O244">WordListCount(K244,keywords!$A$2:$A$31)-WordListCount(K244,keywords!$B$2:$B$31)</f>
        <v>0</v>
      </c>
      <c r="P244" s="37">
        <f t="shared" si="7"/>
        <v>0.51184027777777785</v>
      </c>
      <c r="Q244" s="23">
        <f>SUM($O$2:O244)</f>
        <v>-4</v>
      </c>
    </row>
    <row r="245" spans="1:27" x14ac:dyDescent="0.2">
      <c r="A245" s="12" t="s">
        <v>843</v>
      </c>
      <c r="B245" t="s">
        <v>844</v>
      </c>
      <c r="C245" t="s">
        <v>845</v>
      </c>
      <c r="D245" t="s">
        <v>846</v>
      </c>
      <c r="E245" t="s">
        <v>13</v>
      </c>
      <c r="F245">
        <v>3889</v>
      </c>
      <c r="G245">
        <v>734</v>
      </c>
      <c r="H245" s="5" t="s">
        <v>22</v>
      </c>
      <c r="I245" s="5">
        <v>0</v>
      </c>
      <c r="J245" s="5">
        <v>0</v>
      </c>
      <c r="K245" t="s">
        <v>10054</v>
      </c>
      <c r="L245" cm="1">
        <f t="array" ref="L245">wordCount(K245)</f>
        <v>3</v>
      </c>
      <c r="M245">
        <f t="shared" si="6"/>
        <v>17</v>
      </c>
      <c r="N245">
        <v>0.77777777777777779</v>
      </c>
      <c r="O245" s="23" cm="1">
        <f t="array" ref="O245">WordListCount(K245,keywords!$A$2:$A$31)-WordListCount(K245,keywords!$B$2:$B$31)</f>
        <v>0</v>
      </c>
      <c r="P245" s="25">
        <f t="shared" si="7"/>
        <v>0.51215277777777779</v>
      </c>
      <c r="Q245" s="23">
        <f>SUM($O$2:O245)</f>
        <v>-4</v>
      </c>
      <c r="Y245" s="14"/>
      <c r="Z245" s="13"/>
      <c r="AA245"/>
    </row>
    <row r="246" spans="1:27" x14ac:dyDescent="0.2">
      <c r="A246" s="12" t="s">
        <v>847</v>
      </c>
      <c r="B246" t="s">
        <v>848</v>
      </c>
      <c r="C246" t="s">
        <v>849</v>
      </c>
      <c r="D246" t="s">
        <v>850</v>
      </c>
      <c r="E246" t="s">
        <v>13</v>
      </c>
      <c r="F246">
        <v>147</v>
      </c>
      <c r="G246">
        <v>946</v>
      </c>
      <c r="H246" s="5" t="s">
        <v>22</v>
      </c>
      <c r="I246" s="5">
        <v>0</v>
      </c>
      <c r="J246" s="5">
        <v>0</v>
      </c>
      <c r="K246" t="s">
        <v>10055</v>
      </c>
      <c r="L246" cm="1">
        <f t="array" ref="L246">wordCount(K246)</f>
        <v>14</v>
      </c>
      <c r="M246">
        <f t="shared" si="6"/>
        <v>67</v>
      </c>
      <c r="N246">
        <v>0.54545454545454541</v>
      </c>
      <c r="O246" s="23" cm="1">
        <f t="array" ref="O246">WordListCount(K246,keywords!$A$2:$A$31)-WordListCount(K246,keywords!$B$2:$B$31)</f>
        <v>1</v>
      </c>
      <c r="P246" s="25">
        <f t="shared" si="7"/>
        <v>0.51255787037037037</v>
      </c>
      <c r="Q246" s="23">
        <f>SUM($O$2:O246)</f>
        <v>-3</v>
      </c>
      <c r="Y246" s="14"/>
      <c r="Z246" s="13"/>
      <c r="AA246"/>
    </row>
    <row r="247" spans="1:27" x14ac:dyDescent="0.2">
      <c r="A247" s="12" t="s">
        <v>851</v>
      </c>
      <c r="B247" t="s">
        <v>852</v>
      </c>
      <c r="C247" t="s">
        <v>840</v>
      </c>
      <c r="D247" t="s">
        <v>108</v>
      </c>
      <c r="E247" t="s">
        <v>13</v>
      </c>
      <c r="F247">
        <v>288</v>
      </c>
      <c r="G247">
        <v>880</v>
      </c>
      <c r="H247" s="5" t="s">
        <v>22</v>
      </c>
      <c r="I247" s="5">
        <v>0</v>
      </c>
      <c r="J247" s="5">
        <v>0</v>
      </c>
      <c r="K247" t="s">
        <v>10056</v>
      </c>
      <c r="L247" cm="1">
        <f t="array" ref="L247">wordCount(K247)</f>
        <v>14</v>
      </c>
      <c r="M247">
        <f t="shared" si="6"/>
        <v>65</v>
      </c>
      <c r="N247">
        <v>0.61111111111111116</v>
      </c>
      <c r="O247" s="23" cm="1">
        <f t="array" ref="O247">WordListCount(K247,keywords!$A$2:$A$31)-WordListCount(K247,keywords!$B$2:$B$31)</f>
        <v>0</v>
      </c>
      <c r="P247" s="25">
        <f t="shared" si="7"/>
        <v>0.51256944444444441</v>
      </c>
      <c r="Q247" s="23">
        <f>SUM($O$2:O247)</f>
        <v>-3</v>
      </c>
      <c r="Y247" s="14"/>
      <c r="Z247" s="13"/>
      <c r="AA247"/>
    </row>
    <row r="248" spans="1:27" x14ac:dyDescent="0.2">
      <c r="A248" s="12" t="s">
        <v>853</v>
      </c>
      <c r="B248" t="s">
        <v>854</v>
      </c>
      <c r="C248" t="s">
        <v>855</v>
      </c>
      <c r="D248" t="s">
        <v>856</v>
      </c>
      <c r="E248" t="s">
        <v>13</v>
      </c>
      <c r="F248">
        <v>1544</v>
      </c>
      <c r="G248">
        <v>702</v>
      </c>
      <c r="H248" s="5" t="s">
        <v>22</v>
      </c>
      <c r="I248" s="5">
        <v>0</v>
      </c>
      <c r="J248" s="5">
        <v>0</v>
      </c>
      <c r="K248" t="s">
        <v>9087</v>
      </c>
      <c r="L248" cm="1">
        <f t="array" ref="L248">wordCount(K248)</f>
        <v>24</v>
      </c>
      <c r="M248">
        <f t="shared" si="6"/>
        <v>129</v>
      </c>
      <c r="N248">
        <v>0.4375</v>
      </c>
      <c r="O248" s="23" cm="1">
        <f t="array" ref="O248">WordListCount(K248,keywords!$A$2:$A$31)-WordListCount(K248,keywords!$B$2:$B$31)</f>
        <v>1</v>
      </c>
      <c r="P248" s="25">
        <f t="shared" si="7"/>
        <v>0.51260416666666664</v>
      </c>
      <c r="Q248" s="23">
        <f>SUM($O$2:O248)</f>
        <v>-2</v>
      </c>
      <c r="Y248" s="14"/>
      <c r="Z248" s="13"/>
      <c r="AA248"/>
    </row>
    <row r="249" spans="1:27" x14ac:dyDescent="0.2">
      <c r="A249" s="12" t="s">
        <v>857</v>
      </c>
      <c r="B249" t="s">
        <v>858</v>
      </c>
      <c r="C249" t="s">
        <v>859</v>
      </c>
      <c r="D249" t="s">
        <v>112</v>
      </c>
      <c r="E249" t="s">
        <v>13</v>
      </c>
      <c r="F249">
        <v>2287</v>
      </c>
      <c r="G249">
        <v>42</v>
      </c>
      <c r="H249" s="5" t="s">
        <v>14</v>
      </c>
      <c r="I249" s="5">
        <v>0</v>
      </c>
      <c r="J249" s="5">
        <v>0</v>
      </c>
      <c r="K249" t="s">
        <v>10057</v>
      </c>
      <c r="L249" cm="1">
        <f t="array" ref="L249">wordCount(K249)</f>
        <v>11</v>
      </c>
      <c r="M249">
        <f t="shared" si="6"/>
        <v>49</v>
      </c>
      <c r="N249">
        <v>0.46666666666666667</v>
      </c>
      <c r="O249" s="23" cm="1">
        <f t="array" ref="O249">WordListCount(K249,keywords!$A$2:$A$31)-WordListCount(K249,keywords!$B$2:$B$31)</f>
        <v>0</v>
      </c>
      <c r="P249" s="25">
        <f t="shared" si="7"/>
        <v>0.51371527777777781</v>
      </c>
      <c r="Q249" s="23">
        <f>SUM($O$2:O249)</f>
        <v>-2</v>
      </c>
      <c r="Y249" s="14"/>
      <c r="Z249" s="13"/>
      <c r="AA249"/>
    </row>
    <row r="250" spans="1:27" x14ac:dyDescent="0.2">
      <c r="A250" s="12" t="s">
        <v>860</v>
      </c>
      <c r="B250" t="s">
        <v>861</v>
      </c>
      <c r="C250" t="s">
        <v>862</v>
      </c>
      <c r="D250" t="s">
        <v>597</v>
      </c>
      <c r="E250" t="s">
        <v>13</v>
      </c>
      <c r="F250">
        <v>1031</v>
      </c>
      <c r="G250">
        <v>189</v>
      </c>
      <c r="H250" s="5" t="s">
        <v>22</v>
      </c>
      <c r="I250" s="5">
        <v>0</v>
      </c>
      <c r="J250" s="5">
        <v>0</v>
      </c>
      <c r="K250" t="s">
        <v>9088</v>
      </c>
      <c r="L250" cm="1">
        <f t="array" ref="L250">wordCount(K250)</f>
        <v>9</v>
      </c>
      <c r="M250">
        <f t="shared" si="6"/>
        <v>65</v>
      </c>
      <c r="N250">
        <v>0.53846153846153844</v>
      </c>
      <c r="O250" s="23" cm="1">
        <f t="array" ref="O250">WordListCount(K250,keywords!$A$2:$A$31)-WordListCount(K250,keywords!$B$2:$B$31)</f>
        <v>0</v>
      </c>
      <c r="P250" s="25">
        <f t="shared" si="7"/>
        <v>0.51390046296296299</v>
      </c>
      <c r="Q250" s="23">
        <f>SUM($O$2:O250)</f>
        <v>-2</v>
      </c>
      <c r="Y250" s="14"/>
      <c r="Z250" s="13"/>
      <c r="AA250"/>
    </row>
    <row r="251" spans="1:27" x14ac:dyDescent="0.2">
      <c r="A251" s="12" t="s">
        <v>863</v>
      </c>
      <c r="B251" t="s">
        <v>864</v>
      </c>
      <c r="C251" t="s">
        <v>865</v>
      </c>
      <c r="D251" t="s">
        <v>12</v>
      </c>
      <c r="E251" t="s">
        <v>13</v>
      </c>
      <c r="F251">
        <v>919</v>
      </c>
      <c r="G251">
        <v>354</v>
      </c>
      <c r="H251" s="5" t="s">
        <v>22</v>
      </c>
      <c r="I251" s="5">
        <v>0</v>
      </c>
      <c r="J251" s="5">
        <v>0</v>
      </c>
      <c r="K251" t="s">
        <v>9089</v>
      </c>
      <c r="L251" cm="1">
        <f t="array" ref="L251">wordCount(K251)</f>
        <v>10</v>
      </c>
      <c r="M251">
        <f t="shared" si="6"/>
        <v>52</v>
      </c>
      <c r="N251">
        <v>0.47058823529411764</v>
      </c>
      <c r="O251" s="23" cm="1">
        <f t="array" ref="O251">WordListCount(K251,keywords!$A$2:$A$31)-WordListCount(K251,keywords!$B$2:$B$31)</f>
        <v>0</v>
      </c>
      <c r="P251" s="25">
        <f t="shared" si="7"/>
        <v>0.51428240740740738</v>
      </c>
      <c r="Q251" s="23">
        <f>SUM($O$2:O251)</f>
        <v>-2</v>
      </c>
      <c r="Y251" s="14"/>
      <c r="Z251" s="13"/>
      <c r="AA251"/>
    </row>
    <row r="252" spans="1:27" x14ac:dyDescent="0.2">
      <c r="A252" s="12" t="s">
        <v>866</v>
      </c>
      <c r="B252" t="s">
        <v>867</v>
      </c>
      <c r="C252" t="s">
        <v>868</v>
      </c>
      <c r="D252" t="s">
        <v>12</v>
      </c>
      <c r="E252" t="s">
        <v>13</v>
      </c>
      <c r="F252">
        <v>49</v>
      </c>
      <c r="G252">
        <v>172</v>
      </c>
      <c r="H252" s="5" t="s">
        <v>22</v>
      </c>
      <c r="I252" s="5">
        <v>0</v>
      </c>
      <c r="J252" s="5">
        <v>0</v>
      </c>
      <c r="K252" t="s">
        <v>10058</v>
      </c>
      <c r="L252" cm="1">
        <f t="array" ref="L252">wordCount(K252)</f>
        <v>11</v>
      </c>
      <c r="M252">
        <f t="shared" si="6"/>
        <v>53</v>
      </c>
      <c r="N252">
        <v>0.625</v>
      </c>
      <c r="O252" s="23" cm="1">
        <f t="array" ref="O252">WordListCount(K252,keywords!$A$2:$A$31)-WordListCount(K252,keywords!$B$2:$B$31)</f>
        <v>0</v>
      </c>
      <c r="P252" s="25">
        <f t="shared" si="7"/>
        <v>0.51442129629629629</v>
      </c>
      <c r="Q252" s="23">
        <f>SUM($O$2:O252)</f>
        <v>-2</v>
      </c>
      <c r="Y252" s="14"/>
      <c r="Z252" s="13"/>
      <c r="AA252"/>
    </row>
    <row r="253" spans="1:27" x14ac:dyDescent="0.2">
      <c r="A253" s="12" t="s">
        <v>869</v>
      </c>
      <c r="B253" t="s">
        <v>870</v>
      </c>
      <c r="C253" t="s">
        <v>871</v>
      </c>
      <c r="D253" t="s">
        <v>197</v>
      </c>
      <c r="E253" t="s">
        <v>13</v>
      </c>
      <c r="F253">
        <v>691</v>
      </c>
      <c r="G253">
        <v>1513</v>
      </c>
      <c r="H253" s="5" t="s">
        <v>22</v>
      </c>
      <c r="I253" s="5">
        <v>0</v>
      </c>
      <c r="J253" s="5">
        <v>0</v>
      </c>
      <c r="K253" t="s">
        <v>9090</v>
      </c>
      <c r="L253" cm="1">
        <f t="array" ref="L253">wordCount(K253)</f>
        <v>27</v>
      </c>
      <c r="M253">
        <f t="shared" si="6"/>
        <v>132</v>
      </c>
      <c r="N253">
        <v>0.22580645161290322</v>
      </c>
      <c r="O253" s="23" cm="1">
        <f t="array" ref="O253">WordListCount(K253,keywords!$A$2:$A$31)-WordListCount(K253,keywords!$B$2:$B$31)</f>
        <v>1</v>
      </c>
      <c r="P253" s="25">
        <f t="shared" si="7"/>
        <v>0.51472222222222219</v>
      </c>
      <c r="Q253" s="23">
        <f>SUM($O$2:O253)</f>
        <v>-1</v>
      </c>
      <c r="Y253" s="14"/>
      <c r="Z253" s="13"/>
      <c r="AA253"/>
    </row>
    <row r="254" spans="1:27" x14ac:dyDescent="0.2">
      <c r="A254" s="12" t="s">
        <v>872</v>
      </c>
      <c r="B254" t="s">
        <v>873</v>
      </c>
      <c r="C254" t="s">
        <v>874</v>
      </c>
      <c r="D254" t="s">
        <v>875</v>
      </c>
      <c r="E254" t="s">
        <v>13</v>
      </c>
      <c r="F254">
        <v>1</v>
      </c>
      <c r="G254">
        <v>29</v>
      </c>
      <c r="H254" s="5" t="s">
        <v>22</v>
      </c>
      <c r="I254" s="5">
        <v>0</v>
      </c>
      <c r="J254" s="5">
        <v>0</v>
      </c>
      <c r="K254" t="s">
        <v>10059</v>
      </c>
      <c r="L254" cm="1">
        <f t="array" ref="L254">wordCount(K254)</f>
        <v>11</v>
      </c>
      <c r="M254">
        <f t="shared" si="6"/>
        <v>62</v>
      </c>
      <c r="N254">
        <v>0.73076923076923073</v>
      </c>
      <c r="O254" s="23" cm="1">
        <f t="array" ref="O254">WordListCount(K254,keywords!$A$2:$A$31)-WordListCount(K254,keywords!$B$2:$B$31)</f>
        <v>0</v>
      </c>
      <c r="P254" s="25">
        <f t="shared" si="7"/>
        <v>0.51473379629629623</v>
      </c>
      <c r="Q254" s="23">
        <f>SUM($O$2:O254)</f>
        <v>-1</v>
      </c>
      <c r="Y254" s="14"/>
      <c r="Z254" s="13"/>
      <c r="AA254"/>
    </row>
    <row r="255" spans="1:27" x14ac:dyDescent="0.2">
      <c r="A255" s="12" t="s">
        <v>876</v>
      </c>
      <c r="B255" t="s">
        <v>877</v>
      </c>
      <c r="C255" t="s">
        <v>878</v>
      </c>
      <c r="D255" t="s">
        <v>879</v>
      </c>
      <c r="E255" t="s">
        <v>13</v>
      </c>
      <c r="F255">
        <v>505</v>
      </c>
      <c r="G255">
        <v>82</v>
      </c>
      <c r="H255" s="5" t="s">
        <v>677</v>
      </c>
      <c r="I255" s="5">
        <v>0</v>
      </c>
      <c r="J255" s="5">
        <v>0</v>
      </c>
      <c r="K255" t="s">
        <v>10060</v>
      </c>
      <c r="L255" cm="1">
        <f t="array" ref="L255">wordCount(K255)</f>
        <v>16</v>
      </c>
      <c r="M255">
        <f t="shared" si="6"/>
        <v>90</v>
      </c>
      <c r="N255">
        <v>0.59259259259259256</v>
      </c>
      <c r="O255" s="23" cm="1">
        <f t="array" ref="O255">WordListCount(K255,keywords!$A$2:$A$31)-WordListCount(K255,keywords!$B$2:$B$31)</f>
        <v>0</v>
      </c>
      <c r="P255" s="25">
        <f t="shared" si="7"/>
        <v>0.51483796296296302</v>
      </c>
      <c r="Q255" s="23">
        <f>SUM($O$2:O255)</f>
        <v>-1</v>
      </c>
      <c r="Y255" s="14"/>
      <c r="Z255" s="13"/>
      <c r="AA255"/>
    </row>
    <row r="256" spans="1:27" x14ac:dyDescent="0.2">
      <c r="A256" s="12" t="s">
        <v>880</v>
      </c>
      <c r="B256" t="s">
        <v>881</v>
      </c>
      <c r="C256" t="s">
        <v>882</v>
      </c>
      <c r="D256" t="s">
        <v>883</v>
      </c>
      <c r="E256" t="s">
        <v>13</v>
      </c>
      <c r="F256">
        <v>2233</v>
      </c>
      <c r="G256">
        <v>1415</v>
      </c>
      <c r="H256" s="5" t="s">
        <v>22</v>
      </c>
      <c r="I256" s="5">
        <v>0</v>
      </c>
      <c r="J256" s="5">
        <v>0</v>
      </c>
      <c r="K256" t="s">
        <v>10061</v>
      </c>
      <c r="L256" cm="1">
        <f t="array" ref="L256">wordCount(K256)</f>
        <v>6</v>
      </c>
      <c r="M256">
        <f t="shared" si="6"/>
        <v>36</v>
      </c>
      <c r="N256">
        <v>0.80769230769230771</v>
      </c>
      <c r="O256" s="23" cm="1">
        <f t="array" ref="O256">WordListCount(K256,keywords!$A$2:$A$31)-WordListCount(K256,keywords!$B$2:$B$31)</f>
        <v>0</v>
      </c>
      <c r="P256" s="25">
        <f t="shared" si="7"/>
        <v>0.51489583333333333</v>
      </c>
      <c r="Q256" s="23">
        <f>SUM($O$2:O256)</f>
        <v>-1</v>
      </c>
      <c r="Y256" s="14"/>
      <c r="Z256" s="13"/>
      <c r="AA256"/>
    </row>
    <row r="257" spans="1:27" x14ac:dyDescent="0.2">
      <c r="A257" s="12" t="s">
        <v>884</v>
      </c>
      <c r="B257" t="s">
        <v>885</v>
      </c>
      <c r="C257" t="s">
        <v>886</v>
      </c>
      <c r="D257" t="s">
        <v>887</v>
      </c>
      <c r="E257" t="s">
        <v>13</v>
      </c>
      <c r="F257">
        <v>6881</v>
      </c>
      <c r="G257">
        <v>101</v>
      </c>
      <c r="H257" s="5" t="s">
        <v>22</v>
      </c>
      <c r="I257" s="5">
        <v>0</v>
      </c>
      <c r="J257" s="5">
        <v>0</v>
      </c>
      <c r="K257" t="s">
        <v>10062</v>
      </c>
      <c r="L257" cm="1">
        <f t="array" ref="L257">wordCount(K257)</f>
        <v>18</v>
      </c>
      <c r="M257">
        <f t="shared" si="6"/>
        <v>88</v>
      </c>
      <c r="N257">
        <v>0.6875</v>
      </c>
      <c r="O257" s="23" cm="1">
        <f t="array" ref="O257">WordListCount(K257,keywords!$A$2:$A$31)-WordListCount(K257,keywords!$B$2:$B$31)</f>
        <v>1</v>
      </c>
      <c r="P257" s="25">
        <f t="shared" si="7"/>
        <v>0.51534722222222229</v>
      </c>
      <c r="Q257" s="23">
        <f>SUM($O$2:O257)</f>
        <v>0</v>
      </c>
      <c r="Y257" s="14"/>
      <c r="Z257" s="13"/>
      <c r="AA257"/>
    </row>
    <row r="258" spans="1:27" x14ac:dyDescent="0.2">
      <c r="A258" s="12" t="s">
        <v>888</v>
      </c>
      <c r="B258" t="s">
        <v>889</v>
      </c>
      <c r="C258" t="s">
        <v>890</v>
      </c>
      <c r="D258" t="s">
        <v>12</v>
      </c>
      <c r="E258" t="s">
        <v>13</v>
      </c>
      <c r="F258">
        <v>35</v>
      </c>
      <c r="G258">
        <v>250</v>
      </c>
      <c r="H258" s="5" t="s">
        <v>22</v>
      </c>
      <c r="I258" s="5">
        <v>0</v>
      </c>
      <c r="J258" s="5">
        <v>0</v>
      </c>
      <c r="K258" t="s">
        <v>10063</v>
      </c>
      <c r="L258" cm="1">
        <f t="array" ref="L258">wordCount(K258)</f>
        <v>21</v>
      </c>
      <c r="M258">
        <f t="shared" ref="M258:M321" si="8">LEN(K258)</f>
        <v>101</v>
      </c>
      <c r="N258">
        <v>0.46875</v>
      </c>
      <c r="O258" s="23" cm="1">
        <f t="array" ref="O258">WordListCount(K258,keywords!$A$2:$A$31)-WordListCount(K258,keywords!$B$2:$B$31)</f>
        <v>0</v>
      </c>
      <c r="P258" s="25">
        <f t="shared" ref="P258:P321" si="9">TIMEVALUE(RIGHT(A258,8))</f>
        <v>0.51570601851851849</v>
      </c>
      <c r="Q258" s="23">
        <f>SUM($O$2:O258)</f>
        <v>0</v>
      </c>
      <c r="Y258" s="14"/>
      <c r="Z258" s="13"/>
      <c r="AA258"/>
    </row>
    <row r="259" spans="1:27" x14ac:dyDescent="0.2">
      <c r="A259" s="12" t="s">
        <v>891</v>
      </c>
      <c r="B259" t="s">
        <v>892</v>
      </c>
      <c r="C259" t="s">
        <v>893</v>
      </c>
      <c r="D259" t="s">
        <v>894</v>
      </c>
      <c r="E259" t="s">
        <v>13</v>
      </c>
      <c r="F259">
        <v>8</v>
      </c>
      <c r="G259">
        <v>59</v>
      </c>
      <c r="H259" s="5" t="s">
        <v>22</v>
      </c>
      <c r="I259" s="5">
        <v>0</v>
      </c>
      <c r="J259" s="5">
        <v>0</v>
      </c>
      <c r="K259" t="s">
        <v>9091</v>
      </c>
      <c r="L259" cm="1">
        <f t="array" ref="L259">wordCount(K259)</f>
        <v>5</v>
      </c>
      <c r="M259">
        <f t="shared" si="8"/>
        <v>27</v>
      </c>
      <c r="N259">
        <v>0.8571428571428571</v>
      </c>
      <c r="O259" s="23" cm="1">
        <f t="array" ref="O259">WordListCount(K259,keywords!$A$2:$A$31)-WordListCount(K259,keywords!$B$2:$B$31)</f>
        <v>0</v>
      </c>
      <c r="P259" s="25">
        <f t="shared" si="9"/>
        <v>0.5157870370370371</v>
      </c>
      <c r="Q259" s="23">
        <f>SUM($O$2:O259)</f>
        <v>0</v>
      </c>
      <c r="Y259" s="14"/>
      <c r="Z259" s="13"/>
      <c r="AA259"/>
    </row>
    <row r="260" spans="1:27" x14ac:dyDescent="0.2">
      <c r="A260" s="12" t="s">
        <v>895</v>
      </c>
      <c r="B260" t="s">
        <v>896</v>
      </c>
      <c r="C260" t="s">
        <v>897</v>
      </c>
      <c r="D260" t="s">
        <v>898</v>
      </c>
      <c r="E260" t="s">
        <v>13</v>
      </c>
      <c r="F260">
        <v>416</v>
      </c>
      <c r="G260">
        <v>1259</v>
      </c>
      <c r="H260" s="5" t="s">
        <v>22</v>
      </c>
      <c r="I260" s="5">
        <v>0</v>
      </c>
      <c r="J260" s="5">
        <v>0</v>
      </c>
      <c r="K260" t="s">
        <v>10064</v>
      </c>
      <c r="L260" cm="1">
        <f t="array" ref="L260">wordCount(K260)</f>
        <v>14</v>
      </c>
      <c r="M260">
        <f t="shared" si="8"/>
        <v>69</v>
      </c>
      <c r="N260">
        <v>0.6</v>
      </c>
      <c r="O260" s="23" cm="1">
        <f t="array" ref="O260">WordListCount(K260,keywords!$A$2:$A$31)-WordListCount(K260,keywords!$B$2:$B$31)</f>
        <v>0</v>
      </c>
      <c r="P260" s="25">
        <f t="shared" si="9"/>
        <v>0.51609953703703704</v>
      </c>
      <c r="Q260" s="23">
        <f>SUM($O$2:O260)</f>
        <v>0</v>
      </c>
      <c r="Y260" s="14"/>
      <c r="Z260" s="13"/>
      <c r="AA260"/>
    </row>
    <row r="261" spans="1:27" x14ac:dyDescent="0.2">
      <c r="A261" s="12" t="s">
        <v>899</v>
      </c>
      <c r="B261" t="s">
        <v>903</v>
      </c>
      <c r="C261" t="s">
        <v>511</v>
      </c>
      <c r="D261" t="s">
        <v>512</v>
      </c>
      <c r="E261" t="s">
        <v>13</v>
      </c>
      <c r="F261">
        <v>1899</v>
      </c>
      <c r="G261">
        <v>540</v>
      </c>
      <c r="H261" s="5" t="s">
        <v>22</v>
      </c>
      <c r="I261" s="5">
        <v>0</v>
      </c>
      <c r="J261" s="5">
        <v>0</v>
      </c>
      <c r="K261" t="s">
        <v>10066</v>
      </c>
      <c r="L261" cm="1">
        <f t="array" ref="L261">wordCount(K261)</f>
        <v>8</v>
      </c>
      <c r="M261">
        <f t="shared" si="8"/>
        <v>41</v>
      </c>
      <c r="N261">
        <v>0.875</v>
      </c>
      <c r="O261" s="23" cm="1">
        <f t="array" ref="O261">WordListCount(K261,keywords!$A$2:$A$31)-WordListCount(K261,keywords!$B$2:$B$31)</f>
        <v>0</v>
      </c>
      <c r="P261" s="25">
        <f t="shared" si="9"/>
        <v>0.51671296296296299</v>
      </c>
      <c r="Q261" s="23">
        <f>SUM($O$2:O261)</f>
        <v>0</v>
      </c>
      <c r="Y261" s="14"/>
      <c r="Z261" s="13"/>
      <c r="AA261"/>
    </row>
    <row r="262" spans="1:27" x14ac:dyDescent="0.2">
      <c r="A262" s="12" t="s">
        <v>899</v>
      </c>
      <c r="B262" t="s">
        <v>900</v>
      </c>
      <c r="C262" t="s">
        <v>901</v>
      </c>
      <c r="D262" t="s">
        <v>902</v>
      </c>
      <c r="E262" t="s">
        <v>13</v>
      </c>
      <c r="F262">
        <v>1948</v>
      </c>
      <c r="G262">
        <v>4978</v>
      </c>
      <c r="H262" s="5" t="s">
        <v>22</v>
      </c>
      <c r="I262" s="5">
        <v>0</v>
      </c>
      <c r="J262" s="5">
        <v>0</v>
      </c>
      <c r="K262" t="s">
        <v>10065</v>
      </c>
      <c r="L262" cm="1">
        <f t="array" ref="L262">wordCount(K262)</f>
        <v>5</v>
      </c>
      <c r="M262">
        <f t="shared" si="8"/>
        <v>21</v>
      </c>
      <c r="N262">
        <v>0.7</v>
      </c>
      <c r="O262" s="23" cm="1">
        <f t="array" ref="O262">WordListCount(K262,keywords!$A$2:$A$31)-WordListCount(K262,keywords!$B$2:$B$31)</f>
        <v>0</v>
      </c>
      <c r="P262" s="25">
        <f t="shared" si="9"/>
        <v>0.51671296296296299</v>
      </c>
      <c r="Q262" s="23">
        <f>SUM($O$2:O262)</f>
        <v>0</v>
      </c>
      <c r="Y262" s="14"/>
      <c r="Z262" s="13"/>
      <c r="AA262"/>
    </row>
    <row r="263" spans="1:27" x14ac:dyDescent="0.2">
      <c r="A263" s="12" t="s">
        <v>904</v>
      </c>
      <c r="B263" t="s">
        <v>905</v>
      </c>
      <c r="C263" t="s">
        <v>906</v>
      </c>
      <c r="D263" t="s">
        <v>12</v>
      </c>
      <c r="E263" t="s">
        <v>13</v>
      </c>
      <c r="F263">
        <v>2902</v>
      </c>
      <c r="G263">
        <v>434</v>
      </c>
      <c r="H263" s="5" t="s">
        <v>22</v>
      </c>
      <c r="I263" s="5">
        <v>0</v>
      </c>
      <c r="J263" s="5">
        <v>0</v>
      </c>
      <c r="K263" t="s">
        <v>10067</v>
      </c>
      <c r="L263" cm="1">
        <f t="array" ref="L263">wordCount(K263)</f>
        <v>26</v>
      </c>
      <c r="M263">
        <f t="shared" si="8"/>
        <v>138</v>
      </c>
      <c r="N263">
        <v>0.35294117647058826</v>
      </c>
      <c r="O263" s="23" cm="1">
        <f t="array" ref="O263">WordListCount(K263,keywords!$A$2:$A$31)-WordListCount(K263,keywords!$B$2:$B$31)</f>
        <v>0</v>
      </c>
      <c r="P263" s="25">
        <f t="shared" si="9"/>
        <v>0.51710648148148153</v>
      </c>
      <c r="Q263" s="23">
        <f>SUM($O$2:O263)</f>
        <v>0</v>
      </c>
      <c r="Y263" s="14"/>
      <c r="Z263" s="13"/>
      <c r="AA263"/>
    </row>
    <row r="264" spans="1:27" x14ac:dyDescent="0.2">
      <c r="A264" s="12" t="s">
        <v>907</v>
      </c>
      <c r="B264" t="s">
        <v>908</v>
      </c>
      <c r="C264" t="s">
        <v>909</v>
      </c>
      <c r="D264" t="s">
        <v>12</v>
      </c>
      <c r="E264" t="s">
        <v>13</v>
      </c>
      <c r="F264">
        <v>20</v>
      </c>
      <c r="G264">
        <v>188</v>
      </c>
      <c r="H264" s="5" t="s">
        <v>22</v>
      </c>
      <c r="I264" s="5">
        <v>0</v>
      </c>
      <c r="J264" s="5">
        <v>0</v>
      </c>
      <c r="K264" t="s">
        <v>10068</v>
      </c>
      <c r="L264" cm="1">
        <f t="array" ref="L264">wordCount(K264)</f>
        <v>10</v>
      </c>
      <c r="M264">
        <f t="shared" si="8"/>
        <v>64</v>
      </c>
      <c r="N264">
        <v>0.6</v>
      </c>
      <c r="O264" s="23" cm="1">
        <f t="array" ref="O264">WordListCount(K264,keywords!$A$2:$A$31)-WordListCount(K264,keywords!$B$2:$B$31)</f>
        <v>0</v>
      </c>
      <c r="P264" s="25">
        <f t="shared" si="9"/>
        <v>0.51715277777777779</v>
      </c>
      <c r="Q264" s="23">
        <f>SUM($O$2:O264)</f>
        <v>0</v>
      </c>
      <c r="Y264" s="14"/>
      <c r="Z264" s="13"/>
      <c r="AA264"/>
    </row>
    <row r="265" spans="1:27" x14ac:dyDescent="0.2">
      <c r="A265" s="12" t="s">
        <v>910</v>
      </c>
      <c r="B265" t="s">
        <v>911</v>
      </c>
      <c r="C265" t="s">
        <v>912</v>
      </c>
      <c r="D265" t="s">
        <v>12</v>
      </c>
      <c r="E265" t="s">
        <v>13</v>
      </c>
      <c r="F265">
        <v>280</v>
      </c>
      <c r="G265">
        <v>505</v>
      </c>
      <c r="H265" s="5" t="s">
        <v>22</v>
      </c>
      <c r="I265" s="5">
        <v>0</v>
      </c>
      <c r="J265" s="5">
        <v>0</v>
      </c>
      <c r="K265" t="s">
        <v>9092</v>
      </c>
      <c r="L265" cm="1">
        <f t="array" ref="L265">wordCount(K265)</f>
        <v>7</v>
      </c>
      <c r="M265">
        <f t="shared" si="8"/>
        <v>37</v>
      </c>
      <c r="N265">
        <v>0.83333333333333337</v>
      </c>
      <c r="O265" s="23" cm="1">
        <f t="array" ref="O265">WordListCount(K265,keywords!$A$2:$A$31)-WordListCount(K265,keywords!$B$2:$B$31)</f>
        <v>0</v>
      </c>
      <c r="P265" s="25">
        <f t="shared" si="9"/>
        <v>0.51729166666666659</v>
      </c>
      <c r="Q265" s="23">
        <f>SUM($O$2:O265)</f>
        <v>0</v>
      </c>
      <c r="Y265" s="14"/>
      <c r="Z265" s="13"/>
      <c r="AA265"/>
    </row>
    <row r="266" spans="1:27" x14ac:dyDescent="0.2">
      <c r="A266" s="12" t="s">
        <v>913</v>
      </c>
      <c r="B266" t="s">
        <v>914</v>
      </c>
      <c r="C266" t="s">
        <v>73</v>
      </c>
      <c r="D266" t="s">
        <v>74</v>
      </c>
      <c r="E266" t="s">
        <v>13</v>
      </c>
      <c r="F266">
        <v>87</v>
      </c>
      <c r="G266">
        <v>237</v>
      </c>
      <c r="H266" s="5" t="s">
        <v>22</v>
      </c>
      <c r="I266" s="5">
        <v>0</v>
      </c>
      <c r="J266" s="5">
        <v>0</v>
      </c>
      <c r="K266" t="s">
        <v>9093</v>
      </c>
      <c r="L266" cm="1">
        <f t="array" ref="L266">wordCount(K266)</f>
        <v>7</v>
      </c>
      <c r="M266">
        <f t="shared" si="8"/>
        <v>37</v>
      </c>
      <c r="N266">
        <v>1</v>
      </c>
      <c r="O266" s="23" cm="1">
        <f t="array" ref="O266">WordListCount(K266,keywords!$A$2:$A$31)-WordListCount(K266,keywords!$B$2:$B$31)</f>
        <v>0</v>
      </c>
      <c r="P266" s="25">
        <f t="shared" si="9"/>
        <v>0.51744212962962965</v>
      </c>
      <c r="Q266" s="23">
        <f>SUM($O$2:O266)</f>
        <v>0</v>
      </c>
      <c r="Y266" s="14"/>
      <c r="Z266" s="13"/>
      <c r="AA266"/>
    </row>
    <row r="267" spans="1:27" x14ac:dyDescent="0.2">
      <c r="A267" s="12" t="s">
        <v>915</v>
      </c>
      <c r="B267" t="s">
        <v>916</v>
      </c>
      <c r="C267" t="s">
        <v>917</v>
      </c>
      <c r="D267" t="s">
        <v>112</v>
      </c>
      <c r="E267" t="s">
        <v>13</v>
      </c>
      <c r="F267">
        <v>3316</v>
      </c>
      <c r="G267">
        <v>3347</v>
      </c>
      <c r="H267" s="5" t="s">
        <v>918</v>
      </c>
      <c r="I267" s="5">
        <v>0</v>
      </c>
      <c r="J267" s="5">
        <v>0</v>
      </c>
      <c r="K267" t="s">
        <v>10069</v>
      </c>
      <c r="L267" cm="1">
        <f t="array" ref="L267">wordCount(K267)</f>
        <v>9</v>
      </c>
      <c r="M267">
        <f t="shared" si="8"/>
        <v>34</v>
      </c>
      <c r="N267">
        <v>0.5</v>
      </c>
      <c r="O267" s="23" cm="1">
        <f t="array" ref="O267">WordListCount(K267,keywords!$A$2:$A$31)-WordListCount(K267,keywords!$B$2:$B$31)</f>
        <v>0</v>
      </c>
      <c r="P267" s="25">
        <f t="shared" si="9"/>
        <v>0.51788194444444446</v>
      </c>
      <c r="Q267" s="23">
        <f>SUM($O$2:O267)</f>
        <v>0</v>
      </c>
      <c r="Y267" s="14"/>
      <c r="Z267" s="13"/>
      <c r="AA267"/>
    </row>
    <row r="268" spans="1:27" x14ac:dyDescent="0.2">
      <c r="A268" s="12" t="s">
        <v>919</v>
      </c>
      <c r="B268" t="s">
        <v>920</v>
      </c>
      <c r="C268" t="s">
        <v>921</v>
      </c>
      <c r="D268" t="s">
        <v>186</v>
      </c>
      <c r="E268" t="s">
        <v>13</v>
      </c>
      <c r="F268">
        <v>211</v>
      </c>
      <c r="G268">
        <v>988</v>
      </c>
      <c r="H268" s="5" t="s">
        <v>22</v>
      </c>
      <c r="I268" s="5">
        <v>0</v>
      </c>
      <c r="J268" s="5">
        <v>0</v>
      </c>
      <c r="K268" t="s">
        <v>10070</v>
      </c>
      <c r="L268" cm="1">
        <f t="array" ref="L268">wordCount(K268)</f>
        <v>14</v>
      </c>
      <c r="M268">
        <f t="shared" si="8"/>
        <v>71</v>
      </c>
      <c r="N268">
        <v>0.14285714285714285</v>
      </c>
      <c r="O268" s="23" cm="1">
        <f t="array" ref="O268">WordListCount(K268,keywords!$A$2:$A$31)-WordListCount(K268,keywords!$B$2:$B$31)</f>
        <v>0</v>
      </c>
      <c r="P268" s="25">
        <f t="shared" si="9"/>
        <v>0.51802083333333326</v>
      </c>
      <c r="Q268" s="23">
        <f>SUM($O$2:O268)</f>
        <v>0</v>
      </c>
      <c r="Y268" s="14"/>
      <c r="Z268" s="13"/>
      <c r="AA268"/>
    </row>
    <row r="269" spans="1:27" x14ac:dyDescent="0.2">
      <c r="A269" s="12" t="s">
        <v>922</v>
      </c>
      <c r="B269" t="s">
        <v>923</v>
      </c>
      <c r="C269" t="s">
        <v>796</v>
      </c>
      <c r="D269" t="s">
        <v>797</v>
      </c>
      <c r="E269" t="s">
        <v>13</v>
      </c>
      <c r="F269">
        <v>3058</v>
      </c>
      <c r="G269">
        <v>983</v>
      </c>
      <c r="H269" s="5" t="s">
        <v>22</v>
      </c>
      <c r="I269" s="5">
        <v>0</v>
      </c>
      <c r="J269" s="5">
        <v>0</v>
      </c>
      <c r="K269" t="s">
        <v>9094</v>
      </c>
      <c r="L269" cm="1">
        <f t="array" ref="L269">wordCount(K269)</f>
        <v>8</v>
      </c>
      <c r="M269">
        <f t="shared" si="8"/>
        <v>51</v>
      </c>
      <c r="N269">
        <v>0.6</v>
      </c>
      <c r="O269" s="23" cm="1">
        <f t="array" ref="O269">WordListCount(K269,keywords!$A$2:$A$31)-WordListCount(K269,keywords!$B$2:$B$31)</f>
        <v>0</v>
      </c>
      <c r="P269" s="25">
        <f t="shared" si="9"/>
        <v>0.51831018518518512</v>
      </c>
      <c r="Q269" s="23">
        <f>SUM($O$2:O269)</f>
        <v>0</v>
      </c>
      <c r="Y269" s="14"/>
      <c r="Z269" s="13"/>
      <c r="AA269"/>
    </row>
    <row r="270" spans="1:27" x14ac:dyDescent="0.2">
      <c r="A270" s="12" t="s">
        <v>924</v>
      </c>
      <c r="B270" t="s">
        <v>925</v>
      </c>
      <c r="C270" t="s">
        <v>926</v>
      </c>
      <c r="D270" t="s">
        <v>927</v>
      </c>
      <c r="E270" t="s">
        <v>13</v>
      </c>
      <c r="F270">
        <v>1083</v>
      </c>
      <c r="G270">
        <v>43</v>
      </c>
      <c r="H270" s="5" t="s">
        <v>22</v>
      </c>
      <c r="I270" s="5">
        <v>0</v>
      </c>
      <c r="J270" s="5">
        <v>0</v>
      </c>
      <c r="K270" t="s">
        <v>9047</v>
      </c>
      <c r="L270" cm="1">
        <f t="array" ref="L270">wordCount(K270)</f>
        <v>1</v>
      </c>
      <c r="M270">
        <f t="shared" si="8"/>
        <v>7</v>
      </c>
      <c r="N270">
        <v>0.5</v>
      </c>
      <c r="O270" s="23" cm="1">
        <f t="array" ref="O270">WordListCount(K270,keywords!$A$2:$A$31)-WordListCount(K270,keywords!$B$2:$B$31)</f>
        <v>0</v>
      </c>
      <c r="P270" s="25">
        <f t="shared" si="9"/>
        <v>0.51909722222222221</v>
      </c>
      <c r="Q270" s="23">
        <f>SUM($O$2:O270)</f>
        <v>0</v>
      </c>
      <c r="Y270" s="14"/>
      <c r="Z270" s="13"/>
      <c r="AA270"/>
    </row>
    <row r="271" spans="1:27" x14ac:dyDescent="0.2">
      <c r="A271" s="12" t="s">
        <v>928</v>
      </c>
      <c r="B271" t="s">
        <v>929</v>
      </c>
      <c r="C271" t="s">
        <v>930</v>
      </c>
      <c r="D271" t="s">
        <v>12</v>
      </c>
      <c r="E271" t="s">
        <v>13</v>
      </c>
      <c r="F271">
        <v>94</v>
      </c>
      <c r="G271">
        <v>221</v>
      </c>
      <c r="H271" s="5" t="s">
        <v>22</v>
      </c>
      <c r="I271" s="5">
        <v>0</v>
      </c>
      <c r="J271" s="5">
        <v>0</v>
      </c>
      <c r="K271" t="s">
        <v>9095</v>
      </c>
      <c r="L271" cm="1">
        <f t="array" ref="L271">wordCount(K271)</f>
        <v>15</v>
      </c>
      <c r="M271">
        <f t="shared" si="8"/>
        <v>72</v>
      </c>
      <c r="N271">
        <v>0.56000000000000005</v>
      </c>
      <c r="O271" s="23" cm="1">
        <f t="array" ref="O271">WordListCount(K271,keywords!$A$2:$A$31)-WordListCount(K271,keywords!$B$2:$B$31)</f>
        <v>0</v>
      </c>
      <c r="P271" s="25">
        <f t="shared" si="9"/>
        <v>0.51921296296296293</v>
      </c>
      <c r="Q271" s="23">
        <f>SUM($O$2:O271)</f>
        <v>0</v>
      </c>
      <c r="Y271" s="14"/>
      <c r="Z271" s="13"/>
      <c r="AA271"/>
    </row>
    <row r="272" spans="1:27" x14ac:dyDescent="0.2">
      <c r="A272" s="12" t="s">
        <v>931</v>
      </c>
      <c r="B272" t="s">
        <v>932</v>
      </c>
      <c r="C272" t="s">
        <v>933</v>
      </c>
      <c r="D272" t="s">
        <v>337</v>
      </c>
      <c r="E272" t="s">
        <v>13</v>
      </c>
      <c r="F272">
        <v>160</v>
      </c>
      <c r="G272">
        <v>279</v>
      </c>
      <c r="H272" s="5" t="s">
        <v>22</v>
      </c>
      <c r="I272" s="5">
        <v>0</v>
      </c>
      <c r="J272" s="5">
        <v>0</v>
      </c>
      <c r="K272" t="s">
        <v>10071</v>
      </c>
      <c r="L272" cm="1">
        <f t="array" ref="L272">wordCount(K272)</f>
        <v>10</v>
      </c>
      <c r="M272">
        <f t="shared" si="8"/>
        <v>66</v>
      </c>
      <c r="N272">
        <v>0.5</v>
      </c>
      <c r="O272" s="23" cm="1">
        <f t="array" ref="O272">WordListCount(K272,keywords!$A$2:$A$31)-WordListCount(K272,keywords!$B$2:$B$31)</f>
        <v>-1</v>
      </c>
      <c r="P272" s="25">
        <f t="shared" si="9"/>
        <v>0.51923611111111112</v>
      </c>
      <c r="Q272" s="23">
        <f>SUM($O$2:O272)</f>
        <v>-1</v>
      </c>
      <c r="Y272" s="14"/>
      <c r="Z272" s="13"/>
      <c r="AA272"/>
    </row>
    <row r="273" spans="1:27" x14ac:dyDescent="0.2">
      <c r="A273" s="12" t="s">
        <v>934</v>
      </c>
      <c r="B273" t="s">
        <v>935</v>
      </c>
      <c r="C273" t="s">
        <v>936</v>
      </c>
      <c r="D273" t="s">
        <v>12</v>
      </c>
      <c r="E273" t="s">
        <v>13</v>
      </c>
      <c r="F273">
        <v>14920</v>
      </c>
      <c r="G273">
        <v>8377</v>
      </c>
      <c r="H273" s="5" t="s">
        <v>22</v>
      </c>
      <c r="I273" s="5">
        <v>0</v>
      </c>
      <c r="J273" s="5">
        <v>0</v>
      </c>
      <c r="K273" t="s">
        <v>10072</v>
      </c>
      <c r="L273" cm="1">
        <f t="array" ref="L273">wordCount(K273)</f>
        <v>14</v>
      </c>
      <c r="M273">
        <f t="shared" si="8"/>
        <v>88</v>
      </c>
      <c r="N273">
        <v>0.55555555555555558</v>
      </c>
      <c r="O273" s="23" cm="1">
        <f t="array" ref="O273">WordListCount(K273,keywords!$A$2:$A$31)-WordListCount(K273,keywords!$B$2:$B$31)</f>
        <v>0</v>
      </c>
      <c r="P273" s="25">
        <f t="shared" si="9"/>
        <v>0.51928240740740739</v>
      </c>
      <c r="Q273" s="23">
        <f>SUM($O$2:O273)</f>
        <v>-1</v>
      </c>
      <c r="Y273" s="14"/>
      <c r="Z273" s="13"/>
      <c r="AA273"/>
    </row>
    <row r="274" spans="1:27" x14ac:dyDescent="0.2">
      <c r="A274" s="12" t="s">
        <v>937</v>
      </c>
      <c r="B274" t="s">
        <v>938</v>
      </c>
      <c r="C274" t="s">
        <v>939</v>
      </c>
      <c r="D274" t="s">
        <v>12</v>
      </c>
      <c r="E274" t="s">
        <v>13</v>
      </c>
      <c r="F274">
        <v>18</v>
      </c>
      <c r="G274">
        <v>119</v>
      </c>
      <c r="H274" s="5" t="s">
        <v>22</v>
      </c>
      <c r="I274" s="5">
        <v>0</v>
      </c>
      <c r="J274" s="5">
        <v>0</v>
      </c>
      <c r="K274" t="s">
        <v>10073</v>
      </c>
      <c r="L274" cm="1">
        <f t="array" ref="L274">wordCount(K274)</f>
        <v>9</v>
      </c>
      <c r="M274">
        <f t="shared" si="8"/>
        <v>48</v>
      </c>
      <c r="N274">
        <v>0.46153846153846156</v>
      </c>
      <c r="O274" s="23" cm="1">
        <f t="array" ref="O274">WordListCount(K274,keywords!$A$2:$A$31)-WordListCount(K274,keywords!$B$2:$B$31)</f>
        <v>0</v>
      </c>
      <c r="P274" s="25">
        <f t="shared" si="9"/>
        <v>0.52012731481481478</v>
      </c>
      <c r="Q274" s="23">
        <f>SUM($O$2:O274)</f>
        <v>-1</v>
      </c>
      <c r="Y274" s="14"/>
      <c r="Z274" s="13"/>
      <c r="AA274"/>
    </row>
    <row r="275" spans="1:27" x14ac:dyDescent="0.2">
      <c r="A275" s="12" t="s">
        <v>940</v>
      </c>
      <c r="B275" t="s">
        <v>941</v>
      </c>
      <c r="C275" t="s">
        <v>942</v>
      </c>
      <c r="D275" t="s">
        <v>12</v>
      </c>
      <c r="E275" t="s">
        <v>13</v>
      </c>
      <c r="F275">
        <v>63</v>
      </c>
      <c r="G275">
        <v>345</v>
      </c>
      <c r="H275" s="5" t="s">
        <v>59</v>
      </c>
      <c r="I275" s="5">
        <v>0</v>
      </c>
      <c r="J275" s="5">
        <v>0</v>
      </c>
      <c r="K275" t="s">
        <v>10074</v>
      </c>
      <c r="L275" cm="1">
        <f t="array" ref="L275">wordCount(K275)</f>
        <v>13</v>
      </c>
      <c r="M275">
        <f t="shared" si="8"/>
        <v>67</v>
      </c>
      <c r="N275">
        <v>0.47368421052631576</v>
      </c>
      <c r="O275" s="23" cm="1">
        <f t="array" ref="O275">WordListCount(K275,keywords!$A$2:$A$31)-WordListCount(K275,keywords!$B$2:$B$31)</f>
        <v>0</v>
      </c>
      <c r="P275" s="25">
        <f t="shared" si="9"/>
        <v>0.52043981481481483</v>
      </c>
      <c r="Q275" s="23">
        <f>SUM($O$2:O275)</f>
        <v>-1</v>
      </c>
      <c r="Y275" s="14"/>
      <c r="Z275" s="13"/>
      <c r="AA275"/>
    </row>
    <row r="276" spans="1:27" x14ac:dyDescent="0.2">
      <c r="A276" s="12" t="s">
        <v>943</v>
      </c>
      <c r="B276" t="s">
        <v>944</v>
      </c>
      <c r="C276" t="s">
        <v>306</v>
      </c>
      <c r="D276" t="s">
        <v>307</v>
      </c>
      <c r="E276" t="s">
        <v>13</v>
      </c>
      <c r="F276">
        <v>228</v>
      </c>
      <c r="G276">
        <v>1</v>
      </c>
      <c r="H276" s="5" t="s">
        <v>22</v>
      </c>
      <c r="I276" s="5">
        <v>0</v>
      </c>
      <c r="J276" s="5">
        <v>0</v>
      </c>
      <c r="K276" t="s">
        <v>9096</v>
      </c>
      <c r="L276" cm="1">
        <f t="array" ref="L276">wordCount(K276)</f>
        <v>7</v>
      </c>
      <c r="M276">
        <f t="shared" si="8"/>
        <v>103</v>
      </c>
      <c r="N276">
        <v>0.53846153846153844</v>
      </c>
      <c r="O276" s="23" cm="1">
        <f t="array" ref="O276">WordListCount(K276,keywords!$A$2:$A$31)-WordListCount(K276,keywords!$B$2:$B$31)</f>
        <v>0</v>
      </c>
      <c r="P276" s="25">
        <f t="shared" si="9"/>
        <v>0.52085648148148145</v>
      </c>
      <c r="Q276" s="23">
        <f>SUM($O$2:O276)</f>
        <v>-1</v>
      </c>
      <c r="Y276" s="14"/>
      <c r="Z276" s="13"/>
      <c r="AA276"/>
    </row>
    <row r="277" spans="1:27" x14ac:dyDescent="0.2">
      <c r="A277" s="12" t="s">
        <v>945</v>
      </c>
      <c r="B277" t="s">
        <v>946</v>
      </c>
      <c r="C277" t="s">
        <v>947</v>
      </c>
      <c r="D277" t="s">
        <v>12</v>
      </c>
      <c r="E277" t="s">
        <v>13</v>
      </c>
      <c r="F277">
        <v>5</v>
      </c>
      <c r="G277">
        <v>21</v>
      </c>
      <c r="H277" s="5" t="s">
        <v>42</v>
      </c>
      <c r="I277" s="5">
        <v>0</v>
      </c>
      <c r="J277" s="5">
        <v>0</v>
      </c>
      <c r="K277" t="s">
        <v>10075</v>
      </c>
      <c r="L277" cm="1">
        <f t="array" ref="L277">wordCount(K277)</f>
        <v>17</v>
      </c>
      <c r="M277">
        <f t="shared" si="8"/>
        <v>79</v>
      </c>
      <c r="N277">
        <v>0.6071428571428571</v>
      </c>
      <c r="O277" s="23" cm="1">
        <f t="array" ref="O277">WordListCount(K277,keywords!$A$2:$A$31)-WordListCount(K277,keywords!$B$2:$B$31)</f>
        <v>0</v>
      </c>
      <c r="P277" s="25">
        <f t="shared" si="9"/>
        <v>0.52087962962962964</v>
      </c>
      <c r="Q277" s="23">
        <f>SUM($O$2:O277)</f>
        <v>-1</v>
      </c>
      <c r="Y277" s="14"/>
      <c r="Z277" s="13"/>
      <c r="AA277"/>
    </row>
    <row r="278" spans="1:27" x14ac:dyDescent="0.2">
      <c r="A278" s="12" t="s">
        <v>948</v>
      </c>
      <c r="B278" t="s">
        <v>949</v>
      </c>
      <c r="C278" t="s">
        <v>950</v>
      </c>
      <c r="D278" t="s">
        <v>12</v>
      </c>
      <c r="E278" t="s">
        <v>13</v>
      </c>
      <c r="F278">
        <v>1564</v>
      </c>
      <c r="G278">
        <v>5000</v>
      </c>
      <c r="H278" s="5" t="s">
        <v>22</v>
      </c>
      <c r="I278" s="5">
        <v>0</v>
      </c>
      <c r="J278" s="5">
        <v>0</v>
      </c>
      <c r="K278" t="s">
        <v>10076</v>
      </c>
      <c r="L278" cm="1">
        <f t="array" ref="L278">wordCount(K278)</f>
        <v>21</v>
      </c>
      <c r="M278">
        <f t="shared" si="8"/>
        <v>107</v>
      </c>
      <c r="N278">
        <v>0.57499999999999996</v>
      </c>
      <c r="O278" s="23" cm="1">
        <f t="array" ref="O278">WordListCount(K278,keywords!$A$2:$A$31)-WordListCount(K278,keywords!$B$2:$B$31)</f>
        <v>0</v>
      </c>
      <c r="P278" s="25">
        <f t="shared" si="9"/>
        <v>0.52105324074074078</v>
      </c>
      <c r="Q278" s="23">
        <f>SUM($O$2:O278)</f>
        <v>-1</v>
      </c>
      <c r="Y278" s="14"/>
      <c r="Z278" s="13"/>
      <c r="AA278"/>
    </row>
    <row r="279" spans="1:27" x14ac:dyDescent="0.2">
      <c r="A279" s="12" t="s">
        <v>951</v>
      </c>
      <c r="B279" t="s">
        <v>952</v>
      </c>
      <c r="C279" t="s">
        <v>953</v>
      </c>
      <c r="D279" t="s">
        <v>954</v>
      </c>
      <c r="E279" t="s">
        <v>13</v>
      </c>
      <c r="F279">
        <v>33</v>
      </c>
      <c r="G279">
        <v>26</v>
      </c>
      <c r="H279" s="5" t="s">
        <v>22</v>
      </c>
      <c r="I279" s="5">
        <v>0</v>
      </c>
      <c r="J279" s="5">
        <v>0</v>
      </c>
      <c r="K279" t="s">
        <v>9097</v>
      </c>
      <c r="L279" cm="1">
        <f t="array" ref="L279">wordCount(K279)</f>
        <v>9</v>
      </c>
      <c r="M279">
        <f t="shared" si="8"/>
        <v>49</v>
      </c>
      <c r="N279">
        <v>0.22222222222222221</v>
      </c>
      <c r="O279" s="23" cm="1">
        <f t="array" ref="O279">WordListCount(K279,keywords!$A$2:$A$31)-WordListCount(K279,keywords!$B$2:$B$31)</f>
        <v>0</v>
      </c>
      <c r="P279" s="25">
        <f t="shared" si="9"/>
        <v>0.52114583333333331</v>
      </c>
      <c r="Q279" s="23">
        <f>SUM($O$2:O279)</f>
        <v>-1</v>
      </c>
      <c r="Y279" s="14"/>
      <c r="Z279" s="13"/>
      <c r="AA279"/>
    </row>
    <row r="280" spans="1:27" x14ac:dyDescent="0.2">
      <c r="A280" s="12" t="s">
        <v>955</v>
      </c>
      <c r="B280" t="s">
        <v>956</v>
      </c>
      <c r="C280" t="s">
        <v>957</v>
      </c>
      <c r="D280" t="s">
        <v>12</v>
      </c>
      <c r="E280" t="s">
        <v>13</v>
      </c>
      <c r="F280">
        <v>71</v>
      </c>
      <c r="G280">
        <v>39</v>
      </c>
      <c r="H280" s="5" t="s">
        <v>22</v>
      </c>
      <c r="I280" s="5">
        <v>0</v>
      </c>
      <c r="J280" s="5">
        <v>0</v>
      </c>
      <c r="K280" t="s">
        <v>10077</v>
      </c>
      <c r="L280" cm="1">
        <f t="array" ref="L280">wordCount(K280)</f>
        <v>5</v>
      </c>
      <c r="M280">
        <f t="shared" si="8"/>
        <v>34</v>
      </c>
      <c r="N280">
        <v>0.66666666666666663</v>
      </c>
      <c r="O280" s="23" cm="1">
        <f t="array" ref="O280">WordListCount(K280,keywords!$A$2:$A$31)-WordListCount(K280,keywords!$B$2:$B$31)</f>
        <v>0</v>
      </c>
      <c r="P280" s="25">
        <f t="shared" si="9"/>
        <v>0.52119212962962969</v>
      </c>
      <c r="Q280" s="23">
        <f>SUM($O$2:O280)</f>
        <v>-1</v>
      </c>
      <c r="Y280" s="14"/>
      <c r="Z280" s="13"/>
      <c r="AA280"/>
    </row>
    <row r="281" spans="1:27" x14ac:dyDescent="0.2">
      <c r="A281" s="12" t="s">
        <v>958</v>
      </c>
      <c r="B281" t="s">
        <v>959</v>
      </c>
      <c r="C281" t="s">
        <v>960</v>
      </c>
      <c r="D281" t="s">
        <v>12</v>
      </c>
      <c r="E281" t="s">
        <v>13</v>
      </c>
      <c r="F281">
        <v>6</v>
      </c>
      <c r="G281">
        <v>33</v>
      </c>
      <c r="H281" s="5" t="s">
        <v>125</v>
      </c>
      <c r="I281" s="5">
        <v>0</v>
      </c>
      <c r="J281" s="5">
        <v>0</v>
      </c>
      <c r="K281" t="s">
        <v>9098</v>
      </c>
      <c r="L281" cm="1">
        <f t="array" ref="L281">wordCount(K281)</f>
        <v>1</v>
      </c>
      <c r="M281">
        <f t="shared" si="8"/>
        <v>4</v>
      </c>
      <c r="N281">
        <v>0.88888888888888884</v>
      </c>
      <c r="O281" s="23" cm="1">
        <f t="array" ref="O281">WordListCount(K281,keywords!$A$2:$A$31)-WordListCount(K281,keywords!$B$2:$B$31)</f>
        <v>0</v>
      </c>
      <c r="P281" s="25">
        <f t="shared" si="9"/>
        <v>0.52143518518518517</v>
      </c>
      <c r="Q281" s="23">
        <f>SUM($O$2:O281)</f>
        <v>-1</v>
      </c>
      <c r="Y281" s="14"/>
      <c r="Z281" s="13"/>
      <c r="AA281"/>
    </row>
    <row r="282" spans="1:27" x14ac:dyDescent="0.2">
      <c r="A282" s="12" t="s">
        <v>961</v>
      </c>
      <c r="B282" t="s">
        <v>962</v>
      </c>
      <c r="C282" t="s">
        <v>963</v>
      </c>
      <c r="D282" t="s">
        <v>12</v>
      </c>
      <c r="E282" t="s">
        <v>13</v>
      </c>
      <c r="F282">
        <v>4071</v>
      </c>
      <c r="G282">
        <v>423</v>
      </c>
      <c r="H282" s="5" t="s">
        <v>22</v>
      </c>
      <c r="I282" s="5">
        <v>0</v>
      </c>
      <c r="J282" s="5">
        <v>0</v>
      </c>
      <c r="K282" t="s">
        <v>10078</v>
      </c>
      <c r="L282" cm="1">
        <f t="array" ref="L282">wordCount(K282)</f>
        <v>21</v>
      </c>
      <c r="M282">
        <f t="shared" si="8"/>
        <v>123</v>
      </c>
      <c r="N282">
        <v>0.5</v>
      </c>
      <c r="O282" s="23" cm="1">
        <f t="array" ref="O282">WordListCount(K282,keywords!$A$2:$A$31)-WordListCount(K282,keywords!$B$2:$B$31)</f>
        <v>0</v>
      </c>
      <c r="P282" s="25">
        <f t="shared" si="9"/>
        <v>0.52164351851851853</v>
      </c>
      <c r="Q282" s="23">
        <f>SUM($O$2:O282)</f>
        <v>-1</v>
      </c>
      <c r="Y282" s="14"/>
      <c r="Z282" s="13"/>
      <c r="AA282"/>
    </row>
    <row r="283" spans="1:27" x14ac:dyDescent="0.2">
      <c r="A283" s="12" t="s">
        <v>964</v>
      </c>
      <c r="B283" t="s">
        <v>965</v>
      </c>
      <c r="C283" t="s">
        <v>318</v>
      </c>
      <c r="D283" t="s">
        <v>319</v>
      </c>
      <c r="E283" t="s">
        <v>13</v>
      </c>
      <c r="F283">
        <v>51</v>
      </c>
      <c r="G283">
        <v>62</v>
      </c>
      <c r="H283" s="5" t="s">
        <v>22</v>
      </c>
      <c r="I283" s="5">
        <v>0</v>
      </c>
      <c r="J283" s="5">
        <v>0</v>
      </c>
      <c r="K283" t="s">
        <v>10079</v>
      </c>
      <c r="L283" cm="1">
        <f t="array" ref="L283">wordCount(K283)</f>
        <v>14</v>
      </c>
      <c r="M283">
        <f t="shared" si="8"/>
        <v>74</v>
      </c>
      <c r="N283">
        <v>0.82352941176470584</v>
      </c>
      <c r="O283" s="23" cm="1">
        <f t="array" ref="O283">WordListCount(K283,keywords!$A$2:$A$31)-WordListCount(K283,keywords!$B$2:$B$31)</f>
        <v>0</v>
      </c>
      <c r="P283" s="25">
        <f t="shared" si="9"/>
        <v>0.52167824074074076</v>
      </c>
      <c r="Q283" s="23">
        <f>SUM($O$2:O283)</f>
        <v>-1</v>
      </c>
      <c r="Y283" s="14"/>
      <c r="Z283" s="13"/>
      <c r="AA283"/>
    </row>
    <row r="284" spans="1:27" x14ac:dyDescent="0.2">
      <c r="A284" s="12" t="s">
        <v>966</v>
      </c>
      <c r="B284" t="s">
        <v>967</v>
      </c>
      <c r="C284" t="s">
        <v>968</v>
      </c>
      <c r="D284" t="s">
        <v>12</v>
      </c>
      <c r="E284" t="s">
        <v>13</v>
      </c>
      <c r="F284">
        <v>1032</v>
      </c>
      <c r="G284">
        <v>2541</v>
      </c>
      <c r="H284" s="5" t="s">
        <v>22</v>
      </c>
      <c r="I284" s="5">
        <v>0</v>
      </c>
      <c r="J284" s="5">
        <v>0</v>
      </c>
      <c r="K284" t="s">
        <v>10080</v>
      </c>
      <c r="L284" cm="1">
        <f t="array" ref="L284">wordCount(K284)</f>
        <v>12</v>
      </c>
      <c r="M284">
        <f t="shared" si="8"/>
        <v>65</v>
      </c>
      <c r="N284">
        <v>0.56000000000000005</v>
      </c>
      <c r="O284" s="23" cm="1">
        <f t="array" ref="O284">WordListCount(K284,keywords!$A$2:$A$31)-WordListCount(K284,keywords!$B$2:$B$31)</f>
        <v>0</v>
      </c>
      <c r="P284" s="25">
        <f t="shared" si="9"/>
        <v>0.52174768518518522</v>
      </c>
      <c r="Q284" s="23">
        <f>SUM($O$2:O284)</f>
        <v>-1</v>
      </c>
      <c r="Y284" s="14"/>
      <c r="Z284" s="13"/>
      <c r="AA284"/>
    </row>
    <row r="285" spans="1:27" x14ac:dyDescent="0.2">
      <c r="A285" s="12" t="s">
        <v>969</v>
      </c>
      <c r="B285" t="s">
        <v>970</v>
      </c>
      <c r="C285" t="s">
        <v>971</v>
      </c>
      <c r="D285" t="s">
        <v>12</v>
      </c>
      <c r="E285" t="s">
        <v>13</v>
      </c>
      <c r="F285">
        <v>30</v>
      </c>
      <c r="G285">
        <v>23</v>
      </c>
      <c r="H285" s="5" t="s">
        <v>22</v>
      </c>
      <c r="I285" s="5">
        <v>0</v>
      </c>
      <c r="J285" s="5">
        <v>0</v>
      </c>
      <c r="K285" t="s">
        <v>9099</v>
      </c>
      <c r="L285" cm="1">
        <f t="array" ref="L285">wordCount(K285)</f>
        <v>8</v>
      </c>
      <c r="M285">
        <f t="shared" si="8"/>
        <v>53</v>
      </c>
      <c r="N285">
        <v>0.68181818181818177</v>
      </c>
      <c r="O285" s="23" cm="1">
        <f t="array" ref="O285">WordListCount(K285,keywords!$A$2:$A$31)-WordListCount(K285,keywords!$B$2:$B$31)</f>
        <v>1</v>
      </c>
      <c r="P285" s="25">
        <f t="shared" si="9"/>
        <v>0.5218518518518519</v>
      </c>
      <c r="Q285" s="23">
        <f>SUM($O$2:O285)</f>
        <v>0</v>
      </c>
      <c r="Y285" s="14"/>
      <c r="Z285" s="13"/>
      <c r="AA285"/>
    </row>
    <row r="286" spans="1:27" x14ac:dyDescent="0.2">
      <c r="A286" s="12" t="s">
        <v>972</v>
      </c>
      <c r="B286" t="s">
        <v>973</v>
      </c>
      <c r="C286" t="s">
        <v>974</v>
      </c>
      <c r="D286" t="s">
        <v>975</v>
      </c>
      <c r="E286" t="s">
        <v>13</v>
      </c>
      <c r="F286">
        <v>214</v>
      </c>
      <c r="G286">
        <v>632</v>
      </c>
      <c r="H286" s="5" t="s">
        <v>22</v>
      </c>
      <c r="I286" s="5">
        <v>0</v>
      </c>
      <c r="J286" s="5">
        <v>0</v>
      </c>
      <c r="K286" t="s">
        <v>10081</v>
      </c>
      <c r="L286" cm="1">
        <f t="array" ref="L286">wordCount(K286)</f>
        <v>18</v>
      </c>
      <c r="M286">
        <f t="shared" si="8"/>
        <v>82</v>
      </c>
      <c r="N286">
        <v>0.56666666666666665</v>
      </c>
      <c r="O286" s="23" cm="1">
        <f t="array" ref="O286">WordListCount(K286,keywords!$A$2:$A$31)-WordListCount(K286,keywords!$B$2:$B$31)</f>
        <v>0</v>
      </c>
      <c r="P286" s="25">
        <f t="shared" si="9"/>
        <v>0.52196759259259262</v>
      </c>
      <c r="Q286" s="23">
        <f>SUM($O$2:O286)</f>
        <v>0</v>
      </c>
      <c r="Y286" s="14"/>
      <c r="Z286" s="13"/>
      <c r="AA286"/>
    </row>
    <row r="287" spans="1:27" x14ac:dyDescent="0.2">
      <c r="A287" s="12" t="s">
        <v>976</v>
      </c>
      <c r="B287" t="s">
        <v>977</v>
      </c>
      <c r="C287" t="s">
        <v>978</v>
      </c>
      <c r="D287" t="s">
        <v>776</v>
      </c>
      <c r="E287" t="s">
        <v>13</v>
      </c>
      <c r="F287">
        <v>144</v>
      </c>
      <c r="G287">
        <v>303</v>
      </c>
      <c r="H287" s="5" t="s">
        <v>22</v>
      </c>
      <c r="I287" s="5">
        <v>0</v>
      </c>
      <c r="J287" s="5">
        <v>0</v>
      </c>
      <c r="K287" t="s">
        <v>10082</v>
      </c>
      <c r="L287" cm="1">
        <f t="array" ref="L287">wordCount(K287)</f>
        <v>8</v>
      </c>
      <c r="M287">
        <f t="shared" si="8"/>
        <v>46</v>
      </c>
      <c r="N287">
        <v>0.22222222222222221</v>
      </c>
      <c r="O287" s="23" cm="1">
        <f t="array" ref="O287">WordListCount(K287,keywords!$A$2:$A$31)-WordListCount(K287,keywords!$B$2:$B$31)</f>
        <v>1</v>
      </c>
      <c r="P287" s="25">
        <f t="shared" si="9"/>
        <v>0.52202546296296293</v>
      </c>
      <c r="Q287" s="23">
        <f>SUM($O$2:O287)</f>
        <v>1</v>
      </c>
      <c r="Y287" s="14"/>
      <c r="Z287" s="13"/>
      <c r="AA287"/>
    </row>
    <row r="288" spans="1:27" x14ac:dyDescent="0.2">
      <c r="A288" s="12" t="s">
        <v>979</v>
      </c>
      <c r="B288" t="s">
        <v>980</v>
      </c>
      <c r="C288" t="s">
        <v>981</v>
      </c>
      <c r="D288" t="s">
        <v>982</v>
      </c>
      <c r="E288" t="s">
        <v>13</v>
      </c>
      <c r="F288">
        <v>1059</v>
      </c>
      <c r="G288">
        <v>100</v>
      </c>
      <c r="H288" s="5" t="s">
        <v>22</v>
      </c>
      <c r="I288" s="5">
        <v>0</v>
      </c>
      <c r="J288" s="5">
        <v>0</v>
      </c>
      <c r="K288" t="s">
        <v>9100</v>
      </c>
      <c r="L288" cm="1">
        <f t="array" ref="L288">wordCount(K288)</f>
        <v>10</v>
      </c>
      <c r="M288">
        <f t="shared" si="8"/>
        <v>51</v>
      </c>
      <c r="N288">
        <v>0.75757575757575757</v>
      </c>
      <c r="O288" s="23" cm="1">
        <f t="array" ref="O288">WordListCount(K288,keywords!$A$2:$A$31)-WordListCount(K288,keywords!$B$2:$B$31)</f>
        <v>0</v>
      </c>
      <c r="P288" s="25">
        <f t="shared" si="9"/>
        <v>0.52230324074074075</v>
      </c>
      <c r="Q288" s="23">
        <f>SUM($O$2:O288)</f>
        <v>1</v>
      </c>
      <c r="Y288" s="14"/>
      <c r="Z288" s="13"/>
      <c r="AA288"/>
    </row>
    <row r="289" spans="1:27" x14ac:dyDescent="0.2">
      <c r="A289" s="12" t="s">
        <v>983</v>
      </c>
      <c r="B289" t="s">
        <v>984</v>
      </c>
      <c r="C289" t="s">
        <v>985</v>
      </c>
      <c r="D289" t="s">
        <v>986</v>
      </c>
      <c r="E289" t="s">
        <v>13</v>
      </c>
      <c r="F289">
        <v>4140</v>
      </c>
      <c r="G289">
        <v>2233</v>
      </c>
      <c r="H289" s="5" t="s">
        <v>96</v>
      </c>
      <c r="I289" s="5">
        <v>0</v>
      </c>
      <c r="J289" s="5">
        <v>0</v>
      </c>
      <c r="K289" t="s">
        <v>10083</v>
      </c>
      <c r="L289" cm="1">
        <f t="array" ref="L289">wordCount(K289)</f>
        <v>12</v>
      </c>
      <c r="M289">
        <f t="shared" si="8"/>
        <v>61</v>
      </c>
      <c r="N289">
        <v>0.67741935483870963</v>
      </c>
      <c r="O289" s="23" cm="1">
        <f t="array" ref="O289">WordListCount(K289,keywords!$A$2:$A$31)-WordListCount(K289,keywords!$B$2:$B$31)</f>
        <v>0</v>
      </c>
      <c r="P289" s="25">
        <f t="shared" si="9"/>
        <v>0.52240740740740743</v>
      </c>
      <c r="Q289" s="23">
        <f>SUM($O$2:O289)</f>
        <v>1</v>
      </c>
      <c r="Y289" s="14"/>
      <c r="Z289" s="13"/>
      <c r="AA289"/>
    </row>
    <row r="290" spans="1:27" x14ac:dyDescent="0.2">
      <c r="A290" s="12" t="s">
        <v>987</v>
      </c>
      <c r="B290" t="s">
        <v>988</v>
      </c>
      <c r="C290" t="s">
        <v>989</v>
      </c>
      <c r="D290" t="s">
        <v>990</v>
      </c>
      <c r="E290" t="s">
        <v>13</v>
      </c>
      <c r="F290">
        <v>101</v>
      </c>
      <c r="G290">
        <v>295</v>
      </c>
      <c r="H290" s="5" t="s">
        <v>22</v>
      </c>
      <c r="I290" s="5">
        <v>0</v>
      </c>
      <c r="J290" s="5">
        <v>0</v>
      </c>
      <c r="K290" t="s">
        <v>9101</v>
      </c>
      <c r="L290" cm="1">
        <f t="array" ref="L290">wordCount(K290)</f>
        <v>7</v>
      </c>
      <c r="M290">
        <f t="shared" si="8"/>
        <v>30</v>
      </c>
      <c r="N290">
        <v>0.83333333333333337</v>
      </c>
      <c r="O290" s="23" cm="1">
        <f t="array" ref="O290">WordListCount(K290,keywords!$A$2:$A$31)-WordListCount(K290,keywords!$B$2:$B$31)</f>
        <v>0</v>
      </c>
      <c r="P290" s="25">
        <f t="shared" si="9"/>
        <v>0.52244212962962966</v>
      </c>
      <c r="Q290" s="23">
        <f>SUM($O$2:O290)</f>
        <v>1</v>
      </c>
      <c r="Y290" s="14"/>
      <c r="Z290" s="13"/>
      <c r="AA290"/>
    </row>
    <row r="291" spans="1:27" x14ac:dyDescent="0.2">
      <c r="A291" s="12" t="s">
        <v>991</v>
      </c>
      <c r="B291" t="s">
        <v>992</v>
      </c>
      <c r="C291" t="s">
        <v>950</v>
      </c>
      <c r="D291" t="s">
        <v>12</v>
      </c>
      <c r="E291" t="s">
        <v>13</v>
      </c>
      <c r="F291">
        <v>1564</v>
      </c>
      <c r="G291">
        <v>5000</v>
      </c>
      <c r="H291" s="5" t="s">
        <v>22</v>
      </c>
      <c r="I291" s="5">
        <v>0</v>
      </c>
      <c r="J291" s="5">
        <v>0</v>
      </c>
      <c r="K291" t="s">
        <v>10084</v>
      </c>
      <c r="L291" cm="1">
        <f t="array" ref="L291">wordCount(K291)</f>
        <v>19</v>
      </c>
      <c r="M291">
        <f t="shared" si="8"/>
        <v>111</v>
      </c>
      <c r="N291">
        <v>0.55555555555555558</v>
      </c>
      <c r="O291" s="23" cm="1">
        <f t="array" ref="O291">WordListCount(K291,keywords!$A$2:$A$31)-WordListCount(K291,keywords!$B$2:$B$31)</f>
        <v>-1</v>
      </c>
      <c r="P291" s="25">
        <f t="shared" si="9"/>
        <v>0.5224537037037037</v>
      </c>
      <c r="Q291" s="23">
        <f>SUM($O$2:O291)</f>
        <v>0</v>
      </c>
      <c r="Y291" s="14"/>
      <c r="Z291" s="13"/>
      <c r="AA291"/>
    </row>
    <row r="292" spans="1:27" x14ac:dyDescent="0.2">
      <c r="A292" s="12" t="s">
        <v>993</v>
      </c>
      <c r="B292" t="s">
        <v>994</v>
      </c>
      <c r="C292" t="s">
        <v>995</v>
      </c>
      <c r="D292" t="s">
        <v>12</v>
      </c>
      <c r="E292" t="s">
        <v>13</v>
      </c>
      <c r="F292">
        <v>300</v>
      </c>
      <c r="G292">
        <v>321</v>
      </c>
      <c r="H292" s="5" t="s">
        <v>22</v>
      </c>
      <c r="I292" s="5">
        <v>0</v>
      </c>
      <c r="J292" s="5">
        <v>0</v>
      </c>
      <c r="K292" t="s">
        <v>9047</v>
      </c>
      <c r="L292" cm="1">
        <f t="array" ref="L292">wordCount(K292)</f>
        <v>1</v>
      </c>
      <c r="M292">
        <f t="shared" si="8"/>
        <v>7</v>
      </c>
      <c r="N292">
        <v>0.5</v>
      </c>
      <c r="O292" s="23" cm="1">
        <f t="array" ref="O292">WordListCount(K292,keywords!$A$2:$A$31)-WordListCount(K292,keywords!$B$2:$B$31)</f>
        <v>0</v>
      </c>
      <c r="P292" s="25">
        <f t="shared" si="9"/>
        <v>0.52252314814814815</v>
      </c>
      <c r="Q292" s="23">
        <f>SUM($O$2:O292)</f>
        <v>0</v>
      </c>
      <c r="Y292" s="14"/>
      <c r="Z292" s="13"/>
      <c r="AA292"/>
    </row>
    <row r="293" spans="1:27" x14ac:dyDescent="0.2">
      <c r="A293" s="12" t="s">
        <v>996</v>
      </c>
      <c r="B293" t="s">
        <v>997</v>
      </c>
      <c r="C293" t="s">
        <v>998</v>
      </c>
      <c r="D293" t="s">
        <v>516</v>
      </c>
      <c r="E293" t="s">
        <v>13</v>
      </c>
      <c r="F293">
        <v>150</v>
      </c>
      <c r="G293">
        <v>367</v>
      </c>
      <c r="H293" s="5" t="s">
        <v>22</v>
      </c>
      <c r="I293" s="5">
        <v>0</v>
      </c>
      <c r="J293" s="5">
        <v>0</v>
      </c>
      <c r="K293" t="s">
        <v>9102</v>
      </c>
      <c r="L293" cm="1">
        <f t="array" ref="L293">wordCount(K293)</f>
        <v>2</v>
      </c>
      <c r="M293">
        <f t="shared" si="8"/>
        <v>12</v>
      </c>
      <c r="N293">
        <v>0.88888888888888884</v>
      </c>
      <c r="O293" s="23" cm="1">
        <f t="array" ref="O293">WordListCount(K293,keywords!$A$2:$A$31)-WordListCount(K293,keywords!$B$2:$B$31)</f>
        <v>0</v>
      </c>
      <c r="P293" s="25">
        <f t="shared" si="9"/>
        <v>0.52298611111111104</v>
      </c>
      <c r="Q293" s="23">
        <f>SUM($O$2:O293)</f>
        <v>0</v>
      </c>
      <c r="Y293" s="14"/>
      <c r="Z293" s="13"/>
      <c r="AA293"/>
    </row>
    <row r="294" spans="1:27" x14ac:dyDescent="0.2">
      <c r="A294" s="12" t="s">
        <v>999</v>
      </c>
      <c r="B294" t="s">
        <v>1000</v>
      </c>
      <c r="C294" t="s">
        <v>1001</v>
      </c>
      <c r="D294" t="s">
        <v>124</v>
      </c>
      <c r="E294" t="s">
        <v>13</v>
      </c>
      <c r="F294">
        <v>300</v>
      </c>
      <c r="G294">
        <v>551</v>
      </c>
      <c r="H294" s="5" t="s">
        <v>22</v>
      </c>
      <c r="I294" s="5">
        <v>0</v>
      </c>
      <c r="J294" s="5">
        <v>0</v>
      </c>
      <c r="K294" t="s">
        <v>10085</v>
      </c>
      <c r="L294" cm="1">
        <f t="array" ref="L294">wordCount(K294)</f>
        <v>16</v>
      </c>
      <c r="M294">
        <f t="shared" si="8"/>
        <v>72</v>
      </c>
      <c r="N294">
        <v>0.46666666666666667</v>
      </c>
      <c r="O294" s="23" cm="1">
        <f t="array" ref="O294">WordListCount(K294,keywords!$A$2:$A$31)-WordListCount(K294,keywords!$B$2:$B$31)</f>
        <v>0</v>
      </c>
      <c r="P294" s="25">
        <f t="shared" si="9"/>
        <v>0.52318287037037037</v>
      </c>
      <c r="Q294" s="23">
        <f>SUM($O$2:O294)</f>
        <v>0</v>
      </c>
      <c r="Y294" s="14"/>
      <c r="Z294" s="13"/>
      <c r="AA294"/>
    </row>
    <row r="295" spans="1:27" x14ac:dyDescent="0.2">
      <c r="A295" s="12" t="s">
        <v>1002</v>
      </c>
      <c r="B295" t="s">
        <v>1003</v>
      </c>
      <c r="C295" t="s">
        <v>1004</v>
      </c>
      <c r="D295" t="s">
        <v>12</v>
      </c>
      <c r="E295" t="s">
        <v>13</v>
      </c>
      <c r="F295">
        <v>0</v>
      </c>
      <c r="G295">
        <v>19</v>
      </c>
      <c r="H295" s="5" t="s">
        <v>22</v>
      </c>
      <c r="I295" s="5">
        <v>0</v>
      </c>
      <c r="J295" s="5">
        <v>0</v>
      </c>
      <c r="K295" t="s">
        <v>9103</v>
      </c>
      <c r="L295" cm="1">
        <f t="array" ref="L295">wordCount(K295)</f>
        <v>14</v>
      </c>
      <c r="M295">
        <f t="shared" si="8"/>
        <v>70</v>
      </c>
      <c r="N295">
        <v>0.60869565217391308</v>
      </c>
      <c r="O295" s="23" cm="1">
        <f t="array" ref="O295">WordListCount(K295,keywords!$A$2:$A$31)-WordListCount(K295,keywords!$B$2:$B$31)</f>
        <v>0</v>
      </c>
      <c r="P295" s="25">
        <f t="shared" si="9"/>
        <v>0.52328703703703705</v>
      </c>
      <c r="Q295" s="23">
        <f>SUM($O$2:O295)</f>
        <v>0</v>
      </c>
      <c r="Y295" s="14"/>
      <c r="Z295" s="13"/>
      <c r="AA295"/>
    </row>
    <row r="296" spans="1:27" x14ac:dyDescent="0.2">
      <c r="A296" s="12" t="s">
        <v>1005</v>
      </c>
      <c r="B296" t="s">
        <v>1006</v>
      </c>
      <c r="C296" t="s">
        <v>1007</v>
      </c>
      <c r="D296" t="s">
        <v>12</v>
      </c>
      <c r="E296" t="s">
        <v>13</v>
      </c>
      <c r="F296">
        <v>146</v>
      </c>
      <c r="G296">
        <v>142</v>
      </c>
      <c r="H296" s="5" t="s">
        <v>59</v>
      </c>
      <c r="I296" s="5">
        <v>0</v>
      </c>
      <c r="J296" s="5">
        <v>0</v>
      </c>
      <c r="K296" t="s">
        <v>10086</v>
      </c>
      <c r="L296" cm="1">
        <f t="array" ref="L296">wordCount(K296)</f>
        <v>13</v>
      </c>
      <c r="M296">
        <f t="shared" si="8"/>
        <v>85</v>
      </c>
      <c r="N296">
        <v>0.52</v>
      </c>
      <c r="O296" s="23" cm="1">
        <f t="array" ref="O296">WordListCount(K296,keywords!$A$2:$A$31)-WordListCount(K296,keywords!$B$2:$B$31)</f>
        <v>0</v>
      </c>
      <c r="P296" s="25">
        <f t="shared" si="9"/>
        <v>0.52339120370370373</v>
      </c>
      <c r="Q296" s="23">
        <f>SUM($O$2:O296)</f>
        <v>0</v>
      </c>
      <c r="Y296" s="14"/>
      <c r="Z296" s="13"/>
      <c r="AA296"/>
    </row>
    <row r="297" spans="1:27" x14ac:dyDescent="0.2">
      <c r="A297" s="12" t="s">
        <v>1008</v>
      </c>
      <c r="B297" t="s">
        <v>1009</v>
      </c>
      <c r="C297" t="s">
        <v>871</v>
      </c>
      <c r="D297" t="s">
        <v>197</v>
      </c>
      <c r="E297" t="s">
        <v>13</v>
      </c>
      <c r="F297">
        <v>691</v>
      </c>
      <c r="G297">
        <v>1513</v>
      </c>
      <c r="H297" s="5" t="s">
        <v>22</v>
      </c>
      <c r="I297" s="5">
        <v>0</v>
      </c>
      <c r="J297" s="5">
        <v>0</v>
      </c>
      <c r="K297" t="s">
        <v>10087</v>
      </c>
      <c r="L297" cm="1">
        <f t="array" ref="L297">wordCount(K297)</f>
        <v>20</v>
      </c>
      <c r="M297">
        <f t="shared" si="8"/>
        <v>118</v>
      </c>
      <c r="N297">
        <v>4.7619047619047616E-2</v>
      </c>
      <c r="O297" s="23" cm="1">
        <f t="array" ref="O297">WordListCount(K297,keywords!$A$2:$A$31)-WordListCount(K297,keywords!$B$2:$B$31)</f>
        <v>0</v>
      </c>
      <c r="P297" s="25">
        <f t="shared" si="9"/>
        <v>0.5237384259259259</v>
      </c>
      <c r="Q297" s="23">
        <f>SUM($O$2:O297)</f>
        <v>0</v>
      </c>
      <c r="Y297" s="14"/>
      <c r="Z297" s="13"/>
      <c r="AA297"/>
    </row>
    <row r="298" spans="1:27" x14ac:dyDescent="0.2">
      <c r="A298" s="12" t="s">
        <v>1010</v>
      </c>
      <c r="B298" t="s">
        <v>1011</v>
      </c>
      <c r="C298" t="s">
        <v>459</v>
      </c>
      <c r="D298" t="s">
        <v>12</v>
      </c>
      <c r="E298" t="s">
        <v>13</v>
      </c>
      <c r="F298">
        <v>12</v>
      </c>
      <c r="G298">
        <v>1</v>
      </c>
      <c r="H298" s="5" t="s">
        <v>22</v>
      </c>
      <c r="I298" s="5">
        <v>0</v>
      </c>
      <c r="J298" s="5">
        <v>0</v>
      </c>
      <c r="K298" t="s">
        <v>9104</v>
      </c>
      <c r="L298" cm="1">
        <f t="array" ref="L298">wordCount(K298)</f>
        <v>15</v>
      </c>
      <c r="M298">
        <f t="shared" si="8"/>
        <v>102</v>
      </c>
      <c r="N298">
        <v>0.55555555555555558</v>
      </c>
      <c r="O298" s="23" cm="1">
        <f t="array" ref="O298">WordListCount(K298,keywords!$A$2:$A$31)-WordListCount(K298,keywords!$B$2:$B$31)</f>
        <v>0</v>
      </c>
      <c r="P298" s="25">
        <f t="shared" si="9"/>
        <v>0.52401620370370372</v>
      </c>
      <c r="Q298" s="23">
        <f>SUM($O$2:O298)</f>
        <v>0</v>
      </c>
      <c r="Y298" s="14"/>
      <c r="Z298" s="13"/>
      <c r="AA298"/>
    </row>
    <row r="299" spans="1:27" x14ac:dyDescent="0.2">
      <c r="A299" s="12" t="s">
        <v>1012</v>
      </c>
      <c r="B299" t="s">
        <v>1013</v>
      </c>
      <c r="C299" t="s">
        <v>1014</v>
      </c>
      <c r="D299" t="s">
        <v>1015</v>
      </c>
      <c r="E299" t="s">
        <v>13</v>
      </c>
      <c r="F299">
        <v>393</v>
      </c>
      <c r="G299">
        <v>888</v>
      </c>
      <c r="H299" s="5" t="s">
        <v>22</v>
      </c>
      <c r="I299" s="5">
        <v>0</v>
      </c>
      <c r="J299" s="5">
        <v>0</v>
      </c>
      <c r="K299" t="s">
        <v>10088</v>
      </c>
      <c r="L299" cm="1">
        <f t="array" ref="L299">wordCount(K299)</f>
        <v>15</v>
      </c>
      <c r="M299">
        <f t="shared" si="8"/>
        <v>87</v>
      </c>
      <c r="N299">
        <v>0.56000000000000005</v>
      </c>
      <c r="O299" s="23" cm="1">
        <f t="array" ref="O299">WordListCount(K299,keywords!$A$2:$A$31)-WordListCount(K299,keywords!$B$2:$B$31)</f>
        <v>0</v>
      </c>
      <c r="P299" s="25">
        <f t="shared" si="9"/>
        <v>0.52422453703703698</v>
      </c>
      <c r="Q299" s="23">
        <f>SUM($O$2:O299)</f>
        <v>0</v>
      </c>
      <c r="Y299" s="14"/>
      <c r="Z299" s="13"/>
      <c r="AA299"/>
    </row>
    <row r="300" spans="1:27" x14ac:dyDescent="0.2">
      <c r="A300" s="12" t="s">
        <v>1016</v>
      </c>
      <c r="B300" t="s">
        <v>1017</v>
      </c>
      <c r="C300" t="s">
        <v>1018</v>
      </c>
      <c r="D300" t="s">
        <v>12</v>
      </c>
      <c r="E300" t="s">
        <v>13</v>
      </c>
      <c r="F300">
        <v>13</v>
      </c>
      <c r="G300">
        <v>213</v>
      </c>
      <c r="H300" s="5" t="s">
        <v>22</v>
      </c>
      <c r="I300" s="5">
        <v>0</v>
      </c>
      <c r="J300" s="5">
        <v>0</v>
      </c>
      <c r="K300" t="s">
        <v>10089</v>
      </c>
      <c r="L300" cm="1">
        <f t="array" ref="L300">wordCount(K300)</f>
        <v>8</v>
      </c>
      <c r="M300">
        <f t="shared" si="8"/>
        <v>33</v>
      </c>
      <c r="N300">
        <v>0.63636363636363635</v>
      </c>
      <c r="O300" s="23" cm="1">
        <f t="array" ref="O300">WordListCount(K300,keywords!$A$2:$A$31)-WordListCount(K300,keywords!$B$2:$B$31)</f>
        <v>0</v>
      </c>
      <c r="P300" s="25">
        <f t="shared" si="9"/>
        <v>0.52461805555555563</v>
      </c>
      <c r="Q300" s="23">
        <f>SUM($O$2:O300)</f>
        <v>0</v>
      </c>
      <c r="Y300" s="14"/>
      <c r="Z300" s="13"/>
      <c r="AA300"/>
    </row>
    <row r="301" spans="1:27" x14ac:dyDescent="0.2">
      <c r="A301" s="12" t="s">
        <v>1019</v>
      </c>
      <c r="B301" t="s">
        <v>1020</v>
      </c>
      <c r="C301" t="s">
        <v>1021</v>
      </c>
      <c r="D301" t="s">
        <v>12</v>
      </c>
      <c r="E301" t="s">
        <v>13</v>
      </c>
      <c r="F301">
        <v>214</v>
      </c>
      <c r="G301">
        <v>393</v>
      </c>
      <c r="H301" s="5" t="s">
        <v>22</v>
      </c>
      <c r="I301" s="5">
        <v>0</v>
      </c>
      <c r="J301" s="5">
        <v>0</v>
      </c>
      <c r="K301" t="s">
        <v>10090</v>
      </c>
      <c r="L301" cm="1">
        <f t="array" ref="L301">wordCount(K301)</f>
        <v>23</v>
      </c>
      <c r="M301">
        <f t="shared" si="8"/>
        <v>127</v>
      </c>
      <c r="N301">
        <v>0.42857142857142855</v>
      </c>
      <c r="O301" s="23" cm="1">
        <f t="array" ref="O301">WordListCount(K301,keywords!$A$2:$A$31)-WordListCount(K301,keywords!$B$2:$B$31)</f>
        <v>0</v>
      </c>
      <c r="P301" s="25">
        <f t="shared" si="9"/>
        <v>0.52491898148148153</v>
      </c>
      <c r="Q301" s="23">
        <f>SUM($O$2:O301)</f>
        <v>0</v>
      </c>
      <c r="Y301" s="14"/>
      <c r="Z301" s="13"/>
      <c r="AA301"/>
    </row>
    <row r="302" spans="1:27" x14ac:dyDescent="0.2">
      <c r="A302" s="12" t="s">
        <v>1022</v>
      </c>
      <c r="B302" t="s">
        <v>1023</v>
      </c>
      <c r="C302" t="s">
        <v>1024</v>
      </c>
      <c r="D302" t="s">
        <v>1025</v>
      </c>
      <c r="E302" t="s">
        <v>13</v>
      </c>
      <c r="F302">
        <v>97</v>
      </c>
      <c r="G302">
        <v>120</v>
      </c>
      <c r="H302" s="5" t="s">
        <v>22</v>
      </c>
      <c r="I302" s="5">
        <v>0</v>
      </c>
      <c r="J302" s="5">
        <v>0</v>
      </c>
      <c r="K302" t="s">
        <v>9105</v>
      </c>
      <c r="L302" cm="1">
        <f t="array" ref="L302">wordCount(K302)</f>
        <v>15</v>
      </c>
      <c r="M302">
        <f t="shared" si="8"/>
        <v>85</v>
      </c>
      <c r="N302">
        <v>0.45454545454545453</v>
      </c>
      <c r="O302" s="23" cm="1">
        <f t="array" ref="O302">WordListCount(K302,keywords!$A$2:$A$31)-WordListCount(K302,keywords!$B$2:$B$31)</f>
        <v>0</v>
      </c>
      <c r="P302" s="25">
        <f t="shared" si="9"/>
        <v>0.52500000000000002</v>
      </c>
      <c r="Q302" s="23">
        <f>SUM($O$2:O302)</f>
        <v>0</v>
      </c>
      <c r="Y302" s="14"/>
      <c r="Z302" s="13"/>
      <c r="AA302"/>
    </row>
    <row r="303" spans="1:27" x14ac:dyDescent="0.2">
      <c r="A303" s="12" t="s">
        <v>1026</v>
      </c>
      <c r="B303" t="s">
        <v>1027</v>
      </c>
      <c r="C303" t="s">
        <v>241</v>
      </c>
      <c r="D303" t="s">
        <v>242</v>
      </c>
      <c r="E303" t="s">
        <v>13</v>
      </c>
      <c r="F303">
        <v>9223</v>
      </c>
      <c r="G303">
        <v>7169</v>
      </c>
      <c r="H303" s="5" t="s">
        <v>22</v>
      </c>
      <c r="I303" s="5">
        <v>0</v>
      </c>
      <c r="J303" s="5">
        <v>0</v>
      </c>
      <c r="K303" t="s">
        <v>9106</v>
      </c>
      <c r="L303" cm="1">
        <f t="array" ref="L303">wordCount(K303)</f>
        <v>11</v>
      </c>
      <c r="M303">
        <f t="shared" si="8"/>
        <v>58</v>
      </c>
      <c r="N303">
        <v>0.4</v>
      </c>
      <c r="O303" s="23" cm="1">
        <f t="array" ref="O303">WordListCount(K303,keywords!$A$2:$A$31)-WordListCount(K303,keywords!$B$2:$B$31)</f>
        <v>0</v>
      </c>
      <c r="P303" s="25">
        <f t="shared" si="9"/>
        <v>0.52534722222222219</v>
      </c>
      <c r="Q303" s="23">
        <f>SUM($O$2:O303)</f>
        <v>0</v>
      </c>
      <c r="Y303" s="14"/>
      <c r="Z303" s="13"/>
      <c r="AA303"/>
    </row>
    <row r="304" spans="1:27" x14ac:dyDescent="0.2">
      <c r="A304" s="12" t="s">
        <v>1028</v>
      </c>
      <c r="B304" t="s">
        <v>1029</v>
      </c>
      <c r="C304" t="s">
        <v>1030</v>
      </c>
      <c r="D304" t="s">
        <v>12</v>
      </c>
      <c r="E304" t="s">
        <v>13</v>
      </c>
      <c r="F304">
        <v>7</v>
      </c>
      <c r="G304">
        <v>78</v>
      </c>
      <c r="H304" s="5" t="s">
        <v>22</v>
      </c>
      <c r="I304" s="5">
        <v>0</v>
      </c>
      <c r="J304" s="5">
        <v>0</v>
      </c>
      <c r="K304" t="s">
        <v>10091</v>
      </c>
      <c r="L304" cm="1">
        <f t="array" ref="L304">wordCount(K304)</f>
        <v>14</v>
      </c>
      <c r="M304">
        <f t="shared" si="8"/>
        <v>88</v>
      </c>
      <c r="N304">
        <v>0.36842105263157893</v>
      </c>
      <c r="O304" s="23" cm="1">
        <f t="array" ref="O304">WordListCount(K304,keywords!$A$2:$A$31)-WordListCount(K304,keywords!$B$2:$B$31)</f>
        <v>0</v>
      </c>
      <c r="P304" s="25">
        <f t="shared" si="9"/>
        <v>0.52575231481481477</v>
      </c>
      <c r="Q304" s="23">
        <f>SUM($O$2:O304)</f>
        <v>0</v>
      </c>
      <c r="Y304" s="14"/>
      <c r="Z304" s="13"/>
      <c r="AA304"/>
    </row>
    <row r="305" spans="1:27" x14ac:dyDescent="0.2">
      <c r="A305" s="12" t="s">
        <v>1031</v>
      </c>
      <c r="B305" t="s">
        <v>1032</v>
      </c>
      <c r="C305" t="s">
        <v>1030</v>
      </c>
      <c r="D305" t="s">
        <v>12</v>
      </c>
      <c r="E305" t="s">
        <v>13</v>
      </c>
      <c r="F305">
        <v>7</v>
      </c>
      <c r="G305">
        <v>77</v>
      </c>
      <c r="H305" s="5" t="s">
        <v>22</v>
      </c>
      <c r="I305" s="5">
        <v>0</v>
      </c>
      <c r="J305" s="5">
        <v>0</v>
      </c>
      <c r="K305" t="s">
        <v>10092</v>
      </c>
      <c r="L305" cm="1">
        <f t="array" ref="L305">wordCount(K305)</f>
        <v>7</v>
      </c>
      <c r="M305">
        <f t="shared" si="8"/>
        <v>46</v>
      </c>
      <c r="N305">
        <v>0.6</v>
      </c>
      <c r="O305" s="23" cm="1">
        <f t="array" ref="O305">WordListCount(K305,keywords!$A$2:$A$31)-WordListCount(K305,keywords!$B$2:$B$31)</f>
        <v>-1</v>
      </c>
      <c r="P305" s="25">
        <f t="shared" si="9"/>
        <v>0.52650462962962963</v>
      </c>
      <c r="Q305" s="23">
        <f>SUM($O$2:O305)</f>
        <v>-1</v>
      </c>
      <c r="Y305" s="14"/>
      <c r="Z305" s="13"/>
      <c r="AA305"/>
    </row>
    <row r="306" spans="1:27" x14ac:dyDescent="0.2">
      <c r="A306" s="12" t="s">
        <v>1033</v>
      </c>
      <c r="B306" t="s">
        <v>1034</v>
      </c>
      <c r="C306" t="s">
        <v>1035</v>
      </c>
      <c r="D306" t="s">
        <v>1036</v>
      </c>
      <c r="E306" t="s">
        <v>13</v>
      </c>
      <c r="F306">
        <v>320</v>
      </c>
      <c r="G306">
        <v>304</v>
      </c>
      <c r="H306" s="5" t="s">
        <v>22</v>
      </c>
      <c r="I306" s="5">
        <v>0</v>
      </c>
      <c r="J306" s="5">
        <v>0</v>
      </c>
      <c r="K306" t="s">
        <v>10093</v>
      </c>
      <c r="L306" cm="1">
        <f t="array" ref="L306">wordCount(K306)</f>
        <v>6</v>
      </c>
      <c r="M306">
        <f t="shared" si="8"/>
        <v>32</v>
      </c>
      <c r="N306">
        <v>0.33333333333333331</v>
      </c>
      <c r="O306" s="23" cm="1">
        <f t="array" ref="O306">WordListCount(K306,keywords!$A$2:$A$31)-WordListCount(K306,keywords!$B$2:$B$31)</f>
        <v>0</v>
      </c>
      <c r="P306" s="25">
        <f t="shared" si="9"/>
        <v>0.52701388888888889</v>
      </c>
      <c r="Q306" s="23">
        <f>SUM($O$2:O306)</f>
        <v>-1</v>
      </c>
      <c r="Y306" s="14"/>
      <c r="Z306" s="13"/>
      <c r="AA306"/>
    </row>
    <row r="307" spans="1:27" x14ac:dyDescent="0.2">
      <c r="A307" s="12" t="s">
        <v>1037</v>
      </c>
      <c r="B307" t="s">
        <v>1038</v>
      </c>
      <c r="C307" t="s">
        <v>1039</v>
      </c>
      <c r="D307" t="s">
        <v>516</v>
      </c>
      <c r="E307" t="s">
        <v>13</v>
      </c>
      <c r="F307">
        <v>714</v>
      </c>
      <c r="G307">
        <v>2458</v>
      </c>
      <c r="H307" s="5" t="s">
        <v>22</v>
      </c>
      <c r="I307" s="5">
        <v>0</v>
      </c>
      <c r="J307" s="5">
        <v>0</v>
      </c>
      <c r="K307" t="s">
        <v>10094</v>
      </c>
      <c r="L307" cm="1">
        <f t="array" ref="L307">wordCount(K307)</f>
        <v>23</v>
      </c>
      <c r="M307">
        <f t="shared" si="8"/>
        <v>90</v>
      </c>
      <c r="N307">
        <v>0.21739130434782608</v>
      </c>
      <c r="O307" s="23" cm="1">
        <f t="array" ref="O307">WordListCount(K307,keywords!$A$2:$A$31)-WordListCount(K307,keywords!$B$2:$B$31)</f>
        <v>0</v>
      </c>
      <c r="P307" s="25">
        <f t="shared" si="9"/>
        <v>0.52731481481481479</v>
      </c>
      <c r="Q307" s="23">
        <f>SUM($O$2:O307)</f>
        <v>-1</v>
      </c>
      <c r="Y307" s="14"/>
      <c r="Z307" s="13"/>
      <c r="AA307"/>
    </row>
    <row r="308" spans="1:27" x14ac:dyDescent="0.2">
      <c r="A308" s="12" t="s">
        <v>1040</v>
      </c>
      <c r="B308" t="s">
        <v>1041</v>
      </c>
      <c r="C308" t="s">
        <v>310</v>
      </c>
      <c r="D308" t="s">
        <v>12</v>
      </c>
      <c r="E308" t="s">
        <v>13</v>
      </c>
      <c r="F308">
        <v>3632</v>
      </c>
      <c r="G308">
        <v>3728</v>
      </c>
      <c r="H308" s="5" t="s">
        <v>22</v>
      </c>
      <c r="I308" s="5">
        <v>0</v>
      </c>
      <c r="J308" s="5">
        <v>0</v>
      </c>
      <c r="K308" t="s">
        <v>9107</v>
      </c>
      <c r="L308" cm="1">
        <f t="array" ref="L308">wordCount(K308)</f>
        <v>17</v>
      </c>
      <c r="M308">
        <f t="shared" si="8"/>
        <v>93</v>
      </c>
      <c r="N308">
        <v>0.4</v>
      </c>
      <c r="O308" s="23" cm="1">
        <f t="array" ref="O308">WordListCount(K308,keywords!$A$2:$A$31)-WordListCount(K308,keywords!$B$2:$B$31)</f>
        <v>0</v>
      </c>
      <c r="P308" s="25">
        <f t="shared" si="9"/>
        <v>0.52737268518518521</v>
      </c>
      <c r="Q308" s="23">
        <f>SUM($O$2:O308)</f>
        <v>-1</v>
      </c>
      <c r="Y308" s="14"/>
      <c r="Z308" s="13"/>
      <c r="AA308"/>
    </row>
    <row r="309" spans="1:27" x14ac:dyDescent="0.2">
      <c r="A309" s="12" t="s">
        <v>1042</v>
      </c>
      <c r="B309" t="s">
        <v>1043</v>
      </c>
      <c r="C309" t="s">
        <v>1044</v>
      </c>
      <c r="D309" t="s">
        <v>1045</v>
      </c>
      <c r="E309" t="s">
        <v>13</v>
      </c>
      <c r="F309">
        <v>1</v>
      </c>
      <c r="G309">
        <v>16</v>
      </c>
      <c r="H309" s="5" t="s">
        <v>22</v>
      </c>
      <c r="I309" s="5">
        <v>0</v>
      </c>
      <c r="J309" s="5">
        <v>0</v>
      </c>
      <c r="K309" t="s">
        <v>10095</v>
      </c>
      <c r="L309" cm="1">
        <f t="array" ref="L309">wordCount(K309)</f>
        <v>23</v>
      </c>
      <c r="M309">
        <f t="shared" si="8"/>
        <v>106</v>
      </c>
      <c r="N309">
        <v>0.43333333333333335</v>
      </c>
      <c r="O309" s="23" cm="1">
        <f t="array" ref="O309">WordListCount(K309,keywords!$A$2:$A$31)-WordListCount(K309,keywords!$B$2:$B$31)</f>
        <v>1</v>
      </c>
      <c r="P309" s="25">
        <f t="shared" si="9"/>
        <v>0.52768518518518526</v>
      </c>
      <c r="Q309" s="23">
        <f>SUM($O$2:O309)</f>
        <v>0</v>
      </c>
      <c r="Y309" s="14"/>
      <c r="Z309" s="13"/>
      <c r="AA309"/>
    </row>
    <row r="310" spans="1:27" x14ac:dyDescent="0.2">
      <c r="A310" s="12" t="s">
        <v>1046</v>
      </c>
      <c r="B310" t="s">
        <v>1047</v>
      </c>
      <c r="C310" t="s">
        <v>130</v>
      </c>
      <c r="D310" t="s">
        <v>131</v>
      </c>
      <c r="E310" t="s">
        <v>13</v>
      </c>
      <c r="F310">
        <v>93</v>
      </c>
      <c r="G310">
        <v>202</v>
      </c>
      <c r="H310" s="5" t="s">
        <v>22</v>
      </c>
      <c r="I310" s="5">
        <v>0</v>
      </c>
      <c r="J310" s="5">
        <v>0</v>
      </c>
      <c r="K310" t="s">
        <v>10096</v>
      </c>
      <c r="L310" cm="1">
        <f t="array" ref="L310">wordCount(K310)</f>
        <v>23</v>
      </c>
      <c r="M310">
        <f t="shared" si="8"/>
        <v>108</v>
      </c>
      <c r="N310">
        <v>0.95454545454545459</v>
      </c>
      <c r="O310" s="23" cm="1">
        <f t="array" ref="O310">WordListCount(K310,keywords!$A$2:$A$31)-WordListCount(K310,keywords!$B$2:$B$31)</f>
        <v>0</v>
      </c>
      <c r="P310" s="25">
        <f t="shared" si="9"/>
        <v>0.52796296296296297</v>
      </c>
      <c r="Q310" s="23">
        <f>SUM($O$2:O310)</f>
        <v>0</v>
      </c>
      <c r="Y310" s="14"/>
      <c r="Z310" s="13"/>
      <c r="AA310"/>
    </row>
    <row r="311" spans="1:27" x14ac:dyDescent="0.2">
      <c r="A311" s="12" t="s">
        <v>1048</v>
      </c>
      <c r="B311" t="s">
        <v>1049</v>
      </c>
      <c r="C311" t="s">
        <v>1050</v>
      </c>
      <c r="D311" t="s">
        <v>1051</v>
      </c>
      <c r="E311" t="s">
        <v>13</v>
      </c>
      <c r="F311">
        <v>4942</v>
      </c>
      <c r="G311">
        <v>4840</v>
      </c>
      <c r="H311" s="5" t="s">
        <v>125</v>
      </c>
      <c r="I311" s="5">
        <v>0</v>
      </c>
      <c r="J311" s="5">
        <v>0</v>
      </c>
      <c r="K311" t="s">
        <v>10097</v>
      </c>
      <c r="L311" cm="1">
        <f t="array" ref="L311">wordCount(K311)</f>
        <v>4</v>
      </c>
      <c r="M311">
        <f t="shared" si="8"/>
        <v>17</v>
      </c>
      <c r="N311">
        <v>0.2</v>
      </c>
      <c r="O311" s="23" cm="1">
        <f t="array" ref="O311">WordListCount(K311,keywords!$A$2:$A$31)-WordListCount(K311,keywords!$B$2:$B$31)</f>
        <v>0</v>
      </c>
      <c r="P311" s="25">
        <f t="shared" si="9"/>
        <v>0.52819444444444441</v>
      </c>
      <c r="Q311" s="23">
        <f>SUM($O$2:O311)</f>
        <v>0</v>
      </c>
      <c r="Y311" s="14"/>
      <c r="Z311" s="13"/>
      <c r="AA311"/>
    </row>
    <row r="312" spans="1:27" x14ac:dyDescent="0.2">
      <c r="A312" s="12" t="s">
        <v>1052</v>
      </c>
      <c r="B312" t="s">
        <v>1053</v>
      </c>
      <c r="C312" t="s">
        <v>1054</v>
      </c>
      <c r="D312" t="s">
        <v>12</v>
      </c>
      <c r="E312" t="s">
        <v>13</v>
      </c>
      <c r="F312">
        <v>32</v>
      </c>
      <c r="G312">
        <v>133</v>
      </c>
      <c r="H312" s="5" t="s">
        <v>22</v>
      </c>
      <c r="I312" s="5">
        <v>0</v>
      </c>
      <c r="J312" s="5">
        <v>0</v>
      </c>
      <c r="K312" t="s">
        <v>10098</v>
      </c>
      <c r="L312" cm="1">
        <f t="array" ref="L312">wordCount(K312)</f>
        <v>10</v>
      </c>
      <c r="M312">
        <f t="shared" si="8"/>
        <v>63</v>
      </c>
      <c r="N312">
        <v>0.33333333333333331</v>
      </c>
      <c r="O312" s="23" cm="1">
        <f t="array" ref="O312">WordListCount(K312,keywords!$A$2:$A$31)-WordListCount(K312,keywords!$B$2:$B$31)</f>
        <v>0</v>
      </c>
      <c r="P312" s="25">
        <f t="shared" si="9"/>
        <v>0.52908564814814818</v>
      </c>
      <c r="Q312" s="23">
        <f>SUM($O$2:O312)</f>
        <v>0</v>
      </c>
      <c r="Y312" s="14"/>
      <c r="Z312" s="13"/>
      <c r="AA312"/>
    </row>
    <row r="313" spans="1:27" x14ac:dyDescent="0.2">
      <c r="A313" s="12" t="s">
        <v>1055</v>
      </c>
      <c r="B313" t="s">
        <v>1056</v>
      </c>
      <c r="C313" t="s">
        <v>1057</v>
      </c>
      <c r="D313" t="s">
        <v>12</v>
      </c>
      <c r="E313" t="s">
        <v>13</v>
      </c>
      <c r="F313">
        <v>234</v>
      </c>
      <c r="G313">
        <v>187</v>
      </c>
      <c r="H313" s="5" t="s">
        <v>22</v>
      </c>
      <c r="I313" s="5">
        <v>0</v>
      </c>
      <c r="J313" s="5">
        <v>0</v>
      </c>
      <c r="K313" t="s">
        <v>10099</v>
      </c>
      <c r="L313" cm="1">
        <f t="array" ref="L313">wordCount(K313)</f>
        <v>4</v>
      </c>
      <c r="M313">
        <f t="shared" si="8"/>
        <v>18</v>
      </c>
      <c r="N313">
        <v>0.5</v>
      </c>
      <c r="O313" s="23" cm="1">
        <f t="array" ref="O313">WordListCount(K313,keywords!$A$2:$A$31)-WordListCount(K313,keywords!$B$2:$B$31)</f>
        <v>-1</v>
      </c>
      <c r="P313" s="25">
        <f t="shared" si="9"/>
        <v>0.52922453703703709</v>
      </c>
      <c r="Q313" s="23">
        <f>SUM($O$2:O313)</f>
        <v>-1</v>
      </c>
      <c r="Y313" s="14"/>
      <c r="Z313" s="13"/>
      <c r="AA313"/>
    </row>
    <row r="314" spans="1:27" x14ac:dyDescent="0.2">
      <c r="A314" s="12" t="s">
        <v>1058</v>
      </c>
      <c r="B314" t="s">
        <v>1059</v>
      </c>
      <c r="C314" t="s">
        <v>1060</v>
      </c>
      <c r="D314" t="s">
        <v>1061</v>
      </c>
      <c r="E314" t="s">
        <v>13</v>
      </c>
      <c r="F314">
        <v>13055</v>
      </c>
      <c r="G314">
        <v>620</v>
      </c>
      <c r="H314" s="5" t="s">
        <v>22</v>
      </c>
      <c r="I314" s="5">
        <v>0</v>
      </c>
      <c r="J314" s="5">
        <v>0</v>
      </c>
      <c r="K314" t="s">
        <v>10100</v>
      </c>
      <c r="L314" cm="1">
        <f t="array" ref="L314">wordCount(K314)</f>
        <v>20</v>
      </c>
      <c r="M314">
        <f t="shared" si="8"/>
        <v>97</v>
      </c>
      <c r="N314">
        <v>0.29629629629629628</v>
      </c>
      <c r="O314" s="23" cm="1">
        <f t="array" ref="O314">WordListCount(K314,keywords!$A$2:$A$31)-WordListCount(K314,keywords!$B$2:$B$31)</f>
        <v>0</v>
      </c>
      <c r="P314" s="25">
        <f t="shared" si="9"/>
        <v>0.52947916666666661</v>
      </c>
      <c r="Q314" s="23">
        <f>SUM($O$2:O314)</f>
        <v>-1</v>
      </c>
      <c r="Y314" s="14"/>
      <c r="Z314" s="13"/>
      <c r="AA314"/>
    </row>
    <row r="315" spans="1:27" x14ac:dyDescent="0.2">
      <c r="A315" s="12" t="s">
        <v>1062</v>
      </c>
      <c r="B315" t="s">
        <v>1063</v>
      </c>
      <c r="C315" t="s">
        <v>1064</v>
      </c>
      <c r="D315" t="s">
        <v>1065</v>
      </c>
      <c r="E315" t="s">
        <v>13</v>
      </c>
      <c r="F315">
        <v>489</v>
      </c>
      <c r="G315">
        <v>528</v>
      </c>
      <c r="H315" s="5" t="s">
        <v>22</v>
      </c>
      <c r="I315" s="5">
        <v>0</v>
      </c>
      <c r="J315" s="5">
        <v>0</v>
      </c>
      <c r="K315" t="s">
        <v>10101</v>
      </c>
      <c r="L315" cm="1">
        <f t="array" ref="L315">wordCount(K315)</f>
        <v>9</v>
      </c>
      <c r="M315">
        <f t="shared" si="8"/>
        <v>39</v>
      </c>
      <c r="N315">
        <v>0.69565217391304346</v>
      </c>
      <c r="O315" s="23" cm="1">
        <f t="array" ref="O315">WordListCount(K315,keywords!$A$2:$A$31)-WordListCount(K315,keywords!$B$2:$B$31)</f>
        <v>0</v>
      </c>
      <c r="P315" s="25">
        <f t="shared" si="9"/>
        <v>0.52953703703703703</v>
      </c>
      <c r="Q315" s="23">
        <f>SUM($O$2:O315)</f>
        <v>-1</v>
      </c>
      <c r="Y315" s="14"/>
      <c r="Z315" s="13"/>
      <c r="AA315"/>
    </row>
    <row r="316" spans="1:27" x14ac:dyDescent="0.2">
      <c r="A316" s="12" t="s">
        <v>1066</v>
      </c>
      <c r="B316" t="s">
        <v>1067</v>
      </c>
      <c r="C316" t="s">
        <v>1068</v>
      </c>
      <c r="D316" t="s">
        <v>1069</v>
      </c>
      <c r="E316" t="s">
        <v>13</v>
      </c>
      <c r="F316">
        <v>298</v>
      </c>
      <c r="G316">
        <v>126</v>
      </c>
      <c r="H316" s="5" t="s">
        <v>22</v>
      </c>
      <c r="I316" s="5">
        <v>0</v>
      </c>
      <c r="J316" s="5">
        <v>0</v>
      </c>
      <c r="K316" t="s">
        <v>9108</v>
      </c>
      <c r="L316" cm="1">
        <f t="array" ref="L316">wordCount(K316)</f>
        <v>13</v>
      </c>
      <c r="M316">
        <f t="shared" si="8"/>
        <v>83</v>
      </c>
      <c r="N316">
        <v>0.54166666666666663</v>
      </c>
      <c r="O316" s="23" cm="1">
        <f t="array" ref="O316">WordListCount(K316,keywords!$A$2:$A$31)-WordListCount(K316,keywords!$B$2:$B$31)</f>
        <v>0</v>
      </c>
      <c r="P316" s="25">
        <f t="shared" si="9"/>
        <v>0.53</v>
      </c>
      <c r="Q316" s="23">
        <f>SUM($O$2:O316)</f>
        <v>-1</v>
      </c>
      <c r="Y316" s="14"/>
      <c r="Z316" s="13"/>
      <c r="AA316"/>
    </row>
    <row r="317" spans="1:27" x14ac:dyDescent="0.2">
      <c r="A317" s="12" t="s">
        <v>1070</v>
      </c>
      <c r="B317" t="s">
        <v>1071</v>
      </c>
      <c r="C317" t="s">
        <v>1072</v>
      </c>
      <c r="D317" t="s">
        <v>12</v>
      </c>
      <c r="E317" t="s">
        <v>13</v>
      </c>
      <c r="F317">
        <v>169</v>
      </c>
      <c r="G317">
        <v>519</v>
      </c>
      <c r="H317" s="5" t="s">
        <v>22</v>
      </c>
      <c r="I317" s="5">
        <v>0</v>
      </c>
      <c r="J317" s="5">
        <v>0</v>
      </c>
      <c r="K317" t="s">
        <v>10102</v>
      </c>
      <c r="L317" cm="1">
        <f t="array" ref="L317">wordCount(K317)</f>
        <v>13</v>
      </c>
      <c r="M317">
        <f t="shared" si="8"/>
        <v>70</v>
      </c>
      <c r="N317">
        <v>0.6071428571428571</v>
      </c>
      <c r="O317" s="23" cm="1">
        <f t="array" ref="O317">WordListCount(K317,keywords!$A$2:$A$31)-WordListCount(K317,keywords!$B$2:$B$31)</f>
        <v>0</v>
      </c>
      <c r="P317" s="25">
        <f t="shared" si="9"/>
        <v>0.53013888888888883</v>
      </c>
      <c r="Q317" s="23">
        <f>SUM($O$2:O317)</f>
        <v>-1</v>
      </c>
      <c r="Y317" s="14"/>
      <c r="Z317" s="13"/>
      <c r="AA317"/>
    </row>
    <row r="318" spans="1:27" x14ac:dyDescent="0.2">
      <c r="A318" s="12" t="s">
        <v>1073</v>
      </c>
      <c r="B318" t="s">
        <v>1074</v>
      </c>
      <c r="C318" t="s">
        <v>1075</v>
      </c>
      <c r="D318" t="s">
        <v>1076</v>
      </c>
      <c r="E318" t="s">
        <v>13</v>
      </c>
      <c r="F318">
        <v>109</v>
      </c>
      <c r="G318">
        <v>382</v>
      </c>
      <c r="H318" s="5" t="s">
        <v>22</v>
      </c>
      <c r="I318" s="5">
        <v>0</v>
      </c>
      <c r="J318" s="5">
        <v>0</v>
      </c>
      <c r="K318" t="s">
        <v>10103</v>
      </c>
      <c r="L318" cm="1">
        <f t="array" ref="L318">wordCount(K318)</f>
        <v>20</v>
      </c>
      <c r="M318">
        <f t="shared" si="8"/>
        <v>98</v>
      </c>
      <c r="N318">
        <v>0.58823529411764708</v>
      </c>
      <c r="O318" s="23" cm="1">
        <f t="array" ref="O318">WordListCount(K318,keywords!$A$2:$A$31)-WordListCount(K318,keywords!$B$2:$B$31)</f>
        <v>0</v>
      </c>
      <c r="P318" s="25">
        <f t="shared" si="9"/>
        <v>0.53025462962962966</v>
      </c>
      <c r="Q318" s="23">
        <f>SUM($O$2:O318)</f>
        <v>-1</v>
      </c>
      <c r="Y318" s="14"/>
      <c r="Z318" s="13"/>
      <c r="AA318"/>
    </row>
    <row r="319" spans="1:27" x14ac:dyDescent="0.2">
      <c r="A319" s="12" t="s">
        <v>1077</v>
      </c>
      <c r="B319" t="s">
        <v>1078</v>
      </c>
      <c r="C319" t="s">
        <v>1079</v>
      </c>
      <c r="D319" t="s">
        <v>12</v>
      </c>
      <c r="E319" t="s">
        <v>13</v>
      </c>
      <c r="F319">
        <v>57</v>
      </c>
      <c r="G319">
        <v>45</v>
      </c>
      <c r="H319" s="5" t="s">
        <v>22</v>
      </c>
      <c r="I319" s="5">
        <v>0</v>
      </c>
      <c r="J319" s="5">
        <v>0</v>
      </c>
      <c r="K319" t="s">
        <v>9109</v>
      </c>
      <c r="L319" cm="1">
        <f t="array" ref="L319">wordCount(K319)</f>
        <v>16</v>
      </c>
      <c r="M319">
        <f t="shared" si="8"/>
        <v>81</v>
      </c>
      <c r="N319">
        <v>0.45</v>
      </c>
      <c r="O319" s="23" cm="1">
        <f t="array" ref="O319">WordListCount(K319,keywords!$A$2:$A$31)-WordListCount(K319,keywords!$B$2:$B$31)</f>
        <v>0</v>
      </c>
      <c r="P319" s="25">
        <f t="shared" si="9"/>
        <v>0.5308680555555555</v>
      </c>
      <c r="Q319" s="23">
        <f>SUM($O$2:O319)</f>
        <v>-1</v>
      </c>
      <c r="Y319" s="14"/>
      <c r="Z319" s="13"/>
      <c r="AA319"/>
    </row>
    <row r="320" spans="1:27" x14ac:dyDescent="0.2">
      <c r="A320" s="12" t="s">
        <v>1080</v>
      </c>
      <c r="B320" t="s">
        <v>1081</v>
      </c>
      <c r="C320" t="s">
        <v>1082</v>
      </c>
      <c r="D320" t="s">
        <v>12</v>
      </c>
      <c r="E320" t="s">
        <v>13</v>
      </c>
      <c r="F320">
        <v>1104</v>
      </c>
      <c r="G320">
        <v>1998</v>
      </c>
      <c r="H320" s="5" t="s">
        <v>22</v>
      </c>
      <c r="I320" s="5">
        <v>0</v>
      </c>
      <c r="J320" s="5">
        <v>0</v>
      </c>
      <c r="K320" t="s">
        <v>9255</v>
      </c>
      <c r="L320" cm="1">
        <f t="array" ref="L320">wordCount(K320)</f>
        <v>1</v>
      </c>
      <c r="M320">
        <f t="shared" si="8"/>
        <v>7</v>
      </c>
      <c r="N320">
        <v>0.5</v>
      </c>
      <c r="O320" s="23" cm="1">
        <f t="array" ref="O320">WordListCount(K320,keywords!$A$2:$A$31)-WordListCount(K320,keywords!$B$2:$B$31)</f>
        <v>0</v>
      </c>
      <c r="P320" s="25">
        <f t="shared" si="9"/>
        <v>0.53098379629629633</v>
      </c>
      <c r="Q320" s="23">
        <f>SUM($O$2:O320)</f>
        <v>-1</v>
      </c>
      <c r="Y320" s="14"/>
      <c r="Z320" s="13"/>
      <c r="AA320"/>
    </row>
    <row r="321" spans="1:27" x14ac:dyDescent="0.2">
      <c r="A321" s="12" t="s">
        <v>1083</v>
      </c>
      <c r="B321" t="s">
        <v>1084</v>
      </c>
      <c r="C321" t="s">
        <v>1085</v>
      </c>
      <c r="D321" t="s">
        <v>12</v>
      </c>
      <c r="E321" t="s">
        <v>13</v>
      </c>
      <c r="F321">
        <v>67</v>
      </c>
      <c r="G321">
        <v>9</v>
      </c>
      <c r="H321" s="5" t="s">
        <v>22</v>
      </c>
      <c r="I321" s="5">
        <v>0</v>
      </c>
      <c r="J321" s="5">
        <v>0</v>
      </c>
      <c r="K321" t="s">
        <v>9110</v>
      </c>
      <c r="L321" cm="1">
        <f t="array" ref="L321">wordCount(K321)</f>
        <v>2</v>
      </c>
      <c r="M321">
        <f t="shared" si="8"/>
        <v>15</v>
      </c>
      <c r="N321">
        <v>0.75</v>
      </c>
      <c r="O321" s="23" cm="1">
        <f t="array" ref="O321">WordListCount(K321,keywords!$A$2:$A$31)-WordListCount(K321,keywords!$B$2:$B$31)</f>
        <v>0</v>
      </c>
      <c r="P321" s="25">
        <f t="shared" si="9"/>
        <v>0.53104166666666663</v>
      </c>
      <c r="Q321" s="23">
        <f>SUM($O$2:O321)</f>
        <v>-1</v>
      </c>
      <c r="Y321" s="14"/>
      <c r="Z321" s="13"/>
      <c r="AA321"/>
    </row>
    <row r="322" spans="1:27" x14ac:dyDescent="0.2">
      <c r="A322" s="12" t="s">
        <v>1086</v>
      </c>
      <c r="B322" t="s">
        <v>1087</v>
      </c>
      <c r="C322" t="s">
        <v>429</v>
      </c>
      <c r="D322" t="s">
        <v>430</v>
      </c>
      <c r="E322" t="s">
        <v>13</v>
      </c>
      <c r="F322">
        <v>1662</v>
      </c>
      <c r="G322">
        <v>1479</v>
      </c>
      <c r="H322" s="5" t="s">
        <v>22</v>
      </c>
      <c r="I322" s="5">
        <v>0</v>
      </c>
      <c r="J322" s="5">
        <v>0</v>
      </c>
      <c r="K322" t="s">
        <v>10104</v>
      </c>
      <c r="L322" cm="1">
        <f t="array" ref="L322">wordCount(K322)</f>
        <v>9</v>
      </c>
      <c r="M322">
        <f t="shared" ref="M322:M385" si="10">LEN(K322)</f>
        <v>64</v>
      </c>
      <c r="N322">
        <v>0.8</v>
      </c>
      <c r="O322" s="23" cm="1">
        <f t="array" ref="O322">WordListCount(K322,keywords!$A$2:$A$31)-WordListCount(K322,keywords!$B$2:$B$31)</f>
        <v>0</v>
      </c>
      <c r="P322" s="25">
        <f t="shared" ref="P322:P385" si="11">TIMEVALUE(RIGHT(A322,8))</f>
        <v>0.53127314814814819</v>
      </c>
      <c r="Q322" s="23">
        <f>SUM($O$2:O322)</f>
        <v>-1</v>
      </c>
      <c r="Y322" s="14"/>
      <c r="Z322" s="13"/>
      <c r="AA322"/>
    </row>
    <row r="323" spans="1:27" x14ac:dyDescent="0.2">
      <c r="A323" s="12" t="s">
        <v>1088</v>
      </c>
      <c r="B323" t="s">
        <v>1089</v>
      </c>
      <c r="C323" t="s">
        <v>1090</v>
      </c>
      <c r="D323" t="s">
        <v>1091</v>
      </c>
      <c r="E323" t="s">
        <v>13</v>
      </c>
      <c r="F323">
        <v>27</v>
      </c>
      <c r="G323">
        <v>188</v>
      </c>
      <c r="H323" s="5" t="s">
        <v>22</v>
      </c>
      <c r="I323" s="5">
        <v>0</v>
      </c>
      <c r="J323" s="5">
        <v>0</v>
      </c>
      <c r="K323" t="s">
        <v>10105</v>
      </c>
      <c r="L323" cm="1">
        <f t="array" ref="L323">wordCount(K323)</f>
        <v>15</v>
      </c>
      <c r="M323">
        <f t="shared" si="10"/>
        <v>72</v>
      </c>
      <c r="N323">
        <v>0.23529411764705882</v>
      </c>
      <c r="O323" s="23" cm="1">
        <f t="array" ref="O323">WordListCount(K323,keywords!$A$2:$A$31)-WordListCount(K323,keywords!$B$2:$B$31)</f>
        <v>0</v>
      </c>
      <c r="P323" s="25">
        <f t="shared" si="11"/>
        <v>0.53144675925925922</v>
      </c>
      <c r="Q323" s="23">
        <f>SUM($O$2:O323)</f>
        <v>-1</v>
      </c>
      <c r="Y323" s="14"/>
      <c r="Z323" s="13"/>
      <c r="AA323"/>
    </row>
    <row r="324" spans="1:27" x14ac:dyDescent="0.2">
      <c r="A324" s="12" t="s">
        <v>1092</v>
      </c>
      <c r="B324" t="s">
        <v>1093</v>
      </c>
      <c r="C324" t="s">
        <v>1094</v>
      </c>
      <c r="D324" t="s">
        <v>986</v>
      </c>
      <c r="E324" t="s">
        <v>13</v>
      </c>
      <c r="F324">
        <v>216</v>
      </c>
      <c r="G324">
        <v>247</v>
      </c>
      <c r="H324" s="5" t="s">
        <v>96</v>
      </c>
      <c r="I324" s="5">
        <v>0</v>
      </c>
      <c r="J324" s="5">
        <v>0</v>
      </c>
      <c r="K324" t="s">
        <v>10106</v>
      </c>
      <c r="L324" cm="1">
        <f t="array" ref="L324">wordCount(K324)</f>
        <v>23</v>
      </c>
      <c r="M324">
        <f t="shared" si="10"/>
        <v>122</v>
      </c>
      <c r="N324">
        <v>0.25</v>
      </c>
      <c r="O324" s="23" cm="1">
        <f t="array" ref="O324">WordListCount(K324,keywords!$A$2:$A$31)-WordListCount(K324,keywords!$B$2:$B$31)</f>
        <v>0</v>
      </c>
      <c r="P324" s="25">
        <f t="shared" si="11"/>
        <v>0.53188657407407403</v>
      </c>
      <c r="Q324" s="23">
        <f>SUM($O$2:O324)</f>
        <v>-1</v>
      </c>
      <c r="Y324" s="14"/>
      <c r="Z324" s="13"/>
      <c r="AA324"/>
    </row>
    <row r="325" spans="1:27" x14ac:dyDescent="0.2">
      <c r="A325" s="12" t="s">
        <v>1095</v>
      </c>
      <c r="B325" t="s">
        <v>1098</v>
      </c>
      <c r="C325" t="s">
        <v>1099</v>
      </c>
      <c r="D325" t="s">
        <v>790</v>
      </c>
      <c r="E325" t="s">
        <v>13</v>
      </c>
      <c r="F325">
        <v>984</v>
      </c>
      <c r="G325">
        <v>273</v>
      </c>
      <c r="H325" s="5" t="s">
        <v>139</v>
      </c>
      <c r="I325" s="5">
        <v>0</v>
      </c>
      <c r="J325" s="5">
        <v>0</v>
      </c>
      <c r="K325" t="s">
        <v>9112</v>
      </c>
      <c r="L325" cm="1">
        <f t="array" ref="L325">wordCount(K325)</f>
        <v>5</v>
      </c>
      <c r="M325">
        <f t="shared" si="10"/>
        <v>32</v>
      </c>
      <c r="N325">
        <v>0.25</v>
      </c>
      <c r="O325" s="23" cm="1">
        <f t="array" ref="O325">WordListCount(K325,keywords!$A$2:$A$31)-WordListCount(K325,keywords!$B$2:$B$31)</f>
        <v>0</v>
      </c>
      <c r="P325" s="25">
        <f t="shared" si="11"/>
        <v>0.53195601851851848</v>
      </c>
      <c r="Q325" s="23">
        <f>SUM($O$2:O325)</f>
        <v>-1</v>
      </c>
      <c r="Y325" s="14"/>
      <c r="Z325" s="13"/>
      <c r="AA325"/>
    </row>
    <row r="326" spans="1:27" x14ac:dyDescent="0.2">
      <c r="A326" s="12" t="s">
        <v>1095</v>
      </c>
      <c r="B326" t="s">
        <v>1096</v>
      </c>
      <c r="C326" t="s">
        <v>1097</v>
      </c>
      <c r="D326" t="s">
        <v>12</v>
      </c>
      <c r="E326" t="s">
        <v>13</v>
      </c>
      <c r="F326">
        <v>59</v>
      </c>
      <c r="G326">
        <v>40</v>
      </c>
      <c r="H326" s="5" t="s">
        <v>22</v>
      </c>
      <c r="I326" s="5">
        <v>0</v>
      </c>
      <c r="J326" s="5">
        <v>0</v>
      </c>
      <c r="K326" t="s">
        <v>9111</v>
      </c>
      <c r="L326" cm="1">
        <f t="array" ref="L326">wordCount(K326)</f>
        <v>2</v>
      </c>
      <c r="M326">
        <f t="shared" si="10"/>
        <v>9</v>
      </c>
      <c r="N326">
        <v>0.95238095238095233</v>
      </c>
      <c r="O326" s="23" cm="1">
        <f t="array" ref="O326">WordListCount(K326,keywords!$A$2:$A$31)-WordListCount(K326,keywords!$B$2:$B$31)</f>
        <v>0</v>
      </c>
      <c r="P326" s="25">
        <f t="shared" si="11"/>
        <v>0.53195601851851848</v>
      </c>
      <c r="Q326" s="23">
        <f>SUM($O$2:O326)</f>
        <v>-1</v>
      </c>
      <c r="Y326" s="14"/>
      <c r="Z326" s="13"/>
      <c r="AA326"/>
    </row>
    <row r="327" spans="1:27" x14ac:dyDescent="0.2">
      <c r="A327" s="12" t="s">
        <v>1100</v>
      </c>
      <c r="B327" t="s">
        <v>1101</v>
      </c>
      <c r="C327" t="s">
        <v>1102</v>
      </c>
      <c r="D327" t="s">
        <v>368</v>
      </c>
      <c r="E327" t="s">
        <v>13</v>
      </c>
      <c r="F327">
        <v>3060</v>
      </c>
      <c r="G327">
        <v>1801</v>
      </c>
      <c r="H327" s="5" t="s">
        <v>22</v>
      </c>
      <c r="I327" s="5">
        <v>0</v>
      </c>
      <c r="J327" s="5">
        <v>0</v>
      </c>
      <c r="K327" t="s">
        <v>10107</v>
      </c>
      <c r="L327" cm="1">
        <f t="array" ref="L327">wordCount(K327)</f>
        <v>19</v>
      </c>
      <c r="M327">
        <f t="shared" si="10"/>
        <v>92</v>
      </c>
      <c r="N327">
        <v>0.2608695652173913</v>
      </c>
      <c r="O327" s="23" cm="1">
        <f t="array" ref="O327">WordListCount(K327,keywords!$A$2:$A$31)-WordListCount(K327,keywords!$B$2:$B$31)</f>
        <v>1</v>
      </c>
      <c r="P327" s="25">
        <f t="shared" si="11"/>
        <v>0.53209490740740739</v>
      </c>
      <c r="Q327" s="23">
        <f>SUM($O$2:O327)</f>
        <v>0</v>
      </c>
      <c r="Y327" s="14"/>
      <c r="Z327" s="13"/>
      <c r="AA327"/>
    </row>
    <row r="328" spans="1:27" x14ac:dyDescent="0.2">
      <c r="A328" s="12" t="s">
        <v>1103</v>
      </c>
      <c r="B328" t="s">
        <v>1104</v>
      </c>
      <c r="C328" t="s">
        <v>1105</v>
      </c>
      <c r="D328" t="s">
        <v>1106</v>
      </c>
      <c r="E328" t="s">
        <v>13</v>
      </c>
      <c r="F328">
        <v>235</v>
      </c>
      <c r="G328">
        <v>259</v>
      </c>
      <c r="H328" s="5" t="s">
        <v>22</v>
      </c>
      <c r="I328" s="5">
        <v>0</v>
      </c>
      <c r="J328" s="5">
        <v>0</v>
      </c>
      <c r="K328" t="s">
        <v>10108</v>
      </c>
      <c r="L328" cm="1">
        <f t="array" ref="L328">wordCount(K328)</f>
        <v>20</v>
      </c>
      <c r="M328">
        <f t="shared" si="10"/>
        <v>99</v>
      </c>
      <c r="N328">
        <v>0.24</v>
      </c>
      <c r="O328" s="23" cm="1">
        <f t="array" ref="O328">WordListCount(K328,keywords!$A$2:$A$31)-WordListCount(K328,keywords!$B$2:$B$31)</f>
        <v>0</v>
      </c>
      <c r="P328" s="25">
        <f t="shared" si="11"/>
        <v>0.53238425925925925</v>
      </c>
      <c r="Q328" s="23">
        <f>SUM($O$2:O328)</f>
        <v>0</v>
      </c>
      <c r="Y328" s="14"/>
      <c r="Z328" s="13"/>
      <c r="AA328"/>
    </row>
    <row r="329" spans="1:27" x14ac:dyDescent="0.2">
      <c r="A329" s="12" t="s">
        <v>1107</v>
      </c>
      <c r="B329" t="s">
        <v>1108</v>
      </c>
      <c r="C329" t="s">
        <v>1109</v>
      </c>
      <c r="D329" t="s">
        <v>1110</v>
      </c>
      <c r="E329" t="s">
        <v>13</v>
      </c>
      <c r="F329">
        <v>2638</v>
      </c>
      <c r="G329">
        <v>428</v>
      </c>
      <c r="H329" s="5" t="s">
        <v>22</v>
      </c>
      <c r="I329" s="5">
        <v>0</v>
      </c>
      <c r="J329" s="5">
        <v>0</v>
      </c>
      <c r="K329" t="s">
        <v>10109</v>
      </c>
      <c r="L329" cm="1">
        <f t="array" ref="L329">wordCount(K329)</f>
        <v>3</v>
      </c>
      <c r="M329">
        <f t="shared" si="10"/>
        <v>15</v>
      </c>
      <c r="N329">
        <v>0.84210526315789469</v>
      </c>
      <c r="O329" s="23" cm="1">
        <f t="array" ref="O329">WordListCount(K329,keywords!$A$2:$A$31)-WordListCount(K329,keywords!$B$2:$B$31)</f>
        <v>0</v>
      </c>
      <c r="P329" s="25">
        <f t="shared" si="11"/>
        <v>0.53263888888888888</v>
      </c>
      <c r="Q329" s="23">
        <f>SUM($O$2:O329)</f>
        <v>0</v>
      </c>
      <c r="Y329" s="14"/>
      <c r="Z329" s="13"/>
      <c r="AA329"/>
    </row>
    <row r="330" spans="1:27" x14ac:dyDescent="0.2">
      <c r="A330" s="12" t="s">
        <v>1111</v>
      </c>
      <c r="B330" t="s">
        <v>1112</v>
      </c>
      <c r="C330" t="s">
        <v>1113</v>
      </c>
      <c r="D330" t="s">
        <v>1114</v>
      </c>
      <c r="E330" t="s">
        <v>13</v>
      </c>
      <c r="F330">
        <v>389</v>
      </c>
      <c r="G330">
        <v>3145</v>
      </c>
      <c r="H330" s="5" t="s">
        <v>22</v>
      </c>
      <c r="I330" s="5">
        <v>0</v>
      </c>
      <c r="J330" s="5">
        <v>0</v>
      </c>
      <c r="K330" t="s">
        <v>10110</v>
      </c>
      <c r="L330" cm="1">
        <f t="array" ref="L330">wordCount(K330)</f>
        <v>14</v>
      </c>
      <c r="M330">
        <f t="shared" si="10"/>
        <v>76</v>
      </c>
      <c r="N330">
        <v>0.60869565217391308</v>
      </c>
      <c r="O330" s="23" cm="1">
        <f t="array" ref="O330">WordListCount(K330,keywords!$A$2:$A$31)-WordListCount(K330,keywords!$B$2:$B$31)</f>
        <v>0</v>
      </c>
      <c r="P330" s="25">
        <f t="shared" si="11"/>
        <v>0.53292824074074074</v>
      </c>
      <c r="Q330" s="23">
        <f>SUM($O$2:O330)</f>
        <v>0</v>
      </c>
      <c r="Y330" s="14"/>
      <c r="Z330" s="13"/>
      <c r="AA330"/>
    </row>
    <row r="331" spans="1:27" x14ac:dyDescent="0.2">
      <c r="A331" s="12" t="s">
        <v>1115</v>
      </c>
      <c r="B331" t="s">
        <v>1116</v>
      </c>
      <c r="C331" t="s">
        <v>1117</v>
      </c>
      <c r="D331" t="s">
        <v>12</v>
      </c>
      <c r="E331" t="s">
        <v>13</v>
      </c>
      <c r="F331">
        <v>38</v>
      </c>
      <c r="G331">
        <v>106</v>
      </c>
      <c r="H331" s="5" t="s">
        <v>22</v>
      </c>
      <c r="I331" s="5">
        <v>0</v>
      </c>
      <c r="J331" s="5">
        <v>0</v>
      </c>
      <c r="K331" t="s">
        <v>9113</v>
      </c>
      <c r="L331" cm="1">
        <f t="array" ref="L331">wordCount(K331)</f>
        <v>6</v>
      </c>
      <c r="M331">
        <f t="shared" si="10"/>
        <v>22</v>
      </c>
      <c r="N331">
        <v>0.6470588235294118</v>
      </c>
      <c r="O331" s="23" cm="1">
        <f t="array" ref="O331">WordListCount(K331,keywords!$A$2:$A$31)-WordListCount(K331,keywords!$B$2:$B$31)</f>
        <v>0</v>
      </c>
      <c r="P331" s="25">
        <f t="shared" si="11"/>
        <v>0.53300925925925924</v>
      </c>
      <c r="Q331" s="23">
        <f>SUM($O$2:O331)</f>
        <v>0</v>
      </c>
      <c r="Y331" s="14"/>
      <c r="Z331" s="13"/>
      <c r="AA331"/>
    </row>
    <row r="332" spans="1:27" x14ac:dyDescent="0.2">
      <c r="A332" s="12" t="s">
        <v>1118</v>
      </c>
      <c r="B332" t="s">
        <v>1119</v>
      </c>
      <c r="C332" t="s">
        <v>1109</v>
      </c>
      <c r="D332" t="s">
        <v>1110</v>
      </c>
      <c r="E332" t="s">
        <v>13</v>
      </c>
      <c r="F332">
        <v>2638</v>
      </c>
      <c r="G332">
        <v>428</v>
      </c>
      <c r="H332" s="5" t="s">
        <v>22</v>
      </c>
      <c r="I332" s="5">
        <v>0</v>
      </c>
      <c r="J332" s="5">
        <v>0</v>
      </c>
      <c r="K332" t="s">
        <v>10111</v>
      </c>
      <c r="L332" cm="1">
        <f t="array" ref="L332">wordCount(K332)</f>
        <v>22</v>
      </c>
      <c r="M332">
        <f t="shared" si="10"/>
        <v>125</v>
      </c>
      <c r="N332">
        <v>0.52941176470588236</v>
      </c>
      <c r="O332" s="23" cm="1">
        <f t="array" ref="O332">WordListCount(K332,keywords!$A$2:$A$31)-WordListCount(K332,keywords!$B$2:$B$31)</f>
        <v>0</v>
      </c>
      <c r="P332" s="25">
        <f t="shared" si="11"/>
        <v>0.53310185185185188</v>
      </c>
      <c r="Q332" s="23">
        <f>SUM($O$2:O332)</f>
        <v>0</v>
      </c>
      <c r="Y332" s="14"/>
      <c r="Z332" s="13"/>
      <c r="AA332"/>
    </row>
    <row r="333" spans="1:27" x14ac:dyDescent="0.2">
      <c r="A333" s="12" t="s">
        <v>1120</v>
      </c>
      <c r="B333" t="s">
        <v>1121</v>
      </c>
      <c r="C333" t="s">
        <v>1122</v>
      </c>
      <c r="D333" t="s">
        <v>12</v>
      </c>
      <c r="E333" t="s">
        <v>13</v>
      </c>
      <c r="F333">
        <v>2</v>
      </c>
      <c r="G333">
        <v>23</v>
      </c>
      <c r="H333" s="5" t="s">
        <v>22</v>
      </c>
      <c r="I333" s="5">
        <v>0</v>
      </c>
      <c r="J333" s="5">
        <v>0</v>
      </c>
      <c r="K333" t="s">
        <v>10112</v>
      </c>
      <c r="L333" cm="1">
        <f t="array" ref="L333">wordCount(K333)</f>
        <v>11</v>
      </c>
      <c r="M333">
        <f t="shared" si="10"/>
        <v>88</v>
      </c>
      <c r="N333">
        <v>0.625</v>
      </c>
      <c r="O333" s="23" cm="1">
        <f t="array" ref="O333">WordListCount(K333,keywords!$A$2:$A$31)-WordListCount(K333,keywords!$B$2:$B$31)</f>
        <v>0</v>
      </c>
      <c r="P333" s="25">
        <f t="shared" si="11"/>
        <v>0.53311342592592592</v>
      </c>
      <c r="Q333" s="23">
        <f>SUM($O$2:O333)</f>
        <v>0</v>
      </c>
      <c r="Y333" s="14"/>
      <c r="Z333" s="13"/>
      <c r="AA333"/>
    </row>
    <row r="334" spans="1:27" x14ac:dyDescent="0.2">
      <c r="A334" s="12" t="s">
        <v>1123</v>
      </c>
      <c r="B334" t="s">
        <v>1124</v>
      </c>
      <c r="C334" t="s">
        <v>1125</v>
      </c>
      <c r="D334" t="s">
        <v>12</v>
      </c>
      <c r="E334" t="s">
        <v>13</v>
      </c>
      <c r="F334">
        <v>6778</v>
      </c>
      <c r="G334">
        <v>7171</v>
      </c>
      <c r="H334" s="5" t="s">
        <v>22</v>
      </c>
      <c r="I334" s="5">
        <v>0</v>
      </c>
      <c r="J334" s="5">
        <v>0</v>
      </c>
      <c r="K334" t="s">
        <v>9114</v>
      </c>
      <c r="L334" cm="1">
        <f t="array" ref="L334">wordCount(K334)</f>
        <v>14</v>
      </c>
      <c r="M334">
        <f t="shared" si="10"/>
        <v>69</v>
      </c>
      <c r="N334">
        <v>0.29411764705882354</v>
      </c>
      <c r="O334" s="23" cm="1">
        <f t="array" ref="O334">WordListCount(K334,keywords!$A$2:$A$31)-WordListCount(K334,keywords!$B$2:$B$31)</f>
        <v>0</v>
      </c>
      <c r="P334" s="25">
        <f t="shared" si="11"/>
        <v>0.53319444444444442</v>
      </c>
      <c r="Q334" s="23">
        <f>SUM($O$2:O334)</f>
        <v>0</v>
      </c>
      <c r="Y334" s="14"/>
      <c r="Z334" s="13"/>
      <c r="AA334"/>
    </row>
    <row r="335" spans="1:27" x14ac:dyDescent="0.2">
      <c r="A335" s="12" t="s">
        <v>1126</v>
      </c>
      <c r="B335" t="s">
        <v>1127</v>
      </c>
      <c r="C335" t="s">
        <v>1128</v>
      </c>
      <c r="D335" t="s">
        <v>1129</v>
      </c>
      <c r="E335" t="s">
        <v>13</v>
      </c>
      <c r="F335">
        <v>110</v>
      </c>
      <c r="G335">
        <v>144</v>
      </c>
      <c r="H335" s="5" t="s">
        <v>22</v>
      </c>
      <c r="I335" s="5">
        <v>0</v>
      </c>
      <c r="J335" s="5">
        <v>0</v>
      </c>
      <c r="K335" t="s">
        <v>10113</v>
      </c>
      <c r="L335" cm="1">
        <f t="array" ref="L335">wordCount(K335)</f>
        <v>3</v>
      </c>
      <c r="M335">
        <f t="shared" si="10"/>
        <v>15</v>
      </c>
      <c r="N335">
        <v>0.88888888888888884</v>
      </c>
      <c r="O335" s="23" cm="1">
        <f t="array" ref="O335">WordListCount(K335,keywords!$A$2:$A$31)-WordListCount(K335,keywords!$B$2:$B$31)</f>
        <v>0</v>
      </c>
      <c r="P335" s="25">
        <f t="shared" si="11"/>
        <v>0.5332986111111111</v>
      </c>
      <c r="Q335" s="23">
        <f>SUM($O$2:O335)</f>
        <v>0</v>
      </c>
      <c r="Y335" s="14"/>
      <c r="Z335" s="13"/>
      <c r="AA335"/>
    </row>
    <row r="336" spans="1:27" x14ac:dyDescent="0.2">
      <c r="A336" s="12" t="s">
        <v>1130</v>
      </c>
      <c r="B336" t="s">
        <v>1131</v>
      </c>
      <c r="C336" t="s">
        <v>1132</v>
      </c>
      <c r="D336" t="s">
        <v>1133</v>
      </c>
      <c r="E336" t="s">
        <v>13</v>
      </c>
      <c r="F336">
        <v>4493</v>
      </c>
      <c r="G336">
        <v>4254</v>
      </c>
      <c r="H336" s="5" t="s">
        <v>22</v>
      </c>
      <c r="I336" s="5">
        <v>0</v>
      </c>
      <c r="J336" s="5">
        <v>0</v>
      </c>
      <c r="K336" t="s">
        <v>10114</v>
      </c>
      <c r="L336" cm="1">
        <f t="array" ref="L336">wordCount(K336)</f>
        <v>9</v>
      </c>
      <c r="M336">
        <f t="shared" si="10"/>
        <v>53</v>
      </c>
      <c r="N336">
        <v>0.55555555555555558</v>
      </c>
      <c r="O336" s="23" cm="1">
        <f t="array" ref="O336">WordListCount(K336,keywords!$A$2:$A$31)-WordListCount(K336,keywords!$B$2:$B$31)</f>
        <v>0</v>
      </c>
      <c r="P336" s="25">
        <f t="shared" si="11"/>
        <v>0.53349537037037031</v>
      </c>
      <c r="Q336" s="23">
        <f>SUM($O$2:O336)</f>
        <v>0</v>
      </c>
      <c r="Y336" s="14"/>
      <c r="Z336" s="13"/>
      <c r="AA336"/>
    </row>
    <row r="337" spans="1:27" x14ac:dyDescent="0.2">
      <c r="A337" s="12" t="s">
        <v>1134</v>
      </c>
      <c r="B337" t="s">
        <v>1135</v>
      </c>
      <c r="C337" t="s">
        <v>1136</v>
      </c>
      <c r="D337" t="s">
        <v>1133</v>
      </c>
      <c r="E337" t="s">
        <v>13</v>
      </c>
      <c r="F337">
        <v>130</v>
      </c>
      <c r="G337">
        <v>239</v>
      </c>
      <c r="H337" s="5" t="s">
        <v>22</v>
      </c>
      <c r="I337" s="5">
        <v>0</v>
      </c>
      <c r="J337" s="5">
        <v>0</v>
      </c>
      <c r="K337" t="s">
        <v>10115</v>
      </c>
      <c r="L337" cm="1">
        <f t="array" ref="L337">wordCount(K337)</f>
        <v>16</v>
      </c>
      <c r="M337">
        <f t="shared" si="10"/>
        <v>97</v>
      </c>
      <c r="N337">
        <v>0.33333333333333331</v>
      </c>
      <c r="O337" s="23" cm="1">
        <f t="array" ref="O337">WordListCount(K337,keywords!$A$2:$A$31)-WordListCount(K337,keywords!$B$2:$B$31)</f>
        <v>0</v>
      </c>
      <c r="P337" s="25">
        <f t="shared" si="11"/>
        <v>0.5335185185185185</v>
      </c>
      <c r="Q337" s="23">
        <f>SUM($O$2:O337)</f>
        <v>0</v>
      </c>
      <c r="Y337" s="14"/>
      <c r="Z337" s="13"/>
      <c r="AA337"/>
    </row>
    <row r="338" spans="1:27" x14ac:dyDescent="0.2">
      <c r="A338" s="12" t="s">
        <v>1137</v>
      </c>
      <c r="B338" t="s">
        <v>1138</v>
      </c>
      <c r="C338" t="s">
        <v>1139</v>
      </c>
      <c r="D338" t="s">
        <v>1140</v>
      </c>
      <c r="E338" t="s">
        <v>13</v>
      </c>
      <c r="F338">
        <v>97</v>
      </c>
      <c r="G338">
        <v>270</v>
      </c>
      <c r="H338" s="5" t="s">
        <v>22</v>
      </c>
      <c r="I338" s="5">
        <v>0</v>
      </c>
      <c r="J338" s="5">
        <v>0</v>
      </c>
      <c r="K338" t="s">
        <v>9115</v>
      </c>
      <c r="L338" cm="1">
        <f t="array" ref="L338">wordCount(K338)</f>
        <v>8</v>
      </c>
      <c r="M338">
        <f t="shared" si="10"/>
        <v>38</v>
      </c>
      <c r="N338">
        <v>0.77272727272727271</v>
      </c>
      <c r="O338" s="23" cm="1">
        <f t="array" ref="O338">WordListCount(K338,keywords!$A$2:$A$31)-WordListCount(K338,keywords!$B$2:$B$31)</f>
        <v>0</v>
      </c>
      <c r="P338" s="25">
        <f t="shared" si="11"/>
        <v>0.53383101851851855</v>
      </c>
      <c r="Q338" s="23">
        <f>SUM($O$2:O338)</f>
        <v>0</v>
      </c>
      <c r="Y338" s="14"/>
      <c r="Z338" s="13"/>
      <c r="AA338"/>
    </row>
    <row r="339" spans="1:27" x14ac:dyDescent="0.2">
      <c r="A339" s="12" t="s">
        <v>1141</v>
      </c>
      <c r="B339" t="s">
        <v>1142</v>
      </c>
      <c r="C339" t="s">
        <v>496</v>
      </c>
      <c r="D339" t="s">
        <v>497</v>
      </c>
      <c r="E339" t="s">
        <v>13</v>
      </c>
      <c r="F339">
        <v>366</v>
      </c>
      <c r="G339">
        <v>225</v>
      </c>
      <c r="H339" s="5" t="s">
        <v>22</v>
      </c>
      <c r="I339" s="5">
        <v>0</v>
      </c>
      <c r="J339" s="5">
        <v>0</v>
      </c>
      <c r="K339" t="s">
        <v>10116</v>
      </c>
      <c r="L339" cm="1">
        <f t="array" ref="L339">wordCount(K339)</f>
        <v>24</v>
      </c>
      <c r="M339">
        <f t="shared" si="10"/>
        <v>103</v>
      </c>
      <c r="N339">
        <v>0.76</v>
      </c>
      <c r="O339" s="23" cm="1">
        <f t="array" ref="O339">WordListCount(K339,keywords!$A$2:$A$31)-WordListCount(K339,keywords!$B$2:$B$31)</f>
        <v>0</v>
      </c>
      <c r="P339" s="25">
        <f t="shared" si="11"/>
        <v>0.53396990740740746</v>
      </c>
      <c r="Q339" s="23">
        <f>SUM($O$2:O339)</f>
        <v>0</v>
      </c>
      <c r="Y339" s="14"/>
      <c r="Z339" s="13"/>
      <c r="AA339"/>
    </row>
    <row r="340" spans="1:27" x14ac:dyDescent="0.2">
      <c r="A340" s="12" t="s">
        <v>1143</v>
      </c>
      <c r="B340" t="s">
        <v>1144</v>
      </c>
      <c r="C340" t="s">
        <v>1145</v>
      </c>
      <c r="D340" t="s">
        <v>1146</v>
      </c>
      <c r="E340" t="s">
        <v>13</v>
      </c>
      <c r="F340">
        <v>0</v>
      </c>
      <c r="G340">
        <v>32</v>
      </c>
      <c r="H340" s="5" t="s">
        <v>677</v>
      </c>
      <c r="I340" s="5">
        <v>0</v>
      </c>
      <c r="J340" s="5">
        <v>0</v>
      </c>
      <c r="K340" t="s">
        <v>10117</v>
      </c>
      <c r="L340" cm="1">
        <f t="array" ref="L340">wordCount(K340)</f>
        <v>17</v>
      </c>
      <c r="M340">
        <f t="shared" si="10"/>
        <v>80</v>
      </c>
      <c r="N340">
        <v>0.4</v>
      </c>
      <c r="O340" s="23" cm="1">
        <f t="array" ref="O340">WordListCount(K340,keywords!$A$2:$A$31)-WordListCount(K340,keywords!$B$2:$B$31)</f>
        <v>0</v>
      </c>
      <c r="P340" s="25">
        <f t="shared" si="11"/>
        <v>0.53437499999999993</v>
      </c>
      <c r="Q340" s="23">
        <f>SUM($O$2:O340)</f>
        <v>0</v>
      </c>
      <c r="Y340" s="14"/>
      <c r="Z340" s="13"/>
      <c r="AA340"/>
    </row>
    <row r="341" spans="1:27" x14ac:dyDescent="0.2">
      <c r="A341" s="12" t="s">
        <v>1147</v>
      </c>
      <c r="B341" t="s">
        <v>1148</v>
      </c>
      <c r="C341" t="s">
        <v>1149</v>
      </c>
      <c r="D341" t="s">
        <v>597</v>
      </c>
      <c r="E341" t="s">
        <v>13</v>
      </c>
      <c r="F341">
        <v>299</v>
      </c>
      <c r="G341">
        <v>310</v>
      </c>
      <c r="H341" s="5" t="s">
        <v>22</v>
      </c>
      <c r="I341" s="5">
        <v>0</v>
      </c>
      <c r="J341" s="5">
        <v>0</v>
      </c>
      <c r="K341" t="s">
        <v>9116</v>
      </c>
      <c r="L341" cm="1">
        <f t="array" ref="L341">wordCount(K341)</f>
        <v>14</v>
      </c>
      <c r="M341">
        <f t="shared" si="10"/>
        <v>71</v>
      </c>
      <c r="N341">
        <v>0.54545454545454541</v>
      </c>
      <c r="O341" s="23" cm="1">
        <f t="array" ref="O341">WordListCount(K341,keywords!$A$2:$A$31)-WordListCount(K341,keywords!$B$2:$B$31)</f>
        <v>0</v>
      </c>
      <c r="P341" s="25">
        <f t="shared" si="11"/>
        <v>0.53461805555555553</v>
      </c>
      <c r="Q341" s="23">
        <f>SUM($O$2:O341)</f>
        <v>0</v>
      </c>
      <c r="Y341" s="14"/>
      <c r="Z341" s="13"/>
      <c r="AA341"/>
    </row>
    <row r="342" spans="1:27" x14ac:dyDescent="0.2">
      <c r="A342" s="12" t="s">
        <v>1150</v>
      </c>
      <c r="B342" t="s">
        <v>1151</v>
      </c>
      <c r="C342" t="s">
        <v>1152</v>
      </c>
      <c r="D342" t="s">
        <v>1153</v>
      </c>
      <c r="E342" t="s">
        <v>13</v>
      </c>
      <c r="F342">
        <v>402</v>
      </c>
      <c r="G342">
        <v>125</v>
      </c>
      <c r="H342" s="5" t="s">
        <v>22</v>
      </c>
      <c r="I342" s="5">
        <v>0</v>
      </c>
      <c r="J342" s="5">
        <v>0</v>
      </c>
      <c r="K342" t="s">
        <v>10118</v>
      </c>
      <c r="L342" cm="1">
        <f t="array" ref="L342">wordCount(K342)</f>
        <v>8</v>
      </c>
      <c r="M342">
        <f t="shared" si="10"/>
        <v>32</v>
      </c>
      <c r="N342">
        <v>0.66666666666666663</v>
      </c>
      <c r="O342" s="23" cm="1">
        <f t="array" ref="O342">WordListCount(K342,keywords!$A$2:$A$31)-WordListCount(K342,keywords!$B$2:$B$31)</f>
        <v>0</v>
      </c>
      <c r="P342" s="25">
        <f t="shared" si="11"/>
        <v>0.53503472222222226</v>
      </c>
      <c r="Q342" s="23">
        <f>SUM($O$2:O342)</f>
        <v>0</v>
      </c>
      <c r="Y342" s="14"/>
      <c r="Z342" s="13"/>
      <c r="AA342"/>
    </row>
    <row r="343" spans="1:27" x14ac:dyDescent="0.2">
      <c r="A343" s="12" t="s">
        <v>1154</v>
      </c>
      <c r="B343" t="s">
        <v>1155</v>
      </c>
      <c r="C343" t="s">
        <v>1156</v>
      </c>
      <c r="D343" t="s">
        <v>1157</v>
      </c>
      <c r="E343" t="s">
        <v>13</v>
      </c>
      <c r="F343">
        <v>0</v>
      </c>
      <c r="G343">
        <v>31</v>
      </c>
      <c r="H343" s="5" t="s">
        <v>22</v>
      </c>
      <c r="I343" s="5">
        <v>0</v>
      </c>
      <c r="J343" s="5">
        <v>0</v>
      </c>
      <c r="K343" t="s">
        <v>10119</v>
      </c>
      <c r="L343" cm="1">
        <f t="array" ref="L343">wordCount(K343)</f>
        <v>18</v>
      </c>
      <c r="M343">
        <f t="shared" si="10"/>
        <v>96</v>
      </c>
      <c r="N343">
        <v>0.14285714285714285</v>
      </c>
      <c r="O343" s="23" cm="1">
        <f t="array" ref="O343">WordListCount(K343,keywords!$A$2:$A$31)-WordListCount(K343,keywords!$B$2:$B$31)</f>
        <v>0</v>
      </c>
      <c r="P343" s="25">
        <f t="shared" si="11"/>
        <v>0.53531249999999997</v>
      </c>
      <c r="Q343" s="23">
        <f>SUM($O$2:O343)</f>
        <v>0</v>
      </c>
      <c r="Y343" s="14"/>
      <c r="Z343" s="13"/>
      <c r="AA343"/>
    </row>
    <row r="344" spans="1:27" x14ac:dyDescent="0.2">
      <c r="A344" s="12" t="s">
        <v>1158</v>
      </c>
      <c r="B344" t="s">
        <v>1159</v>
      </c>
      <c r="C344" t="s">
        <v>1160</v>
      </c>
      <c r="D344" t="s">
        <v>1161</v>
      </c>
      <c r="E344" t="s">
        <v>13</v>
      </c>
      <c r="F344">
        <v>15</v>
      </c>
      <c r="G344">
        <v>2</v>
      </c>
      <c r="H344" s="5" t="s">
        <v>1162</v>
      </c>
      <c r="I344" s="5">
        <v>0</v>
      </c>
      <c r="J344" s="5">
        <v>0</v>
      </c>
      <c r="K344" t="s">
        <v>10120</v>
      </c>
      <c r="L344" cm="1">
        <f t="array" ref="L344">wordCount(K344)</f>
        <v>19</v>
      </c>
      <c r="M344">
        <f t="shared" si="10"/>
        <v>75</v>
      </c>
      <c r="N344">
        <v>0.42105263157894735</v>
      </c>
      <c r="O344" s="23" cm="1">
        <f t="array" ref="O344">WordListCount(K344,keywords!$A$2:$A$31)-WordListCount(K344,keywords!$B$2:$B$31)</f>
        <v>1</v>
      </c>
      <c r="P344" s="25">
        <f t="shared" si="11"/>
        <v>0.53604166666666664</v>
      </c>
      <c r="Q344" s="23">
        <f>SUM($O$2:O344)</f>
        <v>1</v>
      </c>
      <c r="Y344" s="14"/>
      <c r="Z344" s="13"/>
      <c r="AA344"/>
    </row>
    <row r="345" spans="1:27" x14ac:dyDescent="0.2">
      <c r="A345" s="12" t="s">
        <v>1163</v>
      </c>
      <c r="B345" t="s">
        <v>1089</v>
      </c>
      <c r="C345" t="s">
        <v>1164</v>
      </c>
      <c r="D345" t="s">
        <v>12</v>
      </c>
      <c r="E345" t="s">
        <v>13</v>
      </c>
      <c r="F345">
        <v>84</v>
      </c>
      <c r="G345">
        <v>322</v>
      </c>
      <c r="H345" s="5" t="s">
        <v>22</v>
      </c>
      <c r="I345" s="5">
        <v>0</v>
      </c>
      <c r="J345" s="5">
        <v>0</v>
      </c>
      <c r="K345" t="s">
        <v>10105</v>
      </c>
      <c r="L345" cm="1">
        <f t="array" ref="L345">wordCount(K345)</f>
        <v>15</v>
      </c>
      <c r="M345">
        <f t="shared" si="10"/>
        <v>72</v>
      </c>
      <c r="N345">
        <v>1</v>
      </c>
      <c r="O345" s="23" cm="1">
        <f t="array" ref="O345">WordListCount(K345,keywords!$A$2:$A$31)-WordListCount(K345,keywords!$B$2:$B$31)</f>
        <v>0</v>
      </c>
      <c r="P345" s="25">
        <f t="shared" si="11"/>
        <v>0.53667824074074078</v>
      </c>
      <c r="Q345" s="23">
        <f>SUM($O$2:O345)</f>
        <v>1</v>
      </c>
      <c r="Y345" s="14"/>
      <c r="Z345" s="13"/>
      <c r="AA345"/>
    </row>
    <row r="346" spans="1:27" x14ac:dyDescent="0.2">
      <c r="A346" s="12" t="s">
        <v>1165</v>
      </c>
      <c r="B346" t="s">
        <v>1166</v>
      </c>
      <c r="C346" t="s">
        <v>1167</v>
      </c>
      <c r="D346" t="s">
        <v>1168</v>
      </c>
      <c r="E346" t="s">
        <v>13</v>
      </c>
      <c r="F346">
        <v>386</v>
      </c>
      <c r="G346">
        <v>407</v>
      </c>
      <c r="H346" s="5" t="s">
        <v>677</v>
      </c>
      <c r="I346" s="5">
        <v>0</v>
      </c>
      <c r="J346" s="5">
        <v>0</v>
      </c>
      <c r="K346" t="s">
        <v>10121</v>
      </c>
      <c r="L346" cm="1">
        <f t="array" ref="L346">wordCount(K346)</f>
        <v>8</v>
      </c>
      <c r="M346">
        <f t="shared" si="10"/>
        <v>24</v>
      </c>
      <c r="N346">
        <v>0.58333333333333337</v>
      </c>
      <c r="O346" s="23" cm="1">
        <f t="array" ref="O346">WordListCount(K346,keywords!$A$2:$A$31)-WordListCount(K346,keywords!$B$2:$B$31)</f>
        <v>0</v>
      </c>
      <c r="P346" s="25">
        <f t="shared" si="11"/>
        <v>0.53678240740740735</v>
      </c>
      <c r="Q346" s="23">
        <f>SUM($O$2:O346)</f>
        <v>1</v>
      </c>
      <c r="Y346" s="14"/>
      <c r="Z346" s="13"/>
      <c r="AA346"/>
    </row>
    <row r="347" spans="1:27" x14ac:dyDescent="0.2">
      <c r="A347" s="12" t="s">
        <v>1169</v>
      </c>
      <c r="B347" t="s">
        <v>1170</v>
      </c>
      <c r="C347" t="s">
        <v>1171</v>
      </c>
      <c r="D347" t="s">
        <v>1172</v>
      </c>
      <c r="E347" t="s">
        <v>13</v>
      </c>
      <c r="F347">
        <v>1700</v>
      </c>
      <c r="G347">
        <v>328</v>
      </c>
      <c r="H347" s="5" t="s">
        <v>22</v>
      </c>
      <c r="I347" s="5">
        <v>0</v>
      </c>
      <c r="J347" s="5">
        <v>0</v>
      </c>
      <c r="K347" t="s">
        <v>10122</v>
      </c>
      <c r="L347" cm="1">
        <f t="array" ref="L347">wordCount(K347)</f>
        <v>11</v>
      </c>
      <c r="M347">
        <f t="shared" si="10"/>
        <v>57</v>
      </c>
      <c r="N347">
        <v>0.7</v>
      </c>
      <c r="O347" s="23" cm="1">
        <f t="array" ref="O347">WordListCount(K347,keywords!$A$2:$A$31)-WordListCount(K347,keywords!$B$2:$B$31)</f>
        <v>0</v>
      </c>
      <c r="P347" s="25">
        <f t="shared" si="11"/>
        <v>0.53700231481481475</v>
      </c>
      <c r="Q347" s="23">
        <f>SUM($O$2:O347)</f>
        <v>1</v>
      </c>
      <c r="Y347" s="14"/>
      <c r="Z347" s="13"/>
      <c r="AA347"/>
    </row>
    <row r="348" spans="1:27" x14ac:dyDescent="0.2">
      <c r="A348" s="12" t="s">
        <v>1173</v>
      </c>
      <c r="B348" t="s">
        <v>1174</v>
      </c>
      <c r="C348" t="s">
        <v>1175</v>
      </c>
      <c r="D348" t="s">
        <v>12</v>
      </c>
      <c r="E348" t="s">
        <v>13</v>
      </c>
      <c r="F348">
        <v>0</v>
      </c>
      <c r="G348">
        <v>20</v>
      </c>
      <c r="H348" s="5" t="s">
        <v>22</v>
      </c>
      <c r="I348" s="5">
        <v>0</v>
      </c>
      <c r="J348" s="5">
        <v>0</v>
      </c>
      <c r="K348" t="s">
        <v>10123</v>
      </c>
      <c r="L348" cm="1">
        <f t="array" ref="L348">wordCount(K348)</f>
        <v>24</v>
      </c>
      <c r="M348">
        <f t="shared" si="10"/>
        <v>116</v>
      </c>
      <c r="N348">
        <v>0.21739130434782608</v>
      </c>
      <c r="O348" s="23" cm="1">
        <f t="array" ref="O348">WordListCount(K348,keywords!$A$2:$A$31)-WordListCount(K348,keywords!$B$2:$B$31)</f>
        <v>0</v>
      </c>
      <c r="P348" s="25">
        <f t="shared" si="11"/>
        <v>0.53738425925925926</v>
      </c>
      <c r="Q348" s="23">
        <f>SUM($O$2:O348)</f>
        <v>1</v>
      </c>
      <c r="Y348" s="14"/>
      <c r="Z348" s="13"/>
      <c r="AA348"/>
    </row>
    <row r="349" spans="1:27" x14ac:dyDescent="0.2">
      <c r="A349" s="12" t="s">
        <v>1176</v>
      </c>
      <c r="B349" t="s">
        <v>1177</v>
      </c>
      <c r="C349" t="s">
        <v>1178</v>
      </c>
      <c r="D349" t="s">
        <v>12</v>
      </c>
      <c r="E349" t="s">
        <v>13</v>
      </c>
      <c r="F349">
        <v>81</v>
      </c>
      <c r="G349">
        <v>255</v>
      </c>
      <c r="H349" s="5" t="s">
        <v>22</v>
      </c>
      <c r="I349" s="5">
        <v>0</v>
      </c>
      <c r="J349" s="5">
        <v>0</v>
      </c>
      <c r="K349" t="s">
        <v>9117</v>
      </c>
      <c r="L349" cm="1">
        <f t="array" ref="L349">wordCount(K349)</f>
        <v>7</v>
      </c>
      <c r="M349">
        <f t="shared" si="10"/>
        <v>35</v>
      </c>
      <c r="N349">
        <v>0.80952380952380953</v>
      </c>
      <c r="O349" s="23" cm="1">
        <f t="array" ref="O349">WordListCount(K349,keywords!$A$2:$A$31)-WordListCount(K349,keywords!$B$2:$B$31)</f>
        <v>0</v>
      </c>
      <c r="P349" s="25">
        <f t="shared" si="11"/>
        <v>0.53741898148148148</v>
      </c>
      <c r="Q349" s="23">
        <f>SUM($O$2:O349)</f>
        <v>1</v>
      </c>
      <c r="Y349" s="14"/>
      <c r="Z349" s="13"/>
      <c r="AA349"/>
    </row>
    <row r="350" spans="1:27" x14ac:dyDescent="0.2">
      <c r="A350" s="12" t="s">
        <v>1179</v>
      </c>
      <c r="B350" t="s">
        <v>1180</v>
      </c>
      <c r="C350" t="s">
        <v>1181</v>
      </c>
      <c r="D350" t="s">
        <v>1182</v>
      </c>
      <c r="E350" t="s">
        <v>13</v>
      </c>
      <c r="F350">
        <v>414</v>
      </c>
      <c r="G350">
        <v>206</v>
      </c>
      <c r="H350" s="5" t="s">
        <v>22</v>
      </c>
      <c r="I350" s="5">
        <v>0</v>
      </c>
      <c r="J350" s="5">
        <v>0</v>
      </c>
      <c r="K350" t="s">
        <v>10124</v>
      </c>
      <c r="L350" cm="1">
        <f t="array" ref="L350">wordCount(K350)</f>
        <v>8</v>
      </c>
      <c r="M350">
        <f t="shared" si="10"/>
        <v>44</v>
      </c>
      <c r="N350">
        <v>0.33333333333333331</v>
      </c>
      <c r="O350" s="23" cm="1">
        <f t="array" ref="O350">WordListCount(K350,keywords!$A$2:$A$31)-WordListCount(K350,keywords!$B$2:$B$31)</f>
        <v>0</v>
      </c>
      <c r="P350" s="25">
        <f t="shared" si="11"/>
        <v>0.53756944444444443</v>
      </c>
      <c r="Q350" s="23">
        <f>SUM($O$2:O350)</f>
        <v>1</v>
      </c>
      <c r="Y350" s="14"/>
      <c r="Z350" s="13"/>
      <c r="AA350"/>
    </row>
    <row r="351" spans="1:27" x14ac:dyDescent="0.2">
      <c r="A351" s="12" t="s">
        <v>1183</v>
      </c>
      <c r="B351" t="s">
        <v>1184</v>
      </c>
      <c r="C351" t="s">
        <v>1185</v>
      </c>
      <c r="D351" t="s">
        <v>594</v>
      </c>
      <c r="E351" t="s">
        <v>13</v>
      </c>
      <c r="F351">
        <v>1308</v>
      </c>
      <c r="G351">
        <v>1994</v>
      </c>
      <c r="H351" s="5" t="s">
        <v>22</v>
      </c>
      <c r="I351" s="5">
        <v>0</v>
      </c>
      <c r="J351" s="5">
        <v>0</v>
      </c>
      <c r="K351" t="s">
        <v>9118</v>
      </c>
      <c r="L351" cm="1">
        <f t="array" ref="L351">wordCount(K351)</f>
        <v>15</v>
      </c>
      <c r="M351">
        <f t="shared" si="10"/>
        <v>63</v>
      </c>
      <c r="N351">
        <v>0.63636363636363635</v>
      </c>
      <c r="O351" s="23" cm="1">
        <f t="array" ref="O351">WordListCount(K351,keywords!$A$2:$A$31)-WordListCount(K351,keywords!$B$2:$B$31)</f>
        <v>0</v>
      </c>
      <c r="P351" s="25">
        <f t="shared" si="11"/>
        <v>0.5377777777777778</v>
      </c>
      <c r="Q351" s="23">
        <f>SUM($O$2:O351)</f>
        <v>1</v>
      </c>
      <c r="Y351" s="14"/>
      <c r="Z351" s="13"/>
      <c r="AA351"/>
    </row>
    <row r="352" spans="1:27" x14ac:dyDescent="0.2">
      <c r="A352" s="12" t="s">
        <v>1186</v>
      </c>
      <c r="B352" t="s">
        <v>1187</v>
      </c>
      <c r="C352" t="s">
        <v>1188</v>
      </c>
      <c r="D352" t="s">
        <v>986</v>
      </c>
      <c r="E352" t="s">
        <v>13</v>
      </c>
      <c r="F352">
        <v>22</v>
      </c>
      <c r="G352">
        <v>95</v>
      </c>
      <c r="H352" s="5" t="s">
        <v>96</v>
      </c>
      <c r="I352" s="5">
        <v>0</v>
      </c>
      <c r="J352" s="5">
        <v>0</v>
      </c>
      <c r="K352" t="s">
        <v>10125</v>
      </c>
      <c r="L352" cm="1">
        <f t="array" ref="L352">wordCount(K352)</f>
        <v>12</v>
      </c>
      <c r="M352">
        <f t="shared" si="10"/>
        <v>56</v>
      </c>
      <c r="N352">
        <v>0.63157894736842102</v>
      </c>
      <c r="O352" s="23" cm="1">
        <f t="array" ref="O352">WordListCount(K352,keywords!$A$2:$A$31)-WordListCount(K352,keywords!$B$2:$B$31)</f>
        <v>0</v>
      </c>
      <c r="P352" s="25">
        <f t="shared" si="11"/>
        <v>0.53810185185185189</v>
      </c>
      <c r="Q352" s="23">
        <f>SUM($O$2:O352)</f>
        <v>1</v>
      </c>
      <c r="Y352" s="14"/>
      <c r="Z352" s="13"/>
      <c r="AA352"/>
    </row>
    <row r="353" spans="1:27" x14ac:dyDescent="0.2">
      <c r="A353" s="12" t="s">
        <v>1189</v>
      </c>
      <c r="B353" t="s">
        <v>1190</v>
      </c>
      <c r="C353" t="s">
        <v>1191</v>
      </c>
      <c r="D353" t="s">
        <v>1192</v>
      </c>
      <c r="E353" t="s">
        <v>13</v>
      </c>
      <c r="F353">
        <v>3494</v>
      </c>
      <c r="G353">
        <v>1203</v>
      </c>
      <c r="H353" s="5" t="s">
        <v>22</v>
      </c>
      <c r="I353" s="5">
        <v>0</v>
      </c>
      <c r="J353" s="5">
        <v>0</v>
      </c>
      <c r="K353" t="s">
        <v>10126</v>
      </c>
      <c r="L353" cm="1">
        <f t="array" ref="L353">wordCount(K353)</f>
        <v>8</v>
      </c>
      <c r="M353">
        <f t="shared" si="10"/>
        <v>30</v>
      </c>
      <c r="N353">
        <v>0.7931034482758621</v>
      </c>
      <c r="O353" s="23" cm="1">
        <f t="array" ref="O353">WordListCount(K353,keywords!$A$2:$A$31)-WordListCount(K353,keywords!$B$2:$B$31)</f>
        <v>-1</v>
      </c>
      <c r="P353" s="25">
        <f t="shared" si="11"/>
        <v>0.53836805555555556</v>
      </c>
      <c r="Q353" s="23">
        <f>SUM($O$2:O353)</f>
        <v>0</v>
      </c>
      <c r="Y353" s="14"/>
      <c r="Z353" s="13"/>
      <c r="AA353"/>
    </row>
    <row r="354" spans="1:27" x14ac:dyDescent="0.2">
      <c r="A354" s="12" t="s">
        <v>1193</v>
      </c>
      <c r="B354" t="s">
        <v>1194</v>
      </c>
      <c r="C354" t="s">
        <v>1195</v>
      </c>
      <c r="D354" t="s">
        <v>12</v>
      </c>
      <c r="E354" t="s">
        <v>13</v>
      </c>
      <c r="F354">
        <v>20</v>
      </c>
      <c r="G354">
        <v>47</v>
      </c>
      <c r="H354" s="5" t="s">
        <v>22</v>
      </c>
      <c r="I354" s="5">
        <v>0</v>
      </c>
      <c r="J354" s="5">
        <v>0</v>
      </c>
      <c r="K354" t="s">
        <v>10127</v>
      </c>
      <c r="L354" cm="1">
        <f t="array" ref="L354">wordCount(K354)</f>
        <v>16</v>
      </c>
      <c r="M354">
        <f t="shared" si="10"/>
        <v>82</v>
      </c>
      <c r="N354">
        <v>0.58620689655172409</v>
      </c>
      <c r="O354" s="23" cm="1">
        <f t="array" ref="O354">WordListCount(K354,keywords!$A$2:$A$31)-WordListCount(K354,keywords!$B$2:$B$31)</f>
        <v>0</v>
      </c>
      <c r="P354" s="25">
        <f t="shared" si="11"/>
        <v>0.53841435185185182</v>
      </c>
      <c r="Q354" s="23">
        <f>SUM($O$2:O354)</f>
        <v>0</v>
      </c>
      <c r="Y354" s="14"/>
      <c r="Z354" s="13"/>
      <c r="AA354"/>
    </row>
    <row r="355" spans="1:27" x14ac:dyDescent="0.2">
      <c r="A355" s="12" t="s">
        <v>1196</v>
      </c>
      <c r="B355" t="s">
        <v>1197</v>
      </c>
      <c r="C355" t="s">
        <v>1050</v>
      </c>
      <c r="D355" t="s">
        <v>1051</v>
      </c>
      <c r="E355" t="s">
        <v>13</v>
      </c>
      <c r="F355">
        <v>4943</v>
      </c>
      <c r="G355">
        <v>4840</v>
      </c>
      <c r="H355" s="5" t="s">
        <v>125</v>
      </c>
      <c r="I355" s="5">
        <v>0</v>
      </c>
      <c r="J355" s="5">
        <v>0</v>
      </c>
      <c r="K355" t="s">
        <v>10128</v>
      </c>
      <c r="L355" cm="1">
        <f t="array" ref="L355">wordCount(K355)</f>
        <v>4</v>
      </c>
      <c r="M355">
        <f t="shared" si="10"/>
        <v>17</v>
      </c>
      <c r="N355">
        <v>0.8</v>
      </c>
      <c r="O355" s="23" cm="1">
        <f t="array" ref="O355">WordListCount(K355,keywords!$A$2:$A$31)-WordListCount(K355,keywords!$B$2:$B$31)</f>
        <v>0</v>
      </c>
      <c r="P355" s="25">
        <f t="shared" si="11"/>
        <v>0.53880787037037037</v>
      </c>
      <c r="Q355" s="23">
        <f>SUM($O$2:O355)</f>
        <v>0</v>
      </c>
      <c r="Y355" s="14"/>
      <c r="Z355" s="13"/>
      <c r="AA355"/>
    </row>
    <row r="356" spans="1:27" x14ac:dyDescent="0.2">
      <c r="A356" s="12" t="s">
        <v>1198</v>
      </c>
      <c r="B356" t="s">
        <v>1199</v>
      </c>
      <c r="C356" t="s">
        <v>1200</v>
      </c>
      <c r="D356" t="s">
        <v>1201</v>
      </c>
      <c r="E356" t="s">
        <v>13</v>
      </c>
      <c r="F356">
        <v>1064</v>
      </c>
      <c r="G356">
        <v>444</v>
      </c>
      <c r="H356" s="5" t="s">
        <v>22</v>
      </c>
      <c r="I356" s="5">
        <v>0</v>
      </c>
      <c r="J356" s="5">
        <v>0</v>
      </c>
      <c r="K356" t="s">
        <v>10129</v>
      </c>
      <c r="L356" cm="1">
        <f t="array" ref="L356">wordCount(K356)</f>
        <v>13</v>
      </c>
      <c r="M356">
        <f t="shared" si="10"/>
        <v>69</v>
      </c>
      <c r="N356">
        <v>0.35294117647058826</v>
      </c>
      <c r="O356" s="23" cm="1">
        <f t="array" ref="O356">WordListCount(K356,keywords!$A$2:$A$31)-WordListCount(K356,keywords!$B$2:$B$31)</f>
        <v>0</v>
      </c>
      <c r="P356" s="25">
        <f t="shared" si="11"/>
        <v>0.53900462962962969</v>
      </c>
      <c r="Q356" s="23">
        <f>SUM($O$2:O356)</f>
        <v>0</v>
      </c>
      <c r="Y356" s="14"/>
      <c r="Z356" s="13"/>
      <c r="AA356"/>
    </row>
    <row r="357" spans="1:27" x14ac:dyDescent="0.2">
      <c r="A357" s="12" t="s">
        <v>1202</v>
      </c>
      <c r="B357" t="s">
        <v>1203</v>
      </c>
      <c r="C357" t="s">
        <v>796</v>
      </c>
      <c r="D357" t="s">
        <v>797</v>
      </c>
      <c r="E357" t="s">
        <v>13</v>
      </c>
      <c r="F357">
        <v>3058</v>
      </c>
      <c r="G357">
        <v>983</v>
      </c>
      <c r="H357" s="5" t="s">
        <v>22</v>
      </c>
      <c r="I357" s="5">
        <v>0</v>
      </c>
      <c r="J357" s="5">
        <v>0</v>
      </c>
      <c r="K357" t="s">
        <v>9119</v>
      </c>
      <c r="L357" cm="1">
        <f t="array" ref="L357">wordCount(K357)</f>
        <v>12</v>
      </c>
      <c r="M357">
        <f t="shared" si="10"/>
        <v>66</v>
      </c>
      <c r="N357">
        <v>0.3888888888888889</v>
      </c>
      <c r="O357" s="23" cm="1">
        <f t="array" ref="O357">WordListCount(K357,keywords!$A$2:$A$31)-WordListCount(K357,keywords!$B$2:$B$31)</f>
        <v>0</v>
      </c>
      <c r="P357" s="25">
        <f t="shared" si="11"/>
        <v>0.53916666666666668</v>
      </c>
      <c r="Q357" s="23">
        <f>SUM($O$2:O357)</f>
        <v>0</v>
      </c>
      <c r="Y357" s="14"/>
      <c r="Z357" s="13"/>
      <c r="AA357"/>
    </row>
    <row r="358" spans="1:27" x14ac:dyDescent="0.2">
      <c r="A358" s="12" t="s">
        <v>1204</v>
      </c>
      <c r="B358" t="s">
        <v>1205</v>
      </c>
      <c r="C358" t="s">
        <v>1206</v>
      </c>
      <c r="D358" t="s">
        <v>1207</v>
      </c>
      <c r="E358" t="s">
        <v>13</v>
      </c>
      <c r="F358">
        <v>10</v>
      </c>
      <c r="G358">
        <v>85</v>
      </c>
      <c r="H358" s="5" t="s">
        <v>22</v>
      </c>
      <c r="I358" s="5">
        <v>0</v>
      </c>
      <c r="J358" s="5">
        <v>0</v>
      </c>
      <c r="K358" t="s">
        <v>10130</v>
      </c>
      <c r="L358" cm="1">
        <f t="array" ref="L358">wordCount(K358)</f>
        <v>7</v>
      </c>
      <c r="M358">
        <f t="shared" si="10"/>
        <v>45</v>
      </c>
      <c r="N358">
        <v>0.6</v>
      </c>
      <c r="O358" s="23" cm="1">
        <f t="array" ref="O358">WordListCount(K358,keywords!$A$2:$A$31)-WordListCount(K358,keywords!$B$2:$B$31)</f>
        <v>0</v>
      </c>
      <c r="P358" s="25">
        <f t="shared" si="11"/>
        <v>0.53930555555555559</v>
      </c>
      <c r="Q358" s="23">
        <f>SUM($O$2:O358)</f>
        <v>0</v>
      </c>
      <c r="Y358" s="14"/>
      <c r="Z358" s="13"/>
      <c r="AA358"/>
    </row>
    <row r="359" spans="1:27" x14ac:dyDescent="0.2">
      <c r="A359" s="12" t="s">
        <v>1208</v>
      </c>
      <c r="B359" t="s">
        <v>1209</v>
      </c>
      <c r="C359" t="s">
        <v>1210</v>
      </c>
      <c r="D359" t="s">
        <v>12</v>
      </c>
      <c r="E359" t="s">
        <v>13</v>
      </c>
      <c r="F359">
        <v>35</v>
      </c>
      <c r="G359">
        <v>45</v>
      </c>
      <c r="H359" s="5" t="s">
        <v>22</v>
      </c>
      <c r="I359" s="5">
        <v>0</v>
      </c>
      <c r="J359" s="5">
        <v>0</v>
      </c>
      <c r="K359" t="s">
        <v>9120</v>
      </c>
      <c r="L359" cm="1">
        <f t="array" ref="L359">wordCount(K359)</f>
        <v>14</v>
      </c>
      <c r="M359">
        <f t="shared" si="10"/>
        <v>60</v>
      </c>
      <c r="N359">
        <v>0.40909090909090912</v>
      </c>
      <c r="O359" s="23" cm="1">
        <f t="array" ref="O359">WordListCount(K359,keywords!$A$2:$A$31)-WordListCount(K359,keywords!$B$2:$B$31)</f>
        <v>0</v>
      </c>
      <c r="P359" s="25">
        <f t="shared" si="11"/>
        <v>0.5393634259259259</v>
      </c>
      <c r="Q359" s="23">
        <f>SUM($O$2:O359)</f>
        <v>0</v>
      </c>
      <c r="Y359" s="14"/>
      <c r="Z359" s="13"/>
      <c r="AA359"/>
    </row>
    <row r="360" spans="1:27" x14ac:dyDescent="0.2">
      <c r="A360" s="12" t="s">
        <v>1211</v>
      </c>
      <c r="B360" t="s">
        <v>1212</v>
      </c>
      <c r="C360" t="s">
        <v>511</v>
      </c>
      <c r="D360" t="s">
        <v>512</v>
      </c>
      <c r="E360" t="s">
        <v>13</v>
      </c>
      <c r="F360">
        <v>1899</v>
      </c>
      <c r="G360">
        <v>540</v>
      </c>
      <c r="H360" s="5" t="s">
        <v>22</v>
      </c>
      <c r="I360" s="5">
        <v>0</v>
      </c>
      <c r="J360" s="5">
        <v>0</v>
      </c>
      <c r="K360" t="s">
        <v>9121</v>
      </c>
      <c r="L360" cm="1">
        <f t="array" ref="L360">wordCount(K360)</f>
        <v>11</v>
      </c>
      <c r="M360">
        <f t="shared" si="10"/>
        <v>55</v>
      </c>
      <c r="N360">
        <v>0.90909090909090906</v>
      </c>
      <c r="O360" s="23" cm="1">
        <f t="array" ref="O360">WordListCount(K360,keywords!$A$2:$A$31)-WordListCount(K360,keywords!$B$2:$B$31)</f>
        <v>0</v>
      </c>
      <c r="P360" s="25">
        <f t="shared" si="11"/>
        <v>0.53966435185185191</v>
      </c>
      <c r="Q360" s="23">
        <f>SUM($O$2:O360)</f>
        <v>0</v>
      </c>
      <c r="Y360" s="14"/>
      <c r="Z360" s="13"/>
      <c r="AA360"/>
    </row>
    <row r="361" spans="1:27" x14ac:dyDescent="0.2">
      <c r="A361" s="12" t="s">
        <v>1213</v>
      </c>
      <c r="B361" t="s">
        <v>1214</v>
      </c>
      <c r="C361" t="s">
        <v>1215</v>
      </c>
      <c r="D361" t="s">
        <v>1216</v>
      </c>
      <c r="E361" t="s">
        <v>13</v>
      </c>
      <c r="F361">
        <v>451</v>
      </c>
      <c r="G361">
        <v>62</v>
      </c>
      <c r="H361" s="5" t="s">
        <v>22</v>
      </c>
      <c r="I361" s="5">
        <v>0</v>
      </c>
      <c r="J361" s="5">
        <v>0</v>
      </c>
      <c r="K361" t="s">
        <v>10131</v>
      </c>
      <c r="L361" cm="1">
        <f t="array" ref="L361">wordCount(K361)</f>
        <v>5</v>
      </c>
      <c r="M361">
        <f t="shared" si="10"/>
        <v>25</v>
      </c>
      <c r="N361">
        <v>0.72727272727272729</v>
      </c>
      <c r="O361" s="23" cm="1">
        <f t="array" ref="O361">WordListCount(K361,keywords!$A$2:$A$31)-WordListCount(K361,keywords!$B$2:$B$31)</f>
        <v>0</v>
      </c>
      <c r="P361" s="25">
        <f t="shared" si="11"/>
        <v>0.53968749999999999</v>
      </c>
      <c r="Q361" s="23">
        <f>SUM($O$2:O361)</f>
        <v>0</v>
      </c>
      <c r="Y361" s="14"/>
      <c r="Z361" s="13"/>
      <c r="AA361"/>
    </row>
    <row r="362" spans="1:27" x14ac:dyDescent="0.2">
      <c r="A362" s="12" t="s">
        <v>1217</v>
      </c>
      <c r="B362" t="s">
        <v>1218</v>
      </c>
      <c r="C362" t="s">
        <v>1219</v>
      </c>
      <c r="D362" t="s">
        <v>1220</v>
      </c>
      <c r="E362" t="s">
        <v>13</v>
      </c>
      <c r="F362">
        <v>4774</v>
      </c>
      <c r="G362">
        <v>1095</v>
      </c>
      <c r="H362" s="5" t="s">
        <v>22</v>
      </c>
      <c r="I362" s="5">
        <v>0</v>
      </c>
      <c r="J362" s="5">
        <v>0</v>
      </c>
      <c r="K362" t="s">
        <v>9122</v>
      </c>
      <c r="L362" cm="1">
        <f t="array" ref="L362">wordCount(K362)</f>
        <v>12</v>
      </c>
      <c r="M362">
        <f t="shared" si="10"/>
        <v>73</v>
      </c>
      <c r="N362">
        <v>0.74285714285714288</v>
      </c>
      <c r="O362" s="23" cm="1">
        <f t="array" ref="O362">WordListCount(K362,keywords!$A$2:$A$31)-WordListCount(K362,keywords!$B$2:$B$31)</f>
        <v>0</v>
      </c>
      <c r="P362" s="25">
        <f t="shared" si="11"/>
        <v>0.53997685185185185</v>
      </c>
      <c r="Q362" s="23">
        <f>SUM($O$2:O362)</f>
        <v>0</v>
      </c>
      <c r="Y362" s="14"/>
      <c r="Z362" s="13"/>
      <c r="AA362"/>
    </row>
    <row r="363" spans="1:27" x14ac:dyDescent="0.2">
      <c r="A363" s="12" t="s">
        <v>1221</v>
      </c>
      <c r="B363" t="s">
        <v>1222</v>
      </c>
      <c r="C363" t="s">
        <v>1219</v>
      </c>
      <c r="D363" t="s">
        <v>1220</v>
      </c>
      <c r="E363" t="s">
        <v>13</v>
      </c>
      <c r="F363">
        <v>4774</v>
      </c>
      <c r="G363">
        <v>1095</v>
      </c>
      <c r="H363" s="5" t="s">
        <v>22</v>
      </c>
      <c r="I363" s="5">
        <v>0</v>
      </c>
      <c r="J363" s="5">
        <v>0</v>
      </c>
      <c r="K363" t="s">
        <v>9123</v>
      </c>
      <c r="L363" cm="1">
        <f t="array" ref="L363">wordCount(K363)</f>
        <v>11</v>
      </c>
      <c r="M363">
        <f t="shared" si="10"/>
        <v>61</v>
      </c>
      <c r="N363">
        <v>0.625</v>
      </c>
      <c r="O363" s="23" cm="1">
        <f t="array" ref="O363">WordListCount(K363,keywords!$A$2:$A$31)-WordListCount(K363,keywords!$B$2:$B$31)</f>
        <v>1</v>
      </c>
      <c r="P363" s="25">
        <f t="shared" si="11"/>
        <v>0.54023148148148148</v>
      </c>
      <c r="Q363" s="23">
        <f>SUM($O$2:O363)</f>
        <v>1</v>
      </c>
      <c r="Y363" s="14"/>
      <c r="Z363" s="13"/>
      <c r="AA363"/>
    </row>
    <row r="364" spans="1:27" x14ac:dyDescent="0.2">
      <c r="A364" s="12" t="s">
        <v>1223</v>
      </c>
      <c r="B364" t="s">
        <v>1224</v>
      </c>
      <c r="C364" t="s">
        <v>1225</v>
      </c>
      <c r="D364" t="s">
        <v>1226</v>
      </c>
      <c r="E364" t="s">
        <v>13</v>
      </c>
      <c r="F364">
        <v>3605</v>
      </c>
      <c r="G364">
        <v>276</v>
      </c>
      <c r="H364" s="5" t="s">
        <v>22</v>
      </c>
      <c r="I364" s="5">
        <v>0</v>
      </c>
      <c r="J364" s="5">
        <v>0</v>
      </c>
      <c r="K364" t="s">
        <v>9124</v>
      </c>
      <c r="L364" cm="1">
        <f t="array" ref="L364">wordCount(K364)</f>
        <v>9</v>
      </c>
      <c r="M364">
        <f t="shared" si="10"/>
        <v>50</v>
      </c>
      <c r="N364">
        <v>0.53846153846153844</v>
      </c>
      <c r="O364" s="23" cm="1">
        <f t="array" ref="O364">WordListCount(K364,keywords!$A$2:$A$31)-WordListCount(K364,keywords!$B$2:$B$31)</f>
        <v>0</v>
      </c>
      <c r="P364" s="25">
        <f t="shared" si="11"/>
        <v>0.54030092592592593</v>
      </c>
      <c r="Q364" s="23">
        <f>SUM($O$2:O364)</f>
        <v>1</v>
      </c>
      <c r="Y364" s="14"/>
      <c r="Z364" s="13"/>
      <c r="AA364"/>
    </row>
    <row r="365" spans="1:27" x14ac:dyDescent="0.2">
      <c r="A365" s="12" t="s">
        <v>1227</v>
      </c>
      <c r="B365" t="s">
        <v>1228</v>
      </c>
      <c r="C365" t="s">
        <v>1229</v>
      </c>
      <c r="D365" t="s">
        <v>74</v>
      </c>
      <c r="E365" t="s">
        <v>13</v>
      </c>
      <c r="F365">
        <v>30</v>
      </c>
      <c r="G365">
        <v>61</v>
      </c>
      <c r="H365" s="5" t="s">
        <v>22</v>
      </c>
      <c r="I365" s="5">
        <v>0</v>
      </c>
      <c r="J365" s="5">
        <v>0</v>
      </c>
      <c r="K365" t="s">
        <v>10132</v>
      </c>
      <c r="L365" cm="1">
        <f t="array" ref="L365">wordCount(K365)</f>
        <v>18</v>
      </c>
      <c r="M365">
        <f t="shared" si="10"/>
        <v>67</v>
      </c>
      <c r="N365">
        <v>0.3888888888888889</v>
      </c>
      <c r="O365" s="23" cm="1">
        <f t="array" ref="O365">WordListCount(K365,keywords!$A$2:$A$31)-WordListCount(K365,keywords!$B$2:$B$31)</f>
        <v>1</v>
      </c>
      <c r="P365" s="25">
        <f t="shared" si="11"/>
        <v>0.54035879629629624</v>
      </c>
      <c r="Q365" s="23">
        <f>SUM($O$2:O365)</f>
        <v>2</v>
      </c>
      <c r="Y365" s="14"/>
      <c r="Z365" s="13"/>
      <c r="AA365"/>
    </row>
    <row r="366" spans="1:27" x14ac:dyDescent="0.2">
      <c r="A366" s="12" t="s">
        <v>1230</v>
      </c>
      <c r="B366" t="s">
        <v>1231</v>
      </c>
      <c r="C366" t="s">
        <v>1232</v>
      </c>
      <c r="D366" t="s">
        <v>1233</v>
      </c>
      <c r="E366" t="s">
        <v>13</v>
      </c>
      <c r="F366">
        <v>413</v>
      </c>
      <c r="G366">
        <v>784</v>
      </c>
      <c r="H366" s="5" t="s">
        <v>22</v>
      </c>
      <c r="I366" s="5">
        <v>0</v>
      </c>
      <c r="J366" s="5">
        <v>0</v>
      </c>
      <c r="K366" t="s">
        <v>9125</v>
      </c>
      <c r="L366" cm="1">
        <f t="array" ref="L366">wordCount(K366)</f>
        <v>20</v>
      </c>
      <c r="M366">
        <f t="shared" si="10"/>
        <v>112</v>
      </c>
      <c r="N366">
        <v>0.39130434782608697</v>
      </c>
      <c r="O366" s="23" cm="1">
        <f t="array" ref="O366">WordListCount(K366,keywords!$A$2:$A$31)-WordListCount(K366,keywords!$B$2:$B$31)</f>
        <v>0</v>
      </c>
      <c r="P366" s="25">
        <f t="shared" si="11"/>
        <v>0.54070601851851852</v>
      </c>
      <c r="Q366" s="23">
        <f>SUM($O$2:O366)</f>
        <v>2</v>
      </c>
      <c r="Y366" s="14"/>
      <c r="Z366" s="13"/>
      <c r="AA366"/>
    </row>
    <row r="367" spans="1:27" x14ac:dyDescent="0.2">
      <c r="A367" s="12" t="s">
        <v>1234</v>
      </c>
      <c r="B367" t="s">
        <v>1235</v>
      </c>
      <c r="C367" t="s">
        <v>1236</v>
      </c>
      <c r="D367" t="s">
        <v>12</v>
      </c>
      <c r="E367" t="s">
        <v>13</v>
      </c>
      <c r="F367">
        <v>30882</v>
      </c>
      <c r="G367">
        <v>2604</v>
      </c>
      <c r="H367" s="5" t="s">
        <v>22</v>
      </c>
      <c r="I367" s="5">
        <v>0</v>
      </c>
      <c r="J367" s="5">
        <v>0</v>
      </c>
      <c r="K367" t="s">
        <v>10133</v>
      </c>
      <c r="L367" cm="1">
        <f t="array" ref="L367">wordCount(K367)</f>
        <v>7</v>
      </c>
      <c r="M367">
        <f t="shared" si="10"/>
        <v>33</v>
      </c>
      <c r="N367">
        <v>0.72727272727272729</v>
      </c>
      <c r="O367" s="23" cm="1">
        <f t="array" ref="O367">WordListCount(K367,keywords!$A$2:$A$31)-WordListCount(K367,keywords!$B$2:$B$31)</f>
        <v>0</v>
      </c>
      <c r="P367" s="25">
        <f t="shared" si="11"/>
        <v>0.54083333333333339</v>
      </c>
      <c r="Q367" s="23">
        <f>SUM($O$2:O367)</f>
        <v>2</v>
      </c>
      <c r="Y367" s="14"/>
      <c r="Z367" s="13"/>
      <c r="AA367"/>
    </row>
    <row r="368" spans="1:27" x14ac:dyDescent="0.2">
      <c r="A368" s="12" t="s">
        <v>1237</v>
      </c>
      <c r="B368" t="s">
        <v>1238</v>
      </c>
      <c r="C368" t="s">
        <v>1239</v>
      </c>
      <c r="D368" t="s">
        <v>1240</v>
      </c>
      <c r="E368" t="s">
        <v>13</v>
      </c>
      <c r="F368">
        <v>139</v>
      </c>
      <c r="G368">
        <v>306</v>
      </c>
      <c r="H368" s="5" t="s">
        <v>22</v>
      </c>
      <c r="I368" s="5">
        <v>0</v>
      </c>
      <c r="J368" s="5">
        <v>0</v>
      </c>
      <c r="K368" t="s">
        <v>9126</v>
      </c>
      <c r="L368" cm="1">
        <f t="array" ref="L368">wordCount(K368)</f>
        <v>15</v>
      </c>
      <c r="M368">
        <f t="shared" si="10"/>
        <v>68</v>
      </c>
      <c r="N368">
        <v>0.51851851851851849</v>
      </c>
      <c r="O368" s="23" cm="1">
        <f t="array" ref="O368">WordListCount(K368,keywords!$A$2:$A$31)-WordListCount(K368,keywords!$B$2:$B$31)</f>
        <v>0</v>
      </c>
      <c r="P368" s="25">
        <f t="shared" si="11"/>
        <v>0.54098379629629634</v>
      </c>
      <c r="Q368" s="23">
        <f>SUM($O$2:O368)</f>
        <v>2</v>
      </c>
      <c r="Y368" s="14"/>
      <c r="Z368" s="13"/>
      <c r="AA368"/>
    </row>
    <row r="369" spans="1:27" x14ac:dyDescent="0.2">
      <c r="A369" s="12" t="s">
        <v>1241</v>
      </c>
      <c r="B369" t="s">
        <v>1242</v>
      </c>
      <c r="C369" t="s">
        <v>1243</v>
      </c>
      <c r="D369" t="s">
        <v>1244</v>
      </c>
      <c r="E369" t="s">
        <v>13</v>
      </c>
      <c r="F369">
        <v>142</v>
      </c>
      <c r="G369">
        <v>137</v>
      </c>
      <c r="H369" s="5" t="s">
        <v>22</v>
      </c>
      <c r="I369" s="5">
        <v>0</v>
      </c>
      <c r="J369" s="5">
        <v>0</v>
      </c>
      <c r="K369" t="s">
        <v>10134</v>
      </c>
      <c r="L369" cm="1">
        <f t="array" ref="L369">wordCount(K369)</f>
        <v>27</v>
      </c>
      <c r="M369">
        <f t="shared" si="10"/>
        <v>130</v>
      </c>
      <c r="N369">
        <v>0.25925925925925924</v>
      </c>
      <c r="O369" s="23" cm="1">
        <f t="array" ref="O369">WordListCount(K369,keywords!$A$2:$A$31)-WordListCount(K369,keywords!$B$2:$B$31)</f>
        <v>0</v>
      </c>
      <c r="P369" s="25">
        <f t="shared" si="11"/>
        <v>0.54108796296296291</v>
      </c>
      <c r="Q369" s="23">
        <f>SUM($O$2:O369)</f>
        <v>2</v>
      </c>
      <c r="Y369" s="14"/>
      <c r="Z369" s="13"/>
      <c r="AA369"/>
    </row>
    <row r="370" spans="1:27" x14ac:dyDescent="0.2">
      <c r="A370" s="12" t="s">
        <v>1245</v>
      </c>
      <c r="B370" t="s">
        <v>1246</v>
      </c>
      <c r="C370" t="s">
        <v>1247</v>
      </c>
      <c r="D370" t="s">
        <v>1248</v>
      </c>
      <c r="E370" t="s">
        <v>13</v>
      </c>
      <c r="F370">
        <v>187</v>
      </c>
      <c r="G370">
        <v>98</v>
      </c>
      <c r="H370" s="5" t="s">
        <v>96</v>
      </c>
      <c r="I370" s="5">
        <v>0</v>
      </c>
      <c r="J370" s="5">
        <v>0</v>
      </c>
      <c r="K370" t="s">
        <v>9127</v>
      </c>
      <c r="L370" cm="1">
        <f t="array" ref="L370">wordCount(K370)</f>
        <v>5</v>
      </c>
      <c r="M370">
        <f t="shared" si="10"/>
        <v>26</v>
      </c>
      <c r="N370">
        <v>0.78947368421052633</v>
      </c>
      <c r="O370" s="23" cm="1">
        <f t="array" ref="O370">WordListCount(K370,keywords!$A$2:$A$31)-WordListCount(K370,keywords!$B$2:$B$31)</f>
        <v>-1</v>
      </c>
      <c r="P370" s="25">
        <f t="shared" si="11"/>
        <v>0.54109953703703706</v>
      </c>
      <c r="Q370" s="23">
        <f>SUM($O$2:O370)</f>
        <v>1</v>
      </c>
      <c r="Y370" s="14"/>
      <c r="Z370" s="13"/>
      <c r="AA370"/>
    </row>
    <row r="371" spans="1:27" x14ac:dyDescent="0.2">
      <c r="A371" s="12" t="s">
        <v>1249</v>
      </c>
      <c r="B371" t="s">
        <v>1250</v>
      </c>
      <c r="C371" t="s">
        <v>1251</v>
      </c>
      <c r="D371" t="s">
        <v>12</v>
      </c>
      <c r="E371" t="s">
        <v>13</v>
      </c>
      <c r="F371">
        <v>154</v>
      </c>
      <c r="G371">
        <v>258</v>
      </c>
      <c r="H371" s="5" t="s">
        <v>22</v>
      </c>
      <c r="I371" s="5">
        <v>0</v>
      </c>
      <c r="J371" s="5">
        <v>0</v>
      </c>
      <c r="K371" t="s">
        <v>10135</v>
      </c>
      <c r="L371" cm="1">
        <f t="array" ref="L371">wordCount(K371)</f>
        <v>6</v>
      </c>
      <c r="M371">
        <f t="shared" si="10"/>
        <v>31</v>
      </c>
      <c r="N371">
        <v>0.82352941176470584</v>
      </c>
      <c r="O371" s="23" cm="1">
        <f t="array" ref="O371">WordListCount(K371,keywords!$A$2:$A$31)-WordListCount(K371,keywords!$B$2:$B$31)</f>
        <v>0</v>
      </c>
      <c r="P371" s="25">
        <f t="shared" si="11"/>
        <v>0.54125000000000001</v>
      </c>
      <c r="Q371" s="23">
        <f>SUM($O$2:O371)</f>
        <v>1</v>
      </c>
      <c r="Y371" s="14"/>
      <c r="Z371" s="13"/>
      <c r="AA371"/>
    </row>
    <row r="372" spans="1:27" x14ac:dyDescent="0.2">
      <c r="A372" s="12" t="s">
        <v>1249</v>
      </c>
      <c r="B372" t="s">
        <v>1252</v>
      </c>
      <c r="C372" t="s">
        <v>1253</v>
      </c>
      <c r="D372" t="s">
        <v>1254</v>
      </c>
      <c r="E372" t="s">
        <v>13</v>
      </c>
      <c r="F372">
        <v>360</v>
      </c>
      <c r="G372">
        <v>248</v>
      </c>
      <c r="H372" s="5" t="s">
        <v>22</v>
      </c>
      <c r="I372" s="5">
        <v>0</v>
      </c>
      <c r="J372" s="5">
        <v>0</v>
      </c>
      <c r="K372" t="s">
        <v>10136</v>
      </c>
      <c r="L372" cm="1">
        <f t="array" ref="L372">wordCount(K372)</f>
        <v>10</v>
      </c>
      <c r="M372">
        <f t="shared" si="10"/>
        <v>47</v>
      </c>
      <c r="N372">
        <v>0.65</v>
      </c>
      <c r="O372" s="23" cm="1">
        <f t="array" ref="O372">WordListCount(K372,keywords!$A$2:$A$31)-WordListCount(K372,keywords!$B$2:$B$31)</f>
        <v>0</v>
      </c>
      <c r="P372" s="25">
        <f t="shared" si="11"/>
        <v>0.54125000000000001</v>
      </c>
      <c r="Q372" s="23">
        <f>SUM($O$2:O372)</f>
        <v>1</v>
      </c>
      <c r="Y372" s="14"/>
      <c r="Z372" s="13"/>
      <c r="AA372"/>
    </row>
    <row r="373" spans="1:27" x14ac:dyDescent="0.2">
      <c r="A373" s="12" t="s">
        <v>1255</v>
      </c>
      <c r="B373" t="s">
        <v>1256</v>
      </c>
      <c r="C373" t="s">
        <v>1257</v>
      </c>
      <c r="D373" t="s">
        <v>100</v>
      </c>
      <c r="E373" t="s">
        <v>13</v>
      </c>
      <c r="F373">
        <v>1427</v>
      </c>
      <c r="G373">
        <v>649</v>
      </c>
      <c r="H373" s="5" t="s">
        <v>22</v>
      </c>
      <c r="I373" s="5">
        <v>0</v>
      </c>
      <c r="J373" s="5">
        <v>0</v>
      </c>
      <c r="K373" t="s">
        <v>10137</v>
      </c>
      <c r="L373" cm="1">
        <f t="array" ref="L373">wordCount(K373)</f>
        <v>16</v>
      </c>
      <c r="M373">
        <f t="shared" si="10"/>
        <v>66</v>
      </c>
      <c r="N373">
        <v>0.52941176470588236</v>
      </c>
      <c r="O373" s="23" cm="1">
        <f t="array" ref="O373">WordListCount(K373,keywords!$A$2:$A$31)-WordListCount(K373,keywords!$B$2:$B$31)</f>
        <v>0</v>
      </c>
      <c r="P373" s="25">
        <f t="shared" si="11"/>
        <v>0.54163194444444451</v>
      </c>
      <c r="Q373" s="23">
        <f>SUM($O$2:O373)</f>
        <v>1</v>
      </c>
      <c r="Y373" s="14"/>
      <c r="Z373" s="13"/>
      <c r="AA373"/>
    </row>
    <row r="374" spans="1:27" x14ac:dyDescent="0.2">
      <c r="A374" s="12" t="s">
        <v>1258</v>
      </c>
      <c r="B374" t="s">
        <v>1263</v>
      </c>
      <c r="C374" t="s">
        <v>596</v>
      </c>
      <c r="D374" t="s">
        <v>597</v>
      </c>
      <c r="E374" t="s">
        <v>13</v>
      </c>
      <c r="F374">
        <v>998</v>
      </c>
      <c r="G374">
        <v>1</v>
      </c>
      <c r="H374" s="5" t="s">
        <v>382</v>
      </c>
      <c r="I374" s="5">
        <v>0</v>
      </c>
      <c r="J374" s="5">
        <v>0</v>
      </c>
      <c r="K374" t="s">
        <v>9129</v>
      </c>
      <c r="L374" cm="1">
        <f t="array" ref="L374">wordCount(K374)</f>
        <v>5</v>
      </c>
      <c r="M374">
        <f t="shared" si="10"/>
        <v>30</v>
      </c>
      <c r="N374">
        <v>0.8</v>
      </c>
      <c r="O374" s="23" cm="1">
        <f t="array" ref="O374">WordListCount(K374,keywords!$A$2:$A$31)-WordListCount(K374,keywords!$B$2:$B$31)</f>
        <v>0</v>
      </c>
      <c r="P374" s="25">
        <f t="shared" si="11"/>
        <v>0.54167824074074067</v>
      </c>
      <c r="Q374" s="23">
        <f>SUM($O$2:O374)</f>
        <v>1</v>
      </c>
      <c r="Y374" s="14"/>
      <c r="Z374" s="13"/>
      <c r="AA374"/>
    </row>
    <row r="375" spans="1:27" x14ac:dyDescent="0.2">
      <c r="A375" s="12" t="s">
        <v>1258</v>
      </c>
      <c r="B375" t="s">
        <v>1259</v>
      </c>
      <c r="C375" t="s">
        <v>586</v>
      </c>
      <c r="D375" t="s">
        <v>12</v>
      </c>
      <c r="E375" t="s">
        <v>13</v>
      </c>
      <c r="F375">
        <v>236</v>
      </c>
      <c r="G375">
        <v>2</v>
      </c>
      <c r="H375" s="5" t="s">
        <v>22</v>
      </c>
      <c r="I375" s="5">
        <v>0</v>
      </c>
      <c r="J375" s="5">
        <v>0</v>
      </c>
      <c r="K375" t="s">
        <v>10138</v>
      </c>
      <c r="L375" cm="1">
        <f t="array" ref="L375">wordCount(K375)</f>
        <v>19</v>
      </c>
      <c r="M375">
        <f t="shared" si="10"/>
        <v>107</v>
      </c>
      <c r="N375">
        <v>0.76190476190476186</v>
      </c>
      <c r="O375" s="23" cm="1">
        <f t="array" ref="O375">WordListCount(K375,keywords!$A$2:$A$31)-WordListCount(K375,keywords!$B$2:$B$31)</f>
        <v>0</v>
      </c>
      <c r="P375" s="25">
        <f t="shared" si="11"/>
        <v>0.54167824074074067</v>
      </c>
      <c r="Q375" s="23">
        <f>SUM($O$2:O375)</f>
        <v>1</v>
      </c>
      <c r="Y375" s="14"/>
      <c r="Z375" s="13"/>
      <c r="AA375"/>
    </row>
    <row r="376" spans="1:27" x14ac:dyDescent="0.2">
      <c r="A376" s="12" t="s">
        <v>1258</v>
      </c>
      <c r="B376" t="s">
        <v>1260</v>
      </c>
      <c r="C376" t="s">
        <v>1261</v>
      </c>
      <c r="D376" t="s">
        <v>1262</v>
      </c>
      <c r="E376" t="s">
        <v>13</v>
      </c>
      <c r="F376">
        <v>41</v>
      </c>
      <c r="G376">
        <v>6</v>
      </c>
      <c r="H376" s="5" t="s">
        <v>22</v>
      </c>
      <c r="I376" s="5">
        <v>0</v>
      </c>
      <c r="J376" s="5">
        <v>0</v>
      </c>
      <c r="K376" t="s">
        <v>9128</v>
      </c>
      <c r="L376" cm="1">
        <f t="array" ref="L376">wordCount(K376)</f>
        <v>11</v>
      </c>
      <c r="M376">
        <f t="shared" si="10"/>
        <v>62</v>
      </c>
      <c r="N376">
        <v>0.625</v>
      </c>
      <c r="O376" s="23" cm="1">
        <f t="array" ref="O376">WordListCount(K376,keywords!$A$2:$A$31)-WordListCount(K376,keywords!$B$2:$B$31)</f>
        <v>0</v>
      </c>
      <c r="P376" s="25">
        <f t="shared" si="11"/>
        <v>0.54167824074074067</v>
      </c>
      <c r="Q376" s="23">
        <f>SUM($O$2:O376)</f>
        <v>1</v>
      </c>
      <c r="Y376" s="14"/>
      <c r="Z376" s="13"/>
      <c r="AA376"/>
    </row>
    <row r="377" spans="1:27" x14ac:dyDescent="0.2">
      <c r="A377" s="12" t="s">
        <v>1264</v>
      </c>
      <c r="B377" t="s">
        <v>1266</v>
      </c>
      <c r="C377" t="s">
        <v>589</v>
      </c>
      <c r="D377" t="s">
        <v>590</v>
      </c>
      <c r="E377" t="s">
        <v>13</v>
      </c>
      <c r="F377">
        <v>386</v>
      </c>
      <c r="G377">
        <v>72</v>
      </c>
      <c r="H377" s="5" t="s">
        <v>22</v>
      </c>
      <c r="I377" s="5">
        <v>0</v>
      </c>
      <c r="J377" s="5">
        <v>0</v>
      </c>
      <c r="K377" t="s">
        <v>10140</v>
      </c>
      <c r="L377" cm="1">
        <f t="array" ref="L377">wordCount(K377)</f>
        <v>9</v>
      </c>
      <c r="M377">
        <f t="shared" si="10"/>
        <v>56</v>
      </c>
      <c r="N377">
        <v>0.52941176470588236</v>
      </c>
      <c r="O377" s="23" cm="1">
        <f t="array" ref="O377">WordListCount(K377,keywords!$A$2:$A$31)-WordListCount(K377,keywords!$B$2:$B$31)</f>
        <v>0</v>
      </c>
      <c r="P377" s="25">
        <f t="shared" si="11"/>
        <v>0.54168981481481482</v>
      </c>
      <c r="Q377" s="23">
        <f>SUM($O$2:O377)</f>
        <v>1</v>
      </c>
      <c r="Y377" s="14"/>
      <c r="Z377" s="13"/>
      <c r="AA377"/>
    </row>
    <row r="378" spans="1:27" x14ac:dyDescent="0.2">
      <c r="A378" s="12" t="s">
        <v>1264</v>
      </c>
      <c r="B378" t="s">
        <v>1265</v>
      </c>
      <c r="C378" t="s">
        <v>599</v>
      </c>
      <c r="D378" t="s">
        <v>74</v>
      </c>
      <c r="E378" t="s">
        <v>13</v>
      </c>
      <c r="F378">
        <v>580</v>
      </c>
      <c r="G378">
        <v>0</v>
      </c>
      <c r="H378" s="5" t="s">
        <v>22</v>
      </c>
      <c r="I378" s="5">
        <v>0</v>
      </c>
      <c r="J378" s="5">
        <v>0</v>
      </c>
      <c r="K378" t="s">
        <v>10139</v>
      </c>
      <c r="L378" cm="1">
        <f t="array" ref="L378">wordCount(K378)</f>
        <v>11</v>
      </c>
      <c r="M378">
        <f t="shared" si="10"/>
        <v>64</v>
      </c>
      <c r="N378">
        <v>0.84615384615384615</v>
      </c>
      <c r="O378" s="23" cm="1">
        <f t="array" ref="O378">WordListCount(K378,keywords!$A$2:$A$31)-WordListCount(K378,keywords!$B$2:$B$31)</f>
        <v>0</v>
      </c>
      <c r="P378" s="25">
        <f t="shared" si="11"/>
        <v>0.54168981481481482</v>
      </c>
      <c r="Q378" s="23">
        <f>SUM($O$2:O378)</f>
        <v>1</v>
      </c>
      <c r="Y378" s="14"/>
      <c r="Z378" s="13"/>
      <c r="AA378"/>
    </row>
    <row r="379" spans="1:27" x14ac:dyDescent="0.2">
      <c r="A379" s="12" t="s">
        <v>1264</v>
      </c>
      <c r="B379" t="s">
        <v>1267</v>
      </c>
      <c r="C379" t="s">
        <v>306</v>
      </c>
      <c r="D379" t="s">
        <v>307</v>
      </c>
      <c r="E379" t="s">
        <v>13</v>
      </c>
      <c r="F379">
        <v>228</v>
      </c>
      <c r="G379">
        <v>1</v>
      </c>
      <c r="H379" s="5" t="s">
        <v>22</v>
      </c>
      <c r="I379" s="5">
        <v>0</v>
      </c>
      <c r="J379" s="5">
        <v>0</v>
      </c>
      <c r="K379" t="s">
        <v>9130</v>
      </c>
      <c r="L379" cm="1">
        <f t="array" ref="L379">wordCount(K379)</f>
        <v>7</v>
      </c>
      <c r="M379">
        <f t="shared" si="10"/>
        <v>104</v>
      </c>
      <c r="N379">
        <v>0.53846153846153844</v>
      </c>
      <c r="O379" s="23" cm="1">
        <f t="array" ref="O379">WordListCount(K379,keywords!$A$2:$A$31)-WordListCount(K379,keywords!$B$2:$B$31)</f>
        <v>0</v>
      </c>
      <c r="P379" s="25">
        <f t="shared" si="11"/>
        <v>0.54168981481481482</v>
      </c>
      <c r="Q379" s="23">
        <f>SUM($O$2:O379)</f>
        <v>1</v>
      </c>
      <c r="Y379" s="14"/>
      <c r="Z379" s="13"/>
      <c r="AA379"/>
    </row>
    <row r="380" spans="1:27" x14ac:dyDescent="0.2">
      <c r="A380" s="12" t="s">
        <v>1268</v>
      </c>
      <c r="B380" t="s">
        <v>1270</v>
      </c>
      <c r="C380" t="s">
        <v>1271</v>
      </c>
      <c r="D380" t="s">
        <v>1272</v>
      </c>
      <c r="E380" t="s">
        <v>13</v>
      </c>
      <c r="F380">
        <v>198</v>
      </c>
      <c r="G380">
        <v>120</v>
      </c>
      <c r="H380" s="5" t="s">
        <v>22</v>
      </c>
      <c r="I380" s="5">
        <v>0</v>
      </c>
      <c r="J380" s="5">
        <v>0</v>
      </c>
      <c r="K380" t="s">
        <v>10142</v>
      </c>
      <c r="L380" cm="1">
        <f t="array" ref="L380">wordCount(K380)</f>
        <v>30</v>
      </c>
      <c r="M380">
        <f t="shared" si="10"/>
        <v>109</v>
      </c>
      <c r="N380">
        <v>0.45945945945945948</v>
      </c>
      <c r="O380" s="23" cm="1">
        <f t="array" ref="O380">WordListCount(K380,keywords!$A$2:$A$31)-WordListCount(K380,keywords!$B$2:$B$31)</f>
        <v>0</v>
      </c>
      <c r="P380" s="25">
        <f t="shared" si="11"/>
        <v>0.54172453703703705</v>
      </c>
      <c r="Q380" s="23">
        <f>SUM($O$2:O380)</f>
        <v>1</v>
      </c>
      <c r="Y380" s="14"/>
      <c r="Z380" s="13"/>
      <c r="AA380"/>
    </row>
    <row r="381" spans="1:27" x14ac:dyDescent="0.2">
      <c r="A381" s="12" t="s">
        <v>1268</v>
      </c>
      <c r="B381" t="s">
        <v>1269</v>
      </c>
      <c r="C381" t="s">
        <v>1243</v>
      </c>
      <c r="D381" t="s">
        <v>1244</v>
      </c>
      <c r="E381" t="s">
        <v>13</v>
      </c>
      <c r="F381">
        <v>142</v>
      </c>
      <c r="G381">
        <v>137</v>
      </c>
      <c r="H381" s="5" t="s">
        <v>22</v>
      </c>
      <c r="I381" s="5">
        <v>0</v>
      </c>
      <c r="J381" s="5">
        <v>0</v>
      </c>
      <c r="K381" t="s">
        <v>10141</v>
      </c>
      <c r="L381" cm="1">
        <f t="array" ref="L381">wordCount(K381)</f>
        <v>28</v>
      </c>
      <c r="M381">
        <f t="shared" si="10"/>
        <v>138</v>
      </c>
      <c r="N381">
        <v>0.91666666666666663</v>
      </c>
      <c r="O381" s="23" cm="1">
        <f t="array" ref="O381">WordListCount(K381,keywords!$A$2:$A$31)-WordListCount(K381,keywords!$B$2:$B$31)</f>
        <v>0</v>
      </c>
      <c r="P381" s="25">
        <f t="shared" si="11"/>
        <v>0.54172453703703705</v>
      </c>
      <c r="Q381" s="23">
        <f>SUM($O$2:O381)</f>
        <v>1</v>
      </c>
      <c r="Y381" s="14"/>
      <c r="Z381" s="13"/>
      <c r="AA381"/>
    </row>
    <row r="382" spans="1:27" x14ac:dyDescent="0.2">
      <c r="A382" s="12" t="s">
        <v>1273</v>
      </c>
      <c r="B382" t="s">
        <v>1274</v>
      </c>
      <c r="C382" t="s">
        <v>604</v>
      </c>
      <c r="D382" t="s">
        <v>605</v>
      </c>
      <c r="E382" t="s">
        <v>13</v>
      </c>
      <c r="F382">
        <v>168</v>
      </c>
      <c r="G382">
        <v>115</v>
      </c>
      <c r="H382" s="5" t="s">
        <v>22</v>
      </c>
      <c r="I382" s="5">
        <v>0</v>
      </c>
      <c r="J382" s="5">
        <v>0</v>
      </c>
      <c r="K382" t="s">
        <v>10143</v>
      </c>
      <c r="L382" cm="1">
        <f t="array" ref="L382">wordCount(K382)</f>
        <v>13</v>
      </c>
      <c r="M382">
        <f t="shared" si="10"/>
        <v>68</v>
      </c>
      <c r="N382">
        <v>0.75</v>
      </c>
      <c r="O382" s="23" cm="1">
        <f t="array" ref="O382">WordListCount(K382,keywords!$A$2:$A$31)-WordListCount(K382,keywords!$B$2:$B$31)</f>
        <v>0</v>
      </c>
      <c r="P382" s="25">
        <f t="shared" si="11"/>
        <v>0.54173611111111108</v>
      </c>
      <c r="Q382" s="23">
        <f>SUM($O$2:O382)</f>
        <v>1</v>
      </c>
      <c r="Y382" s="14"/>
      <c r="Z382" s="13"/>
      <c r="AA382"/>
    </row>
    <row r="383" spans="1:27" x14ac:dyDescent="0.2">
      <c r="A383" s="12" t="s">
        <v>1275</v>
      </c>
      <c r="B383" t="s">
        <v>1276</v>
      </c>
      <c r="C383" t="s">
        <v>1277</v>
      </c>
      <c r="D383" t="s">
        <v>1278</v>
      </c>
      <c r="E383" t="s">
        <v>13</v>
      </c>
      <c r="F383">
        <v>7993</v>
      </c>
      <c r="G383">
        <v>410</v>
      </c>
      <c r="H383" s="5" t="s">
        <v>22</v>
      </c>
      <c r="I383" s="5">
        <v>0</v>
      </c>
      <c r="J383" s="5">
        <v>0</v>
      </c>
      <c r="K383" t="s">
        <v>10144</v>
      </c>
      <c r="L383" cm="1">
        <f t="array" ref="L383">wordCount(K383)</f>
        <v>10</v>
      </c>
      <c r="M383">
        <f t="shared" si="10"/>
        <v>70</v>
      </c>
      <c r="N383">
        <v>0.5</v>
      </c>
      <c r="O383" s="23" cm="1">
        <f t="array" ref="O383">WordListCount(K383,keywords!$A$2:$A$31)-WordListCount(K383,keywords!$B$2:$B$31)</f>
        <v>0</v>
      </c>
      <c r="P383" s="25">
        <f t="shared" si="11"/>
        <v>0.54175925925925927</v>
      </c>
      <c r="Q383" s="23">
        <f>SUM($O$2:O383)</f>
        <v>1</v>
      </c>
      <c r="Y383" s="14"/>
      <c r="Z383" s="13"/>
      <c r="AA383"/>
    </row>
    <row r="384" spans="1:27" x14ac:dyDescent="0.2">
      <c r="A384" s="12" t="s">
        <v>1279</v>
      </c>
      <c r="B384" t="s">
        <v>1280</v>
      </c>
      <c r="C384" t="s">
        <v>1281</v>
      </c>
      <c r="D384" t="s">
        <v>1282</v>
      </c>
      <c r="E384" t="s">
        <v>13</v>
      </c>
      <c r="F384">
        <v>41</v>
      </c>
      <c r="G384">
        <v>122</v>
      </c>
      <c r="H384" s="5" t="s">
        <v>22</v>
      </c>
      <c r="I384" s="5">
        <v>0</v>
      </c>
      <c r="J384" s="5">
        <v>0</v>
      </c>
      <c r="K384" t="s">
        <v>10145</v>
      </c>
      <c r="L384" cm="1">
        <f t="array" ref="L384">wordCount(K384)</f>
        <v>14</v>
      </c>
      <c r="M384">
        <f t="shared" si="10"/>
        <v>46</v>
      </c>
      <c r="N384">
        <v>0.57894736842105265</v>
      </c>
      <c r="O384" s="23" cm="1">
        <f t="array" ref="O384">WordListCount(K384,keywords!$A$2:$A$31)-WordListCount(K384,keywords!$B$2:$B$31)</f>
        <v>1</v>
      </c>
      <c r="P384" s="25">
        <f t="shared" si="11"/>
        <v>0.5417939814814815</v>
      </c>
      <c r="Q384" s="23">
        <f>SUM($O$2:O384)</f>
        <v>2</v>
      </c>
      <c r="Y384" s="14"/>
      <c r="Z384" s="13"/>
      <c r="AA384"/>
    </row>
    <row r="385" spans="1:27" x14ac:dyDescent="0.2">
      <c r="A385" s="12" t="s">
        <v>1283</v>
      </c>
      <c r="B385" t="s">
        <v>1284</v>
      </c>
      <c r="C385" t="s">
        <v>1285</v>
      </c>
      <c r="D385" t="s">
        <v>1286</v>
      </c>
      <c r="E385" t="s">
        <v>13</v>
      </c>
      <c r="F385">
        <v>1124</v>
      </c>
      <c r="G385">
        <v>316</v>
      </c>
      <c r="H385" s="5" t="s">
        <v>22</v>
      </c>
      <c r="I385" s="5">
        <v>0</v>
      </c>
      <c r="J385" s="5">
        <v>0</v>
      </c>
      <c r="K385" t="s">
        <v>10146</v>
      </c>
      <c r="L385" cm="1">
        <f t="array" ref="L385">wordCount(K385)</f>
        <v>6</v>
      </c>
      <c r="M385">
        <f t="shared" si="10"/>
        <v>37</v>
      </c>
      <c r="N385">
        <v>0.77777777777777779</v>
      </c>
      <c r="O385" s="23" cm="1">
        <f t="array" ref="O385">WordListCount(K385,keywords!$A$2:$A$31)-WordListCount(K385,keywords!$B$2:$B$31)</f>
        <v>0</v>
      </c>
      <c r="P385" s="25">
        <f t="shared" si="11"/>
        <v>0.54188657407407403</v>
      </c>
      <c r="Q385" s="23">
        <f>SUM($O$2:O385)</f>
        <v>2</v>
      </c>
      <c r="Y385" s="14"/>
      <c r="Z385" s="13"/>
      <c r="AA385"/>
    </row>
    <row r="386" spans="1:27" x14ac:dyDescent="0.2">
      <c r="A386" s="12" t="s">
        <v>1287</v>
      </c>
      <c r="B386" t="s">
        <v>1288</v>
      </c>
      <c r="C386" t="s">
        <v>631</v>
      </c>
      <c r="D386" t="s">
        <v>12</v>
      </c>
      <c r="E386" t="s">
        <v>13</v>
      </c>
      <c r="F386">
        <v>93</v>
      </c>
      <c r="G386">
        <v>2</v>
      </c>
      <c r="H386" s="5" t="s">
        <v>86</v>
      </c>
      <c r="I386" s="5">
        <v>0</v>
      </c>
      <c r="J386" s="5">
        <v>0</v>
      </c>
      <c r="K386" t="s">
        <v>9131</v>
      </c>
      <c r="L386" cm="1">
        <f t="array" ref="L386">wordCount(K386)</f>
        <v>8</v>
      </c>
      <c r="M386">
        <f t="shared" ref="M386:M449" si="12">LEN(K386)</f>
        <v>43</v>
      </c>
      <c r="N386">
        <v>0.77777777777777779</v>
      </c>
      <c r="O386" s="23" cm="1">
        <f t="array" ref="O386">WordListCount(K386,keywords!$A$2:$A$31)-WordListCount(K386,keywords!$B$2:$B$31)</f>
        <v>0</v>
      </c>
      <c r="P386" s="25">
        <f t="shared" ref="P386:P449" si="13">TIMEVALUE(RIGHT(A386,8))</f>
        <v>0.54202546296296295</v>
      </c>
      <c r="Q386" s="23">
        <f>SUM($O$2:O386)</f>
        <v>2</v>
      </c>
      <c r="Y386" s="14"/>
      <c r="Z386" s="13"/>
      <c r="AA386"/>
    </row>
    <row r="387" spans="1:27" x14ac:dyDescent="0.2">
      <c r="A387" s="12" t="s">
        <v>1289</v>
      </c>
      <c r="B387" t="s">
        <v>1290</v>
      </c>
      <c r="C387" t="s">
        <v>1291</v>
      </c>
      <c r="D387" t="s">
        <v>1292</v>
      </c>
      <c r="E387" t="s">
        <v>13</v>
      </c>
      <c r="F387">
        <v>298</v>
      </c>
      <c r="G387">
        <v>604</v>
      </c>
      <c r="H387" s="5" t="s">
        <v>22</v>
      </c>
      <c r="I387" s="5">
        <v>0</v>
      </c>
      <c r="J387" s="5">
        <v>0</v>
      </c>
      <c r="K387" t="s">
        <v>9132</v>
      </c>
      <c r="L387" cm="1">
        <f t="array" ref="L387">wordCount(K387)</f>
        <v>13</v>
      </c>
      <c r="M387">
        <f t="shared" si="12"/>
        <v>79</v>
      </c>
      <c r="N387">
        <v>0.66666666666666663</v>
      </c>
      <c r="O387" s="23" cm="1">
        <f t="array" ref="O387">WordListCount(K387,keywords!$A$2:$A$31)-WordListCount(K387,keywords!$B$2:$B$31)</f>
        <v>0</v>
      </c>
      <c r="P387" s="25">
        <f t="shared" si="13"/>
        <v>0.54203703703703698</v>
      </c>
      <c r="Q387" s="23">
        <f>SUM($O$2:O387)</f>
        <v>2</v>
      </c>
      <c r="Y387" s="14"/>
      <c r="Z387" s="13"/>
      <c r="AA387"/>
    </row>
    <row r="388" spans="1:27" x14ac:dyDescent="0.2">
      <c r="A388" s="12" t="s">
        <v>1293</v>
      </c>
      <c r="B388" t="s">
        <v>1294</v>
      </c>
      <c r="C388" t="s">
        <v>1295</v>
      </c>
      <c r="D388" t="s">
        <v>1296</v>
      </c>
      <c r="E388" t="s">
        <v>13</v>
      </c>
      <c r="F388">
        <v>8612</v>
      </c>
      <c r="G388">
        <v>6558</v>
      </c>
      <c r="H388" s="5" t="s">
        <v>22</v>
      </c>
      <c r="I388" s="5">
        <v>0</v>
      </c>
      <c r="J388" s="5">
        <v>0</v>
      </c>
      <c r="K388" t="s">
        <v>10147</v>
      </c>
      <c r="L388" cm="1">
        <f t="array" ref="L388">wordCount(K388)</f>
        <v>22</v>
      </c>
      <c r="M388">
        <f t="shared" si="12"/>
        <v>110</v>
      </c>
      <c r="N388">
        <v>0.32</v>
      </c>
      <c r="O388" s="23" cm="1">
        <f t="array" ref="O388">WordListCount(K388,keywords!$A$2:$A$31)-WordListCount(K388,keywords!$B$2:$B$31)</f>
        <v>-1</v>
      </c>
      <c r="P388" s="25">
        <f t="shared" si="13"/>
        <v>0.54210648148148144</v>
      </c>
      <c r="Q388" s="23">
        <f>SUM($O$2:O388)</f>
        <v>1</v>
      </c>
      <c r="Y388" s="14"/>
      <c r="Z388" s="13"/>
      <c r="AA388"/>
    </row>
    <row r="389" spans="1:27" x14ac:dyDescent="0.2">
      <c r="A389" s="12" t="s">
        <v>1297</v>
      </c>
      <c r="B389" t="s">
        <v>1298</v>
      </c>
      <c r="C389" t="s">
        <v>651</v>
      </c>
      <c r="D389" t="s">
        <v>652</v>
      </c>
      <c r="E389" t="s">
        <v>13</v>
      </c>
      <c r="F389">
        <v>13379</v>
      </c>
      <c r="G389">
        <v>13242</v>
      </c>
      <c r="H389" s="5" t="s">
        <v>22</v>
      </c>
      <c r="I389" s="5">
        <v>0</v>
      </c>
      <c r="J389" s="5">
        <v>0</v>
      </c>
      <c r="K389" t="s">
        <v>9133</v>
      </c>
      <c r="L389" cm="1">
        <f t="array" ref="L389">wordCount(K389)</f>
        <v>6</v>
      </c>
      <c r="M389">
        <f t="shared" si="12"/>
        <v>36</v>
      </c>
      <c r="N389">
        <v>0.9375</v>
      </c>
      <c r="O389" s="23" cm="1">
        <f t="array" ref="O389">WordListCount(K389,keywords!$A$2:$A$31)-WordListCount(K389,keywords!$B$2:$B$31)</f>
        <v>0</v>
      </c>
      <c r="P389" s="25">
        <f t="shared" si="13"/>
        <v>0.54225694444444439</v>
      </c>
      <c r="Q389" s="23">
        <f>SUM($O$2:O389)</f>
        <v>1</v>
      </c>
      <c r="Y389" s="14"/>
      <c r="Z389" s="13"/>
      <c r="AA389"/>
    </row>
    <row r="390" spans="1:27" x14ac:dyDescent="0.2">
      <c r="A390" s="12" t="s">
        <v>1299</v>
      </c>
      <c r="B390" t="s">
        <v>1300</v>
      </c>
      <c r="C390" t="s">
        <v>1301</v>
      </c>
      <c r="D390" t="s">
        <v>1302</v>
      </c>
      <c r="E390" t="s">
        <v>13</v>
      </c>
      <c r="F390">
        <v>204</v>
      </c>
      <c r="G390">
        <v>327</v>
      </c>
      <c r="H390" s="5" t="s">
        <v>22</v>
      </c>
      <c r="I390" s="5">
        <v>0</v>
      </c>
      <c r="J390" s="5">
        <v>0</v>
      </c>
      <c r="K390" t="s">
        <v>10148</v>
      </c>
      <c r="L390" cm="1">
        <f t="array" ref="L390">wordCount(K390)</f>
        <v>8</v>
      </c>
      <c r="M390">
        <f t="shared" si="12"/>
        <v>41</v>
      </c>
      <c r="N390">
        <v>0.6875</v>
      </c>
      <c r="O390" s="23" cm="1">
        <f t="array" ref="O390">WordListCount(K390,keywords!$A$2:$A$31)-WordListCount(K390,keywords!$B$2:$B$31)</f>
        <v>0</v>
      </c>
      <c r="P390" s="25">
        <f t="shared" si="13"/>
        <v>0.54226851851851854</v>
      </c>
      <c r="Q390" s="23">
        <f>SUM($O$2:O390)</f>
        <v>1</v>
      </c>
      <c r="Y390" s="14"/>
      <c r="Z390" s="13"/>
      <c r="AA390"/>
    </row>
    <row r="391" spans="1:27" x14ac:dyDescent="0.2">
      <c r="A391" s="12" t="s">
        <v>1303</v>
      </c>
      <c r="B391" t="s">
        <v>1304</v>
      </c>
      <c r="C391" t="s">
        <v>1109</v>
      </c>
      <c r="D391" t="s">
        <v>1110</v>
      </c>
      <c r="E391" t="s">
        <v>13</v>
      </c>
      <c r="F391">
        <v>2639</v>
      </c>
      <c r="G391">
        <v>428</v>
      </c>
      <c r="H391" s="5" t="s">
        <v>22</v>
      </c>
      <c r="I391" s="5">
        <v>0</v>
      </c>
      <c r="J391" s="5">
        <v>0</v>
      </c>
      <c r="K391" t="s">
        <v>10149</v>
      </c>
      <c r="L391" cm="1">
        <f t="array" ref="L391">wordCount(K391)</f>
        <v>14</v>
      </c>
      <c r="M391">
        <f t="shared" si="12"/>
        <v>78</v>
      </c>
      <c r="N391">
        <v>0.48148148148148145</v>
      </c>
      <c r="O391" s="23" cm="1">
        <f t="array" ref="O391">WordListCount(K391,keywords!$A$2:$A$31)-WordListCount(K391,keywords!$B$2:$B$31)</f>
        <v>1</v>
      </c>
      <c r="P391" s="25">
        <f t="shared" si="13"/>
        <v>0.54228009259259258</v>
      </c>
      <c r="Q391" s="23">
        <f>SUM($O$2:O391)</f>
        <v>2</v>
      </c>
      <c r="Y391" s="14"/>
      <c r="Z391" s="13"/>
      <c r="AA391"/>
    </row>
    <row r="392" spans="1:27" x14ac:dyDescent="0.2">
      <c r="A392" s="12" t="s">
        <v>1305</v>
      </c>
      <c r="B392" t="s">
        <v>1306</v>
      </c>
      <c r="C392" t="s">
        <v>1307</v>
      </c>
      <c r="D392" t="s">
        <v>1308</v>
      </c>
      <c r="E392" t="s">
        <v>13</v>
      </c>
      <c r="F392">
        <v>1134</v>
      </c>
      <c r="G392">
        <v>1615</v>
      </c>
      <c r="H392" s="5" t="s">
        <v>22</v>
      </c>
      <c r="I392" s="5">
        <v>0</v>
      </c>
      <c r="J392" s="5">
        <v>0</v>
      </c>
      <c r="K392" t="s">
        <v>9134</v>
      </c>
      <c r="L392" cm="1">
        <f t="array" ref="L392">wordCount(K392)</f>
        <v>8</v>
      </c>
      <c r="M392">
        <f t="shared" si="12"/>
        <v>39</v>
      </c>
      <c r="N392">
        <v>0.75</v>
      </c>
      <c r="O392" s="23" cm="1">
        <f t="array" ref="O392">WordListCount(K392,keywords!$A$2:$A$31)-WordListCount(K392,keywords!$B$2:$B$31)</f>
        <v>0</v>
      </c>
      <c r="P392" s="25">
        <f t="shared" si="13"/>
        <v>0.54230324074074077</v>
      </c>
      <c r="Q392" s="23">
        <f>SUM($O$2:O392)</f>
        <v>2</v>
      </c>
      <c r="Y392" s="14"/>
      <c r="Z392" s="13"/>
      <c r="AA392"/>
    </row>
    <row r="393" spans="1:27" x14ac:dyDescent="0.2">
      <c r="A393" s="12" t="s">
        <v>1309</v>
      </c>
      <c r="B393" t="s">
        <v>1310</v>
      </c>
      <c r="C393" t="s">
        <v>1311</v>
      </c>
      <c r="D393" t="s">
        <v>74</v>
      </c>
      <c r="E393" t="s">
        <v>13</v>
      </c>
      <c r="F393">
        <v>266</v>
      </c>
      <c r="G393">
        <v>211</v>
      </c>
      <c r="H393" s="5" t="s">
        <v>22</v>
      </c>
      <c r="I393" s="5">
        <v>0</v>
      </c>
      <c r="J393" s="5">
        <v>0</v>
      </c>
      <c r="K393" t="s">
        <v>10150</v>
      </c>
      <c r="L393" cm="1">
        <f t="array" ref="L393">wordCount(K393)</f>
        <v>14</v>
      </c>
      <c r="M393">
        <f t="shared" si="12"/>
        <v>73</v>
      </c>
      <c r="N393">
        <v>0.59259259259259256</v>
      </c>
      <c r="O393" s="23" cm="1">
        <f t="array" ref="O393">WordListCount(K393,keywords!$A$2:$A$31)-WordListCount(K393,keywords!$B$2:$B$31)</f>
        <v>0</v>
      </c>
      <c r="P393" s="25">
        <f t="shared" si="13"/>
        <v>0.54258101851851859</v>
      </c>
      <c r="Q393" s="23">
        <f>SUM($O$2:O393)</f>
        <v>2</v>
      </c>
      <c r="Y393" s="14"/>
      <c r="Z393" s="13"/>
      <c r="AA393"/>
    </row>
    <row r="394" spans="1:27" x14ac:dyDescent="0.2">
      <c r="A394" s="12" t="s">
        <v>1312</v>
      </c>
      <c r="B394" t="s">
        <v>1313</v>
      </c>
      <c r="C394" t="s">
        <v>657</v>
      </c>
      <c r="D394" t="s">
        <v>658</v>
      </c>
      <c r="E394" t="s">
        <v>13</v>
      </c>
      <c r="F394">
        <v>3565</v>
      </c>
      <c r="G394">
        <v>88</v>
      </c>
      <c r="H394" s="5" t="s">
        <v>22</v>
      </c>
      <c r="I394" s="5">
        <v>0</v>
      </c>
      <c r="J394" s="5">
        <v>0</v>
      </c>
      <c r="K394" t="s">
        <v>9135</v>
      </c>
      <c r="L394" cm="1">
        <f t="array" ref="L394">wordCount(K394)</f>
        <v>7</v>
      </c>
      <c r="M394">
        <f t="shared" si="12"/>
        <v>37</v>
      </c>
      <c r="N394">
        <v>1</v>
      </c>
      <c r="O394" s="23" cm="1">
        <f t="array" ref="O394">WordListCount(K394,keywords!$A$2:$A$31)-WordListCount(K394,keywords!$B$2:$B$31)</f>
        <v>0</v>
      </c>
      <c r="P394" s="25">
        <f t="shared" si="13"/>
        <v>0.5426157407407407</v>
      </c>
      <c r="Q394" s="23">
        <f>SUM($O$2:O394)</f>
        <v>2</v>
      </c>
      <c r="Y394" s="14"/>
      <c r="Z394" s="13"/>
      <c r="AA394"/>
    </row>
    <row r="395" spans="1:27" x14ac:dyDescent="0.2">
      <c r="A395" s="12" t="s">
        <v>1314</v>
      </c>
      <c r="B395" t="s">
        <v>1318</v>
      </c>
      <c r="C395" t="s">
        <v>1316</v>
      </c>
      <c r="D395" t="s">
        <v>1317</v>
      </c>
      <c r="E395" t="s">
        <v>13</v>
      </c>
      <c r="F395">
        <v>425</v>
      </c>
      <c r="G395">
        <v>768</v>
      </c>
      <c r="H395" s="5" t="s">
        <v>22</v>
      </c>
      <c r="I395" s="5">
        <v>0</v>
      </c>
      <c r="J395" s="5">
        <v>0</v>
      </c>
      <c r="K395" t="s">
        <v>9136</v>
      </c>
      <c r="L395" cm="1">
        <f t="array" ref="L395">wordCount(K395)</f>
        <v>10</v>
      </c>
      <c r="M395">
        <f t="shared" si="12"/>
        <v>75</v>
      </c>
      <c r="N395">
        <v>1</v>
      </c>
      <c r="O395" s="23" cm="1">
        <f t="array" ref="O395">WordListCount(K395,keywords!$A$2:$A$31)-WordListCount(K395,keywords!$B$2:$B$31)</f>
        <v>0</v>
      </c>
      <c r="P395" s="25">
        <f t="shared" si="13"/>
        <v>0.54281250000000003</v>
      </c>
      <c r="Q395" s="23">
        <f>SUM($O$2:O395)</f>
        <v>2</v>
      </c>
      <c r="Y395" s="14"/>
      <c r="Z395" s="13"/>
      <c r="AA395"/>
    </row>
    <row r="396" spans="1:27" x14ac:dyDescent="0.2">
      <c r="A396" s="12" t="s">
        <v>1314</v>
      </c>
      <c r="B396" t="s">
        <v>1315</v>
      </c>
      <c r="C396" t="s">
        <v>1316</v>
      </c>
      <c r="D396" t="s">
        <v>1317</v>
      </c>
      <c r="E396" t="s">
        <v>13</v>
      </c>
      <c r="F396">
        <v>425</v>
      </c>
      <c r="G396">
        <v>768</v>
      </c>
      <c r="H396" s="5" t="s">
        <v>22</v>
      </c>
      <c r="I396" s="5">
        <v>0</v>
      </c>
      <c r="J396" s="5">
        <v>0</v>
      </c>
      <c r="K396" t="s">
        <v>10151</v>
      </c>
      <c r="L396" cm="1">
        <f t="array" ref="L396">wordCount(K396)</f>
        <v>15</v>
      </c>
      <c r="M396">
        <f t="shared" si="12"/>
        <v>82</v>
      </c>
      <c r="N396">
        <v>0.4</v>
      </c>
      <c r="O396" s="23" cm="1">
        <f t="array" ref="O396">WordListCount(K396,keywords!$A$2:$A$31)-WordListCount(K396,keywords!$B$2:$B$31)</f>
        <v>0</v>
      </c>
      <c r="P396" s="25">
        <f t="shared" si="13"/>
        <v>0.54281250000000003</v>
      </c>
      <c r="Q396" s="23">
        <f>SUM($O$2:O396)</f>
        <v>2</v>
      </c>
      <c r="Y396" s="14"/>
      <c r="Z396" s="13"/>
      <c r="AA396"/>
    </row>
    <row r="397" spans="1:27" x14ac:dyDescent="0.2">
      <c r="A397" s="12" t="s">
        <v>1319</v>
      </c>
      <c r="B397" t="s">
        <v>1320</v>
      </c>
      <c r="C397" t="s">
        <v>1316</v>
      </c>
      <c r="D397" t="s">
        <v>1317</v>
      </c>
      <c r="E397" t="s">
        <v>13</v>
      </c>
      <c r="F397">
        <v>425</v>
      </c>
      <c r="G397">
        <v>768</v>
      </c>
      <c r="H397" s="5" t="s">
        <v>22</v>
      </c>
      <c r="I397" s="5">
        <v>0</v>
      </c>
      <c r="J397" s="5">
        <v>0</v>
      </c>
      <c r="K397" t="s">
        <v>9137</v>
      </c>
      <c r="L397" cm="1">
        <f t="array" ref="L397">wordCount(K397)</f>
        <v>12</v>
      </c>
      <c r="M397">
        <f t="shared" si="12"/>
        <v>63</v>
      </c>
      <c r="N397">
        <v>0.6428571428571429</v>
      </c>
      <c r="O397" s="23" cm="1">
        <f t="array" ref="O397">WordListCount(K397,keywords!$A$2:$A$31)-WordListCount(K397,keywords!$B$2:$B$31)</f>
        <v>-1</v>
      </c>
      <c r="P397" s="25">
        <f t="shared" si="13"/>
        <v>0.54282407407407407</v>
      </c>
      <c r="Q397" s="23">
        <f>SUM($O$2:O397)</f>
        <v>1</v>
      </c>
      <c r="Y397" s="14"/>
      <c r="Z397" s="13"/>
      <c r="AA397"/>
    </row>
    <row r="398" spans="1:27" x14ac:dyDescent="0.2">
      <c r="A398" s="12" t="s">
        <v>1321</v>
      </c>
      <c r="B398" t="s">
        <v>1322</v>
      </c>
      <c r="C398" t="s">
        <v>1316</v>
      </c>
      <c r="D398" t="s">
        <v>1317</v>
      </c>
      <c r="E398" t="s">
        <v>13</v>
      </c>
      <c r="F398">
        <v>425</v>
      </c>
      <c r="G398">
        <v>768</v>
      </c>
      <c r="H398" s="5" t="s">
        <v>22</v>
      </c>
      <c r="I398" s="5">
        <v>0</v>
      </c>
      <c r="J398" s="5">
        <v>0</v>
      </c>
      <c r="K398" t="s">
        <v>9138</v>
      </c>
      <c r="L398" cm="1">
        <f t="array" ref="L398">wordCount(K398)</f>
        <v>14</v>
      </c>
      <c r="M398">
        <f t="shared" si="12"/>
        <v>75</v>
      </c>
      <c r="N398">
        <v>0.14285714285714285</v>
      </c>
      <c r="O398" s="23" cm="1">
        <f t="array" ref="O398">WordListCount(K398,keywords!$A$2:$A$31)-WordListCount(K398,keywords!$B$2:$B$31)</f>
        <v>0</v>
      </c>
      <c r="P398" s="25">
        <f t="shared" si="13"/>
        <v>0.54283564814814811</v>
      </c>
      <c r="Q398" s="23">
        <f>SUM($O$2:O398)</f>
        <v>1</v>
      </c>
      <c r="Y398" s="14"/>
      <c r="Z398" s="13"/>
      <c r="AA398"/>
    </row>
    <row r="399" spans="1:27" x14ac:dyDescent="0.2">
      <c r="A399" s="12" t="s">
        <v>1323</v>
      </c>
      <c r="B399" t="s">
        <v>1324</v>
      </c>
      <c r="C399" t="s">
        <v>1316</v>
      </c>
      <c r="D399" t="s">
        <v>1317</v>
      </c>
      <c r="E399" t="s">
        <v>13</v>
      </c>
      <c r="F399">
        <v>425</v>
      </c>
      <c r="G399">
        <v>768</v>
      </c>
      <c r="H399" s="5" t="s">
        <v>22</v>
      </c>
      <c r="I399" s="5">
        <v>0</v>
      </c>
      <c r="J399" s="5">
        <v>0</v>
      </c>
      <c r="K399" t="s">
        <v>9139</v>
      </c>
      <c r="L399" cm="1">
        <f t="array" ref="L399">wordCount(K399)</f>
        <v>12</v>
      </c>
      <c r="M399">
        <f t="shared" si="12"/>
        <v>71</v>
      </c>
      <c r="N399">
        <v>1</v>
      </c>
      <c r="O399" s="23" cm="1">
        <f t="array" ref="O399">WordListCount(K399,keywords!$A$2:$A$31)-WordListCount(K399,keywords!$B$2:$B$31)</f>
        <v>0</v>
      </c>
      <c r="P399" s="25">
        <f t="shared" si="13"/>
        <v>0.54284722222222226</v>
      </c>
      <c r="Q399" s="23">
        <f>SUM($O$2:O399)</f>
        <v>1</v>
      </c>
      <c r="Y399" s="14"/>
      <c r="Z399" s="13"/>
      <c r="AA399"/>
    </row>
    <row r="400" spans="1:27" x14ac:dyDescent="0.2">
      <c r="A400" s="12" t="s">
        <v>1325</v>
      </c>
      <c r="B400" t="s">
        <v>1326</v>
      </c>
      <c r="C400" t="s">
        <v>1327</v>
      </c>
      <c r="D400" t="s">
        <v>1328</v>
      </c>
      <c r="E400" t="s">
        <v>13</v>
      </c>
      <c r="F400">
        <v>17</v>
      </c>
      <c r="G400">
        <v>439</v>
      </c>
      <c r="H400" s="5" t="s">
        <v>22</v>
      </c>
      <c r="I400" s="5">
        <v>0</v>
      </c>
      <c r="J400" s="5">
        <v>0</v>
      </c>
      <c r="K400" t="s">
        <v>9140</v>
      </c>
      <c r="L400" cm="1">
        <f t="array" ref="L400">wordCount(K400)</f>
        <v>2</v>
      </c>
      <c r="M400">
        <f t="shared" si="12"/>
        <v>10</v>
      </c>
      <c r="N400">
        <v>0.8</v>
      </c>
      <c r="O400" s="23" cm="1">
        <f t="array" ref="O400">WordListCount(K400,keywords!$A$2:$A$31)-WordListCount(K400,keywords!$B$2:$B$31)</f>
        <v>0</v>
      </c>
      <c r="P400" s="25">
        <f t="shared" si="13"/>
        <v>0.54292824074074075</v>
      </c>
      <c r="Q400" s="23">
        <f>SUM($O$2:O400)</f>
        <v>1</v>
      </c>
      <c r="Y400" s="14"/>
      <c r="Z400" s="13"/>
      <c r="AA400"/>
    </row>
    <row r="401" spans="1:27" x14ac:dyDescent="0.2">
      <c r="A401" s="12" t="s">
        <v>1329</v>
      </c>
      <c r="B401" t="s">
        <v>1330</v>
      </c>
      <c r="C401" t="s">
        <v>713</v>
      </c>
      <c r="D401" t="s">
        <v>714</v>
      </c>
      <c r="E401" t="s">
        <v>13</v>
      </c>
      <c r="F401">
        <v>4758</v>
      </c>
      <c r="G401">
        <v>3442</v>
      </c>
      <c r="H401" s="5" t="s">
        <v>22</v>
      </c>
      <c r="I401" s="5">
        <v>0</v>
      </c>
      <c r="J401" s="5">
        <v>0</v>
      </c>
      <c r="K401" t="s">
        <v>9133</v>
      </c>
      <c r="L401" cm="1">
        <f t="array" ref="L401">wordCount(K401)</f>
        <v>6</v>
      </c>
      <c r="M401">
        <f t="shared" si="12"/>
        <v>36</v>
      </c>
      <c r="N401">
        <v>0.8571428571428571</v>
      </c>
      <c r="O401" s="23" cm="1">
        <f t="array" ref="O401">WordListCount(K401,keywords!$A$2:$A$31)-WordListCount(K401,keywords!$B$2:$B$31)</f>
        <v>0</v>
      </c>
      <c r="P401" s="25">
        <f t="shared" si="13"/>
        <v>0.5431597222222222</v>
      </c>
      <c r="Q401" s="23">
        <f>SUM($O$2:O401)</f>
        <v>1</v>
      </c>
      <c r="Y401" s="14"/>
      <c r="Z401" s="13"/>
      <c r="AA401"/>
    </row>
    <row r="402" spans="1:27" x14ac:dyDescent="0.2">
      <c r="A402" s="12" t="s">
        <v>1331</v>
      </c>
      <c r="B402" t="s">
        <v>1332</v>
      </c>
      <c r="C402" t="s">
        <v>1333</v>
      </c>
      <c r="D402" t="s">
        <v>12</v>
      </c>
      <c r="E402" t="s">
        <v>13</v>
      </c>
      <c r="F402">
        <v>18</v>
      </c>
      <c r="G402">
        <v>51</v>
      </c>
      <c r="H402" s="5" t="s">
        <v>96</v>
      </c>
      <c r="I402" s="5">
        <v>0</v>
      </c>
      <c r="J402" s="5">
        <v>0</v>
      </c>
      <c r="K402" t="s">
        <v>9141</v>
      </c>
      <c r="L402" cm="1">
        <f t="array" ref="L402">wordCount(K402)</f>
        <v>6</v>
      </c>
      <c r="M402">
        <f t="shared" si="12"/>
        <v>33</v>
      </c>
      <c r="N402">
        <v>0.83333333333333337</v>
      </c>
      <c r="O402" s="23" cm="1">
        <f t="array" ref="O402">WordListCount(K402,keywords!$A$2:$A$31)-WordListCount(K402,keywords!$B$2:$B$31)</f>
        <v>0</v>
      </c>
      <c r="P402" s="25">
        <f t="shared" si="13"/>
        <v>0.54320601851851846</v>
      </c>
      <c r="Q402" s="23">
        <f>SUM($O$2:O402)</f>
        <v>1</v>
      </c>
      <c r="Y402" s="14"/>
      <c r="Z402" s="13"/>
      <c r="AA402"/>
    </row>
    <row r="403" spans="1:27" x14ac:dyDescent="0.2">
      <c r="A403" s="12" t="s">
        <v>1334</v>
      </c>
      <c r="B403" t="s">
        <v>1335</v>
      </c>
      <c r="C403" t="s">
        <v>1336</v>
      </c>
      <c r="D403" t="s">
        <v>337</v>
      </c>
      <c r="E403" t="s">
        <v>13</v>
      </c>
      <c r="F403">
        <v>26</v>
      </c>
      <c r="G403">
        <v>21</v>
      </c>
      <c r="H403" s="5" t="s">
        <v>22</v>
      </c>
      <c r="I403" s="5">
        <v>0</v>
      </c>
      <c r="J403" s="5">
        <v>0</v>
      </c>
      <c r="K403" t="s">
        <v>9142</v>
      </c>
      <c r="L403" cm="1">
        <f t="array" ref="L403">wordCount(K403)</f>
        <v>8</v>
      </c>
      <c r="M403">
        <f t="shared" si="12"/>
        <v>46</v>
      </c>
      <c r="N403">
        <v>0.88235294117647056</v>
      </c>
      <c r="O403" s="23" cm="1">
        <f t="array" ref="O403">WordListCount(K403,keywords!$A$2:$A$31)-WordListCount(K403,keywords!$B$2:$B$31)</f>
        <v>0</v>
      </c>
      <c r="P403" s="25">
        <f t="shared" si="13"/>
        <v>0.54321759259259261</v>
      </c>
      <c r="Q403" s="23">
        <f>SUM($O$2:O403)</f>
        <v>1</v>
      </c>
      <c r="Y403" s="14"/>
      <c r="Z403" s="13"/>
      <c r="AA403"/>
    </row>
    <row r="404" spans="1:27" x14ac:dyDescent="0.2">
      <c r="A404" s="12" t="s">
        <v>1337</v>
      </c>
      <c r="B404" t="s">
        <v>1338</v>
      </c>
      <c r="C404" t="s">
        <v>1339</v>
      </c>
      <c r="D404" t="s">
        <v>337</v>
      </c>
      <c r="E404" t="s">
        <v>13</v>
      </c>
      <c r="F404">
        <v>75</v>
      </c>
      <c r="G404">
        <v>163</v>
      </c>
      <c r="H404" s="5" t="s">
        <v>22</v>
      </c>
      <c r="I404" s="5">
        <v>0</v>
      </c>
      <c r="J404" s="5">
        <v>0</v>
      </c>
      <c r="K404" t="s">
        <v>9143</v>
      </c>
      <c r="L404" cm="1">
        <f t="array" ref="L404">wordCount(K404)</f>
        <v>9</v>
      </c>
      <c r="M404">
        <f t="shared" si="12"/>
        <v>50</v>
      </c>
      <c r="N404">
        <v>0.58333333333333337</v>
      </c>
      <c r="O404" s="23" cm="1">
        <f t="array" ref="O404">WordListCount(K404,keywords!$A$2:$A$31)-WordListCount(K404,keywords!$B$2:$B$31)</f>
        <v>0</v>
      </c>
      <c r="P404" s="25">
        <f t="shared" si="13"/>
        <v>0.54325231481481484</v>
      </c>
      <c r="Q404" s="23">
        <f>SUM($O$2:O404)</f>
        <v>1</v>
      </c>
      <c r="Y404" s="14"/>
      <c r="Z404" s="13"/>
      <c r="AA404"/>
    </row>
    <row r="405" spans="1:27" x14ac:dyDescent="0.2">
      <c r="A405" s="12" t="s">
        <v>1340</v>
      </c>
      <c r="B405" t="s">
        <v>1341</v>
      </c>
      <c r="C405" t="s">
        <v>1342</v>
      </c>
      <c r="D405" t="s">
        <v>1343</v>
      </c>
      <c r="E405" t="s">
        <v>13</v>
      </c>
      <c r="F405">
        <v>1353</v>
      </c>
      <c r="G405">
        <v>1068</v>
      </c>
      <c r="H405" s="5" t="s">
        <v>22</v>
      </c>
      <c r="I405" s="5">
        <v>0</v>
      </c>
      <c r="J405" s="5">
        <v>0</v>
      </c>
      <c r="K405" t="s">
        <v>10152</v>
      </c>
      <c r="L405" cm="1">
        <f t="array" ref="L405">wordCount(K405)</f>
        <v>18</v>
      </c>
      <c r="M405">
        <f t="shared" si="12"/>
        <v>97</v>
      </c>
      <c r="N405">
        <v>0.2857142857142857</v>
      </c>
      <c r="O405" s="23" cm="1">
        <f t="array" ref="O405">WordListCount(K405,keywords!$A$2:$A$31)-WordListCount(K405,keywords!$B$2:$B$31)</f>
        <v>0</v>
      </c>
      <c r="P405" s="25">
        <f t="shared" si="13"/>
        <v>0.54375000000000007</v>
      </c>
      <c r="Q405" s="23">
        <f>SUM($O$2:O405)</f>
        <v>1</v>
      </c>
      <c r="Y405" s="14"/>
      <c r="Z405" s="13"/>
      <c r="AA405"/>
    </row>
    <row r="406" spans="1:27" x14ac:dyDescent="0.2">
      <c r="A406" s="12" t="s">
        <v>1344</v>
      </c>
      <c r="B406" t="s">
        <v>1345</v>
      </c>
      <c r="C406" t="s">
        <v>1346</v>
      </c>
      <c r="D406" t="s">
        <v>74</v>
      </c>
      <c r="E406" t="s">
        <v>13</v>
      </c>
      <c r="F406">
        <v>36</v>
      </c>
      <c r="G406">
        <v>0</v>
      </c>
      <c r="H406" s="5" t="s">
        <v>22</v>
      </c>
      <c r="I406" s="5">
        <v>0</v>
      </c>
      <c r="J406" s="5">
        <v>0</v>
      </c>
      <c r="K406" t="s">
        <v>10153</v>
      </c>
      <c r="L406" cm="1">
        <f t="array" ref="L406">wordCount(K406)</f>
        <v>26</v>
      </c>
      <c r="M406">
        <f t="shared" si="12"/>
        <v>123</v>
      </c>
      <c r="N406">
        <v>0.33333333333333331</v>
      </c>
      <c r="O406" s="23" cm="1">
        <f t="array" ref="O406">WordListCount(K406,keywords!$A$2:$A$31)-WordListCount(K406,keywords!$B$2:$B$31)</f>
        <v>0</v>
      </c>
      <c r="P406" s="25">
        <f t="shared" si="13"/>
        <v>0.54376157407407411</v>
      </c>
      <c r="Q406" s="23">
        <f>SUM($O$2:O406)</f>
        <v>1</v>
      </c>
      <c r="Y406" s="14"/>
      <c r="Z406" s="13"/>
      <c r="AA406"/>
    </row>
    <row r="407" spans="1:27" x14ac:dyDescent="0.2">
      <c r="A407" s="12" t="s">
        <v>1347</v>
      </c>
      <c r="B407" t="s">
        <v>1348</v>
      </c>
      <c r="C407" t="s">
        <v>21</v>
      </c>
      <c r="D407" t="s">
        <v>12</v>
      </c>
      <c r="E407" t="s">
        <v>13</v>
      </c>
      <c r="F407">
        <v>44</v>
      </c>
      <c r="G407">
        <v>9</v>
      </c>
      <c r="H407" s="5" t="s">
        <v>22</v>
      </c>
      <c r="I407" s="5">
        <v>0</v>
      </c>
      <c r="J407" s="5">
        <v>0</v>
      </c>
      <c r="K407" t="s">
        <v>9144</v>
      </c>
      <c r="L407" cm="1">
        <f t="array" ref="L407">wordCount(K407)</f>
        <v>5</v>
      </c>
      <c r="M407">
        <f t="shared" si="12"/>
        <v>28</v>
      </c>
      <c r="N407">
        <v>0.83333333333333337</v>
      </c>
      <c r="O407" s="23" cm="1">
        <f t="array" ref="O407">WordListCount(K407,keywords!$A$2:$A$31)-WordListCount(K407,keywords!$B$2:$B$31)</f>
        <v>0</v>
      </c>
      <c r="P407" s="25">
        <f t="shared" si="13"/>
        <v>0.54377314814814814</v>
      </c>
      <c r="Q407" s="23">
        <f>SUM($O$2:O407)</f>
        <v>1</v>
      </c>
      <c r="Y407" s="14"/>
      <c r="Z407" s="13"/>
      <c r="AA407"/>
    </row>
    <row r="408" spans="1:27" x14ac:dyDescent="0.2">
      <c r="A408" s="12" t="s">
        <v>1349</v>
      </c>
      <c r="B408" t="s">
        <v>1350</v>
      </c>
      <c r="C408" t="s">
        <v>1351</v>
      </c>
      <c r="D408" t="s">
        <v>1352</v>
      </c>
      <c r="E408" t="s">
        <v>13</v>
      </c>
      <c r="F408">
        <v>392</v>
      </c>
      <c r="G408">
        <v>470</v>
      </c>
      <c r="H408" s="5" t="s">
        <v>22</v>
      </c>
      <c r="I408" s="5">
        <v>0</v>
      </c>
      <c r="J408" s="5">
        <v>0</v>
      </c>
      <c r="K408" t="s">
        <v>9145</v>
      </c>
      <c r="L408" cm="1">
        <f t="array" ref="L408">wordCount(K408)</f>
        <v>7</v>
      </c>
      <c r="M408">
        <f t="shared" si="12"/>
        <v>43</v>
      </c>
      <c r="N408">
        <v>0.68181818181818177</v>
      </c>
      <c r="O408" s="23" cm="1">
        <f t="array" ref="O408">WordListCount(K408,keywords!$A$2:$A$31)-WordListCount(K408,keywords!$B$2:$B$31)</f>
        <v>0</v>
      </c>
      <c r="P408" s="25">
        <f t="shared" si="13"/>
        <v>0.54381944444444441</v>
      </c>
      <c r="Q408" s="23">
        <f>SUM($O$2:O408)</f>
        <v>1</v>
      </c>
      <c r="Y408" s="14"/>
      <c r="Z408" s="13"/>
      <c r="AA408"/>
    </row>
    <row r="409" spans="1:27" x14ac:dyDescent="0.2">
      <c r="A409" s="12" t="s">
        <v>1353</v>
      </c>
      <c r="B409" t="s">
        <v>1354</v>
      </c>
      <c r="C409" t="s">
        <v>1355</v>
      </c>
      <c r="D409" t="s">
        <v>1356</v>
      </c>
      <c r="E409" t="s">
        <v>13</v>
      </c>
      <c r="F409">
        <v>65</v>
      </c>
      <c r="G409">
        <v>34</v>
      </c>
      <c r="H409" s="5" t="s">
        <v>382</v>
      </c>
      <c r="I409" s="5">
        <v>0</v>
      </c>
      <c r="J409" s="5">
        <v>0</v>
      </c>
      <c r="K409" t="s">
        <v>9146</v>
      </c>
      <c r="L409" cm="1">
        <f t="array" ref="L409">wordCount(K409)</f>
        <v>3</v>
      </c>
      <c r="M409">
        <f t="shared" si="12"/>
        <v>17</v>
      </c>
      <c r="N409">
        <v>0.81818181818181823</v>
      </c>
      <c r="O409" s="23" cm="1">
        <f t="array" ref="O409">WordListCount(K409,keywords!$A$2:$A$31)-WordListCount(K409,keywords!$B$2:$B$31)</f>
        <v>0</v>
      </c>
      <c r="P409" s="25">
        <f t="shared" si="13"/>
        <v>0.54383101851851856</v>
      </c>
      <c r="Q409" s="23">
        <f>SUM($O$2:O409)</f>
        <v>1</v>
      </c>
      <c r="Y409" s="14"/>
      <c r="Z409" s="13"/>
      <c r="AA409"/>
    </row>
    <row r="410" spans="1:27" x14ac:dyDescent="0.2">
      <c r="A410" s="12" t="s">
        <v>1357</v>
      </c>
      <c r="B410" t="s">
        <v>1359</v>
      </c>
      <c r="C410" t="s">
        <v>634</v>
      </c>
      <c r="D410" t="s">
        <v>635</v>
      </c>
      <c r="E410" t="s">
        <v>13</v>
      </c>
      <c r="F410">
        <v>2121</v>
      </c>
      <c r="G410">
        <v>4146</v>
      </c>
      <c r="H410" s="5" t="s">
        <v>22</v>
      </c>
      <c r="I410" s="5">
        <v>0</v>
      </c>
      <c r="J410" s="5">
        <v>0</v>
      </c>
      <c r="K410" t="s">
        <v>9147</v>
      </c>
      <c r="L410" cm="1">
        <f t="array" ref="L410">wordCount(K410)</f>
        <v>21</v>
      </c>
      <c r="M410">
        <f t="shared" si="12"/>
        <v>102</v>
      </c>
      <c r="N410">
        <v>0.4</v>
      </c>
      <c r="O410" s="23" cm="1">
        <f t="array" ref="O410">WordListCount(K410,keywords!$A$2:$A$31)-WordListCount(K410,keywords!$B$2:$B$31)</f>
        <v>2</v>
      </c>
      <c r="P410" s="25">
        <f t="shared" si="13"/>
        <v>0.54386574074074068</v>
      </c>
      <c r="Q410" s="23">
        <f>SUM($O$2:O410)</f>
        <v>3</v>
      </c>
      <c r="Y410" s="14"/>
      <c r="Z410" s="13"/>
      <c r="AA410"/>
    </row>
    <row r="411" spans="1:27" x14ac:dyDescent="0.2">
      <c r="A411" s="12" t="s">
        <v>1357</v>
      </c>
      <c r="B411" t="s">
        <v>1335</v>
      </c>
      <c r="C411" t="s">
        <v>1358</v>
      </c>
      <c r="D411" t="s">
        <v>12</v>
      </c>
      <c r="E411" t="s">
        <v>13</v>
      </c>
      <c r="F411">
        <v>16466</v>
      </c>
      <c r="G411">
        <v>16483</v>
      </c>
      <c r="H411" s="5" t="s">
        <v>14</v>
      </c>
      <c r="I411" s="5">
        <v>0</v>
      </c>
      <c r="J411" s="5">
        <v>0</v>
      </c>
      <c r="K411" t="s">
        <v>9142</v>
      </c>
      <c r="L411" cm="1">
        <f t="array" ref="L411">wordCount(K411)</f>
        <v>8</v>
      </c>
      <c r="M411">
        <f t="shared" si="12"/>
        <v>46</v>
      </c>
      <c r="N411">
        <v>0.88888888888888884</v>
      </c>
      <c r="O411" s="23" cm="1">
        <f t="array" ref="O411">WordListCount(K411,keywords!$A$2:$A$31)-WordListCount(K411,keywords!$B$2:$B$31)</f>
        <v>0</v>
      </c>
      <c r="P411" s="25">
        <f t="shared" si="13"/>
        <v>0.54386574074074068</v>
      </c>
      <c r="Q411" s="23">
        <f>SUM($O$2:O411)</f>
        <v>3</v>
      </c>
      <c r="Y411" s="14"/>
      <c r="Z411" s="13"/>
      <c r="AA411"/>
    </row>
    <row r="412" spans="1:27" x14ac:dyDescent="0.2">
      <c r="A412" s="12" t="s">
        <v>1360</v>
      </c>
      <c r="B412" t="s">
        <v>1361</v>
      </c>
      <c r="C412" t="s">
        <v>1362</v>
      </c>
      <c r="D412" t="s">
        <v>1363</v>
      </c>
      <c r="E412" t="s">
        <v>13</v>
      </c>
      <c r="F412">
        <v>416</v>
      </c>
      <c r="G412">
        <v>594</v>
      </c>
      <c r="H412" s="5" t="s">
        <v>22</v>
      </c>
      <c r="I412" s="5">
        <v>0</v>
      </c>
      <c r="J412" s="5">
        <v>0</v>
      </c>
      <c r="K412" t="s">
        <v>10154</v>
      </c>
      <c r="L412" cm="1">
        <f t="array" ref="L412">wordCount(K412)</f>
        <v>19</v>
      </c>
      <c r="M412">
        <f t="shared" si="12"/>
        <v>69</v>
      </c>
      <c r="N412">
        <v>0.2</v>
      </c>
      <c r="O412" s="23" cm="1">
        <f t="array" ref="O412">WordListCount(K412,keywords!$A$2:$A$31)-WordListCount(K412,keywords!$B$2:$B$31)</f>
        <v>1</v>
      </c>
      <c r="P412" s="25">
        <f t="shared" si="13"/>
        <v>0.54407407407407404</v>
      </c>
      <c r="Q412" s="23">
        <f>SUM($O$2:O412)</f>
        <v>4</v>
      </c>
      <c r="Y412" s="14"/>
      <c r="Z412" s="13"/>
      <c r="AA412"/>
    </row>
    <row r="413" spans="1:27" x14ac:dyDescent="0.2">
      <c r="A413" s="12" t="s">
        <v>1364</v>
      </c>
      <c r="B413" t="s">
        <v>1365</v>
      </c>
      <c r="C413" t="s">
        <v>1366</v>
      </c>
      <c r="D413" t="s">
        <v>12</v>
      </c>
      <c r="E413" t="s">
        <v>13</v>
      </c>
      <c r="F413">
        <v>19</v>
      </c>
      <c r="G413">
        <v>322</v>
      </c>
      <c r="H413" s="5" t="s">
        <v>22</v>
      </c>
      <c r="I413" s="5">
        <v>0</v>
      </c>
      <c r="J413" s="5">
        <v>0</v>
      </c>
      <c r="K413" t="s">
        <v>10155</v>
      </c>
      <c r="L413" cm="1">
        <f t="array" ref="L413">wordCount(K413)</f>
        <v>10</v>
      </c>
      <c r="M413">
        <f t="shared" si="12"/>
        <v>44</v>
      </c>
      <c r="N413">
        <v>0.42857142857142855</v>
      </c>
      <c r="O413" s="23" cm="1">
        <f t="array" ref="O413">WordListCount(K413,keywords!$A$2:$A$31)-WordListCount(K413,keywords!$B$2:$B$31)</f>
        <v>0</v>
      </c>
      <c r="P413" s="25">
        <f t="shared" si="13"/>
        <v>0.54408564814814808</v>
      </c>
      <c r="Q413" s="23">
        <f>SUM($O$2:O413)</f>
        <v>4</v>
      </c>
      <c r="Y413" s="14"/>
      <c r="Z413" s="13"/>
      <c r="AA413"/>
    </row>
    <row r="414" spans="1:27" x14ac:dyDescent="0.2">
      <c r="A414" s="12" t="s">
        <v>1367</v>
      </c>
      <c r="B414" t="s">
        <v>1368</v>
      </c>
      <c r="C414" t="s">
        <v>1369</v>
      </c>
      <c r="D414" t="s">
        <v>1370</v>
      </c>
      <c r="E414" t="s">
        <v>13</v>
      </c>
      <c r="F414">
        <v>9326</v>
      </c>
      <c r="G414">
        <v>1976</v>
      </c>
      <c r="H414" s="5" t="s">
        <v>22</v>
      </c>
      <c r="I414" s="5">
        <v>0</v>
      </c>
      <c r="J414" s="5">
        <v>0</v>
      </c>
      <c r="K414" t="s">
        <v>10156</v>
      </c>
      <c r="L414" cm="1">
        <f t="array" ref="L414">wordCount(K414)</f>
        <v>9</v>
      </c>
      <c r="M414">
        <f t="shared" si="12"/>
        <v>45</v>
      </c>
      <c r="N414">
        <v>0.76470588235294112</v>
      </c>
      <c r="O414" s="23" cm="1">
        <f t="array" ref="O414">WordListCount(K414,keywords!$A$2:$A$31)-WordListCount(K414,keywords!$B$2:$B$31)</f>
        <v>0</v>
      </c>
      <c r="P414" s="25">
        <f t="shared" si="13"/>
        <v>0.54410879629629627</v>
      </c>
      <c r="Q414" s="23">
        <f>SUM($O$2:O414)</f>
        <v>4</v>
      </c>
      <c r="Y414" s="14"/>
      <c r="Z414" s="13"/>
      <c r="AA414"/>
    </row>
    <row r="415" spans="1:27" x14ac:dyDescent="0.2">
      <c r="A415" s="12" t="s">
        <v>1371</v>
      </c>
      <c r="B415" t="s">
        <v>1372</v>
      </c>
      <c r="C415" t="s">
        <v>1373</v>
      </c>
      <c r="D415" t="s">
        <v>12</v>
      </c>
      <c r="E415" t="s">
        <v>13</v>
      </c>
      <c r="F415">
        <v>3</v>
      </c>
      <c r="G415">
        <v>132</v>
      </c>
      <c r="H415" s="5" t="s">
        <v>22</v>
      </c>
      <c r="I415" s="5">
        <v>0</v>
      </c>
      <c r="J415" s="5">
        <v>0</v>
      </c>
      <c r="K415" t="s">
        <v>9148</v>
      </c>
      <c r="L415" cm="1">
        <f t="array" ref="L415">wordCount(K415)</f>
        <v>15</v>
      </c>
      <c r="M415">
        <f t="shared" si="12"/>
        <v>104</v>
      </c>
      <c r="N415">
        <v>0.4642857142857143</v>
      </c>
      <c r="O415" s="23" cm="1">
        <f t="array" ref="O415">WordListCount(K415,keywords!$A$2:$A$31)-WordListCount(K415,keywords!$B$2:$B$31)</f>
        <v>0</v>
      </c>
      <c r="P415" s="25">
        <f t="shared" si="13"/>
        <v>0.54421296296296295</v>
      </c>
      <c r="Q415" s="23">
        <f>SUM($O$2:O415)</f>
        <v>4</v>
      </c>
      <c r="Y415" s="14"/>
      <c r="Z415" s="13"/>
      <c r="AA415"/>
    </row>
    <row r="416" spans="1:27" x14ac:dyDescent="0.2">
      <c r="A416" s="12" t="s">
        <v>1374</v>
      </c>
      <c r="B416" t="s">
        <v>1375</v>
      </c>
      <c r="C416" t="s">
        <v>511</v>
      </c>
      <c r="D416" t="s">
        <v>512</v>
      </c>
      <c r="E416" t="s">
        <v>13</v>
      </c>
      <c r="F416">
        <v>1899</v>
      </c>
      <c r="G416">
        <v>540</v>
      </c>
      <c r="H416" s="5" t="s">
        <v>22</v>
      </c>
      <c r="I416" s="5">
        <v>0</v>
      </c>
      <c r="J416" s="5">
        <v>0</v>
      </c>
      <c r="K416" t="s">
        <v>10157</v>
      </c>
      <c r="L416" cm="1">
        <f t="array" ref="L416">wordCount(K416)</f>
        <v>8</v>
      </c>
      <c r="M416">
        <f t="shared" si="12"/>
        <v>39</v>
      </c>
      <c r="N416">
        <v>0.81818181818181823</v>
      </c>
      <c r="O416" s="23" cm="1">
        <f t="array" ref="O416">WordListCount(K416,keywords!$A$2:$A$31)-WordListCount(K416,keywords!$B$2:$B$31)</f>
        <v>0</v>
      </c>
      <c r="P416" s="25">
        <f t="shared" si="13"/>
        <v>0.54451388888888885</v>
      </c>
      <c r="Q416" s="23">
        <f>SUM($O$2:O416)</f>
        <v>4</v>
      </c>
      <c r="Y416" s="14"/>
      <c r="Z416" s="13"/>
      <c r="AA416"/>
    </row>
    <row r="417" spans="1:27" x14ac:dyDescent="0.2">
      <c r="A417" s="12" t="s">
        <v>1376</v>
      </c>
      <c r="B417" t="s">
        <v>1377</v>
      </c>
      <c r="C417" t="s">
        <v>1378</v>
      </c>
      <c r="D417" t="s">
        <v>1379</v>
      </c>
      <c r="E417" t="s">
        <v>13</v>
      </c>
      <c r="F417">
        <v>3794</v>
      </c>
      <c r="G417">
        <v>186</v>
      </c>
      <c r="H417" s="5" t="s">
        <v>22</v>
      </c>
      <c r="I417" s="5">
        <v>0</v>
      </c>
      <c r="J417" s="5">
        <v>0</v>
      </c>
      <c r="K417" t="s">
        <v>9149</v>
      </c>
      <c r="L417" cm="1">
        <f t="array" ref="L417">wordCount(K417)</f>
        <v>9</v>
      </c>
      <c r="M417">
        <f t="shared" si="12"/>
        <v>50</v>
      </c>
      <c r="N417">
        <v>0.63636363636363635</v>
      </c>
      <c r="O417" s="23" cm="1">
        <f t="array" ref="O417">WordListCount(K417,keywords!$A$2:$A$31)-WordListCount(K417,keywords!$B$2:$B$31)</f>
        <v>0</v>
      </c>
      <c r="P417" s="25">
        <f t="shared" si="13"/>
        <v>0.54468749999999999</v>
      </c>
      <c r="Q417" s="23">
        <f>SUM($O$2:O417)</f>
        <v>4</v>
      </c>
      <c r="Y417" s="14"/>
      <c r="Z417" s="13"/>
      <c r="AA417"/>
    </row>
    <row r="418" spans="1:27" x14ac:dyDescent="0.2">
      <c r="A418" s="12" t="s">
        <v>1380</v>
      </c>
      <c r="B418" t="s">
        <v>1381</v>
      </c>
      <c r="C418" t="s">
        <v>1382</v>
      </c>
      <c r="D418" t="s">
        <v>1383</v>
      </c>
      <c r="E418" t="s">
        <v>13</v>
      </c>
      <c r="F418">
        <v>850</v>
      </c>
      <c r="G418">
        <v>262</v>
      </c>
      <c r="H418" s="5" t="s">
        <v>22</v>
      </c>
      <c r="I418" s="5">
        <v>0</v>
      </c>
      <c r="J418" s="5">
        <v>0</v>
      </c>
      <c r="K418" t="s">
        <v>10158</v>
      </c>
      <c r="L418" cm="1">
        <f t="array" ref="L418">wordCount(K418)</f>
        <v>8</v>
      </c>
      <c r="M418">
        <f t="shared" si="12"/>
        <v>53</v>
      </c>
      <c r="N418">
        <v>0.54545454545454541</v>
      </c>
      <c r="O418" s="23" cm="1">
        <f t="array" ref="O418">WordListCount(K418,keywords!$A$2:$A$31)-WordListCount(K418,keywords!$B$2:$B$31)</f>
        <v>1</v>
      </c>
      <c r="P418" s="25">
        <f t="shared" si="13"/>
        <v>0.54478009259259264</v>
      </c>
      <c r="Q418" s="23">
        <f>SUM($O$2:O418)</f>
        <v>5</v>
      </c>
      <c r="Y418" s="14"/>
      <c r="Z418" s="13"/>
      <c r="AA418"/>
    </row>
    <row r="419" spans="1:27" x14ac:dyDescent="0.2">
      <c r="A419" s="12" t="s">
        <v>1384</v>
      </c>
      <c r="B419" t="s">
        <v>1298</v>
      </c>
      <c r="C419" t="s">
        <v>50</v>
      </c>
      <c r="D419" t="s">
        <v>51</v>
      </c>
      <c r="E419" t="s">
        <v>13</v>
      </c>
      <c r="F419">
        <v>2057</v>
      </c>
      <c r="G419">
        <v>453</v>
      </c>
      <c r="H419" s="5" t="s">
        <v>22</v>
      </c>
      <c r="I419" s="5">
        <v>0</v>
      </c>
      <c r="J419" s="5">
        <v>0</v>
      </c>
      <c r="K419" t="s">
        <v>9133</v>
      </c>
      <c r="L419" cm="1">
        <f t="array" ref="L419">wordCount(K419)</f>
        <v>6</v>
      </c>
      <c r="M419">
        <f t="shared" si="12"/>
        <v>36</v>
      </c>
      <c r="N419">
        <v>0.8571428571428571</v>
      </c>
      <c r="O419" s="23" cm="1">
        <f t="array" ref="O419">WordListCount(K419,keywords!$A$2:$A$31)-WordListCount(K419,keywords!$B$2:$B$31)</f>
        <v>0</v>
      </c>
      <c r="P419" s="25">
        <f t="shared" si="13"/>
        <v>0.54496527777777781</v>
      </c>
      <c r="Q419" s="23">
        <f>SUM($O$2:O419)</f>
        <v>5</v>
      </c>
      <c r="Y419" s="14"/>
      <c r="Z419" s="13"/>
      <c r="AA419"/>
    </row>
    <row r="420" spans="1:27" x14ac:dyDescent="0.2">
      <c r="A420" s="12" t="s">
        <v>1385</v>
      </c>
      <c r="B420" t="s">
        <v>1386</v>
      </c>
      <c r="C420" t="s">
        <v>1387</v>
      </c>
      <c r="D420" t="s">
        <v>12</v>
      </c>
      <c r="E420" t="s">
        <v>13</v>
      </c>
      <c r="F420">
        <v>47</v>
      </c>
      <c r="G420">
        <v>10</v>
      </c>
      <c r="H420" s="5" t="s">
        <v>42</v>
      </c>
      <c r="I420" s="5">
        <v>0</v>
      </c>
      <c r="J420" s="5">
        <v>0</v>
      </c>
      <c r="K420" t="s">
        <v>10159</v>
      </c>
      <c r="L420" cm="1">
        <f t="array" ref="L420">wordCount(K420)</f>
        <v>17</v>
      </c>
      <c r="M420">
        <f t="shared" si="12"/>
        <v>120</v>
      </c>
      <c r="N420">
        <v>0.70588235294117652</v>
      </c>
      <c r="O420" s="23" cm="1">
        <f t="array" ref="O420">WordListCount(K420,keywords!$A$2:$A$31)-WordListCount(K420,keywords!$B$2:$B$31)</f>
        <v>0</v>
      </c>
      <c r="P420" s="25">
        <f t="shared" si="13"/>
        <v>0.54532407407407402</v>
      </c>
      <c r="Q420" s="23">
        <f>SUM($O$2:O420)</f>
        <v>5</v>
      </c>
      <c r="Y420" s="14"/>
      <c r="Z420" s="13"/>
      <c r="AA420"/>
    </row>
    <row r="421" spans="1:27" x14ac:dyDescent="0.2">
      <c r="A421" s="12" t="s">
        <v>1388</v>
      </c>
      <c r="B421" t="s">
        <v>1389</v>
      </c>
      <c r="C421" t="s">
        <v>1390</v>
      </c>
      <c r="D421" t="s">
        <v>1391</v>
      </c>
      <c r="E421" t="s">
        <v>13</v>
      </c>
      <c r="F421">
        <v>222</v>
      </c>
      <c r="G421">
        <v>250</v>
      </c>
      <c r="H421" s="5" t="s">
        <v>22</v>
      </c>
      <c r="I421" s="5">
        <v>0</v>
      </c>
      <c r="J421" s="5">
        <v>0</v>
      </c>
      <c r="K421" t="s">
        <v>9150</v>
      </c>
      <c r="L421" cm="1">
        <f t="array" ref="L421">wordCount(K421)</f>
        <v>2</v>
      </c>
      <c r="M421">
        <f t="shared" si="12"/>
        <v>13</v>
      </c>
      <c r="N421">
        <v>0.83333333333333337</v>
      </c>
      <c r="O421" s="23" cm="1">
        <f t="array" ref="O421">WordListCount(K421,keywords!$A$2:$A$31)-WordListCount(K421,keywords!$B$2:$B$31)</f>
        <v>0</v>
      </c>
      <c r="P421" s="25">
        <f t="shared" si="13"/>
        <v>0.54548611111111112</v>
      </c>
      <c r="Q421" s="23">
        <f>SUM($O$2:O421)</f>
        <v>5</v>
      </c>
      <c r="Y421" s="14"/>
      <c r="Z421" s="13"/>
      <c r="AA421"/>
    </row>
    <row r="422" spans="1:27" x14ac:dyDescent="0.2">
      <c r="A422" s="12" t="s">
        <v>1392</v>
      </c>
      <c r="B422" t="s">
        <v>1393</v>
      </c>
      <c r="C422" t="s">
        <v>1394</v>
      </c>
      <c r="D422" t="s">
        <v>12</v>
      </c>
      <c r="E422" t="s">
        <v>13</v>
      </c>
      <c r="F422">
        <v>305</v>
      </c>
      <c r="G422">
        <v>449</v>
      </c>
      <c r="H422" s="5" t="s">
        <v>22</v>
      </c>
      <c r="I422" s="5">
        <v>0</v>
      </c>
      <c r="J422" s="5">
        <v>0</v>
      </c>
      <c r="K422" t="s">
        <v>10160</v>
      </c>
      <c r="L422" cm="1">
        <f t="array" ref="L422">wordCount(K422)</f>
        <v>18</v>
      </c>
      <c r="M422">
        <f t="shared" si="12"/>
        <v>111</v>
      </c>
      <c r="N422">
        <v>0.17647058823529413</v>
      </c>
      <c r="O422" s="23" cm="1">
        <f t="array" ref="O422">WordListCount(K422,keywords!$A$2:$A$31)-WordListCount(K422,keywords!$B$2:$B$31)</f>
        <v>0</v>
      </c>
      <c r="P422" s="25">
        <f t="shared" si="13"/>
        <v>0.54574074074074075</v>
      </c>
      <c r="Q422" s="23">
        <f>SUM($O$2:O422)</f>
        <v>5</v>
      </c>
      <c r="Y422" s="14"/>
      <c r="Z422" s="13"/>
      <c r="AA422"/>
    </row>
    <row r="423" spans="1:27" x14ac:dyDescent="0.2">
      <c r="A423" s="12" t="s">
        <v>1395</v>
      </c>
      <c r="B423" t="s">
        <v>1396</v>
      </c>
      <c r="C423" t="s">
        <v>1109</v>
      </c>
      <c r="D423" t="s">
        <v>1110</v>
      </c>
      <c r="E423" t="s">
        <v>13</v>
      </c>
      <c r="F423">
        <v>2639</v>
      </c>
      <c r="G423">
        <v>428</v>
      </c>
      <c r="H423" s="5" t="s">
        <v>22</v>
      </c>
      <c r="I423" s="5">
        <v>0</v>
      </c>
      <c r="J423" s="5">
        <v>0</v>
      </c>
      <c r="K423" t="s">
        <v>10161</v>
      </c>
      <c r="L423" cm="1">
        <f t="array" ref="L423">wordCount(K423)</f>
        <v>9</v>
      </c>
      <c r="M423">
        <f t="shared" si="12"/>
        <v>59</v>
      </c>
      <c r="N423">
        <v>0.76</v>
      </c>
      <c r="O423" s="23" cm="1">
        <f t="array" ref="O423">WordListCount(K423,keywords!$A$2:$A$31)-WordListCount(K423,keywords!$B$2:$B$31)</f>
        <v>0</v>
      </c>
      <c r="P423" s="25">
        <f t="shared" si="13"/>
        <v>0.54575231481481479</v>
      </c>
      <c r="Q423" s="23">
        <f>SUM($O$2:O423)</f>
        <v>5</v>
      </c>
      <c r="Y423" s="14"/>
      <c r="Z423" s="13"/>
      <c r="AA423"/>
    </row>
    <row r="424" spans="1:27" x14ac:dyDescent="0.2">
      <c r="A424" s="12" t="s">
        <v>1397</v>
      </c>
      <c r="B424" t="s">
        <v>1398</v>
      </c>
      <c r="C424" t="s">
        <v>1399</v>
      </c>
      <c r="D424" t="s">
        <v>12</v>
      </c>
      <c r="E424" t="s">
        <v>13</v>
      </c>
      <c r="F424">
        <v>22</v>
      </c>
      <c r="G424">
        <v>118</v>
      </c>
      <c r="H424" s="5" t="s">
        <v>22</v>
      </c>
      <c r="I424" s="5">
        <v>0</v>
      </c>
      <c r="J424" s="5">
        <v>0</v>
      </c>
      <c r="K424" t="s">
        <v>10162</v>
      </c>
      <c r="L424" cm="1">
        <f t="array" ref="L424">wordCount(K424)</f>
        <v>7</v>
      </c>
      <c r="M424">
        <f t="shared" si="12"/>
        <v>23</v>
      </c>
      <c r="N424">
        <v>0.8571428571428571</v>
      </c>
      <c r="O424" s="23" cm="1">
        <f t="array" ref="O424">WordListCount(K424,keywords!$A$2:$A$31)-WordListCount(K424,keywords!$B$2:$B$31)</f>
        <v>0</v>
      </c>
      <c r="P424" s="25">
        <f t="shared" si="13"/>
        <v>0.54636574074074074</v>
      </c>
      <c r="Q424" s="23">
        <f>SUM($O$2:O424)</f>
        <v>5</v>
      </c>
      <c r="Y424" s="14"/>
      <c r="Z424" s="13"/>
      <c r="AA424"/>
    </row>
    <row r="425" spans="1:27" x14ac:dyDescent="0.2">
      <c r="A425" s="12" t="s">
        <v>1400</v>
      </c>
      <c r="B425" t="s">
        <v>1401</v>
      </c>
      <c r="C425" t="s">
        <v>1402</v>
      </c>
      <c r="D425" t="s">
        <v>1403</v>
      </c>
      <c r="E425" t="s">
        <v>13</v>
      </c>
      <c r="F425">
        <v>273</v>
      </c>
      <c r="G425">
        <v>46</v>
      </c>
      <c r="H425" s="5" t="s">
        <v>22</v>
      </c>
      <c r="I425" s="5">
        <v>0</v>
      </c>
      <c r="J425" s="5">
        <v>0</v>
      </c>
      <c r="K425" t="s">
        <v>10163</v>
      </c>
      <c r="L425" cm="1">
        <f t="array" ref="L425">wordCount(K425)</f>
        <v>20</v>
      </c>
      <c r="M425">
        <f t="shared" si="12"/>
        <v>118</v>
      </c>
      <c r="N425">
        <v>0.40740740740740738</v>
      </c>
      <c r="O425" s="23" cm="1">
        <f t="array" ref="O425">WordListCount(K425,keywords!$A$2:$A$31)-WordListCount(K425,keywords!$B$2:$B$31)</f>
        <v>0</v>
      </c>
      <c r="P425" s="25">
        <f t="shared" si="13"/>
        <v>0.5464930555555555</v>
      </c>
      <c r="Q425" s="23">
        <f>SUM($O$2:O425)</f>
        <v>5</v>
      </c>
      <c r="Y425" s="14"/>
      <c r="Z425" s="13"/>
      <c r="AA425"/>
    </row>
    <row r="426" spans="1:27" x14ac:dyDescent="0.2">
      <c r="A426" s="12" t="s">
        <v>1404</v>
      </c>
      <c r="B426" t="s">
        <v>1405</v>
      </c>
      <c r="C426" t="s">
        <v>1406</v>
      </c>
      <c r="D426" t="s">
        <v>12</v>
      </c>
      <c r="E426" t="s">
        <v>13</v>
      </c>
      <c r="F426">
        <v>39</v>
      </c>
      <c r="G426">
        <v>67</v>
      </c>
      <c r="H426" s="5" t="s">
        <v>22</v>
      </c>
      <c r="I426" s="5">
        <v>0</v>
      </c>
      <c r="J426" s="5">
        <v>0</v>
      </c>
      <c r="K426" t="s">
        <v>10164</v>
      </c>
      <c r="L426" cm="1">
        <f t="array" ref="L426">wordCount(K426)</f>
        <v>20</v>
      </c>
      <c r="M426">
        <f t="shared" si="12"/>
        <v>105</v>
      </c>
      <c r="N426">
        <v>0.58064516129032262</v>
      </c>
      <c r="O426" s="23" cm="1">
        <f t="array" ref="O426">WordListCount(K426,keywords!$A$2:$A$31)-WordListCount(K426,keywords!$B$2:$B$31)</f>
        <v>1</v>
      </c>
      <c r="P426" s="25">
        <f t="shared" si="13"/>
        <v>0.54731481481481481</v>
      </c>
      <c r="Q426" s="23">
        <f>SUM($O$2:O426)</f>
        <v>6</v>
      </c>
      <c r="Y426" s="14"/>
      <c r="Z426" s="13"/>
      <c r="AA426"/>
    </row>
    <row r="427" spans="1:27" x14ac:dyDescent="0.2">
      <c r="A427" s="12" t="s">
        <v>1407</v>
      </c>
      <c r="B427" t="s">
        <v>1396</v>
      </c>
      <c r="C427" t="s">
        <v>1109</v>
      </c>
      <c r="D427" t="s">
        <v>1110</v>
      </c>
      <c r="E427" t="s">
        <v>13</v>
      </c>
      <c r="F427">
        <v>2639</v>
      </c>
      <c r="G427">
        <v>428</v>
      </c>
      <c r="H427" s="5" t="s">
        <v>22</v>
      </c>
      <c r="I427" s="5">
        <v>0</v>
      </c>
      <c r="J427" s="5">
        <v>0</v>
      </c>
      <c r="K427" t="s">
        <v>10161</v>
      </c>
      <c r="L427" cm="1">
        <f t="array" ref="L427">wordCount(K427)</f>
        <v>9</v>
      </c>
      <c r="M427">
        <f t="shared" si="12"/>
        <v>59</v>
      </c>
      <c r="N427">
        <v>0.88888888888888884</v>
      </c>
      <c r="O427" s="23" cm="1">
        <f t="array" ref="O427">WordListCount(K427,keywords!$A$2:$A$31)-WordListCount(K427,keywords!$B$2:$B$31)</f>
        <v>0</v>
      </c>
      <c r="P427" s="25">
        <f t="shared" si="13"/>
        <v>0.547337962962963</v>
      </c>
      <c r="Q427" s="23">
        <f>SUM($O$2:O427)</f>
        <v>6</v>
      </c>
      <c r="Y427" s="14"/>
      <c r="Z427" s="13"/>
      <c r="AA427"/>
    </row>
    <row r="428" spans="1:27" x14ac:dyDescent="0.2">
      <c r="A428" s="12" t="s">
        <v>1408</v>
      </c>
      <c r="B428" t="s">
        <v>1409</v>
      </c>
      <c r="C428" t="s">
        <v>1410</v>
      </c>
      <c r="D428" t="s">
        <v>1411</v>
      </c>
      <c r="E428" t="s">
        <v>13</v>
      </c>
      <c r="F428">
        <v>785</v>
      </c>
      <c r="G428">
        <v>682</v>
      </c>
      <c r="H428" s="5" t="s">
        <v>22</v>
      </c>
      <c r="I428" s="5">
        <v>0</v>
      </c>
      <c r="J428" s="5">
        <v>0</v>
      </c>
      <c r="K428" t="s">
        <v>10165</v>
      </c>
      <c r="L428" cm="1">
        <f t="array" ref="L428">wordCount(K428)</f>
        <v>27</v>
      </c>
      <c r="M428">
        <f t="shared" si="12"/>
        <v>122</v>
      </c>
      <c r="N428">
        <v>0.40625</v>
      </c>
      <c r="O428" s="23" cm="1">
        <f t="array" ref="O428">WordListCount(K428,keywords!$A$2:$A$31)-WordListCount(K428,keywords!$B$2:$B$31)</f>
        <v>0</v>
      </c>
      <c r="P428" s="25">
        <f t="shared" si="13"/>
        <v>0.54738425925925926</v>
      </c>
      <c r="Q428" s="23">
        <f>SUM($O$2:O428)</f>
        <v>6</v>
      </c>
      <c r="Y428" s="14"/>
      <c r="Z428" s="13"/>
      <c r="AA428"/>
    </row>
    <row r="429" spans="1:27" x14ac:dyDescent="0.2">
      <c r="A429" s="12" t="s">
        <v>1412</v>
      </c>
      <c r="B429" t="s">
        <v>1413</v>
      </c>
      <c r="C429" t="s">
        <v>1414</v>
      </c>
      <c r="D429" t="s">
        <v>1415</v>
      </c>
      <c r="E429" t="s">
        <v>13</v>
      </c>
      <c r="F429">
        <v>833</v>
      </c>
      <c r="G429">
        <v>495</v>
      </c>
      <c r="H429" s="5" t="s">
        <v>22</v>
      </c>
      <c r="I429" s="5">
        <v>0</v>
      </c>
      <c r="J429" s="5">
        <v>0</v>
      </c>
      <c r="K429" t="s">
        <v>10166</v>
      </c>
      <c r="L429" cm="1">
        <f t="array" ref="L429">wordCount(K429)</f>
        <v>10</v>
      </c>
      <c r="M429">
        <f t="shared" si="12"/>
        <v>51</v>
      </c>
      <c r="N429">
        <v>0.77777777777777779</v>
      </c>
      <c r="O429" s="23" cm="1">
        <f t="array" ref="O429">WordListCount(K429,keywords!$A$2:$A$31)-WordListCount(K429,keywords!$B$2:$B$31)</f>
        <v>0</v>
      </c>
      <c r="P429" s="25">
        <f t="shared" si="13"/>
        <v>0.54754629629629636</v>
      </c>
      <c r="Q429" s="23">
        <f>SUM($O$2:O429)</f>
        <v>6</v>
      </c>
      <c r="Y429" s="14"/>
      <c r="Z429" s="13"/>
      <c r="AA429"/>
    </row>
    <row r="430" spans="1:27" x14ac:dyDescent="0.2">
      <c r="A430" s="12" t="s">
        <v>1416</v>
      </c>
      <c r="B430" t="s">
        <v>1417</v>
      </c>
      <c r="C430" t="s">
        <v>1418</v>
      </c>
      <c r="D430" t="s">
        <v>697</v>
      </c>
      <c r="E430" t="s">
        <v>13</v>
      </c>
      <c r="F430">
        <v>34</v>
      </c>
      <c r="G430">
        <v>279</v>
      </c>
      <c r="H430" s="5" t="s">
        <v>22</v>
      </c>
      <c r="I430" s="5">
        <v>0</v>
      </c>
      <c r="J430" s="5">
        <v>0</v>
      </c>
      <c r="K430" t="s">
        <v>10167</v>
      </c>
      <c r="L430" cm="1">
        <f t="array" ref="L430">wordCount(K430)</f>
        <v>9</v>
      </c>
      <c r="M430">
        <f t="shared" si="12"/>
        <v>50</v>
      </c>
      <c r="N430">
        <v>0.65217391304347827</v>
      </c>
      <c r="O430" s="23" cm="1">
        <f t="array" ref="O430">WordListCount(K430,keywords!$A$2:$A$31)-WordListCount(K430,keywords!$B$2:$B$31)</f>
        <v>0</v>
      </c>
      <c r="P430" s="25">
        <f t="shared" si="13"/>
        <v>0.54781250000000004</v>
      </c>
      <c r="Q430" s="23">
        <f>SUM($O$2:O430)</f>
        <v>6</v>
      </c>
      <c r="Y430" s="14"/>
      <c r="Z430" s="13"/>
      <c r="AA430"/>
    </row>
    <row r="431" spans="1:27" x14ac:dyDescent="0.2">
      <c r="A431" s="12" t="s">
        <v>1419</v>
      </c>
      <c r="B431" t="s">
        <v>1420</v>
      </c>
      <c r="C431" t="s">
        <v>1421</v>
      </c>
      <c r="D431" t="s">
        <v>1422</v>
      </c>
      <c r="E431" t="s">
        <v>13</v>
      </c>
      <c r="F431">
        <v>25</v>
      </c>
      <c r="G431">
        <v>191</v>
      </c>
      <c r="H431" s="5" t="s">
        <v>86</v>
      </c>
      <c r="I431" s="5">
        <v>0</v>
      </c>
      <c r="J431" s="5">
        <v>0</v>
      </c>
      <c r="K431" t="s">
        <v>9151</v>
      </c>
      <c r="L431" cm="1">
        <f t="array" ref="L431">wordCount(K431)</f>
        <v>7</v>
      </c>
      <c r="M431">
        <f t="shared" si="12"/>
        <v>37</v>
      </c>
      <c r="N431">
        <v>0.6875</v>
      </c>
      <c r="O431" s="23" cm="1">
        <f t="array" ref="O431">WordListCount(K431,keywords!$A$2:$A$31)-WordListCount(K431,keywords!$B$2:$B$31)</f>
        <v>0</v>
      </c>
      <c r="P431" s="25">
        <f t="shared" si="13"/>
        <v>0.54792824074074076</v>
      </c>
      <c r="Q431" s="23">
        <f>SUM($O$2:O431)</f>
        <v>6</v>
      </c>
      <c r="Y431" s="14"/>
      <c r="Z431" s="13"/>
      <c r="AA431"/>
    </row>
    <row r="432" spans="1:27" x14ac:dyDescent="0.2">
      <c r="A432" s="12" t="s">
        <v>1423</v>
      </c>
      <c r="B432" t="s">
        <v>1424</v>
      </c>
      <c r="C432" t="s">
        <v>1425</v>
      </c>
      <c r="D432" t="s">
        <v>12</v>
      </c>
      <c r="E432" t="s">
        <v>13</v>
      </c>
      <c r="F432">
        <v>50</v>
      </c>
      <c r="G432">
        <v>45</v>
      </c>
      <c r="H432" s="5" t="s">
        <v>22</v>
      </c>
      <c r="I432" s="5">
        <v>0</v>
      </c>
      <c r="J432" s="5">
        <v>0</v>
      </c>
      <c r="K432" t="s">
        <v>10168</v>
      </c>
      <c r="L432" cm="1">
        <f t="array" ref="L432">wordCount(K432)</f>
        <v>17</v>
      </c>
      <c r="M432">
        <f t="shared" si="12"/>
        <v>65</v>
      </c>
      <c r="N432">
        <v>0.57692307692307687</v>
      </c>
      <c r="O432" s="23" cm="1">
        <f t="array" ref="O432">WordListCount(K432,keywords!$A$2:$A$31)-WordListCount(K432,keywords!$B$2:$B$31)</f>
        <v>0</v>
      </c>
      <c r="P432" s="25">
        <f t="shared" si="13"/>
        <v>0.5479398148148148</v>
      </c>
      <c r="Q432" s="23">
        <f>SUM($O$2:O432)</f>
        <v>6</v>
      </c>
      <c r="Y432" s="14"/>
      <c r="Z432" s="13"/>
      <c r="AA432"/>
    </row>
    <row r="433" spans="1:27" x14ac:dyDescent="0.2">
      <c r="A433" s="12" t="s">
        <v>1426</v>
      </c>
      <c r="B433" t="s">
        <v>1427</v>
      </c>
      <c r="C433" t="s">
        <v>1428</v>
      </c>
      <c r="D433" t="s">
        <v>12</v>
      </c>
      <c r="E433" t="s">
        <v>13</v>
      </c>
      <c r="F433">
        <v>48</v>
      </c>
      <c r="G433">
        <v>165</v>
      </c>
      <c r="H433" s="5" t="s">
        <v>22</v>
      </c>
      <c r="I433" s="5">
        <v>0</v>
      </c>
      <c r="J433" s="5">
        <v>0</v>
      </c>
      <c r="K433" t="s">
        <v>10169</v>
      </c>
      <c r="L433" cm="1">
        <f t="array" ref="L433">wordCount(K433)</f>
        <v>13</v>
      </c>
      <c r="M433">
        <f t="shared" si="12"/>
        <v>56</v>
      </c>
      <c r="N433">
        <v>0.5</v>
      </c>
      <c r="O433" s="23" cm="1">
        <f t="array" ref="O433">WordListCount(K433,keywords!$A$2:$A$31)-WordListCount(K433,keywords!$B$2:$B$31)</f>
        <v>0</v>
      </c>
      <c r="P433" s="25">
        <f t="shared" si="13"/>
        <v>0.54825231481481485</v>
      </c>
      <c r="Q433" s="23">
        <f>SUM($O$2:O433)</f>
        <v>6</v>
      </c>
      <c r="Y433" s="14"/>
      <c r="Z433" s="13"/>
      <c r="AA433"/>
    </row>
    <row r="434" spans="1:27" x14ac:dyDescent="0.2">
      <c r="A434" s="12" t="s">
        <v>1429</v>
      </c>
      <c r="B434" t="s">
        <v>1430</v>
      </c>
      <c r="C434" t="s">
        <v>1431</v>
      </c>
      <c r="D434" t="s">
        <v>12</v>
      </c>
      <c r="E434" t="s">
        <v>13</v>
      </c>
      <c r="F434">
        <v>4793</v>
      </c>
      <c r="G434">
        <v>5034</v>
      </c>
      <c r="H434" s="5" t="s">
        <v>14</v>
      </c>
      <c r="I434" s="5">
        <v>0</v>
      </c>
      <c r="J434" s="5">
        <v>0</v>
      </c>
      <c r="K434" t="s">
        <v>10170</v>
      </c>
      <c r="L434" cm="1">
        <f t="array" ref="L434">wordCount(K434)</f>
        <v>16</v>
      </c>
      <c r="M434">
        <f t="shared" si="12"/>
        <v>93</v>
      </c>
      <c r="N434">
        <v>0.2857142857142857</v>
      </c>
      <c r="O434" s="23" cm="1">
        <f t="array" ref="O434">WordListCount(K434,keywords!$A$2:$A$31)-WordListCount(K434,keywords!$B$2:$B$31)</f>
        <v>2</v>
      </c>
      <c r="P434" s="25">
        <f t="shared" si="13"/>
        <v>0.5484606481481481</v>
      </c>
      <c r="Q434" s="23">
        <f>SUM($O$2:O434)</f>
        <v>8</v>
      </c>
      <c r="Y434" s="14"/>
      <c r="Z434" s="13"/>
      <c r="AA434"/>
    </row>
    <row r="435" spans="1:27" x14ac:dyDescent="0.2">
      <c r="A435" s="12" t="s">
        <v>1432</v>
      </c>
      <c r="B435" t="s">
        <v>1433</v>
      </c>
      <c r="C435" t="s">
        <v>119</v>
      </c>
      <c r="D435" t="s">
        <v>120</v>
      </c>
      <c r="E435" t="s">
        <v>13</v>
      </c>
      <c r="F435">
        <v>16</v>
      </c>
      <c r="G435">
        <v>39</v>
      </c>
      <c r="H435" s="5" t="s">
        <v>22</v>
      </c>
      <c r="I435" s="5">
        <v>0</v>
      </c>
      <c r="J435" s="5">
        <v>0</v>
      </c>
      <c r="K435" t="s">
        <v>9914</v>
      </c>
      <c r="L435" cm="1">
        <f t="array" ref="L435">wordCount(K435)</f>
        <v>10</v>
      </c>
      <c r="M435">
        <f t="shared" si="12"/>
        <v>49</v>
      </c>
      <c r="N435">
        <v>0.9</v>
      </c>
      <c r="O435" s="23" cm="1">
        <f t="array" ref="O435">WordListCount(K435,keywords!$A$2:$A$31)-WordListCount(K435,keywords!$B$2:$B$31)</f>
        <v>0</v>
      </c>
      <c r="P435" s="25">
        <f t="shared" si="13"/>
        <v>0.54863425925925924</v>
      </c>
      <c r="Q435" s="23">
        <f>SUM($O$2:O435)</f>
        <v>8</v>
      </c>
      <c r="Y435" s="14"/>
      <c r="Z435" s="13"/>
      <c r="AA435"/>
    </row>
    <row r="436" spans="1:27" x14ac:dyDescent="0.2">
      <c r="A436" s="33" t="s">
        <v>1434</v>
      </c>
      <c r="B436" s="34" t="s">
        <v>1435</v>
      </c>
      <c r="C436" s="34" t="s">
        <v>123</v>
      </c>
      <c r="D436" s="34" t="s">
        <v>124</v>
      </c>
      <c r="E436" s="34" t="s">
        <v>13</v>
      </c>
      <c r="F436" s="34">
        <v>840</v>
      </c>
      <c r="G436" s="34">
        <v>899</v>
      </c>
      <c r="H436" s="35" t="s">
        <v>125</v>
      </c>
      <c r="I436" s="35">
        <v>0</v>
      </c>
      <c r="J436" s="35">
        <v>0</v>
      </c>
      <c r="K436" s="34" t="s">
        <v>9152</v>
      </c>
      <c r="L436" s="34" cm="1">
        <f t="array" ref="L436">wordCount(K436)</f>
        <v>20</v>
      </c>
      <c r="M436" s="34">
        <f t="shared" si="12"/>
        <v>88</v>
      </c>
      <c r="N436" s="34">
        <v>0.8</v>
      </c>
      <c r="O436" s="36" cm="1">
        <f t="array" ref="O436">WordListCount(K436,keywords!$A$2:$A$31)-WordListCount(K436,keywords!$B$2:$B$31)</f>
        <v>0</v>
      </c>
      <c r="P436" s="37">
        <f t="shared" si="13"/>
        <v>0.54865740740740743</v>
      </c>
      <c r="Q436" s="23">
        <f>SUM($O$2:O436)</f>
        <v>8</v>
      </c>
    </row>
    <row r="437" spans="1:27" x14ac:dyDescent="0.2">
      <c r="A437" s="12" t="s">
        <v>1436</v>
      </c>
      <c r="B437" t="s">
        <v>1437</v>
      </c>
      <c r="C437" t="s">
        <v>1390</v>
      </c>
      <c r="D437" t="s">
        <v>1391</v>
      </c>
      <c r="E437" t="s">
        <v>13</v>
      </c>
      <c r="F437">
        <v>222</v>
      </c>
      <c r="G437">
        <v>250</v>
      </c>
      <c r="H437" s="5" t="s">
        <v>22</v>
      </c>
      <c r="I437" s="5">
        <v>0</v>
      </c>
      <c r="J437" s="5">
        <v>0</v>
      </c>
      <c r="K437" t="s">
        <v>10171</v>
      </c>
      <c r="L437" cm="1">
        <f t="array" ref="L437">wordCount(K437)</f>
        <v>21</v>
      </c>
      <c r="M437">
        <f t="shared" si="12"/>
        <v>98</v>
      </c>
      <c r="N437">
        <v>0.5714285714285714</v>
      </c>
      <c r="O437" s="23" cm="1">
        <f t="array" ref="O437">WordListCount(K437,keywords!$A$2:$A$31)-WordListCount(K437,keywords!$B$2:$B$31)</f>
        <v>1</v>
      </c>
      <c r="P437" s="25">
        <f t="shared" si="13"/>
        <v>0.5486805555555555</v>
      </c>
      <c r="Q437" s="23">
        <f>SUM($O$2:O437)</f>
        <v>9</v>
      </c>
      <c r="Y437" s="14"/>
      <c r="Z437" s="13"/>
      <c r="AA437"/>
    </row>
    <row r="438" spans="1:27" x14ac:dyDescent="0.2">
      <c r="A438" s="12" t="s">
        <v>1436</v>
      </c>
      <c r="B438" t="s">
        <v>1438</v>
      </c>
      <c r="C438" t="s">
        <v>1439</v>
      </c>
      <c r="D438" t="s">
        <v>1440</v>
      </c>
      <c r="E438" t="s">
        <v>13</v>
      </c>
      <c r="F438">
        <v>3209</v>
      </c>
      <c r="G438">
        <v>461</v>
      </c>
      <c r="H438" s="5" t="s">
        <v>22</v>
      </c>
      <c r="I438" s="5">
        <v>0</v>
      </c>
      <c r="J438" s="5">
        <v>0</v>
      </c>
      <c r="K438" t="s">
        <v>9153</v>
      </c>
      <c r="L438" cm="1">
        <f t="array" ref="L438">wordCount(K438)</f>
        <v>11</v>
      </c>
      <c r="M438">
        <f t="shared" si="12"/>
        <v>67</v>
      </c>
      <c r="N438">
        <v>0.60869565217391308</v>
      </c>
      <c r="O438" s="23" cm="1">
        <f t="array" ref="O438">WordListCount(K438,keywords!$A$2:$A$31)-WordListCount(K438,keywords!$B$2:$B$31)</f>
        <v>0</v>
      </c>
      <c r="P438" s="25">
        <f t="shared" si="13"/>
        <v>0.5486805555555555</v>
      </c>
      <c r="Q438" s="23">
        <f>SUM($O$2:O438)</f>
        <v>9</v>
      </c>
      <c r="Y438" s="14"/>
      <c r="Z438" s="13"/>
      <c r="AA438"/>
    </row>
    <row r="439" spans="1:27" x14ac:dyDescent="0.2">
      <c r="A439" s="12" t="s">
        <v>1441</v>
      </c>
      <c r="B439" t="s">
        <v>1442</v>
      </c>
      <c r="C439" t="s">
        <v>1443</v>
      </c>
      <c r="D439" t="s">
        <v>1444</v>
      </c>
      <c r="E439" t="s">
        <v>13</v>
      </c>
      <c r="F439">
        <v>1096</v>
      </c>
      <c r="G439">
        <v>993</v>
      </c>
      <c r="H439" s="5" t="s">
        <v>22</v>
      </c>
      <c r="I439" s="5">
        <v>0</v>
      </c>
      <c r="J439" s="5">
        <v>0</v>
      </c>
      <c r="K439" t="s">
        <v>10172</v>
      </c>
      <c r="L439" cm="1">
        <f t="array" ref="L439">wordCount(K439)</f>
        <v>13</v>
      </c>
      <c r="M439">
        <f t="shared" si="12"/>
        <v>67</v>
      </c>
      <c r="N439">
        <v>0.4375</v>
      </c>
      <c r="O439" s="23" cm="1">
        <f t="array" ref="O439">WordListCount(K439,keywords!$A$2:$A$31)-WordListCount(K439,keywords!$B$2:$B$31)</f>
        <v>0</v>
      </c>
      <c r="P439" s="25">
        <f t="shared" si="13"/>
        <v>0.54876157407407411</v>
      </c>
      <c r="Q439" s="23">
        <f>SUM($O$2:O439)</f>
        <v>9</v>
      </c>
      <c r="Y439" s="14"/>
      <c r="Z439" s="13"/>
      <c r="AA439"/>
    </row>
    <row r="440" spans="1:27" x14ac:dyDescent="0.2">
      <c r="A440" s="12" t="s">
        <v>1445</v>
      </c>
      <c r="B440" t="s">
        <v>1446</v>
      </c>
      <c r="C440" t="s">
        <v>1447</v>
      </c>
      <c r="D440" t="s">
        <v>1448</v>
      </c>
      <c r="E440" t="s">
        <v>13</v>
      </c>
      <c r="F440">
        <v>4352</v>
      </c>
      <c r="G440">
        <v>349</v>
      </c>
      <c r="H440" s="5" t="s">
        <v>22</v>
      </c>
      <c r="I440" s="5">
        <v>0</v>
      </c>
      <c r="J440" s="5">
        <v>0</v>
      </c>
      <c r="K440" t="s">
        <v>10173</v>
      </c>
      <c r="L440" cm="1">
        <f t="array" ref="L440">wordCount(K440)</f>
        <v>28</v>
      </c>
      <c r="M440">
        <f t="shared" si="12"/>
        <v>126</v>
      </c>
      <c r="N440">
        <v>0.44736842105263158</v>
      </c>
      <c r="O440" s="23" cm="1">
        <f t="array" ref="O440">WordListCount(K440,keywords!$A$2:$A$31)-WordListCount(K440,keywords!$B$2:$B$31)</f>
        <v>-1</v>
      </c>
      <c r="P440" s="25">
        <f t="shared" si="13"/>
        <v>0.54913194444444446</v>
      </c>
      <c r="Q440" s="23">
        <f>SUM($O$2:O440)</f>
        <v>8</v>
      </c>
      <c r="Y440" s="14"/>
      <c r="Z440" s="13"/>
      <c r="AA440"/>
    </row>
    <row r="441" spans="1:27" x14ac:dyDescent="0.2">
      <c r="A441" s="12" t="s">
        <v>1449</v>
      </c>
      <c r="B441" t="s">
        <v>1450</v>
      </c>
      <c r="C441" t="s">
        <v>950</v>
      </c>
      <c r="D441" t="s">
        <v>12</v>
      </c>
      <c r="E441" t="s">
        <v>13</v>
      </c>
      <c r="F441">
        <v>1565</v>
      </c>
      <c r="G441">
        <v>5001</v>
      </c>
      <c r="H441" s="5" t="s">
        <v>22</v>
      </c>
      <c r="I441" s="5">
        <v>0</v>
      </c>
      <c r="J441" s="5">
        <v>0</v>
      </c>
      <c r="K441" t="s">
        <v>10174</v>
      </c>
      <c r="L441" cm="1">
        <f t="array" ref="L441">wordCount(K441)</f>
        <v>12</v>
      </c>
      <c r="M441">
        <f t="shared" si="12"/>
        <v>65</v>
      </c>
      <c r="N441">
        <v>0.2857142857142857</v>
      </c>
      <c r="O441" s="23" cm="1">
        <f t="array" ref="O441">WordListCount(K441,keywords!$A$2:$A$31)-WordListCount(K441,keywords!$B$2:$B$31)</f>
        <v>0</v>
      </c>
      <c r="P441" s="25">
        <f t="shared" si="13"/>
        <v>0.54939814814814814</v>
      </c>
      <c r="Q441" s="23">
        <f>SUM($O$2:O441)</f>
        <v>8</v>
      </c>
      <c r="Y441" s="14"/>
      <c r="Z441" s="13"/>
      <c r="AA441"/>
    </row>
    <row r="442" spans="1:27" x14ac:dyDescent="0.2">
      <c r="A442" s="12" t="s">
        <v>1451</v>
      </c>
      <c r="B442" t="s">
        <v>1452</v>
      </c>
      <c r="C442" t="s">
        <v>1453</v>
      </c>
      <c r="D442" t="s">
        <v>1454</v>
      </c>
      <c r="E442" t="s">
        <v>13</v>
      </c>
      <c r="F442">
        <v>13</v>
      </c>
      <c r="G442">
        <v>46</v>
      </c>
      <c r="H442" s="5" t="s">
        <v>14</v>
      </c>
      <c r="I442" s="5">
        <v>0</v>
      </c>
      <c r="J442" s="5">
        <v>0</v>
      </c>
      <c r="K442" t="s">
        <v>10175</v>
      </c>
      <c r="L442" cm="1">
        <f t="array" ref="L442">wordCount(K442)</f>
        <v>10</v>
      </c>
      <c r="M442">
        <f t="shared" si="12"/>
        <v>47</v>
      </c>
      <c r="N442">
        <v>0.27272727272727271</v>
      </c>
      <c r="O442" s="23" cm="1">
        <f t="array" ref="O442">WordListCount(K442,keywords!$A$2:$A$31)-WordListCount(K442,keywords!$B$2:$B$31)</f>
        <v>0</v>
      </c>
      <c r="P442" s="25">
        <f t="shared" si="13"/>
        <v>0.55010416666666673</v>
      </c>
      <c r="Q442" s="23">
        <f>SUM($O$2:O442)</f>
        <v>8</v>
      </c>
      <c r="Y442" s="14"/>
      <c r="Z442" s="13"/>
      <c r="AA442"/>
    </row>
    <row r="443" spans="1:27" x14ac:dyDescent="0.2">
      <c r="A443" s="12" t="s">
        <v>1455</v>
      </c>
      <c r="B443" t="s">
        <v>1456</v>
      </c>
      <c r="C443" t="s">
        <v>1457</v>
      </c>
      <c r="D443" t="s">
        <v>697</v>
      </c>
      <c r="E443" t="s">
        <v>13</v>
      </c>
      <c r="F443">
        <v>222</v>
      </c>
      <c r="G443">
        <v>793</v>
      </c>
      <c r="H443" s="5" t="s">
        <v>22</v>
      </c>
      <c r="I443" s="5">
        <v>0</v>
      </c>
      <c r="J443" s="5">
        <v>0</v>
      </c>
      <c r="K443" t="s">
        <v>10176</v>
      </c>
      <c r="L443" cm="1">
        <f t="array" ref="L443">wordCount(K443)</f>
        <v>20</v>
      </c>
      <c r="M443">
        <f t="shared" si="12"/>
        <v>98</v>
      </c>
      <c r="N443">
        <v>0.25</v>
      </c>
      <c r="O443" s="23" cm="1">
        <f t="array" ref="O443">WordListCount(K443,keywords!$A$2:$A$31)-WordListCount(K443,keywords!$B$2:$B$31)</f>
        <v>0</v>
      </c>
      <c r="P443" s="25">
        <f t="shared" si="13"/>
        <v>0.55033564814814817</v>
      </c>
      <c r="Q443" s="23">
        <f>SUM($O$2:O443)</f>
        <v>8</v>
      </c>
      <c r="Y443" s="14"/>
      <c r="Z443" s="13"/>
      <c r="AA443"/>
    </row>
    <row r="444" spans="1:27" x14ac:dyDescent="0.2">
      <c r="A444" s="12" t="s">
        <v>1458</v>
      </c>
      <c r="B444" t="s">
        <v>1459</v>
      </c>
      <c r="C444" t="s">
        <v>1460</v>
      </c>
      <c r="D444" t="s">
        <v>12</v>
      </c>
      <c r="E444" t="s">
        <v>13</v>
      </c>
      <c r="F444">
        <v>12</v>
      </c>
      <c r="G444">
        <v>6</v>
      </c>
      <c r="H444" s="5" t="s">
        <v>22</v>
      </c>
      <c r="I444" s="5">
        <v>0</v>
      </c>
      <c r="J444" s="5">
        <v>0</v>
      </c>
      <c r="K444" t="s">
        <v>10177</v>
      </c>
      <c r="L444" cm="1">
        <f t="array" ref="L444">wordCount(K444)</f>
        <v>9</v>
      </c>
      <c r="M444">
        <f t="shared" si="12"/>
        <v>46</v>
      </c>
      <c r="N444">
        <v>0.6470588235294118</v>
      </c>
      <c r="O444" s="23" cm="1">
        <f t="array" ref="O444">WordListCount(K444,keywords!$A$2:$A$31)-WordListCount(K444,keywords!$B$2:$B$31)</f>
        <v>0</v>
      </c>
      <c r="P444" s="25">
        <f t="shared" si="13"/>
        <v>0.55053240740740739</v>
      </c>
      <c r="Q444" s="23">
        <f>SUM($O$2:O444)</f>
        <v>8</v>
      </c>
      <c r="Y444" s="14"/>
      <c r="Z444" s="13"/>
      <c r="AA444"/>
    </row>
    <row r="445" spans="1:27" x14ac:dyDescent="0.2">
      <c r="A445" s="12" t="s">
        <v>1461</v>
      </c>
      <c r="B445" t="s">
        <v>1462</v>
      </c>
      <c r="C445" t="s">
        <v>1463</v>
      </c>
      <c r="D445" t="s">
        <v>1464</v>
      </c>
      <c r="E445" t="s">
        <v>13</v>
      </c>
      <c r="F445">
        <v>1394</v>
      </c>
      <c r="G445">
        <v>2271</v>
      </c>
      <c r="H445" s="5" t="s">
        <v>22</v>
      </c>
      <c r="I445" s="5">
        <v>0</v>
      </c>
      <c r="J445" s="5">
        <v>0</v>
      </c>
      <c r="K445" t="s">
        <v>10178</v>
      </c>
      <c r="L445" cm="1">
        <f t="array" ref="L445">wordCount(K445)</f>
        <v>9</v>
      </c>
      <c r="M445">
        <f t="shared" si="12"/>
        <v>59</v>
      </c>
      <c r="N445">
        <v>0.58823529411764708</v>
      </c>
      <c r="O445" s="23" cm="1">
        <f t="array" ref="O445">WordListCount(K445,keywords!$A$2:$A$31)-WordListCount(K445,keywords!$B$2:$B$31)</f>
        <v>0</v>
      </c>
      <c r="P445" s="25">
        <f t="shared" si="13"/>
        <v>0.55079861111111106</v>
      </c>
      <c r="Q445" s="23">
        <f>SUM($O$2:O445)</f>
        <v>8</v>
      </c>
      <c r="Y445" s="14"/>
      <c r="Z445" s="13"/>
      <c r="AA445"/>
    </row>
    <row r="446" spans="1:27" x14ac:dyDescent="0.2">
      <c r="A446" s="12" t="s">
        <v>1465</v>
      </c>
      <c r="B446" t="s">
        <v>1469</v>
      </c>
      <c r="C446" t="s">
        <v>1470</v>
      </c>
      <c r="D446" t="s">
        <v>1471</v>
      </c>
      <c r="E446" t="s">
        <v>13</v>
      </c>
      <c r="F446">
        <v>188</v>
      </c>
      <c r="G446">
        <v>9</v>
      </c>
      <c r="H446" s="5" t="s">
        <v>22</v>
      </c>
      <c r="I446" s="5">
        <v>0</v>
      </c>
      <c r="J446" s="5">
        <v>0</v>
      </c>
      <c r="K446" t="s">
        <v>10180</v>
      </c>
      <c r="L446" cm="1">
        <f t="array" ref="L446">wordCount(K446)</f>
        <v>16</v>
      </c>
      <c r="M446">
        <f t="shared" si="12"/>
        <v>52</v>
      </c>
      <c r="N446">
        <v>0.5625</v>
      </c>
      <c r="O446" s="23" cm="1">
        <f t="array" ref="O446">WordListCount(K446,keywords!$A$2:$A$31)-WordListCount(K446,keywords!$B$2:$B$31)</f>
        <v>0</v>
      </c>
      <c r="P446" s="25">
        <f t="shared" si="13"/>
        <v>0.55086805555555551</v>
      </c>
      <c r="Q446" s="23">
        <f>SUM($O$2:O446)</f>
        <v>8</v>
      </c>
      <c r="Y446" s="14"/>
      <c r="Z446" s="13"/>
      <c r="AA446"/>
    </row>
    <row r="447" spans="1:27" x14ac:dyDescent="0.2">
      <c r="A447" s="12" t="s">
        <v>1465</v>
      </c>
      <c r="B447" t="s">
        <v>1466</v>
      </c>
      <c r="C447" t="s">
        <v>1467</v>
      </c>
      <c r="D447" t="s">
        <v>1468</v>
      </c>
      <c r="E447" t="s">
        <v>13</v>
      </c>
      <c r="F447">
        <v>1607</v>
      </c>
      <c r="G447">
        <v>1711</v>
      </c>
      <c r="H447" s="5" t="s">
        <v>22</v>
      </c>
      <c r="I447" s="5">
        <v>0</v>
      </c>
      <c r="J447" s="5">
        <v>0</v>
      </c>
      <c r="K447" t="s">
        <v>10179</v>
      </c>
      <c r="L447" cm="1">
        <f t="array" ref="L447">wordCount(K447)</f>
        <v>14</v>
      </c>
      <c r="M447">
        <f t="shared" si="12"/>
        <v>82</v>
      </c>
      <c r="N447">
        <v>0.35294117647058826</v>
      </c>
      <c r="O447" s="23" cm="1">
        <f t="array" ref="O447">WordListCount(K447,keywords!$A$2:$A$31)-WordListCount(K447,keywords!$B$2:$B$31)</f>
        <v>0</v>
      </c>
      <c r="P447" s="25">
        <f t="shared" si="13"/>
        <v>0.55086805555555551</v>
      </c>
      <c r="Q447" s="23">
        <f>SUM($O$2:O447)</f>
        <v>8</v>
      </c>
      <c r="Y447" s="14"/>
      <c r="Z447" s="13"/>
      <c r="AA447"/>
    </row>
    <row r="448" spans="1:27" x14ac:dyDescent="0.2">
      <c r="A448" s="12" t="s">
        <v>1472</v>
      </c>
      <c r="B448" t="s">
        <v>1473</v>
      </c>
      <c r="C448" t="s">
        <v>1474</v>
      </c>
      <c r="D448" t="s">
        <v>1475</v>
      </c>
      <c r="E448" t="s">
        <v>13</v>
      </c>
      <c r="F448">
        <v>327</v>
      </c>
      <c r="G448">
        <v>59</v>
      </c>
      <c r="H448" s="5" t="s">
        <v>22</v>
      </c>
      <c r="I448" s="5">
        <v>0</v>
      </c>
      <c r="J448" s="5">
        <v>0</v>
      </c>
      <c r="K448" t="s">
        <v>10181</v>
      </c>
      <c r="L448" cm="1">
        <f t="array" ref="L448">wordCount(K448)</f>
        <v>16</v>
      </c>
      <c r="M448">
        <f t="shared" si="12"/>
        <v>83</v>
      </c>
      <c r="N448">
        <v>0.51724137931034486</v>
      </c>
      <c r="O448" s="23" cm="1">
        <f t="array" ref="O448">WordListCount(K448,keywords!$A$2:$A$31)-WordListCount(K448,keywords!$B$2:$B$31)</f>
        <v>-1</v>
      </c>
      <c r="P448" s="25">
        <f t="shared" si="13"/>
        <v>0.55092592592592593</v>
      </c>
      <c r="Q448" s="23">
        <f>SUM($O$2:O448)</f>
        <v>7</v>
      </c>
      <c r="Y448" s="14"/>
      <c r="Z448" s="13"/>
      <c r="AA448"/>
    </row>
    <row r="449" spans="1:27" x14ac:dyDescent="0.2">
      <c r="A449" s="12" t="s">
        <v>1476</v>
      </c>
      <c r="B449" t="s">
        <v>1477</v>
      </c>
      <c r="C449" t="s">
        <v>1478</v>
      </c>
      <c r="D449" t="s">
        <v>1479</v>
      </c>
      <c r="E449" t="s">
        <v>13</v>
      </c>
      <c r="F449">
        <v>5440</v>
      </c>
      <c r="G449">
        <v>3396</v>
      </c>
      <c r="H449" s="5" t="s">
        <v>22</v>
      </c>
      <c r="I449" s="5">
        <v>0</v>
      </c>
      <c r="J449" s="5">
        <v>0</v>
      </c>
      <c r="K449" t="s">
        <v>10182</v>
      </c>
      <c r="L449" cm="1">
        <f t="array" ref="L449">wordCount(K449)</f>
        <v>4</v>
      </c>
      <c r="M449">
        <f t="shared" si="12"/>
        <v>22</v>
      </c>
      <c r="N449">
        <v>0.66666666666666663</v>
      </c>
      <c r="O449" s="23" cm="1">
        <f t="array" ref="O449">WordListCount(K449,keywords!$A$2:$A$31)-WordListCount(K449,keywords!$B$2:$B$31)</f>
        <v>0</v>
      </c>
      <c r="P449" s="25">
        <f t="shared" si="13"/>
        <v>0.55130787037037032</v>
      </c>
      <c r="Q449" s="23">
        <f>SUM($O$2:O449)</f>
        <v>7</v>
      </c>
      <c r="Y449" s="14"/>
      <c r="Z449" s="13"/>
      <c r="AA449"/>
    </row>
    <row r="450" spans="1:27" x14ac:dyDescent="0.2">
      <c r="A450" s="12" t="s">
        <v>1480</v>
      </c>
      <c r="B450" t="s">
        <v>1481</v>
      </c>
      <c r="C450" t="s">
        <v>1482</v>
      </c>
      <c r="D450" t="s">
        <v>1483</v>
      </c>
      <c r="E450" t="s">
        <v>13</v>
      </c>
      <c r="F450">
        <v>1197</v>
      </c>
      <c r="G450">
        <v>398</v>
      </c>
      <c r="H450" s="5" t="s">
        <v>22</v>
      </c>
      <c r="I450" s="5">
        <v>0</v>
      </c>
      <c r="J450" s="5">
        <v>0</v>
      </c>
      <c r="K450" t="s">
        <v>9154</v>
      </c>
      <c r="L450" cm="1">
        <f t="array" ref="L450">wordCount(K450)</f>
        <v>25</v>
      </c>
      <c r="M450">
        <f t="shared" ref="M450:M513" si="14">LEN(K450)</f>
        <v>118</v>
      </c>
      <c r="N450">
        <v>0.47727272727272729</v>
      </c>
      <c r="O450" s="23" cm="1">
        <f t="array" ref="O450">WordListCount(K450,keywords!$A$2:$A$31)-WordListCount(K450,keywords!$B$2:$B$31)</f>
        <v>0</v>
      </c>
      <c r="P450" s="25">
        <f t="shared" ref="P450:P513" si="15">TIMEVALUE(RIGHT(A450,8))</f>
        <v>0.55151620370370369</v>
      </c>
      <c r="Q450" s="23">
        <f>SUM($O$2:O450)</f>
        <v>7</v>
      </c>
      <c r="Y450" s="14"/>
      <c r="Z450" s="13"/>
      <c r="AA450"/>
    </row>
    <row r="451" spans="1:27" x14ac:dyDescent="0.2">
      <c r="A451" s="12" t="s">
        <v>1484</v>
      </c>
      <c r="B451" t="s">
        <v>1485</v>
      </c>
      <c r="C451" t="s">
        <v>1486</v>
      </c>
      <c r="D451" t="s">
        <v>1487</v>
      </c>
      <c r="E451" t="s">
        <v>13</v>
      </c>
      <c r="F451">
        <v>54</v>
      </c>
      <c r="G451">
        <v>11</v>
      </c>
      <c r="H451" s="5" t="s">
        <v>382</v>
      </c>
      <c r="I451" s="5">
        <v>0</v>
      </c>
      <c r="J451" s="5">
        <v>0</v>
      </c>
      <c r="K451" t="s">
        <v>10183</v>
      </c>
      <c r="L451" cm="1">
        <f t="array" ref="L451">wordCount(K451)</f>
        <v>13</v>
      </c>
      <c r="M451">
        <f t="shared" si="14"/>
        <v>73</v>
      </c>
      <c r="N451">
        <v>0.30769230769230771</v>
      </c>
      <c r="O451" s="23" cm="1">
        <f t="array" ref="O451">WordListCount(K451,keywords!$A$2:$A$31)-WordListCount(K451,keywords!$B$2:$B$31)</f>
        <v>0</v>
      </c>
      <c r="P451" s="25">
        <f t="shared" si="15"/>
        <v>0.55160879629629633</v>
      </c>
      <c r="Q451" s="23">
        <f>SUM($O$2:O451)</f>
        <v>7</v>
      </c>
      <c r="Y451" s="14"/>
      <c r="Z451" s="13"/>
      <c r="AA451"/>
    </row>
    <row r="452" spans="1:27" x14ac:dyDescent="0.2">
      <c r="A452" s="12" t="s">
        <v>1488</v>
      </c>
      <c r="B452" t="s">
        <v>1489</v>
      </c>
      <c r="C452" t="s">
        <v>241</v>
      </c>
      <c r="D452" t="s">
        <v>242</v>
      </c>
      <c r="E452" t="s">
        <v>13</v>
      </c>
      <c r="F452">
        <v>9224</v>
      </c>
      <c r="G452">
        <v>7169</v>
      </c>
      <c r="H452" s="5" t="s">
        <v>22</v>
      </c>
      <c r="I452" s="5">
        <v>0</v>
      </c>
      <c r="J452" s="5">
        <v>0</v>
      </c>
      <c r="K452" t="s">
        <v>10184</v>
      </c>
      <c r="L452" cm="1">
        <f t="array" ref="L452">wordCount(K452)</f>
        <v>19</v>
      </c>
      <c r="M452">
        <f t="shared" si="14"/>
        <v>88</v>
      </c>
      <c r="N452">
        <v>0.35294117647058826</v>
      </c>
      <c r="O452" s="23" cm="1">
        <f t="array" ref="O452">WordListCount(K452,keywords!$A$2:$A$31)-WordListCount(K452,keywords!$B$2:$B$31)</f>
        <v>0</v>
      </c>
      <c r="P452" s="25">
        <f t="shared" si="15"/>
        <v>0.55172453703703705</v>
      </c>
      <c r="Q452" s="23">
        <f>SUM($O$2:O452)</f>
        <v>7</v>
      </c>
      <c r="Y452" s="14"/>
      <c r="Z452" s="13"/>
      <c r="AA452"/>
    </row>
    <row r="453" spans="1:27" x14ac:dyDescent="0.2">
      <c r="A453" s="12" t="s">
        <v>1490</v>
      </c>
      <c r="B453" t="s">
        <v>1491</v>
      </c>
      <c r="C453" t="s">
        <v>179</v>
      </c>
      <c r="D453" t="s">
        <v>180</v>
      </c>
      <c r="E453" t="s">
        <v>13</v>
      </c>
      <c r="F453">
        <v>969</v>
      </c>
      <c r="G453">
        <v>180</v>
      </c>
      <c r="H453" s="5" t="s">
        <v>22</v>
      </c>
      <c r="I453" s="5">
        <v>0</v>
      </c>
      <c r="J453" s="5">
        <v>0</v>
      </c>
      <c r="K453" t="s">
        <v>10185</v>
      </c>
      <c r="L453" cm="1">
        <f t="array" ref="L453">wordCount(K453)</f>
        <v>17</v>
      </c>
      <c r="M453">
        <f t="shared" si="14"/>
        <v>96</v>
      </c>
      <c r="N453">
        <v>0.75</v>
      </c>
      <c r="O453" s="23" cm="1">
        <f t="array" ref="O453">WordListCount(K453,keywords!$A$2:$A$31)-WordListCount(K453,keywords!$B$2:$B$31)</f>
        <v>0</v>
      </c>
      <c r="P453" s="25">
        <f t="shared" si="15"/>
        <v>0.55209490740740741</v>
      </c>
      <c r="Q453" s="23">
        <f>SUM($O$2:O453)</f>
        <v>7</v>
      </c>
      <c r="Y453" s="14"/>
      <c r="Z453" s="13"/>
      <c r="AA453"/>
    </row>
    <row r="454" spans="1:27" x14ac:dyDescent="0.2">
      <c r="A454" s="12" t="s">
        <v>1492</v>
      </c>
      <c r="B454" t="s">
        <v>1493</v>
      </c>
      <c r="C454" t="s">
        <v>1494</v>
      </c>
      <c r="D454" t="s">
        <v>1495</v>
      </c>
      <c r="E454" t="s">
        <v>13</v>
      </c>
      <c r="F454">
        <v>1825</v>
      </c>
      <c r="G454">
        <v>276</v>
      </c>
      <c r="H454" s="5" t="s">
        <v>22</v>
      </c>
      <c r="I454" s="5">
        <v>0</v>
      </c>
      <c r="J454" s="5">
        <v>0</v>
      </c>
      <c r="K454" t="s">
        <v>10186</v>
      </c>
      <c r="L454" cm="1">
        <f t="array" ref="L454">wordCount(K454)</f>
        <v>8</v>
      </c>
      <c r="M454">
        <f t="shared" si="14"/>
        <v>46</v>
      </c>
      <c r="N454">
        <v>0.68421052631578949</v>
      </c>
      <c r="O454" s="23" cm="1">
        <f t="array" ref="O454">WordListCount(K454,keywords!$A$2:$A$31)-WordListCount(K454,keywords!$B$2:$B$31)</f>
        <v>0</v>
      </c>
      <c r="P454" s="25">
        <f t="shared" si="15"/>
        <v>0.55224537037037036</v>
      </c>
      <c r="Q454" s="23">
        <f>SUM($O$2:O454)</f>
        <v>7</v>
      </c>
      <c r="Y454" s="14"/>
      <c r="Z454" s="13"/>
      <c r="AA454"/>
    </row>
    <row r="455" spans="1:27" x14ac:dyDescent="0.2">
      <c r="A455" s="12" t="s">
        <v>1496</v>
      </c>
      <c r="B455" t="s">
        <v>1497</v>
      </c>
      <c r="C455" t="s">
        <v>1498</v>
      </c>
      <c r="D455" t="s">
        <v>12</v>
      </c>
      <c r="E455" t="s">
        <v>13</v>
      </c>
      <c r="F455">
        <v>697</v>
      </c>
      <c r="G455">
        <v>411</v>
      </c>
      <c r="H455" s="5" t="s">
        <v>22</v>
      </c>
      <c r="I455" s="5">
        <v>0</v>
      </c>
      <c r="J455" s="5">
        <v>0</v>
      </c>
      <c r="K455" t="s">
        <v>10187</v>
      </c>
      <c r="L455" cm="1">
        <f t="array" ref="L455">wordCount(K455)</f>
        <v>4</v>
      </c>
      <c r="M455">
        <f t="shared" si="14"/>
        <v>25</v>
      </c>
      <c r="N455">
        <v>0.5714285714285714</v>
      </c>
      <c r="O455" s="23" cm="1">
        <f t="array" ref="O455">WordListCount(K455,keywords!$A$2:$A$31)-WordListCount(K455,keywords!$B$2:$B$31)</f>
        <v>0</v>
      </c>
      <c r="P455" s="25">
        <f t="shared" si="15"/>
        <v>0.55234953703703704</v>
      </c>
      <c r="Q455" s="23">
        <f>SUM($O$2:O455)</f>
        <v>7</v>
      </c>
      <c r="Y455" s="14"/>
      <c r="Z455" s="13"/>
      <c r="AA455"/>
    </row>
    <row r="456" spans="1:27" x14ac:dyDescent="0.2">
      <c r="A456" s="12" t="s">
        <v>1499</v>
      </c>
      <c r="B456" t="s">
        <v>1500</v>
      </c>
      <c r="C456" t="s">
        <v>1501</v>
      </c>
      <c r="D456" t="s">
        <v>12</v>
      </c>
      <c r="E456" t="s">
        <v>13</v>
      </c>
      <c r="F456">
        <v>10</v>
      </c>
      <c r="G456">
        <v>23</v>
      </c>
      <c r="H456" s="5" t="s">
        <v>22</v>
      </c>
      <c r="I456" s="5">
        <v>0</v>
      </c>
      <c r="J456" s="5">
        <v>0</v>
      </c>
      <c r="K456" t="s">
        <v>9155</v>
      </c>
      <c r="L456" cm="1">
        <f t="array" ref="L456">wordCount(K456)</f>
        <v>4</v>
      </c>
      <c r="M456">
        <f t="shared" si="14"/>
        <v>19</v>
      </c>
      <c r="N456">
        <v>0.83333333333333337</v>
      </c>
      <c r="O456" s="23" cm="1">
        <f t="array" ref="O456">WordListCount(K456,keywords!$A$2:$A$31)-WordListCount(K456,keywords!$B$2:$B$31)</f>
        <v>0</v>
      </c>
      <c r="P456" s="25">
        <f t="shared" si="15"/>
        <v>0.55249999999999999</v>
      </c>
      <c r="Q456" s="23">
        <f>SUM($O$2:O456)</f>
        <v>7</v>
      </c>
      <c r="Y456" s="14"/>
      <c r="Z456" s="13"/>
      <c r="AA456"/>
    </row>
    <row r="457" spans="1:27" x14ac:dyDescent="0.2">
      <c r="A457" s="12" t="s">
        <v>1502</v>
      </c>
      <c r="B457" t="s">
        <v>1503</v>
      </c>
      <c r="C457" t="s">
        <v>1504</v>
      </c>
      <c r="D457" t="s">
        <v>12</v>
      </c>
      <c r="E457" t="s">
        <v>13</v>
      </c>
      <c r="F457">
        <v>5</v>
      </c>
      <c r="G457">
        <v>52</v>
      </c>
      <c r="H457" s="5" t="s">
        <v>22</v>
      </c>
      <c r="I457" s="5">
        <v>0</v>
      </c>
      <c r="J457" s="5">
        <v>0</v>
      </c>
      <c r="K457" t="s">
        <v>10188</v>
      </c>
      <c r="L457" cm="1">
        <f t="array" ref="L457">wordCount(K457)</f>
        <v>6</v>
      </c>
      <c r="M457">
        <f t="shared" si="14"/>
        <v>31</v>
      </c>
      <c r="N457">
        <v>0.58333333333333337</v>
      </c>
      <c r="O457" s="23" cm="1">
        <f t="array" ref="O457">WordListCount(K457,keywords!$A$2:$A$31)-WordListCount(K457,keywords!$B$2:$B$31)</f>
        <v>0</v>
      </c>
      <c r="P457" s="25">
        <f t="shared" si="15"/>
        <v>0.55281250000000004</v>
      </c>
      <c r="Q457" s="23">
        <f>SUM($O$2:O457)</f>
        <v>7</v>
      </c>
      <c r="Y457" s="14"/>
      <c r="Z457" s="13"/>
      <c r="AA457"/>
    </row>
    <row r="458" spans="1:27" x14ac:dyDescent="0.2">
      <c r="A458" s="12" t="s">
        <v>1505</v>
      </c>
      <c r="B458" t="s">
        <v>1506</v>
      </c>
      <c r="C458" t="s">
        <v>1507</v>
      </c>
      <c r="D458" t="s">
        <v>108</v>
      </c>
      <c r="E458" t="s">
        <v>13</v>
      </c>
      <c r="F458">
        <v>2050</v>
      </c>
      <c r="G458">
        <v>543</v>
      </c>
      <c r="H458" s="5" t="s">
        <v>22</v>
      </c>
      <c r="I458" s="5">
        <v>0</v>
      </c>
      <c r="J458" s="5">
        <v>0</v>
      </c>
      <c r="K458" t="s">
        <v>9156</v>
      </c>
      <c r="L458" cm="1">
        <f t="array" ref="L458">wordCount(K458)</f>
        <v>12</v>
      </c>
      <c r="M458">
        <f t="shared" si="14"/>
        <v>68</v>
      </c>
      <c r="N458">
        <v>0.44444444444444442</v>
      </c>
      <c r="O458" s="23" cm="1">
        <f t="array" ref="O458">WordListCount(K458,keywords!$A$2:$A$31)-WordListCount(K458,keywords!$B$2:$B$31)</f>
        <v>0</v>
      </c>
      <c r="P458" s="25">
        <f t="shared" si="15"/>
        <v>0.5528819444444445</v>
      </c>
      <c r="Q458" s="23">
        <f>SUM($O$2:O458)</f>
        <v>7</v>
      </c>
      <c r="Y458" s="14"/>
      <c r="Z458" s="13"/>
      <c r="AA458"/>
    </row>
    <row r="459" spans="1:27" x14ac:dyDescent="0.2">
      <c r="A459" s="12" t="s">
        <v>1508</v>
      </c>
      <c r="B459" t="s">
        <v>1509</v>
      </c>
      <c r="C459" t="s">
        <v>1510</v>
      </c>
      <c r="D459" t="s">
        <v>1511</v>
      </c>
      <c r="E459" t="s">
        <v>13</v>
      </c>
      <c r="F459">
        <v>373</v>
      </c>
      <c r="G459">
        <v>73</v>
      </c>
      <c r="H459" s="5" t="s">
        <v>22</v>
      </c>
      <c r="I459" s="5">
        <v>0</v>
      </c>
      <c r="J459" s="5">
        <v>0</v>
      </c>
      <c r="K459" t="s">
        <v>9157</v>
      </c>
      <c r="L459" cm="1">
        <f t="array" ref="L459">wordCount(K459)</f>
        <v>20</v>
      </c>
      <c r="M459">
        <f t="shared" si="14"/>
        <v>91</v>
      </c>
      <c r="N459">
        <v>0.55882352941176472</v>
      </c>
      <c r="O459" s="23" cm="1">
        <f t="array" ref="O459">WordListCount(K459,keywords!$A$2:$A$31)-WordListCount(K459,keywords!$B$2:$B$31)</f>
        <v>0</v>
      </c>
      <c r="P459" s="25">
        <f t="shared" si="15"/>
        <v>0.55290509259259257</v>
      </c>
      <c r="Q459" s="23">
        <f>SUM($O$2:O459)</f>
        <v>7</v>
      </c>
      <c r="Y459" s="14"/>
      <c r="Z459" s="13"/>
      <c r="AA459"/>
    </row>
    <row r="460" spans="1:27" x14ac:dyDescent="0.2">
      <c r="A460" s="12" t="s">
        <v>1512</v>
      </c>
      <c r="B460" t="s">
        <v>1513</v>
      </c>
      <c r="C460" t="s">
        <v>1514</v>
      </c>
      <c r="D460" t="s">
        <v>12</v>
      </c>
      <c r="E460" t="s">
        <v>13</v>
      </c>
      <c r="F460">
        <v>2</v>
      </c>
      <c r="G460">
        <v>19</v>
      </c>
      <c r="H460" s="5" t="s">
        <v>22</v>
      </c>
      <c r="I460" s="5">
        <v>0</v>
      </c>
      <c r="J460" s="5">
        <v>0</v>
      </c>
      <c r="K460" t="s">
        <v>10189</v>
      </c>
      <c r="L460" cm="1">
        <f t="array" ref="L460">wordCount(K460)</f>
        <v>16</v>
      </c>
      <c r="M460">
        <f t="shared" si="14"/>
        <v>74</v>
      </c>
      <c r="N460">
        <v>0.54166666666666663</v>
      </c>
      <c r="O460" s="23" cm="1">
        <f t="array" ref="O460">WordListCount(K460,keywords!$A$2:$A$31)-WordListCount(K460,keywords!$B$2:$B$31)</f>
        <v>1</v>
      </c>
      <c r="P460" s="25">
        <f t="shared" si="15"/>
        <v>0.55297453703703703</v>
      </c>
      <c r="Q460" s="23">
        <f>SUM($O$2:O460)</f>
        <v>8</v>
      </c>
      <c r="Y460" s="14"/>
      <c r="Z460" s="13"/>
      <c r="AA460"/>
    </row>
    <row r="461" spans="1:27" x14ac:dyDescent="0.2">
      <c r="A461" s="12" t="s">
        <v>1515</v>
      </c>
      <c r="B461" t="s">
        <v>1516</v>
      </c>
      <c r="C461" t="s">
        <v>1517</v>
      </c>
      <c r="D461" t="s">
        <v>1518</v>
      </c>
      <c r="E461" t="s">
        <v>13</v>
      </c>
      <c r="F461">
        <v>243</v>
      </c>
      <c r="G461">
        <v>307</v>
      </c>
      <c r="H461" s="5" t="s">
        <v>22</v>
      </c>
      <c r="I461" s="5">
        <v>0</v>
      </c>
      <c r="J461" s="5">
        <v>0</v>
      </c>
      <c r="K461" t="s">
        <v>10190</v>
      </c>
      <c r="L461" cm="1">
        <f t="array" ref="L461">wordCount(K461)</f>
        <v>14</v>
      </c>
      <c r="M461">
        <f t="shared" si="14"/>
        <v>62</v>
      </c>
      <c r="N461">
        <v>0.52380952380952384</v>
      </c>
      <c r="O461" s="23" cm="1">
        <f t="array" ref="O461">WordListCount(K461,keywords!$A$2:$A$31)-WordListCount(K461,keywords!$B$2:$B$31)</f>
        <v>0</v>
      </c>
      <c r="P461" s="25">
        <f t="shared" si="15"/>
        <v>0.55303240740740744</v>
      </c>
      <c r="Q461" s="23">
        <f>SUM($O$2:O461)</f>
        <v>8</v>
      </c>
      <c r="Y461" s="14"/>
      <c r="Z461" s="13"/>
      <c r="AA461"/>
    </row>
    <row r="462" spans="1:27" x14ac:dyDescent="0.2">
      <c r="A462" s="12" t="s">
        <v>1519</v>
      </c>
      <c r="B462" t="s">
        <v>1520</v>
      </c>
      <c r="C462" t="s">
        <v>1521</v>
      </c>
      <c r="D462" t="s">
        <v>1522</v>
      </c>
      <c r="E462" t="s">
        <v>13</v>
      </c>
      <c r="F462">
        <v>634</v>
      </c>
      <c r="G462">
        <v>825</v>
      </c>
      <c r="H462" s="5" t="s">
        <v>22</v>
      </c>
      <c r="I462" s="5">
        <v>0</v>
      </c>
      <c r="J462" s="5">
        <v>0</v>
      </c>
      <c r="K462" t="s">
        <v>10191</v>
      </c>
      <c r="L462" cm="1">
        <f t="array" ref="L462">wordCount(K462)</f>
        <v>19</v>
      </c>
      <c r="M462">
        <f t="shared" si="14"/>
        <v>112</v>
      </c>
      <c r="N462">
        <v>0.3</v>
      </c>
      <c r="O462" s="23" cm="1">
        <f t="array" ref="O462">WordListCount(K462,keywords!$A$2:$A$31)-WordListCount(K462,keywords!$B$2:$B$31)</f>
        <v>0</v>
      </c>
      <c r="P462" s="25">
        <f t="shared" si="15"/>
        <v>0.5531018518518519</v>
      </c>
      <c r="Q462" s="23">
        <f>SUM($O$2:O462)</f>
        <v>8</v>
      </c>
      <c r="Y462" s="14"/>
      <c r="Z462" s="13"/>
      <c r="AA462"/>
    </row>
    <row r="463" spans="1:27" x14ac:dyDescent="0.2">
      <c r="A463" s="12" t="s">
        <v>1523</v>
      </c>
      <c r="B463" t="s">
        <v>1524</v>
      </c>
      <c r="C463" t="s">
        <v>1525</v>
      </c>
      <c r="D463" t="s">
        <v>12</v>
      </c>
      <c r="E463" t="s">
        <v>13</v>
      </c>
      <c r="F463">
        <v>357</v>
      </c>
      <c r="G463">
        <v>104</v>
      </c>
      <c r="H463" s="5" t="s">
        <v>22</v>
      </c>
      <c r="I463" s="5">
        <v>0</v>
      </c>
      <c r="J463" s="5">
        <v>0</v>
      </c>
      <c r="K463" t="s">
        <v>10192</v>
      </c>
      <c r="L463" cm="1">
        <f t="array" ref="L463">wordCount(K463)</f>
        <v>8</v>
      </c>
      <c r="M463">
        <f t="shared" si="14"/>
        <v>44</v>
      </c>
      <c r="N463">
        <v>0.6470588235294118</v>
      </c>
      <c r="O463" s="23" cm="1">
        <f t="array" ref="O463">WordListCount(K463,keywords!$A$2:$A$31)-WordListCount(K463,keywords!$B$2:$B$31)</f>
        <v>0</v>
      </c>
      <c r="P463" s="25">
        <f t="shared" si="15"/>
        <v>0.55311342592592594</v>
      </c>
      <c r="Q463" s="23">
        <f>SUM($O$2:O463)</f>
        <v>8</v>
      </c>
      <c r="Y463" s="14"/>
      <c r="Z463" s="13"/>
      <c r="AA463"/>
    </row>
    <row r="464" spans="1:27" x14ac:dyDescent="0.2">
      <c r="A464" s="33" t="s">
        <v>1526</v>
      </c>
      <c r="B464" s="34" t="s">
        <v>1527</v>
      </c>
      <c r="C464" s="34" t="s">
        <v>123</v>
      </c>
      <c r="D464" s="34" t="s">
        <v>124</v>
      </c>
      <c r="E464" s="34" t="s">
        <v>13</v>
      </c>
      <c r="F464" s="34">
        <v>840</v>
      </c>
      <c r="G464" s="34">
        <v>899</v>
      </c>
      <c r="H464" s="35" t="s">
        <v>125</v>
      </c>
      <c r="I464" s="35">
        <v>0</v>
      </c>
      <c r="J464" s="35">
        <v>0</v>
      </c>
      <c r="K464" s="34" t="s">
        <v>9158</v>
      </c>
      <c r="L464" s="34" cm="1">
        <f t="array" ref="L464">wordCount(K464)</f>
        <v>20</v>
      </c>
      <c r="M464" s="34">
        <f t="shared" si="14"/>
        <v>94</v>
      </c>
      <c r="N464" s="34">
        <v>0.81818181818181823</v>
      </c>
      <c r="O464" s="36" cm="1">
        <f t="array" ref="O464">WordListCount(K464,keywords!$A$2:$A$31)-WordListCount(K464,keywords!$B$2:$B$31)</f>
        <v>0</v>
      </c>
      <c r="P464" s="37">
        <f t="shared" si="15"/>
        <v>0.55351851851851852</v>
      </c>
      <c r="Q464" s="23">
        <f>SUM($O$2:O464)</f>
        <v>8</v>
      </c>
    </row>
    <row r="465" spans="1:27" x14ac:dyDescent="0.2">
      <c r="A465" s="12" t="s">
        <v>1528</v>
      </c>
      <c r="B465" t="s">
        <v>1529</v>
      </c>
      <c r="C465" t="s">
        <v>1530</v>
      </c>
      <c r="D465" t="s">
        <v>12</v>
      </c>
      <c r="E465" t="s">
        <v>13</v>
      </c>
      <c r="F465">
        <v>0</v>
      </c>
      <c r="G465">
        <v>48</v>
      </c>
      <c r="H465" s="5" t="s">
        <v>22</v>
      </c>
      <c r="I465" s="5">
        <v>0</v>
      </c>
      <c r="J465" s="5">
        <v>0</v>
      </c>
      <c r="K465" t="s">
        <v>10193</v>
      </c>
      <c r="L465" cm="1">
        <f t="array" ref="L465">wordCount(K465)</f>
        <v>14</v>
      </c>
      <c r="M465">
        <f t="shared" si="14"/>
        <v>65</v>
      </c>
      <c r="N465">
        <v>0.35714285714285715</v>
      </c>
      <c r="O465" s="23" cm="1">
        <f t="array" ref="O465">WordListCount(K465,keywords!$A$2:$A$31)-WordListCount(K465,keywords!$B$2:$B$31)</f>
        <v>0</v>
      </c>
      <c r="P465" s="25">
        <f t="shared" si="15"/>
        <v>0.55356481481481479</v>
      </c>
      <c r="Q465" s="23">
        <f>SUM($O$2:O465)</f>
        <v>8</v>
      </c>
      <c r="Y465" s="14"/>
      <c r="Z465" s="13"/>
      <c r="AA465"/>
    </row>
    <row r="466" spans="1:27" x14ac:dyDescent="0.2">
      <c r="A466" s="12" t="s">
        <v>1531</v>
      </c>
      <c r="B466" t="s">
        <v>1532</v>
      </c>
      <c r="C466" t="s">
        <v>1533</v>
      </c>
      <c r="D466" t="s">
        <v>577</v>
      </c>
      <c r="E466" t="s">
        <v>13</v>
      </c>
      <c r="F466">
        <v>501</v>
      </c>
      <c r="G466">
        <v>641</v>
      </c>
      <c r="H466" s="5" t="s">
        <v>22</v>
      </c>
      <c r="I466" s="5">
        <v>0</v>
      </c>
      <c r="J466" s="5">
        <v>0</v>
      </c>
      <c r="K466" t="s">
        <v>10194</v>
      </c>
      <c r="L466" cm="1">
        <f t="array" ref="L466">wordCount(K466)</f>
        <v>9</v>
      </c>
      <c r="M466">
        <f t="shared" si="14"/>
        <v>40</v>
      </c>
      <c r="N466">
        <v>0.6</v>
      </c>
      <c r="O466" s="23" cm="1">
        <f t="array" ref="O466">WordListCount(K466,keywords!$A$2:$A$31)-WordListCount(K466,keywords!$B$2:$B$31)</f>
        <v>0</v>
      </c>
      <c r="P466" s="25">
        <f t="shared" si="15"/>
        <v>0.55386574074074069</v>
      </c>
      <c r="Q466" s="23">
        <f>SUM($O$2:O466)</f>
        <v>8</v>
      </c>
      <c r="Y466" s="14"/>
      <c r="Z466" s="13"/>
      <c r="AA466"/>
    </row>
    <row r="467" spans="1:27" x14ac:dyDescent="0.2">
      <c r="A467" s="12" t="s">
        <v>1534</v>
      </c>
      <c r="B467" t="s">
        <v>1535</v>
      </c>
      <c r="C467" t="s">
        <v>1536</v>
      </c>
      <c r="D467" t="s">
        <v>12</v>
      </c>
      <c r="E467" t="s">
        <v>13</v>
      </c>
      <c r="F467">
        <v>21</v>
      </c>
      <c r="G467">
        <v>101</v>
      </c>
      <c r="H467" s="5" t="s">
        <v>22</v>
      </c>
      <c r="I467" s="5">
        <v>0</v>
      </c>
      <c r="J467" s="5">
        <v>0</v>
      </c>
      <c r="K467" t="s">
        <v>10195</v>
      </c>
      <c r="L467" cm="1">
        <f t="array" ref="L467">wordCount(K467)</f>
        <v>22</v>
      </c>
      <c r="M467">
        <f t="shared" si="14"/>
        <v>115</v>
      </c>
      <c r="N467">
        <v>0.52500000000000002</v>
      </c>
      <c r="O467" s="23" cm="1">
        <f t="array" ref="O467">WordListCount(K467,keywords!$A$2:$A$31)-WordListCount(K467,keywords!$B$2:$B$31)</f>
        <v>0</v>
      </c>
      <c r="P467" s="25">
        <f t="shared" si="15"/>
        <v>0.55425925925925923</v>
      </c>
      <c r="Q467" s="23">
        <f>SUM($O$2:O467)</f>
        <v>8</v>
      </c>
      <c r="Y467" s="14"/>
      <c r="Z467" s="13"/>
      <c r="AA467"/>
    </row>
    <row r="468" spans="1:27" x14ac:dyDescent="0.2">
      <c r="A468" s="12" t="s">
        <v>1537</v>
      </c>
      <c r="B468" t="s">
        <v>1538</v>
      </c>
      <c r="C468" t="s">
        <v>1539</v>
      </c>
      <c r="D468" t="s">
        <v>1540</v>
      </c>
      <c r="E468" t="s">
        <v>13</v>
      </c>
      <c r="F468">
        <v>19</v>
      </c>
      <c r="G468">
        <v>164</v>
      </c>
      <c r="H468" s="5" t="s">
        <v>96</v>
      </c>
      <c r="I468" s="5">
        <v>0</v>
      </c>
      <c r="J468" s="5">
        <v>0</v>
      </c>
      <c r="K468" t="s">
        <v>9159</v>
      </c>
      <c r="L468" cm="1">
        <f t="array" ref="L468">wordCount(K468)</f>
        <v>3</v>
      </c>
      <c r="M468">
        <f t="shared" si="14"/>
        <v>13</v>
      </c>
      <c r="N468">
        <v>0.94444444444444442</v>
      </c>
      <c r="O468" s="23" cm="1">
        <f t="array" ref="O468">WordListCount(K468,keywords!$A$2:$A$31)-WordListCount(K468,keywords!$B$2:$B$31)</f>
        <v>0</v>
      </c>
      <c r="P468" s="25">
        <f t="shared" si="15"/>
        <v>0.5545254629629629</v>
      </c>
      <c r="Q468" s="23">
        <f>SUM($O$2:O468)</f>
        <v>8</v>
      </c>
      <c r="Y468" s="14"/>
      <c r="Z468" s="13"/>
      <c r="AA468"/>
    </row>
    <row r="469" spans="1:27" x14ac:dyDescent="0.2">
      <c r="A469" s="12" t="s">
        <v>1541</v>
      </c>
      <c r="B469" t="s">
        <v>1542</v>
      </c>
      <c r="C469" t="s">
        <v>1543</v>
      </c>
      <c r="D469" t="s">
        <v>12</v>
      </c>
      <c r="E469" t="s">
        <v>13</v>
      </c>
      <c r="F469">
        <v>29</v>
      </c>
      <c r="G469">
        <v>321</v>
      </c>
      <c r="H469" s="5" t="s">
        <v>22</v>
      </c>
      <c r="I469" s="5">
        <v>0</v>
      </c>
      <c r="J469" s="5">
        <v>0</v>
      </c>
      <c r="K469" t="s">
        <v>10196</v>
      </c>
      <c r="L469" cm="1">
        <f t="array" ref="L469">wordCount(K469)</f>
        <v>14</v>
      </c>
      <c r="M469">
        <f t="shared" si="14"/>
        <v>66</v>
      </c>
      <c r="N469">
        <v>0.5357142857142857</v>
      </c>
      <c r="O469" s="23" cm="1">
        <f t="array" ref="O469">WordListCount(K469,keywords!$A$2:$A$31)-WordListCount(K469,keywords!$B$2:$B$31)</f>
        <v>1</v>
      </c>
      <c r="P469" s="25">
        <f t="shared" si="15"/>
        <v>0.55464120370370373</v>
      </c>
      <c r="Q469" s="23">
        <f>SUM($O$2:O469)</f>
        <v>9</v>
      </c>
      <c r="Y469" s="14"/>
      <c r="Z469" s="13"/>
      <c r="AA469"/>
    </row>
    <row r="470" spans="1:27" x14ac:dyDescent="0.2">
      <c r="A470" s="12" t="s">
        <v>1544</v>
      </c>
      <c r="B470" t="s">
        <v>1545</v>
      </c>
      <c r="C470" t="s">
        <v>1530</v>
      </c>
      <c r="D470" t="s">
        <v>12</v>
      </c>
      <c r="E470" t="s">
        <v>13</v>
      </c>
      <c r="F470">
        <v>1</v>
      </c>
      <c r="G470">
        <v>48</v>
      </c>
      <c r="H470" s="5" t="s">
        <v>22</v>
      </c>
      <c r="I470" s="5">
        <v>0</v>
      </c>
      <c r="J470" s="5">
        <v>0</v>
      </c>
      <c r="K470" t="s">
        <v>9160</v>
      </c>
      <c r="L470" cm="1">
        <f t="array" ref="L470">wordCount(K470)</f>
        <v>15</v>
      </c>
      <c r="M470">
        <f t="shared" si="14"/>
        <v>97</v>
      </c>
      <c r="N470">
        <v>0.23529411764705882</v>
      </c>
      <c r="O470" s="23" cm="1">
        <f t="array" ref="O470">WordListCount(K470,keywords!$A$2:$A$31)-WordListCount(K470,keywords!$B$2:$B$31)</f>
        <v>0</v>
      </c>
      <c r="P470" s="25">
        <f t="shared" si="15"/>
        <v>0.55532407407407403</v>
      </c>
      <c r="Q470" s="23">
        <f>SUM($O$2:O470)</f>
        <v>9</v>
      </c>
      <c r="Y470" s="14"/>
      <c r="Z470" s="13"/>
      <c r="AA470"/>
    </row>
    <row r="471" spans="1:27" x14ac:dyDescent="0.2">
      <c r="A471" s="12" t="s">
        <v>1546</v>
      </c>
      <c r="B471" t="s">
        <v>1547</v>
      </c>
      <c r="C471" t="s">
        <v>1548</v>
      </c>
      <c r="D471" t="s">
        <v>112</v>
      </c>
      <c r="E471" t="s">
        <v>13</v>
      </c>
      <c r="F471">
        <v>2470</v>
      </c>
      <c r="G471">
        <v>2387</v>
      </c>
      <c r="H471" s="5" t="s">
        <v>14</v>
      </c>
      <c r="I471" s="5">
        <v>0</v>
      </c>
      <c r="J471" s="5">
        <v>0</v>
      </c>
      <c r="K471" t="s">
        <v>10197</v>
      </c>
      <c r="L471" cm="1">
        <f t="array" ref="L471">wordCount(K471)</f>
        <v>6</v>
      </c>
      <c r="M471">
        <f t="shared" si="14"/>
        <v>41</v>
      </c>
      <c r="N471">
        <v>0.58333333333333337</v>
      </c>
      <c r="O471" s="23" cm="1">
        <f t="array" ref="O471">WordListCount(K471,keywords!$A$2:$A$31)-WordListCount(K471,keywords!$B$2:$B$31)</f>
        <v>0</v>
      </c>
      <c r="P471" s="25">
        <f t="shared" si="15"/>
        <v>0.55570601851851853</v>
      </c>
      <c r="Q471" s="23">
        <f>SUM($O$2:O471)</f>
        <v>9</v>
      </c>
      <c r="Y471" s="14"/>
      <c r="Z471" s="13"/>
      <c r="AA471"/>
    </row>
    <row r="472" spans="1:27" x14ac:dyDescent="0.2">
      <c r="A472" s="12" t="s">
        <v>1549</v>
      </c>
      <c r="B472" t="s">
        <v>1550</v>
      </c>
      <c r="C472" t="s">
        <v>1551</v>
      </c>
      <c r="D472" t="s">
        <v>1552</v>
      </c>
      <c r="E472" t="s">
        <v>13</v>
      </c>
      <c r="F472">
        <v>11</v>
      </c>
      <c r="G472">
        <v>182</v>
      </c>
      <c r="H472" s="5" t="s">
        <v>22</v>
      </c>
      <c r="I472" s="5">
        <v>0</v>
      </c>
      <c r="J472" s="5">
        <v>0</v>
      </c>
      <c r="K472" t="s">
        <v>9161</v>
      </c>
      <c r="L472" cm="1">
        <f t="array" ref="L472">wordCount(K472)</f>
        <v>10</v>
      </c>
      <c r="M472">
        <f t="shared" si="14"/>
        <v>54</v>
      </c>
      <c r="N472">
        <v>0.64</v>
      </c>
      <c r="O472" s="23" cm="1">
        <f t="array" ref="O472">WordListCount(K472,keywords!$A$2:$A$31)-WordListCount(K472,keywords!$B$2:$B$31)</f>
        <v>0</v>
      </c>
      <c r="P472" s="25">
        <f t="shared" si="15"/>
        <v>0.5557523148148148</v>
      </c>
      <c r="Q472" s="23">
        <f>SUM($O$2:O472)</f>
        <v>9</v>
      </c>
      <c r="Y472" s="14"/>
      <c r="Z472" s="13"/>
      <c r="AA472"/>
    </row>
    <row r="473" spans="1:27" x14ac:dyDescent="0.2">
      <c r="A473" s="12" t="s">
        <v>1553</v>
      </c>
      <c r="B473" t="s">
        <v>1554</v>
      </c>
      <c r="C473" t="s">
        <v>703</v>
      </c>
      <c r="D473" t="s">
        <v>704</v>
      </c>
      <c r="E473" t="s">
        <v>47</v>
      </c>
      <c r="F473">
        <v>46263</v>
      </c>
      <c r="G473">
        <v>2125</v>
      </c>
      <c r="H473" s="5" t="s">
        <v>22</v>
      </c>
      <c r="I473" s="5">
        <v>0</v>
      </c>
      <c r="J473" s="5">
        <v>0</v>
      </c>
      <c r="K473" t="s">
        <v>10198</v>
      </c>
      <c r="L473" cm="1">
        <f t="array" ref="L473">wordCount(K473)</f>
        <v>19</v>
      </c>
      <c r="M473">
        <f t="shared" si="14"/>
        <v>87</v>
      </c>
      <c r="N473">
        <v>0.60606060606060608</v>
      </c>
      <c r="O473" s="23" cm="1">
        <f t="array" ref="O473">WordListCount(K473,keywords!$A$2:$A$31)-WordListCount(K473,keywords!$B$2:$B$31)</f>
        <v>0</v>
      </c>
      <c r="P473" s="25">
        <f t="shared" si="15"/>
        <v>0.55600694444444443</v>
      </c>
      <c r="Q473" s="23">
        <f>SUM($O$2:O473)</f>
        <v>9</v>
      </c>
      <c r="Y473" s="14"/>
      <c r="Z473" s="13"/>
      <c r="AA473"/>
    </row>
    <row r="474" spans="1:27" x14ac:dyDescent="0.2">
      <c r="A474" s="12" t="s">
        <v>1555</v>
      </c>
      <c r="B474" t="s">
        <v>1556</v>
      </c>
      <c r="C474" t="s">
        <v>1557</v>
      </c>
      <c r="D474" t="s">
        <v>12</v>
      </c>
      <c r="E474" t="s">
        <v>13</v>
      </c>
      <c r="F474">
        <v>118</v>
      </c>
      <c r="G474">
        <v>110</v>
      </c>
      <c r="H474" s="5" t="s">
        <v>86</v>
      </c>
      <c r="I474" s="5">
        <v>0</v>
      </c>
      <c r="J474" s="5">
        <v>0</v>
      </c>
      <c r="K474" t="s">
        <v>9162</v>
      </c>
      <c r="L474" cm="1">
        <f t="array" ref="L474">wordCount(K474)</f>
        <v>7</v>
      </c>
      <c r="M474">
        <f t="shared" si="14"/>
        <v>30</v>
      </c>
      <c r="N474">
        <v>0.33333333333333331</v>
      </c>
      <c r="O474" s="23" cm="1">
        <f t="array" ref="O474">WordListCount(K474,keywords!$A$2:$A$31)-WordListCount(K474,keywords!$B$2:$B$31)</f>
        <v>0</v>
      </c>
      <c r="P474" s="25">
        <f t="shared" si="15"/>
        <v>0.5560532407407407</v>
      </c>
      <c r="Q474" s="23">
        <f>SUM($O$2:O474)</f>
        <v>9</v>
      </c>
      <c r="Y474" s="14"/>
      <c r="Z474" s="13"/>
      <c r="AA474"/>
    </row>
    <row r="475" spans="1:27" x14ac:dyDescent="0.2">
      <c r="A475" s="12" t="s">
        <v>1558</v>
      </c>
      <c r="B475" t="s">
        <v>1559</v>
      </c>
      <c r="C475" t="s">
        <v>1560</v>
      </c>
      <c r="D475" t="s">
        <v>1561</v>
      </c>
      <c r="E475" t="s">
        <v>13</v>
      </c>
      <c r="F475">
        <v>308</v>
      </c>
      <c r="G475">
        <v>257</v>
      </c>
      <c r="H475" s="5" t="s">
        <v>22</v>
      </c>
      <c r="I475" s="5">
        <v>0</v>
      </c>
      <c r="J475" s="5">
        <v>0</v>
      </c>
      <c r="K475" t="s">
        <v>10199</v>
      </c>
      <c r="L475" cm="1">
        <f t="array" ref="L475">wordCount(K475)</f>
        <v>16</v>
      </c>
      <c r="M475">
        <f t="shared" si="14"/>
        <v>99</v>
      </c>
      <c r="N475">
        <v>0.5357142857142857</v>
      </c>
      <c r="O475" s="23" cm="1">
        <f t="array" ref="O475">WordListCount(K475,keywords!$A$2:$A$31)-WordListCount(K475,keywords!$B$2:$B$31)</f>
        <v>0</v>
      </c>
      <c r="P475" s="25">
        <f t="shared" si="15"/>
        <v>0.55650462962962965</v>
      </c>
      <c r="Q475" s="23">
        <f>SUM($O$2:O475)</f>
        <v>9</v>
      </c>
      <c r="Y475" s="14"/>
      <c r="Z475" s="13"/>
      <c r="AA475"/>
    </row>
    <row r="476" spans="1:27" x14ac:dyDescent="0.2">
      <c r="A476" s="12" t="s">
        <v>1562</v>
      </c>
      <c r="B476" t="s">
        <v>1563</v>
      </c>
      <c r="C476" t="s">
        <v>459</v>
      </c>
      <c r="D476" t="s">
        <v>12</v>
      </c>
      <c r="E476" t="s">
        <v>13</v>
      </c>
      <c r="F476">
        <v>12</v>
      </c>
      <c r="G476">
        <v>1</v>
      </c>
      <c r="H476" s="5" t="s">
        <v>22</v>
      </c>
      <c r="I476" s="5">
        <v>0</v>
      </c>
      <c r="J476" s="5">
        <v>0</v>
      </c>
      <c r="K476" t="s">
        <v>9163</v>
      </c>
      <c r="L476" cm="1">
        <f t="array" ref="L476">wordCount(K476)</f>
        <v>15</v>
      </c>
      <c r="M476">
        <f t="shared" si="14"/>
        <v>103</v>
      </c>
      <c r="N476">
        <v>0.8125</v>
      </c>
      <c r="O476" s="23" cm="1">
        <f t="array" ref="O476">WordListCount(K476,keywords!$A$2:$A$31)-WordListCount(K476,keywords!$B$2:$B$31)</f>
        <v>0</v>
      </c>
      <c r="P476" s="25">
        <f t="shared" si="15"/>
        <v>0.55656249999999996</v>
      </c>
      <c r="Q476" s="23">
        <f>SUM($O$2:O476)</f>
        <v>9</v>
      </c>
      <c r="Y476" s="14"/>
      <c r="Z476" s="13"/>
      <c r="AA476"/>
    </row>
    <row r="477" spans="1:27" x14ac:dyDescent="0.2">
      <c r="A477" s="12" t="s">
        <v>1564</v>
      </c>
      <c r="B477" t="s">
        <v>1565</v>
      </c>
      <c r="C477" t="s">
        <v>1566</v>
      </c>
      <c r="D477" t="s">
        <v>1567</v>
      </c>
      <c r="E477" t="s">
        <v>13</v>
      </c>
      <c r="F477">
        <v>1100</v>
      </c>
      <c r="G477">
        <v>512</v>
      </c>
      <c r="H477" s="5" t="s">
        <v>22</v>
      </c>
      <c r="I477" s="5">
        <v>0</v>
      </c>
      <c r="J477" s="5">
        <v>0</v>
      </c>
      <c r="K477" t="s">
        <v>10200</v>
      </c>
      <c r="L477" cm="1">
        <f t="array" ref="L477">wordCount(K477)</f>
        <v>10</v>
      </c>
      <c r="M477">
        <f t="shared" si="14"/>
        <v>46</v>
      </c>
      <c r="N477">
        <v>0.5714285714285714</v>
      </c>
      <c r="O477" s="23" cm="1">
        <f t="array" ref="O477">WordListCount(K477,keywords!$A$2:$A$31)-WordListCount(K477,keywords!$B$2:$B$31)</f>
        <v>0</v>
      </c>
      <c r="P477" s="25">
        <f t="shared" si="15"/>
        <v>0.55663194444444442</v>
      </c>
      <c r="Q477" s="23">
        <f>SUM($O$2:O477)</f>
        <v>9</v>
      </c>
      <c r="Y477" s="14"/>
      <c r="Z477" s="13"/>
      <c r="AA477"/>
    </row>
    <row r="478" spans="1:27" x14ac:dyDescent="0.2">
      <c r="A478" s="12" t="s">
        <v>1568</v>
      </c>
      <c r="B478" t="s">
        <v>1569</v>
      </c>
      <c r="C478" t="s">
        <v>1570</v>
      </c>
      <c r="D478" t="s">
        <v>1571</v>
      </c>
      <c r="E478" t="s">
        <v>13</v>
      </c>
      <c r="F478">
        <v>95</v>
      </c>
      <c r="G478">
        <v>621</v>
      </c>
      <c r="H478" s="5" t="s">
        <v>22</v>
      </c>
      <c r="I478" s="5">
        <v>0</v>
      </c>
      <c r="J478" s="5">
        <v>0</v>
      </c>
      <c r="K478" t="s">
        <v>10201</v>
      </c>
      <c r="L478" cm="1">
        <f t="array" ref="L478">wordCount(K478)</f>
        <v>22</v>
      </c>
      <c r="M478">
        <f t="shared" si="14"/>
        <v>98</v>
      </c>
      <c r="N478">
        <v>0.57894736842105265</v>
      </c>
      <c r="O478" s="23" cm="1">
        <f t="array" ref="O478">WordListCount(K478,keywords!$A$2:$A$31)-WordListCount(K478,keywords!$B$2:$B$31)</f>
        <v>0</v>
      </c>
      <c r="P478" s="25">
        <f t="shared" si="15"/>
        <v>0.55678240740740736</v>
      </c>
      <c r="Q478" s="23">
        <f>SUM($O$2:O478)</f>
        <v>9</v>
      </c>
      <c r="Y478" s="14"/>
      <c r="Z478" s="13"/>
      <c r="AA478"/>
    </row>
    <row r="479" spans="1:27" x14ac:dyDescent="0.2">
      <c r="A479" s="12" t="s">
        <v>1572</v>
      </c>
      <c r="B479" t="s">
        <v>1573</v>
      </c>
      <c r="C479" t="s">
        <v>1574</v>
      </c>
      <c r="D479" t="s">
        <v>426</v>
      </c>
      <c r="E479" t="s">
        <v>13</v>
      </c>
      <c r="F479">
        <v>547</v>
      </c>
      <c r="G479">
        <v>720</v>
      </c>
      <c r="H479" s="5" t="s">
        <v>22</v>
      </c>
      <c r="I479" s="5">
        <v>0</v>
      </c>
      <c r="J479" s="5">
        <v>0</v>
      </c>
      <c r="K479" t="s">
        <v>10202</v>
      </c>
      <c r="L479" cm="1">
        <f t="array" ref="L479">wordCount(K479)</f>
        <v>9</v>
      </c>
      <c r="M479">
        <f t="shared" si="14"/>
        <v>36</v>
      </c>
      <c r="N479">
        <v>0.61538461538461542</v>
      </c>
      <c r="O479" s="23" cm="1">
        <f t="array" ref="O479">WordListCount(K479,keywords!$A$2:$A$31)-WordListCount(K479,keywords!$B$2:$B$31)</f>
        <v>0</v>
      </c>
      <c r="P479" s="25">
        <f t="shared" si="15"/>
        <v>0.5568981481481482</v>
      </c>
      <c r="Q479" s="23">
        <f>SUM($O$2:O479)</f>
        <v>9</v>
      </c>
      <c r="Y479" s="14"/>
      <c r="Z479" s="13"/>
      <c r="AA479"/>
    </row>
    <row r="480" spans="1:27" x14ac:dyDescent="0.2">
      <c r="A480" s="12" t="s">
        <v>1575</v>
      </c>
      <c r="B480" t="s">
        <v>1576</v>
      </c>
      <c r="C480" t="s">
        <v>1577</v>
      </c>
      <c r="D480" t="s">
        <v>1578</v>
      </c>
      <c r="E480" t="s">
        <v>13</v>
      </c>
      <c r="F480">
        <v>6</v>
      </c>
      <c r="G480">
        <v>65</v>
      </c>
      <c r="H480" s="5" t="s">
        <v>22</v>
      </c>
      <c r="I480" s="5">
        <v>0</v>
      </c>
      <c r="J480" s="5">
        <v>0</v>
      </c>
      <c r="K480" t="s">
        <v>10203</v>
      </c>
      <c r="L480" cm="1">
        <f t="array" ref="L480">wordCount(K480)</f>
        <v>7</v>
      </c>
      <c r="M480">
        <f t="shared" si="14"/>
        <v>23</v>
      </c>
      <c r="N480">
        <v>0.75</v>
      </c>
      <c r="O480" s="23" cm="1">
        <f t="array" ref="O480">WordListCount(K480,keywords!$A$2:$A$31)-WordListCount(K480,keywords!$B$2:$B$31)</f>
        <v>0</v>
      </c>
      <c r="P480" s="25">
        <f t="shared" si="15"/>
        <v>0.55718750000000006</v>
      </c>
      <c r="Q480" s="23">
        <f>SUM($O$2:O480)</f>
        <v>9</v>
      </c>
      <c r="Y480" s="14"/>
      <c r="Z480" s="13"/>
      <c r="AA480"/>
    </row>
    <row r="481" spans="1:27" x14ac:dyDescent="0.2">
      <c r="A481" s="12" t="s">
        <v>1579</v>
      </c>
      <c r="B481" t="s">
        <v>1580</v>
      </c>
      <c r="C481" t="s">
        <v>1581</v>
      </c>
      <c r="D481" t="s">
        <v>12</v>
      </c>
      <c r="E481" t="s">
        <v>13</v>
      </c>
      <c r="F481">
        <v>58</v>
      </c>
      <c r="G481">
        <v>778</v>
      </c>
      <c r="H481" s="5" t="s">
        <v>1582</v>
      </c>
      <c r="I481" s="5">
        <v>0</v>
      </c>
      <c r="J481" s="5">
        <v>0</v>
      </c>
      <c r="K481" t="s">
        <v>9164</v>
      </c>
      <c r="L481" cm="1">
        <f t="array" ref="L481">wordCount(K481)</f>
        <v>4</v>
      </c>
      <c r="M481">
        <f t="shared" si="14"/>
        <v>24</v>
      </c>
      <c r="N481">
        <v>0.9285714285714286</v>
      </c>
      <c r="O481" s="23" cm="1">
        <f t="array" ref="O481">WordListCount(K481,keywords!$A$2:$A$31)-WordListCount(K481,keywords!$B$2:$B$31)</f>
        <v>0</v>
      </c>
      <c r="P481" s="25">
        <f t="shared" si="15"/>
        <v>0.55726851851851855</v>
      </c>
      <c r="Q481" s="23">
        <f>SUM($O$2:O481)</f>
        <v>9</v>
      </c>
      <c r="Y481" s="14"/>
      <c r="Z481" s="13"/>
      <c r="AA481"/>
    </row>
    <row r="482" spans="1:27" x14ac:dyDescent="0.2">
      <c r="A482" s="12" t="s">
        <v>1583</v>
      </c>
      <c r="B482" t="s">
        <v>1584</v>
      </c>
      <c r="C482" t="s">
        <v>1585</v>
      </c>
      <c r="D482" t="s">
        <v>12</v>
      </c>
      <c r="E482" t="s">
        <v>13</v>
      </c>
      <c r="F482">
        <v>53</v>
      </c>
      <c r="G482">
        <v>375</v>
      </c>
      <c r="H482" s="5" t="s">
        <v>22</v>
      </c>
      <c r="I482" s="5">
        <v>0</v>
      </c>
      <c r="J482" s="5">
        <v>0</v>
      </c>
      <c r="K482" t="s">
        <v>10204</v>
      </c>
      <c r="L482" cm="1">
        <f t="array" ref="L482">wordCount(K482)</f>
        <v>8</v>
      </c>
      <c r="M482">
        <f t="shared" si="14"/>
        <v>47</v>
      </c>
      <c r="N482">
        <v>0.68181818181818177</v>
      </c>
      <c r="O482" s="23" cm="1">
        <f t="array" ref="O482">WordListCount(K482,keywords!$A$2:$A$31)-WordListCount(K482,keywords!$B$2:$B$31)</f>
        <v>0</v>
      </c>
      <c r="P482" s="25">
        <f t="shared" si="15"/>
        <v>0.55730324074074067</v>
      </c>
      <c r="Q482" s="23">
        <f>SUM($O$2:O482)</f>
        <v>9</v>
      </c>
      <c r="Y482" s="14"/>
      <c r="Z482" s="13"/>
      <c r="AA482"/>
    </row>
    <row r="483" spans="1:27" x14ac:dyDescent="0.2">
      <c r="A483" s="12" t="s">
        <v>1586</v>
      </c>
      <c r="B483" t="s">
        <v>1587</v>
      </c>
      <c r="C483" t="s">
        <v>1588</v>
      </c>
      <c r="D483" t="s">
        <v>1589</v>
      </c>
      <c r="E483" t="s">
        <v>13</v>
      </c>
      <c r="F483">
        <v>285</v>
      </c>
      <c r="G483">
        <v>608</v>
      </c>
      <c r="H483" s="5" t="s">
        <v>22</v>
      </c>
      <c r="I483" s="5">
        <v>0</v>
      </c>
      <c r="J483" s="5">
        <v>0</v>
      </c>
      <c r="K483" t="s">
        <v>9165</v>
      </c>
      <c r="L483" cm="1">
        <f t="array" ref="L483">wordCount(K483)</f>
        <v>11</v>
      </c>
      <c r="M483">
        <f t="shared" si="14"/>
        <v>52</v>
      </c>
      <c r="N483">
        <v>0.72727272727272729</v>
      </c>
      <c r="O483" s="23" cm="1">
        <f t="array" ref="O483">WordListCount(K483,keywords!$A$2:$A$31)-WordListCount(K483,keywords!$B$2:$B$31)</f>
        <v>0</v>
      </c>
      <c r="P483" s="25">
        <f t="shared" si="15"/>
        <v>0.55733796296296301</v>
      </c>
      <c r="Q483" s="23">
        <f>SUM($O$2:O483)</f>
        <v>9</v>
      </c>
      <c r="Y483" s="14"/>
      <c r="Z483" s="13"/>
      <c r="AA483"/>
    </row>
    <row r="484" spans="1:27" x14ac:dyDescent="0.2">
      <c r="A484" s="12" t="s">
        <v>1590</v>
      </c>
      <c r="B484" t="s">
        <v>1591</v>
      </c>
      <c r="C484" t="s">
        <v>1191</v>
      </c>
      <c r="D484" t="s">
        <v>1192</v>
      </c>
      <c r="E484" t="s">
        <v>13</v>
      </c>
      <c r="F484">
        <v>3495</v>
      </c>
      <c r="G484">
        <v>1203</v>
      </c>
      <c r="H484" s="5" t="s">
        <v>22</v>
      </c>
      <c r="I484" s="5">
        <v>0</v>
      </c>
      <c r="J484" s="5">
        <v>0</v>
      </c>
      <c r="K484" t="s">
        <v>10205</v>
      </c>
      <c r="L484" cm="1">
        <f t="array" ref="L484">wordCount(K484)</f>
        <v>18</v>
      </c>
      <c r="M484">
        <f t="shared" si="14"/>
        <v>89</v>
      </c>
      <c r="N484">
        <v>0.53333333333333333</v>
      </c>
      <c r="O484" s="23" cm="1">
        <f t="array" ref="O484">WordListCount(K484,keywords!$A$2:$A$31)-WordListCount(K484,keywords!$B$2:$B$31)</f>
        <v>0</v>
      </c>
      <c r="P484" s="25">
        <f t="shared" si="15"/>
        <v>0.55789351851851854</v>
      </c>
      <c r="Q484" s="23">
        <f>SUM($O$2:O484)</f>
        <v>9</v>
      </c>
      <c r="Y484" s="14"/>
      <c r="Z484" s="13"/>
      <c r="AA484"/>
    </row>
    <row r="485" spans="1:27" x14ac:dyDescent="0.2">
      <c r="A485" s="12" t="s">
        <v>1592</v>
      </c>
      <c r="B485" t="s">
        <v>1593</v>
      </c>
      <c r="C485" t="s">
        <v>1594</v>
      </c>
      <c r="D485" t="s">
        <v>12</v>
      </c>
      <c r="E485" t="s">
        <v>13</v>
      </c>
      <c r="F485">
        <v>14</v>
      </c>
      <c r="G485">
        <v>175</v>
      </c>
      <c r="H485" s="5" t="s">
        <v>22</v>
      </c>
      <c r="I485" s="5">
        <v>0</v>
      </c>
      <c r="J485" s="5">
        <v>0</v>
      </c>
      <c r="K485" t="s">
        <v>9166</v>
      </c>
      <c r="L485" cm="1">
        <f t="array" ref="L485">wordCount(K485)</f>
        <v>19</v>
      </c>
      <c r="M485">
        <f t="shared" si="14"/>
        <v>93</v>
      </c>
      <c r="N485">
        <v>0.4</v>
      </c>
      <c r="O485" s="23" cm="1">
        <f t="array" ref="O485">WordListCount(K485,keywords!$A$2:$A$31)-WordListCount(K485,keywords!$B$2:$B$31)</f>
        <v>-1</v>
      </c>
      <c r="P485" s="25">
        <f t="shared" si="15"/>
        <v>0.55804398148148149</v>
      </c>
      <c r="Q485" s="23">
        <f>SUM($O$2:O485)</f>
        <v>8</v>
      </c>
      <c r="Y485" s="14"/>
      <c r="Z485" s="13"/>
      <c r="AA485"/>
    </row>
    <row r="486" spans="1:27" x14ac:dyDescent="0.2">
      <c r="A486" s="12" t="s">
        <v>1595</v>
      </c>
      <c r="B486" t="s">
        <v>1596</v>
      </c>
      <c r="C486" t="s">
        <v>1597</v>
      </c>
      <c r="D486" t="s">
        <v>1598</v>
      </c>
      <c r="E486" t="s">
        <v>13</v>
      </c>
      <c r="F486">
        <v>4162</v>
      </c>
      <c r="G486">
        <v>4148</v>
      </c>
      <c r="H486" s="5" t="s">
        <v>22</v>
      </c>
      <c r="I486" s="5">
        <v>0</v>
      </c>
      <c r="J486" s="5">
        <v>0</v>
      </c>
      <c r="K486" t="s">
        <v>9167</v>
      </c>
      <c r="L486" cm="1">
        <f t="array" ref="L486">wordCount(K486)</f>
        <v>4</v>
      </c>
      <c r="M486">
        <f t="shared" si="14"/>
        <v>20</v>
      </c>
      <c r="N486">
        <v>0.90909090909090906</v>
      </c>
      <c r="O486" s="23" cm="1">
        <f t="array" ref="O486">WordListCount(K486,keywords!$A$2:$A$31)-WordListCount(K486,keywords!$B$2:$B$31)</f>
        <v>0</v>
      </c>
      <c r="P486" s="25">
        <f t="shared" si="15"/>
        <v>0.55833333333333335</v>
      </c>
      <c r="Q486" s="23">
        <f>SUM($O$2:O486)</f>
        <v>8</v>
      </c>
      <c r="Y486" s="14"/>
      <c r="Z486" s="13"/>
      <c r="AA486"/>
    </row>
    <row r="487" spans="1:27" x14ac:dyDescent="0.2">
      <c r="A487" s="12" t="s">
        <v>1599</v>
      </c>
      <c r="B487" t="s">
        <v>1600</v>
      </c>
      <c r="C487" t="s">
        <v>1601</v>
      </c>
      <c r="D487" t="s">
        <v>1602</v>
      </c>
      <c r="E487" t="s">
        <v>13</v>
      </c>
      <c r="F487">
        <v>964</v>
      </c>
      <c r="G487">
        <v>2475</v>
      </c>
      <c r="H487" s="5" t="s">
        <v>22</v>
      </c>
      <c r="I487" s="5">
        <v>0</v>
      </c>
      <c r="J487" s="5">
        <v>0</v>
      </c>
      <c r="K487" t="s">
        <v>10206</v>
      </c>
      <c r="L487" cm="1">
        <f t="array" ref="L487">wordCount(K487)</f>
        <v>5</v>
      </c>
      <c r="M487">
        <f t="shared" si="14"/>
        <v>24</v>
      </c>
      <c r="N487">
        <v>0.66666666666666663</v>
      </c>
      <c r="O487" s="23" cm="1">
        <f t="array" ref="O487">WordListCount(K487,keywords!$A$2:$A$31)-WordListCount(K487,keywords!$B$2:$B$31)</f>
        <v>0</v>
      </c>
      <c r="P487" s="25">
        <f t="shared" si="15"/>
        <v>0.5584027777777778</v>
      </c>
      <c r="Q487" s="23">
        <f>SUM($O$2:O487)</f>
        <v>8</v>
      </c>
      <c r="Y487" s="14"/>
      <c r="Z487" s="13"/>
      <c r="AA487"/>
    </row>
    <row r="488" spans="1:27" x14ac:dyDescent="0.2">
      <c r="A488" s="12" t="s">
        <v>1603</v>
      </c>
      <c r="B488" t="s">
        <v>1604</v>
      </c>
      <c r="C488" t="s">
        <v>1605</v>
      </c>
      <c r="D488" t="s">
        <v>1606</v>
      </c>
      <c r="E488" t="s">
        <v>13</v>
      </c>
      <c r="F488">
        <v>105</v>
      </c>
      <c r="G488">
        <v>637</v>
      </c>
      <c r="H488" s="5" t="s">
        <v>393</v>
      </c>
      <c r="I488" s="5">
        <v>0</v>
      </c>
      <c r="J488" s="5">
        <v>0</v>
      </c>
      <c r="K488" t="s">
        <v>10207</v>
      </c>
      <c r="L488" cm="1">
        <f t="array" ref="L488">wordCount(K488)</f>
        <v>14</v>
      </c>
      <c r="M488">
        <f t="shared" si="14"/>
        <v>61</v>
      </c>
      <c r="N488">
        <v>0.5</v>
      </c>
      <c r="O488" s="23" cm="1">
        <f t="array" ref="O488">WordListCount(K488,keywords!$A$2:$A$31)-WordListCount(K488,keywords!$B$2:$B$31)</f>
        <v>0</v>
      </c>
      <c r="P488" s="25">
        <f t="shared" si="15"/>
        <v>0.55842592592592599</v>
      </c>
      <c r="Q488" s="23">
        <f>SUM($O$2:O488)</f>
        <v>8</v>
      </c>
      <c r="Y488" s="14"/>
      <c r="Z488" s="13"/>
      <c r="AA488"/>
    </row>
    <row r="489" spans="1:27" x14ac:dyDescent="0.2">
      <c r="A489" s="12" t="s">
        <v>1607</v>
      </c>
      <c r="B489" t="s">
        <v>1608</v>
      </c>
      <c r="C489" t="s">
        <v>1609</v>
      </c>
      <c r="D489" t="s">
        <v>1610</v>
      </c>
      <c r="E489" t="s">
        <v>13</v>
      </c>
      <c r="F489">
        <v>95</v>
      </c>
      <c r="G489">
        <v>297</v>
      </c>
      <c r="H489" s="5" t="s">
        <v>22</v>
      </c>
      <c r="I489" s="5">
        <v>0</v>
      </c>
      <c r="J489" s="5">
        <v>0</v>
      </c>
      <c r="K489" t="s">
        <v>10208</v>
      </c>
      <c r="L489" cm="1">
        <f t="array" ref="L489">wordCount(K489)</f>
        <v>17</v>
      </c>
      <c r="M489">
        <f t="shared" si="14"/>
        <v>82</v>
      </c>
      <c r="N489">
        <v>0.42857142857142855</v>
      </c>
      <c r="O489" s="23" cm="1">
        <f t="array" ref="O489">WordListCount(K489,keywords!$A$2:$A$31)-WordListCount(K489,keywords!$B$2:$B$31)</f>
        <v>0</v>
      </c>
      <c r="P489" s="25">
        <f t="shared" si="15"/>
        <v>0.55849537037037034</v>
      </c>
      <c r="Q489" s="23">
        <f>SUM($O$2:O489)</f>
        <v>8</v>
      </c>
      <c r="Y489" s="14"/>
      <c r="Z489" s="13"/>
      <c r="AA489"/>
    </row>
    <row r="490" spans="1:27" x14ac:dyDescent="0.2">
      <c r="A490" s="12" t="s">
        <v>1611</v>
      </c>
      <c r="B490" t="s">
        <v>1612</v>
      </c>
      <c r="C490" t="s">
        <v>1566</v>
      </c>
      <c r="D490" t="s">
        <v>1567</v>
      </c>
      <c r="E490" t="s">
        <v>13</v>
      </c>
      <c r="F490">
        <v>1100</v>
      </c>
      <c r="G490">
        <v>512</v>
      </c>
      <c r="H490" s="5" t="s">
        <v>22</v>
      </c>
      <c r="I490" s="5">
        <v>0</v>
      </c>
      <c r="J490" s="5">
        <v>0</v>
      </c>
      <c r="K490" t="s">
        <v>10209</v>
      </c>
      <c r="L490" cm="1">
        <f t="array" ref="L490">wordCount(K490)</f>
        <v>6</v>
      </c>
      <c r="M490">
        <f t="shared" si="14"/>
        <v>39</v>
      </c>
      <c r="N490">
        <v>0.58333333333333337</v>
      </c>
      <c r="O490" s="23" cm="1">
        <f t="array" ref="O490">WordListCount(K490,keywords!$A$2:$A$31)-WordListCount(K490,keywords!$B$2:$B$31)</f>
        <v>0</v>
      </c>
      <c r="P490" s="25">
        <f t="shared" si="15"/>
        <v>0.55863425925925925</v>
      </c>
      <c r="Q490" s="23">
        <f>SUM($O$2:O490)</f>
        <v>8</v>
      </c>
      <c r="Y490" s="14"/>
      <c r="Z490" s="13"/>
      <c r="AA490"/>
    </row>
    <row r="491" spans="1:27" x14ac:dyDescent="0.2">
      <c r="A491" s="12" t="s">
        <v>1613</v>
      </c>
      <c r="B491" t="s">
        <v>1614</v>
      </c>
      <c r="C491" t="s">
        <v>62</v>
      </c>
      <c r="D491" t="s">
        <v>63</v>
      </c>
      <c r="E491" t="s">
        <v>13</v>
      </c>
      <c r="F491">
        <v>629</v>
      </c>
      <c r="G491">
        <v>139</v>
      </c>
      <c r="H491" s="5" t="s">
        <v>22</v>
      </c>
      <c r="I491" s="5">
        <v>0</v>
      </c>
      <c r="J491" s="5">
        <v>0</v>
      </c>
      <c r="K491" t="s">
        <v>10210</v>
      </c>
      <c r="L491" cm="1">
        <f t="array" ref="L491">wordCount(K491)</f>
        <v>7</v>
      </c>
      <c r="M491">
        <f t="shared" si="14"/>
        <v>29</v>
      </c>
      <c r="N491">
        <v>0.53846153846153844</v>
      </c>
      <c r="O491" s="23" cm="1">
        <f t="array" ref="O491">WordListCount(K491,keywords!$A$2:$A$31)-WordListCount(K491,keywords!$B$2:$B$31)</f>
        <v>0</v>
      </c>
      <c r="P491" s="25">
        <f t="shared" si="15"/>
        <v>0.55865740740740744</v>
      </c>
      <c r="Q491" s="23">
        <f>SUM($O$2:O491)</f>
        <v>8</v>
      </c>
      <c r="Y491" s="14"/>
      <c r="Z491" s="13"/>
      <c r="AA491"/>
    </row>
    <row r="492" spans="1:27" x14ac:dyDescent="0.2">
      <c r="A492" s="12" t="s">
        <v>1615</v>
      </c>
      <c r="B492" t="s">
        <v>1616</v>
      </c>
      <c r="C492" t="s">
        <v>1617</v>
      </c>
      <c r="D492" t="s">
        <v>1618</v>
      </c>
      <c r="E492" t="s">
        <v>13</v>
      </c>
      <c r="F492">
        <v>654</v>
      </c>
      <c r="G492">
        <v>162</v>
      </c>
      <c r="H492" s="5" t="s">
        <v>22</v>
      </c>
      <c r="I492" s="5">
        <v>0</v>
      </c>
      <c r="J492" s="5">
        <v>0</v>
      </c>
      <c r="K492" t="s">
        <v>10211</v>
      </c>
      <c r="L492" cm="1">
        <f t="array" ref="L492">wordCount(K492)</f>
        <v>14</v>
      </c>
      <c r="M492">
        <f t="shared" si="14"/>
        <v>73</v>
      </c>
      <c r="N492">
        <v>0.35</v>
      </c>
      <c r="O492" s="23" cm="1">
        <f t="array" ref="O492">WordListCount(K492,keywords!$A$2:$A$31)-WordListCount(K492,keywords!$B$2:$B$31)</f>
        <v>0</v>
      </c>
      <c r="P492" s="25">
        <f t="shared" si="15"/>
        <v>0.55866898148148147</v>
      </c>
      <c r="Q492" s="23">
        <f>SUM($O$2:O492)</f>
        <v>8</v>
      </c>
      <c r="Y492" s="14"/>
      <c r="Z492" s="13"/>
      <c r="AA492"/>
    </row>
    <row r="493" spans="1:27" x14ac:dyDescent="0.2">
      <c r="A493" s="12" t="s">
        <v>1619</v>
      </c>
      <c r="B493" t="s">
        <v>1620</v>
      </c>
      <c r="C493" t="s">
        <v>1621</v>
      </c>
      <c r="D493" t="s">
        <v>1622</v>
      </c>
      <c r="E493" t="s">
        <v>13</v>
      </c>
      <c r="F493">
        <v>69</v>
      </c>
      <c r="G493">
        <v>87</v>
      </c>
      <c r="H493" s="5" t="s">
        <v>22</v>
      </c>
      <c r="I493" s="5">
        <v>0</v>
      </c>
      <c r="J493" s="5">
        <v>0</v>
      </c>
      <c r="K493" t="s">
        <v>10212</v>
      </c>
      <c r="L493" cm="1">
        <f t="array" ref="L493">wordCount(K493)</f>
        <v>8</v>
      </c>
      <c r="M493">
        <f t="shared" si="14"/>
        <v>37</v>
      </c>
      <c r="N493">
        <v>0.8</v>
      </c>
      <c r="O493" s="23" cm="1">
        <f t="array" ref="O493">WordListCount(K493,keywords!$A$2:$A$31)-WordListCount(K493,keywords!$B$2:$B$31)</f>
        <v>0</v>
      </c>
      <c r="P493" s="25">
        <f t="shared" si="15"/>
        <v>0.55873842592592593</v>
      </c>
      <c r="Q493" s="23">
        <f>SUM($O$2:O493)</f>
        <v>8</v>
      </c>
      <c r="Y493" s="14"/>
      <c r="Z493" s="13"/>
      <c r="AA493"/>
    </row>
    <row r="494" spans="1:27" x14ac:dyDescent="0.2">
      <c r="A494" s="12" t="s">
        <v>1623</v>
      </c>
      <c r="B494" t="s">
        <v>1624</v>
      </c>
      <c r="C494" t="s">
        <v>1625</v>
      </c>
      <c r="D494" t="s">
        <v>161</v>
      </c>
      <c r="E494" t="s">
        <v>13</v>
      </c>
      <c r="F494">
        <v>11</v>
      </c>
      <c r="G494">
        <v>45</v>
      </c>
      <c r="H494" s="5" t="s">
        <v>22</v>
      </c>
      <c r="I494" s="5">
        <v>0</v>
      </c>
      <c r="J494" s="5">
        <v>0</v>
      </c>
      <c r="K494" t="s">
        <v>9168</v>
      </c>
      <c r="L494" cm="1">
        <f t="array" ref="L494">wordCount(K494)</f>
        <v>1</v>
      </c>
      <c r="M494">
        <f t="shared" si="14"/>
        <v>4</v>
      </c>
      <c r="N494">
        <v>0.91666666666666663</v>
      </c>
      <c r="O494" s="23" cm="1">
        <f t="array" ref="O494">WordListCount(K494,keywords!$A$2:$A$31)-WordListCount(K494,keywords!$B$2:$B$31)</f>
        <v>0</v>
      </c>
      <c r="P494" s="25">
        <f t="shared" si="15"/>
        <v>0.55893518518518526</v>
      </c>
      <c r="Q494" s="23">
        <f>SUM($O$2:O494)</f>
        <v>8</v>
      </c>
      <c r="Y494" s="14"/>
      <c r="Z494" s="13"/>
      <c r="AA494"/>
    </row>
    <row r="495" spans="1:27" x14ac:dyDescent="0.2">
      <c r="A495" s="12" t="s">
        <v>1626</v>
      </c>
      <c r="B495" t="s">
        <v>1627</v>
      </c>
      <c r="C495" t="s">
        <v>1628</v>
      </c>
      <c r="D495" t="s">
        <v>1629</v>
      </c>
      <c r="E495" t="s">
        <v>13</v>
      </c>
      <c r="F495">
        <v>682</v>
      </c>
      <c r="G495">
        <v>1430</v>
      </c>
      <c r="H495" s="5" t="s">
        <v>22</v>
      </c>
      <c r="I495" s="5">
        <v>0</v>
      </c>
      <c r="J495" s="5">
        <v>0</v>
      </c>
      <c r="K495" t="s">
        <v>10213</v>
      </c>
      <c r="L495" cm="1">
        <f t="array" ref="L495">wordCount(K495)</f>
        <v>8</v>
      </c>
      <c r="M495">
        <f t="shared" si="14"/>
        <v>52</v>
      </c>
      <c r="N495">
        <v>0.55555555555555558</v>
      </c>
      <c r="O495" s="23" cm="1">
        <f t="array" ref="O495">WordListCount(K495,keywords!$A$2:$A$31)-WordListCount(K495,keywords!$B$2:$B$31)</f>
        <v>0</v>
      </c>
      <c r="P495" s="25">
        <f t="shared" si="15"/>
        <v>0.55928240740740742</v>
      </c>
      <c r="Q495" s="23">
        <f>SUM($O$2:O495)</f>
        <v>8</v>
      </c>
      <c r="Y495" s="14"/>
      <c r="Z495" s="13"/>
      <c r="AA495"/>
    </row>
    <row r="496" spans="1:27" x14ac:dyDescent="0.2">
      <c r="A496" s="12" t="s">
        <v>1630</v>
      </c>
      <c r="B496" t="s">
        <v>1631</v>
      </c>
      <c r="C496" t="s">
        <v>1632</v>
      </c>
      <c r="D496" t="s">
        <v>12</v>
      </c>
      <c r="E496" t="s">
        <v>13</v>
      </c>
      <c r="F496">
        <v>284</v>
      </c>
      <c r="G496">
        <v>152</v>
      </c>
      <c r="H496" s="5" t="s">
        <v>22</v>
      </c>
      <c r="I496" s="5">
        <v>0</v>
      </c>
      <c r="J496" s="5">
        <v>0</v>
      </c>
      <c r="K496" t="s">
        <v>9169</v>
      </c>
      <c r="L496" cm="1">
        <f t="array" ref="L496">wordCount(K496)</f>
        <v>9</v>
      </c>
      <c r="M496">
        <f t="shared" si="14"/>
        <v>49</v>
      </c>
      <c r="N496">
        <v>0.5714285714285714</v>
      </c>
      <c r="O496" s="23" cm="1">
        <f t="array" ref="O496">WordListCount(K496,keywords!$A$2:$A$31)-WordListCount(K496,keywords!$B$2:$B$31)</f>
        <v>1</v>
      </c>
      <c r="P496" s="25">
        <f t="shared" si="15"/>
        <v>0.55929398148148146</v>
      </c>
      <c r="Q496" s="23">
        <f>SUM($O$2:O496)</f>
        <v>9</v>
      </c>
      <c r="Y496" s="14"/>
      <c r="Z496" s="13"/>
      <c r="AA496"/>
    </row>
    <row r="497" spans="1:27" x14ac:dyDescent="0.2">
      <c r="A497" s="12" t="s">
        <v>1633</v>
      </c>
      <c r="B497" t="s">
        <v>1634</v>
      </c>
      <c r="C497" t="s">
        <v>310</v>
      </c>
      <c r="D497" t="s">
        <v>12</v>
      </c>
      <c r="E497" t="s">
        <v>13</v>
      </c>
      <c r="F497">
        <v>3632</v>
      </c>
      <c r="G497">
        <v>3729</v>
      </c>
      <c r="H497" s="5" t="s">
        <v>22</v>
      </c>
      <c r="I497" s="5">
        <v>0</v>
      </c>
      <c r="J497" s="5">
        <v>0</v>
      </c>
      <c r="K497" t="s">
        <v>9170</v>
      </c>
      <c r="L497" cm="1">
        <f t="array" ref="L497">wordCount(K497)</f>
        <v>13</v>
      </c>
      <c r="M497">
        <f t="shared" si="14"/>
        <v>80</v>
      </c>
      <c r="N497">
        <v>0.4</v>
      </c>
      <c r="O497" s="23" cm="1">
        <f t="array" ref="O497">WordListCount(K497,keywords!$A$2:$A$31)-WordListCount(K497,keywords!$B$2:$B$31)</f>
        <v>0</v>
      </c>
      <c r="P497" s="25">
        <f t="shared" si="15"/>
        <v>0.55931712962962965</v>
      </c>
      <c r="Q497" s="23">
        <f>SUM($O$2:O497)</f>
        <v>9</v>
      </c>
      <c r="Y497" s="14"/>
      <c r="Z497" s="13"/>
      <c r="AA497"/>
    </row>
    <row r="498" spans="1:27" x14ac:dyDescent="0.2">
      <c r="A498" s="12" t="s">
        <v>1635</v>
      </c>
      <c r="B498" t="s">
        <v>1636</v>
      </c>
      <c r="C498" t="s">
        <v>1637</v>
      </c>
      <c r="D498" t="s">
        <v>12</v>
      </c>
      <c r="E498" t="s">
        <v>13</v>
      </c>
      <c r="F498">
        <v>114</v>
      </c>
      <c r="G498">
        <v>433</v>
      </c>
      <c r="H498" s="5" t="s">
        <v>22</v>
      </c>
      <c r="I498" s="5">
        <v>0</v>
      </c>
      <c r="J498" s="5">
        <v>0</v>
      </c>
      <c r="K498" t="s">
        <v>10214</v>
      </c>
      <c r="L498" cm="1">
        <f t="array" ref="L498">wordCount(K498)</f>
        <v>17</v>
      </c>
      <c r="M498">
        <f t="shared" si="14"/>
        <v>75</v>
      </c>
      <c r="N498">
        <v>0.5625</v>
      </c>
      <c r="O498" s="23" cm="1">
        <f t="array" ref="O498">WordListCount(K498,keywords!$A$2:$A$31)-WordListCount(K498,keywords!$B$2:$B$31)</f>
        <v>0</v>
      </c>
      <c r="P498" s="25">
        <f t="shared" si="15"/>
        <v>0.55938657407407411</v>
      </c>
      <c r="Q498" s="23">
        <f>SUM($O$2:O498)</f>
        <v>9</v>
      </c>
      <c r="Y498" s="14"/>
      <c r="Z498" s="13"/>
      <c r="AA498"/>
    </row>
    <row r="499" spans="1:27" x14ac:dyDescent="0.2">
      <c r="A499" s="12" t="s">
        <v>1638</v>
      </c>
      <c r="B499" t="s">
        <v>1639</v>
      </c>
      <c r="C499" t="s">
        <v>1640</v>
      </c>
      <c r="D499" t="s">
        <v>12</v>
      </c>
      <c r="E499" t="s">
        <v>13</v>
      </c>
      <c r="F499">
        <v>763</v>
      </c>
      <c r="G499">
        <v>30</v>
      </c>
      <c r="H499" s="5" t="s">
        <v>22</v>
      </c>
      <c r="I499" s="5">
        <v>0</v>
      </c>
      <c r="J499" s="5">
        <v>0</v>
      </c>
      <c r="K499" t="s">
        <v>10215</v>
      </c>
      <c r="L499" cm="1">
        <f t="array" ref="L499">wordCount(K499)</f>
        <v>9</v>
      </c>
      <c r="M499">
        <f t="shared" si="14"/>
        <v>38</v>
      </c>
      <c r="N499">
        <v>0.68421052631578949</v>
      </c>
      <c r="O499" s="23" cm="1">
        <f t="array" ref="O499">WordListCount(K499,keywords!$A$2:$A$31)-WordListCount(K499,keywords!$B$2:$B$31)</f>
        <v>0</v>
      </c>
      <c r="P499" s="25">
        <f t="shared" si="15"/>
        <v>0.5597685185185185</v>
      </c>
      <c r="Q499" s="23">
        <f>SUM($O$2:O499)</f>
        <v>9</v>
      </c>
      <c r="Y499" s="14"/>
      <c r="Z499" s="13"/>
      <c r="AA499"/>
    </row>
    <row r="500" spans="1:27" x14ac:dyDescent="0.2">
      <c r="A500" s="12" t="s">
        <v>1641</v>
      </c>
      <c r="B500" t="s">
        <v>1642</v>
      </c>
      <c r="C500" t="s">
        <v>1643</v>
      </c>
      <c r="D500" t="s">
        <v>12</v>
      </c>
      <c r="E500" t="s">
        <v>13</v>
      </c>
      <c r="F500">
        <v>9642</v>
      </c>
      <c r="G500">
        <v>27</v>
      </c>
      <c r="H500" s="5" t="s">
        <v>22</v>
      </c>
      <c r="I500" s="5">
        <v>0</v>
      </c>
      <c r="J500" s="5">
        <v>0</v>
      </c>
      <c r="K500" t="s">
        <v>10216</v>
      </c>
      <c r="L500" cm="1">
        <f t="array" ref="L500">wordCount(K500)</f>
        <v>3</v>
      </c>
      <c r="M500">
        <f t="shared" si="14"/>
        <v>16</v>
      </c>
      <c r="N500">
        <v>0.82352941176470584</v>
      </c>
      <c r="O500" s="23" cm="1">
        <f t="array" ref="O500">WordListCount(K500,keywords!$A$2:$A$31)-WordListCount(K500,keywords!$B$2:$B$31)</f>
        <v>0</v>
      </c>
      <c r="P500" s="25">
        <f t="shared" si="15"/>
        <v>0.56015046296296289</v>
      </c>
      <c r="Q500" s="23">
        <f>SUM($O$2:O500)</f>
        <v>9</v>
      </c>
      <c r="Y500" s="14"/>
      <c r="Z500" s="13"/>
      <c r="AA500"/>
    </row>
    <row r="501" spans="1:27" x14ac:dyDescent="0.2">
      <c r="A501" s="12" t="s">
        <v>1644</v>
      </c>
      <c r="B501" t="s">
        <v>1645</v>
      </c>
      <c r="C501" t="s">
        <v>1646</v>
      </c>
      <c r="D501" t="s">
        <v>1647</v>
      </c>
      <c r="E501" t="s">
        <v>13</v>
      </c>
      <c r="F501">
        <v>378</v>
      </c>
      <c r="G501">
        <v>959</v>
      </c>
      <c r="H501" s="5" t="s">
        <v>22</v>
      </c>
      <c r="I501" s="5">
        <v>0</v>
      </c>
      <c r="J501" s="5">
        <v>0</v>
      </c>
      <c r="K501" t="s">
        <v>9171</v>
      </c>
      <c r="L501" cm="1">
        <f t="array" ref="L501">wordCount(K501)</f>
        <v>2</v>
      </c>
      <c r="M501">
        <f t="shared" si="14"/>
        <v>8</v>
      </c>
      <c r="N501">
        <v>0.92307692307692313</v>
      </c>
      <c r="O501" s="23" cm="1">
        <f t="array" ref="O501">WordListCount(K501,keywords!$A$2:$A$31)-WordListCount(K501,keywords!$B$2:$B$31)</f>
        <v>0</v>
      </c>
      <c r="P501" s="25">
        <f t="shared" si="15"/>
        <v>0.56055555555555558</v>
      </c>
      <c r="Q501" s="23">
        <f>SUM($O$2:O501)</f>
        <v>9</v>
      </c>
      <c r="Y501" s="14"/>
      <c r="Z501" s="13"/>
      <c r="AA501"/>
    </row>
    <row r="502" spans="1:27" x14ac:dyDescent="0.2">
      <c r="A502" s="12" t="s">
        <v>1648</v>
      </c>
      <c r="B502" t="s">
        <v>1649</v>
      </c>
      <c r="C502" t="s">
        <v>1643</v>
      </c>
      <c r="D502" t="s">
        <v>12</v>
      </c>
      <c r="E502" t="s">
        <v>13</v>
      </c>
      <c r="F502">
        <v>9642</v>
      </c>
      <c r="G502">
        <v>27</v>
      </c>
      <c r="H502" s="5" t="s">
        <v>22</v>
      </c>
      <c r="I502" s="5">
        <v>0</v>
      </c>
      <c r="J502" s="5">
        <v>0</v>
      </c>
      <c r="K502" t="s">
        <v>10217</v>
      </c>
      <c r="L502" cm="1">
        <f t="array" ref="L502">wordCount(K502)</f>
        <v>9</v>
      </c>
      <c r="M502">
        <f t="shared" si="14"/>
        <v>42</v>
      </c>
      <c r="N502">
        <v>0.5625</v>
      </c>
      <c r="O502" s="23" cm="1">
        <f t="array" ref="O502">WordListCount(K502,keywords!$A$2:$A$31)-WordListCount(K502,keywords!$B$2:$B$31)</f>
        <v>0</v>
      </c>
      <c r="P502" s="25">
        <f t="shared" si="15"/>
        <v>0.56071759259259257</v>
      </c>
      <c r="Q502" s="23">
        <f>SUM($O$2:O502)</f>
        <v>9</v>
      </c>
      <c r="Y502" s="14"/>
      <c r="Z502" s="13"/>
      <c r="AA502"/>
    </row>
    <row r="503" spans="1:27" x14ac:dyDescent="0.2">
      <c r="A503" s="12" t="s">
        <v>1650</v>
      </c>
      <c r="B503" t="s">
        <v>1651</v>
      </c>
      <c r="C503" t="s">
        <v>1652</v>
      </c>
      <c r="D503" t="s">
        <v>1653</v>
      </c>
      <c r="E503" t="s">
        <v>13</v>
      </c>
      <c r="F503">
        <v>25</v>
      </c>
      <c r="G503">
        <v>43</v>
      </c>
      <c r="H503" s="5" t="s">
        <v>22</v>
      </c>
      <c r="I503" s="5">
        <v>0</v>
      </c>
      <c r="J503" s="5">
        <v>0</v>
      </c>
      <c r="K503" t="s">
        <v>9172</v>
      </c>
      <c r="L503" cm="1">
        <f t="array" ref="L503">wordCount(K503)</f>
        <v>4</v>
      </c>
      <c r="M503">
        <f t="shared" si="14"/>
        <v>20</v>
      </c>
      <c r="N503">
        <v>0.7</v>
      </c>
      <c r="O503" s="23" cm="1">
        <f t="array" ref="O503">WordListCount(K503,keywords!$A$2:$A$31)-WordListCount(K503,keywords!$B$2:$B$31)</f>
        <v>0</v>
      </c>
      <c r="P503" s="25">
        <f t="shared" si="15"/>
        <v>0.56084490740740744</v>
      </c>
      <c r="Q503" s="23">
        <f>SUM($O$2:O503)</f>
        <v>9</v>
      </c>
      <c r="Y503" s="14"/>
      <c r="Z503" s="13"/>
      <c r="AA503"/>
    </row>
    <row r="504" spans="1:27" x14ac:dyDescent="0.2">
      <c r="A504" s="12" t="s">
        <v>1654</v>
      </c>
      <c r="B504" t="s">
        <v>1655</v>
      </c>
      <c r="C504" t="s">
        <v>241</v>
      </c>
      <c r="D504" t="s">
        <v>242</v>
      </c>
      <c r="E504" t="s">
        <v>13</v>
      </c>
      <c r="F504">
        <v>9227</v>
      </c>
      <c r="G504">
        <v>7170</v>
      </c>
      <c r="H504" s="5" t="s">
        <v>22</v>
      </c>
      <c r="I504" s="5">
        <v>0</v>
      </c>
      <c r="J504" s="5">
        <v>0</v>
      </c>
      <c r="K504" t="s">
        <v>9173</v>
      </c>
      <c r="L504" cm="1">
        <f t="array" ref="L504">wordCount(K504)</f>
        <v>11</v>
      </c>
      <c r="M504">
        <f t="shared" si="14"/>
        <v>50</v>
      </c>
      <c r="N504">
        <v>0.18181818181818182</v>
      </c>
      <c r="O504" s="23" cm="1">
        <f t="array" ref="O504">WordListCount(K504,keywords!$A$2:$A$31)-WordListCount(K504,keywords!$B$2:$B$31)</f>
        <v>0</v>
      </c>
      <c r="P504" s="25">
        <f t="shared" si="15"/>
        <v>0.56135416666666671</v>
      </c>
      <c r="Q504" s="23">
        <f>SUM($O$2:O504)</f>
        <v>9</v>
      </c>
      <c r="Y504" s="14"/>
      <c r="Z504" s="13"/>
      <c r="AA504"/>
    </row>
    <row r="505" spans="1:27" x14ac:dyDescent="0.2">
      <c r="A505" s="12" t="s">
        <v>1656</v>
      </c>
      <c r="B505" t="s">
        <v>1657</v>
      </c>
      <c r="C505" t="s">
        <v>1658</v>
      </c>
      <c r="D505" t="s">
        <v>902</v>
      </c>
      <c r="E505" t="s">
        <v>13</v>
      </c>
      <c r="F505">
        <v>31</v>
      </c>
      <c r="G505">
        <v>106</v>
      </c>
      <c r="H505" s="5" t="s">
        <v>22</v>
      </c>
      <c r="I505" s="5">
        <v>0</v>
      </c>
      <c r="J505" s="5">
        <v>0</v>
      </c>
      <c r="K505" t="s">
        <v>10218</v>
      </c>
      <c r="L505" cm="1">
        <f t="array" ref="L505">wordCount(K505)</f>
        <v>7</v>
      </c>
      <c r="M505">
        <f t="shared" si="14"/>
        <v>37</v>
      </c>
      <c r="N505">
        <v>0.4</v>
      </c>
      <c r="O505" s="23" cm="1">
        <f t="array" ref="O505">WordListCount(K505,keywords!$A$2:$A$31)-WordListCount(K505,keywords!$B$2:$B$31)</f>
        <v>-1</v>
      </c>
      <c r="P505" s="25">
        <f t="shared" si="15"/>
        <v>0.56148148148148147</v>
      </c>
      <c r="Q505" s="23">
        <f>SUM($O$2:O505)</f>
        <v>8</v>
      </c>
      <c r="Y505" s="14"/>
      <c r="Z505" s="13"/>
      <c r="AA505"/>
    </row>
    <row r="506" spans="1:27" x14ac:dyDescent="0.2">
      <c r="A506" s="12" t="s">
        <v>1659</v>
      </c>
      <c r="B506" t="s">
        <v>1660</v>
      </c>
      <c r="C506" t="s">
        <v>1661</v>
      </c>
      <c r="D506" t="s">
        <v>12</v>
      </c>
      <c r="E506" t="s">
        <v>13</v>
      </c>
      <c r="F506">
        <v>16</v>
      </c>
      <c r="G506">
        <v>41</v>
      </c>
      <c r="H506" s="5" t="s">
        <v>14</v>
      </c>
      <c r="I506" s="5">
        <v>0</v>
      </c>
      <c r="J506" s="5">
        <v>0</v>
      </c>
      <c r="K506" t="s">
        <v>9174</v>
      </c>
      <c r="L506" cm="1">
        <f t="array" ref="L506">wordCount(K506)</f>
        <v>11</v>
      </c>
      <c r="M506">
        <f t="shared" si="14"/>
        <v>50</v>
      </c>
      <c r="N506">
        <v>0.68421052631578949</v>
      </c>
      <c r="O506" s="23" cm="1">
        <f t="array" ref="O506">WordListCount(K506,keywords!$A$2:$A$31)-WordListCount(K506,keywords!$B$2:$B$31)</f>
        <v>0</v>
      </c>
      <c r="P506" s="25">
        <f t="shared" si="15"/>
        <v>0.56150462962962966</v>
      </c>
      <c r="Q506" s="23">
        <f>SUM($O$2:O506)</f>
        <v>8</v>
      </c>
      <c r="Y506" s="14"/>
      <c r="Z506" s="13"/>
      <c r="AA506"/>
    </row>
    <row r="507" spans="1:27" x14ac:dyDescent="0.2">
      <c r="A507" s="12" t="s">
        <v>1662</v>
      </c>
      <c r="B507" t="s">
        <v>1663</v>
      </c>
      <c r="C507" t="s">
        <v>1664</v>
      </c>
      <c r="D507" t="s">
        <v>12</v>
      </c>
      <c r="E507" t="s">
        <v>13</v>
      </c>
      <c r="F507">
        <v>15</v>
      </c>
      <c r="G507">
        <v>196</v>
      </c>
      <c r="H507" s="5" t="s">
        <v>22</v>
      </c>
      <c r="I507" s="5">
        <v>0</v>
      </c>
      <c r="J507" s="5">
        <v>0</v>
      </c>
      <c r="K507" t="s">
        <v>9175</v>
      </c>
      <c r="L507" cm="1">
        <f t="array" ref="L507">wordCount(K507)</f>
        <v>1</v>
      </c>
      <c r="M507">
        <f t="shared" si="14"/>
        <v>7</v>
      </c>
      <c r="N507">
        <v>0.9285714285714286</v>
      </c>
      <c r="O507" s="23" cm="1">
        <f t="array" ref="O507">WordListCount(K507,keywords!$A$2:$A$31)-WordListCount(K507,keywords!$B$2:$B$31)</f>
        <v>0</v>
      </c>
      <c r="P507" s="25">
        <f t="shared" si="15"/>
        <v>0.56180555555555556</v>
      </c>
      <c r="Q507" s="23">
        <f>SUM($O$2:O507)</f>
        <v>8</v>
      </c>
      <c r="Y507" s="14"/>
      <c r="Z507" s="13"/>
      <c r="AA507"/>
    </row>
    <row r="508" spans="1:27" x14ac:dyDescent="0.2">
      <c r="A508" s="12" t="s">
        <v>1665</v>
      </c>
      <c r="B508" t="s">
        <v>1666</v>
      </c>
      <c r="C508" t="s">
        <v>1667</v>
      </c>
      <c r="D508" t="s">
        <v>1668</v>
      </c>
      <c r="E508" t="s">
        <v>13</v>
      </c>
      <c r="F508">
        <v>38</v>
      </c>
      <c r="G508">
        <v>122</v>
      </c>
      <c r="H508" s="5" t="s">
        <v>22</v>
      </c>
      <c r="I508" s="5">
        <v>0</v>
      </c>
      <c r="J508" s="5">
        <v>0</v>
      </c>
      <c r="K508" t="s">
        <v>10219</v>
      </c>
      <c r="L508" cm="1">
        <f t="array" ref="L508">wordCount(K508)</f>
        <v>17</v>
      </c>
      <c r="M508">
        <f t="shared" si="14"/>
        <v>92</v>
      </c>
      <c r="N508">
        <v>0.61538461538461542</v>
      </c>
      <c r="O508" s="23" cm="1">
        <f t="array" ref="O508">WordListCount(K508,keywords!$A$2:$A$31)-WordListCount(K508,keywords!$B$2:$B$31)</f>
        <v>0</v>
      </c>
      <c r="P508" s="25">
        <f t="shared" si="15"/>
        <v>0.56207175925925923</v>
      </c>
      <c r="Q508" s="23">
        <f>SUM($O$2:O508)</f>
        <v>8</v>
      </c>
      <c r="Y508" s="14"/>
      <c r="Z508" s="13"/>
      <c r="AA508"/>
    </row>
    <row r="509" spans="1:27" x14ac:dyDescent="0.2">
      <c r="A509" s="12" t="s">
        <v>1669</v>
      </c>
      <c r="B509" t="s">
        <v>1670</v>
      </c>
      <c r="C509" t="s">
        <v>1671</v>
      </c>
      <c r="D509" t="s">
        <v>12</v>
      </c>
      <c r="E509" t="s">
        <v>13</v>
      </c>
      <c r="F509">
        <v>99</v>
      </c>
      <c r="G509">
        <v>9</v>
      </c>
      <c r="H509" s="5" t="s">
        <v>22</v>
      </c>
      <c r="I509" s="5">
        <v>0</v>
      </c>
      <c r="J509" s="5">
        <v>0</v>
      </c>
      <c r="K509" t="s">
        <v>10220</v>
      </c>
      <c r="L509" cm="1">
        <f t="array" ref="L509">wordCount(K509)</f>
        <v>7</v>
      </c>
      <c r="M509">
        <f t="shared" si="14"/>
        <v>39</v>
      </c>
      <c r="N509">
        <v>0.85185185185185186</v>
      </c>
      <c r="O509" s="23" cm="1">
        <f t="array" ref="O509">WordListCount(K509,keywords!$A$2:$A$31)-WordListCount(K509,keywords!$B$2:$B$31)</f>
        <v>1</v>
      </c>
      <c r="P509" s="25">
        <f t="shared" si="15"/>
        <v>0.56208333333333338</v>
      </c>
      <c r="Q509" s="23">
        <f>SUM($O$2:O509)</f>
        <v>9</v>
      </c>
      <c r="Y509" s="14"/>
      <c r="Z509" s="13"/>
      <c r="AA509"/>
    </row>
    <row r="510" spans="1:27" x14ac:dyDescent="0.2">
      <c r="A510" s="12" t="s">
        <v>1672</v>
      </c>
      <c r="B510" t="s">
        <v>1673</v>
      </c>
      <c r="C510" t="s">
        <v>1674</v>
      </c>
      <c r="D510" t="s">
        <v>1675</v>
      </c>
      <c r="E510" t="s">
        <v>13</v>
      </c>
      <c r="F510">
        <v>3944</v>
      </c>
      <c r="G510">
        <v>848</v>
      </c>
      <c r="H510" s="5" t="s">
        <v>22</v>
      </c>
      <c r="I510" s="5">
        <v>0</v>
      </c>
      <c r="J510" s="5">
        <v>0</v>
      </c>
      <c r="K510" t="s">
        <v>9176</v>
      </c>
      <c r="L510" cm="1">
        <f t="array" ref="L510">wordCount(K510)</f>
        <v>8</v>
      </c>
      <c r="M510">
        <f t="shared" si="14"/>
        <v>44</v>
      </c>
      <c r="N510">
        <v>0.6470588235294118</v>
      </c>
      <c r="O510" s="23" cm="1">
        <f t="array" ref="O510">WordListCount(K510,keywords!$A$2:$A$31)-WordListCount(K510,keywords!$B$2:$B$31)</f>
        <v>0</v>
      </c>
      <c r="P510" s="25">
        <f t="shared" si="15"/>
        <v>0.56215277777777783</v>
      </c>
      <c r="Q510" s="23">
        <f>SUM($O$2:O510)</f>
        <v>9</v>
      </c>
      <c r="Y510" s="14"/>
      <c r="Z510" s="13"/>
      <c r="AA510"/>
    </row>
    <row r="511" spans="1:27" x14ac:dyDescent="0.2">
      <c r="A511" s="12" t="s">
        <v>1676</v>
      </c>
      <c r="B511" t="s">
        <v>1677</v>
      </c>
      <c r="C511" t="s">
        <v>306</v>
      </c>
      <c r="D511" t="s">
        <v>307</v>
      </c>
      <c r="E511" t="s">
        <v>13</v>
      </c>
      <c r="F511">
        <v>228</v>
      </c>
      <c r="G511">
        <v>1</v>
      </c>
      <c r="H511" s="5" t="s">
        <v>22</v>
      </c>
      <c r="I511" s="5">
        <v>0</v>
      </c>
      <c r="J511" s="5">
        <v>0</v>
      </c>
      <c r="K511" t="s">
        <v>9177</v>
      </c>
      <c r="L511" cm="1">
        <f t="array" ref="L511">wordCount(K511)</f>
        <v>7</v>
      </c>
      <c r="M511">
        <f t="shared" si="14"/>
        <v>104</v>
      </c>
      <c r="N511">
        <v>0.53846153846153844</v>
      </c>
      <c r="O511" s="23" cm="1">
        <f t="array" ref="O511">WordListCount(K511,keywords!$A$2:$A$31)-WordListCount(K511,keywords!$B$2:$B$31)</f>
        <v>0</v>
      </c>
      <c r="P511" s="25">
        <f t="shared" si="15"/>
        <v>0.56252314814814819</v>
      </c>
      <c r="Q511" s="23">
        <f>SUM($O$2:O511)</f>
        <v>9</v>
      </c>
      <c r="Y511" s="14"/>
      <c r="Z511" s="13"/>
      <c r="AA511"/>
    </row>
    <row r="512" spans="1:27" x14ac:dyDescent="0.2">
      <c r="A512" s="12" t="s">
        <v>1678</v>
      </c>
      <c r="B512" t="s">
        <v>1679</v>
      </c>
      <c r="C512" t="s">
        <v>1680</v>
      </c>
      <c r="D512" t="s">
        <v>12</v>
      </c>
      <c r="E512" t="s">
        <v>13</v>
      </c>
      <c r="F512">
        <v>0</v>
      </c>
      <c r="G512">
        <v>46</v>
      </c>
      <c r="H512" s="5" t="s">
        <v>22</v>
      </c>
      <c r="I512" s="5">
        <v>0</v>
      </c>
      <c r="J512" s="5">
        <v>0</v>
      </c>
      <c r="K512" t="s">
        <v>9178</v>
      </c>
      <c r="L512" cm="1">
        <f t="array" ref="L512">wordCount(K512)</f>
        <v>14</v>
      </c>
      <c r="M512">
        <f t="shared" si="14"/>
        <v>70</v>
      </c>
      <c r="N512">
        <v>0.3125</v>
      </c>
      <c r="O512" s="23" cm="1">
        <f t="array" ref="O512">WordListCount(K512,keywords!$A$2:$A$31)-WordListCount(K512,keywords!$B$2:$B$31)</f>
        <v>1</v>
      </c>
      <c r="P512" s="25">
        <f t="shared" si="15"/>
        <v>0.56255787037037031</v>
      </c>
      <c r="Q512" s="23">
        <f>SUM($O$2:O512)</f>
        <v>10</v>
      </c>
      <c r="Y512" s="14"/>
      <c r="Z512" s="13"/>
      <c r="AA512"/>
    </row>
    <row r="513" spans="1:27" x14ac:dyDescent="0.2">
      <c r="A513" s="12" t="s">
        <v>1681</v>
      </c>
      <c r="B513" t="s">
        <v>1682</v>
      </c>
      <c r="C513" t="s">
        <v>511</v>
      </c>
      <c r="D513" t="s">
        <v>512</v>
      </c>
      <c r="E513" t="s">
        <v>13</v>
      </c>
      <c r="F513">
        <v>1899</v>
      </c>
      <c r="G513">
        <v>540</v>
      </c>
      <c r="H513" s="5" t="s">
        <v>22</v>
      </c>
      <c r="I513" s="5">
        <v>0</v>
      </c>
      <c r="J513" s="5">
        <v>0</v>
      </c>
      <c r="K513" t="s">
        <v>9179</v>
      </c>
      <c r="L513" cm="1">
        <f t="array" ref="L513">wordCount(K513)</f>
        <v>11</v>
      </c>
      <c r="M513">
        <f t="shared" si="14"/>
        <v>55</v>
      </c>
      <c r="N513">
        <v>0.90909090909090906</v>
      </c>
      <c r="O513" s="23" cm="1">
        <f t="array" ref="O513">WordListCount(K513,keywords!$A$2:$A$31)-WordListCount(K513,keywords!$B$2:$B$31)</f>
        <v>0</v>
      </c>
      <c r="P513" s="25">
        <f t="shared" si="15"/>
        <v>0.56256944444444446</v>
      </c>
      <c r="Q513" s="23">
        <f>SUM($O$2:O513)</f>
        <v>10</v>
      </c>
      <c r="Y513" s="14"/>
      <c r="Z513" s="13"/>
      <c r="AA513"/>
    </row>
    <row r="514" spans="1:27" x14ac:dyDescent="0.2">
      <c r="A514" s="12" t="s">
        <v>1683</v>
      </c>
      <c r="B514" t="s">
        <v>1684</v>
      </c>
      <c r="C514" t="s">
        <v>1685</v>
      </c>
      <c r="D514" t="s">
        <v>12</v>
      </c>
      <c r="E514" t="s">
        <v>13</v>
      </c>
      <c r="F514">
        <v>1035</v>
      </c>
      <c r="G514">
        <v>803</v>
      </c>
      <c r="H514" s="5" t="s">
        <v>22</v>
      </c>
      <c r="I514" s="5">
        <v>0</v>
      </c>
      <c r="J514" s="5">
        <v>0</v>
      </c>
      <c r="K514" t="s">
        <v>10221</v>
      </c>
      <c r="L514" cm="1">
        <f t="array" ref="L514">wordCount(K514)</f>
        <v>16</v>
      </c>
      <c r="M514">
        <f t="shared" ref="M514:M577" si="16">LEN(K514)</f>
        <v>81</v>
      </c>
      <c r="N514">
        <v>0.44444444444444442</v>
      </c>
      <c r="O514" s="23" cm="1">
        <f t="array" ref="O514">WordListCount(K514,keywords!$A$2:$A$31)-WordListCount(K514,keywords!$B$2:$B$31)</f>
        <v>0</v>
      </c>
      <c r="P514" s="25">
        <f t="shared" ref="P514:P577" si="17">TIMEVALUE(RIGHT(A514,8))</f>
        <v>0.56259259259259264</v>
      </c>
      <c r="Q514" s="23">
        <f>SUM($O$2:O514)</f>
        <v>10</v>
      </c>
      <c r="Y514" s="14"/>
      <c r="Z514" s="13"/>
      <c r="AA514"/>
    </row>
    <row r="515" spans="1:27" x14ac:dyDescent="0.2">
      <c r="A515" s="12" t="s">
        <v>1686</v>
      </c>
      <c r="B515" t="s">
        <v>1687</v>
      </c>
      <c r="C515" t="s">
        <v>1688</v>
      </c>
      <c r="D515" t="s">
        <v>12</v>
      </c>
      <c r="E515" t="s">
        <v>13</v>
      </c>
      <c r="F515">
        <v>54</v>
      </c>
      <c r="G515">
        <v>233</v>
      </c>
      <c r="H515" s="5" t="s">
        <v>1689</v>
      </c>
      <c r="I515" s="5">
        <v>0</v>
      </c>
      <c r="J515" s="5">
        <v>0</v>
      </c>
      <c r="K515" t="s">
        <v>10222</v>
      </c>
      <c r="L515" cm="1">
        <f t="array" ref="L515">wordCount(K515)</f>
        <v>7</v>
      </c>
      <c r="M515">
        <f t="shared" si="16"/>
        <v>32</v>
      </c>
      <c r="N515">
        <v>0.63157894736842102</v>
      </c>
      <c r="O515" s="23" cm="1">
        <f t="array" ref="O515">WordListCount(K515,keywords!$A$2:$A$31)-WordListCount(K515,keywords!$B$2:$B$31)</f>
        <v>0</v>
      </c>
      <c r="P515" s="25">
        <f t="shared" si="17"/>
        <v>0.56265046296296295</v>
      </c>
      <c r="Q515" s="23">
        <f>SUM($O$2:O515)</f>
        <v>10</v>
      </c>
      <c r="Y515" s="14"/>
      <c r="Z515" s="13"/>
      <c r="AA515"/>
    </row>
    <row r="516" spans="1:27" x14ac:dyDescent="0.2">
      <c r="A516" s="12" t="s">
        <v>1690</v>
      </c>
      <c r="B516" t="s">
        <v>1691</v>
      </c>
      <c r="C516" t="s">
        <v>1692</v>
      </c>
      <c r="D516" t="s">
        <v>1693</v>
      </c>
      <c r="E516" t="s">
        <v>13</v>
      </c>
      <c r="F516">
        <v>1310</v>
      </c>
      <c r="G516">
        <v>3065</v>
      </c>
      <c r="H516" s="5" t="s">
        <v>22</v>
      </c>
      <c r="I516" s="5">
        <v>0</v>
      </c>
      <c r="J516" s="5">
        <v>0</v>
      </c>
      <c r="K516" t="s">
        <v>10223</v>
      </c>
      <c r="L516" cm="1">
        <f t="array" ref="L516">wordCount(K516)</f>
        <v>14</v>
      </c>
      <c r="M516">
        <f t="shared" si="16"/>
        <v>74</v>
      </c>
      <c r="N516">
        <v>0.54166666666666663</v>
      </c>
      <c r="O516" s="23" cm="1">
        <f t="array" ref="O516">WordListCount(K516,keywords!$A$2:$A$31)-WordListCount(K516,keywords!$B$2:$B$31)</f>
        <v>1</v>
      </c>
      <c r="P516" s="25">
        <f t="shared" si="17"/>
        <v>0.56276620370370367</v>
      </c>
      <c r="Q516" s="23">
        <f>SUM($O$2:O516)</f>
        <v>11</v>
      </c>
      <c r="Y516" s="14"/>
      <c r="Z516" s="13"/>
      <c r="AA516"/>
    </row>
    <row r="517" spans="1:27" x14ac:dyDescent="0.2">
      <c r="A517" s="12" t="s">
        <v>1694</v>
      </c>
      <c r="B517" t="s">
        <v>1695</v>
      </c>
      <c r="C517" t="s">
        <v>1696</v>
      </c>
      <c r="D517" t="s">
        <v>1697</v>
      </c>
      <c r="E517" t="s">
        <v>13</v>
      </c>
      <c r="F517">
        <v>3197</v>
      </c>
      <c r="G517">
        <v>3321</v>
      </c>
      <c r="H517" s="5" t="s">
        <v>22</v>
      </c>
      <c r="I517" s="5">
        <v>0</v>
      </c>
      <c r="J517" s="5">
        <v>0</v>
      </c>
      <c r="K517" t="s">
        <v>10224</v>
      </c>
      <c r="L517" cm="1">
        <f t="array" ref="L517">wordCount(K517)</f>
        <v>11</v>
      </c>
      <c r="M517">
        <f t="shared" si="16"/>
        <v>53</v>
      </c>
      <c r="N517">
        <v>0.76923076923076927</v>
      </c>
      <c r="O517" s="23" cm="1">
        <f t="array" ref="O517">WordListCount(K517,keywords!$A$2:$A$31)-WordListCount(K517,keywords!$B$2:$B$31)</f>
        <v>0</v>
      </c>
      <c r="P517" s="25">
        <f t="shared" si="17"/>
        <v>0.56284722222222217</v>
      </c>
      <c r="Q517" s="23">
        <f>SUM($O$2:O517)</f>
        <v>11</v>
      </c>
      <c r="Y517" s="14"/>
      <c r="Z517" s="13"/>
      <c r="AA517"/>
    </row>
    <row r="518" spans="1:27" x14ac:dyDescent="0.2">
      <c r="A518" s="12" t="s">
        <v>1698</v>
      </c>
      <c r="B518" t="s">
        <v>1699</v>
      </c>
      <c r="C518" t="s">
        <v>1700</v>
      </c>
      <c r="D518" t="s">
        <v>1701</v>
      </c>
      <c r="E518" t="s">
        <v>13</v>
      </c>
      <c r="F518">
        <v>2715</v>
      </c>
      <c r="G518">
        <v>142</v>
      </c>
      <c r="H518" s="5" t="s">
        <v>22</v>
      </c>
      <c r="I518" s="5">
        <v>0</v>
      </c>
      <c r="J518" s="5">
        <v>0</v>
      </c>
      <c r="K518" t="s">
        <v>10225</v>
      </c>
      <c r="L518" cm="1">
        <f t="array" ref="L518">wordCount(K518)</f>
        <v>16</v>
      </c>
      <c r="M518">
        <f t="shared" si="16"/>
        <v>75</v>
      </c>
      <c r="N518">
        <v>0.35294117647058826</v>
      </c>
      <c r="O518" s="23" cm="1">
        <f t="array" ref="O518">WordListCount(K518,keywords!$A$2:$A$31)-WordListCount(K518,keywords!$B$2:$B$31)</f>
        <v>0</v>
      </c>
      <c r="P518" s="25">
        <f t="shared" si="17"/>
        <v>0.56291666666666662</v>
      </c>
      <c r="Q518" s="23">
        <f>SUM($O$2:O518)</f>
        <v>11</v>
      </c>
      <c r="Y518" s="14"/>
      <c r="Z518" s="13"/>
      <c r="AA518"/>
    </row>
    <row r="519" spans="1:27" x14ac:dyDescent="0.2">
      <c r="A519" s="12" t="s">
        <v>1702</v>
      </c>
      <c r="B519" t="s">
        <v>1703</v>
      </c>
      <c r="C519" t="s">
        <v>1704</v>
      </c>
      <c r="D519" t="s">
        <v>12</v>
      </c>
      <c r="E519" t="s">
        <v>13</v>
      </c>
      <c r="F519">
        <v>57</v>
      </c>
      <c r="G519">
        <v>108</v>
      </c>
      <c r="H519" s="5" t="s">
        <v>1705</v>
      </c>
      <c r="I519" s="5">
        <v>0</v>
      </c>
      <c r="J519" s="5">
        <v>0</v>
      </c>
      <c r="K519" t="s">
        <v>10226</v>
      </c>
      <c r="L519" cm="1">
        <f t="array" ref="L519">wordCount(K519)</f>
        <v>9</v>
      </c>
      <c r="M519">
        <f t="shared" si="16"/>
        <v>49</v>
      </c>
      <c r="N519">
        <v>0.65</v>
      </c>
      <c r="O519" s="23" cm="1">
        <f t="array" ref="O519">WordListCount(K519,keywords!$A$2:$A$31)-WordListCount(K519,keywords!$B$2:$B$31)</f>
        <v>0</v>
      </c>
      <c r="P519" s="25">
        <f t="shared" si="17"/>
        <v>0.56315972222222221</v>
      </c>
      <c r="Q519" s="23">
        <f>SUM($O$2:O519)</f>
        <v>11</v>
      </c>
      <c r="Y519" s="14"/>
      <c r="Z519" s="13"/>
      <c r="AA519"/>
    </row>
    <row r="520" spans="1:27" x14ac:dyDescent="0.2">
      <c r="A520" s="12" t="s">
        <v>1706</v>
      </c>
      <c r="B520" t="s">
        <v>1707</v>
      </c>
      <c r="C520" t="s">
        <v>1708</v>
      </c>
      <c r="D520" t="s">
        <v>1709</v>
      </c>
      <c r="E520" t="s">
        <v>13</v>
      </c>
      <c r="F520">
        <v>312</v>
      </c>
      <c r="G520">
        <v>402</v>
      </c>
      <c r="H520" s="5" t="s">
        <v>22</v>
      </c>
      <c r="I520" s="5">
        <v>0</v>
      </c>
      <c r="J520" s="5">
        <v>0</v>
      </c>
      <c r="K520" t="s">
        <v>9180</v>
      </c>
      <c r="L520" cm="1">
        <f t="array" ref="L520">wordCount(K520)</f>
        <v>17</v>
      </c>
      <c r="M520">
        <f t="shared" si="16"/>
        <v>83</v>
      </c>
      <c r="N520">
        <v>0.5</v>
      </c>
      <c r="O520" s="23" cm="1">
        <f t="array" ref="O520">WordListCount(K520,keywords!$A$2:$A$31)-WordListCount(K520,keywords!$B$2:$B$31)</f>
        <v>0</v>
      </c>
      <c r="P520" s="25">
        <f t="shared" si="17"/>
        <v>0.56328703703703698</v>
      </c>
      <c r="Q520" s="23">
        <f>SUM($O$2:O520)</f>
        <v>11</v>
      </c>
      <c r="Y520" s="14"/>
      <c r="Z520" s="13"/>
      <c r="AA520"/>
    </row>
    <row r="521" spans="1:27" x14ac:dyDescent="0.2">
      <c r="A521" s="12" t="s">
        <v>1710</v>
      </c>
      <c r="B521" t="s">
        <v>1711</v>
      </c>
      <c r="C521" t="s">
        <v>318</v>
      </c>
      <c r="D521" t="s">
        <v>319</v>
      </c>
      <c r="E521" t="s">
        <v>13</v>
      </c>
      <c r="F521">
        <v>51</v>
      </c>
      <c r="G521">
        <v>62</v>
      </c>
      <c r="H521" s="5" t="s">
        <v>22</v>
      </c>
      <c r="I521" s="5">
        <v>0</v>
      </c>
      <c r="J521" s="5">
        <v>0</v>
      </c>
      <c r="K521" t="s">
        <v>10227</v>
      </c>
      <c r="L521" cm="1">
        <f t="array" ref="L521">wordCount(K521)</f>
        <v>14</v>
      </c>
      <c r="M521">
        <f t="shared" si="16"/>
        <v>75</v>
      </c>
      <c r="N521">
        <v>0.82352941176470584</v>
      </c>
      <c r="O521" s="23" cm="1">
        <f t="array" ref="O521">WordListCount(K521,keywords!$A$2:$A$31)-WordListCount(K521,keywords!$B$2:$B$31)</f>
        <v>0</v>
      </c>
      <c r="P521" s="25">
        <f t="shared" si="17"/>
        <v>0.56334490740740739</v>
      </c>
      <c r="Q521" s="23">
        <f>SUM($O$2:O521)</f>
        <v>11</v>
      </c>
      <c r="Y521" s="14"/>
      <c r="Z521" s="13"/>
      <c r="AA521"/>
    </row>
    <row r="522" spans="1:27" x14ac:dyDescent="0.2">
      <c r="A522" s="12" t="s">
        <v>1712</v>
      </c>
      <c r="B522" t="s">
        <v>1713</v>
      </c>
      <c r="C522" t="s">
        <v>1714</v>
      </c>
      <c r="D522" t="s">
        <v>1715</v>
      </c>
      <c r="E522" t="s">
        <v>13</v>
      </c>
      <c r="F522">
        <v>950</v>
      </c>
      <c r="G522">
        <v>264</v>
      </c>
      <c r="H522" s="5" t="s">
        <v>22</v>
      </c>
      <c r="I522" s="5">
        <v>0</v>
      </c>
      <c r="J522" s="5">
        <v>0</v>
      </c>
      <c r="K522" t="s">
        <v>9181</v>
      </c>
      <c r="L522" cm="1">
        <f t="array" ref="L522">wordCount(K522)</f>
        <v>11</v>
      </c>
      <c r="M522">
        <f t="shared" si="16"/>
        <v>60</v>
      </c>
      <c r="N522">
        <v>0.58333333333333337</v>
      </c>
      <c r="O522" s="23" cm="1">
        <f t="array" ref="O522">WordListCount(K522,keywords!$A$2:$A$31)-WordListCount(K522,keywords!$B$2:$B$31)</f>
        <v>1</v>
      </c>
      <c r="P522" s="25">
        <f t="shared" si="17"/>
        <v>0.56335648148148143</v>
      </c>
      <c r="Q522" s="23">
        <f>SUM($O$2:O522)</f>
        <v>12</v>
      </c>
      <c r="Y522" s="14"/>
      <c r="Z522" s="13"/>
      <c r="AA522"/>
    </row>
    <row r="523" spans="1:27" x14ac:dyDescent="0.2">
      <c r="A523" s="12" t="s">
        <v>1716</v>
      </c>
      <c r="B523" t="s">
        <v>1717</v>
      </c>
      <c r="C523" t="s">
        <v>1718</v>
      </c>
      <c r="D523" t="s">
        <v>1719</v>
      </c>
      <c r="E523" t="s">
        <v>13</v>
      </c>
      <c r="F523">
        <v>4</v>
      </c>
      <c r="G523">
        <v>0</v>
      </c>
      <c r="H523" s="5" t="s">
        <v>22</v>
      </c>
      <c r="I523" s="5">
        <v>0</v>
      </c>
      <c r="J523" s="5">
        <v>0</v>
      </c>
      <c r="K523" t="s">
        <v>10228</v>
      </c>
      <c r="L523" cm="1">
        <f t="array" ref="L523">wordCount(K523)</f>
        <v>14</v>
      </c>
      <c r="M523">
        <f t="shared" si="16"/>
        <v>73</v>
      </c>
      <c r="N523">
        <v>0.68965517241379315</v>
      </c>
      <c r="O523" s="23" cm="1">
        <f t="array" ref="O523">WordListCount(K523,keywords!$A$2:$A$31)-WordListCount(K523,keywords!$B$2:$B$31)</f>
        <v>-1</v>
      </c>
      <c r="P523" s="25">
        <f t="shared" si="17"/>
        <v>0.56383101851851858</v>
      </c>
      <c r="Q523" s="23">
        <f>SUM($O$2:O523)</f>
        <v>11</v>
      </c>
      <c r="Y523" s="14"/>
      <c r="Z523" s="13"/>
      <c r="AA523"/>
    </row>
    <row r="524" spans="1:27" x14ac:dyDescent="0.2">
      <c r="A524" s="12" t="s">
        <v>1720</v>
      </c>
      <c r="B524" t="s">
        <v>1721</v>
      </c>
      <c r="C524" t="s">
        <v>1281</v>
      </c>
      <c r="D524" t="s">
        <v>1282</v>
      </c>
      <c r="E524" t="s">
        <v>13</v>
      </c>
      <c r="F524">
        <v>42</v>
      </c>
      <c r="G524">
        <v>122</v>
      </c>
      <c r="H524" s="5" t="s">
        <v>22</v>
      </c>
      <c r="I524" s="5">
        <v>0</v>
      </c>
      <c r="J524" s="5">
        <v>0</v>
      </c>
      <c r="K524" t="s">
        <v>9182</v>
      </c>
      <c r="L524" cm="1">
        <f t="array" ref="L524">wordCount(K524)</f>
        <v>7</v>
      </c>
      <c r="M524">
        <f t="shared" si="16"/>
        <v>31</v>
      </c>
      <c r="N524">
        <v>0.73684210526315785</v>
      </c>
      <c r="O524" s="23" cm="1">
        <f t="array" ref="O524">WordListCount(K524,keywords!$A$2:$A$31)-WordListCount(K524,keywords!$B$2:$B$31)</f>
        <v>0</v>
      </c>
      <c r="P524" s="25">
        <f t="shared" si="17"/>
        <v>0.56384259259259262</v>
      </c>
      <c r="Q524" s="23">
        <f>SUM($O$2:O524)</f>
        <v>11</v>
      </c>
      <c r="Y524" s="14"/>
      <c r="Z524" s="13"/>
      <c r="AA524"/>
    </row>
    <row r="525" spans="1:27" x14ac:dyDescent="0.2">
      <c r="A525" s="12" t="s">
        <v>1722</v>
      </c>
      <c r="B525" t="s">
        <v>1723</v>
      </c>
      <c r="C525" t="s">
        <v>1724</v>
      </c>
      <c r="D525" t="s">
        <v>12</v>
      </c>
      <c r="E525" t="s">
        <v>13</v>
      </c>
      <c r="F525">
        <v>289</v>
      </c>
      <c r="G525">
        <v>70</v>
      </c>
      <c r="H525" s="5" t="s">
        <v>22</v>
      </c>
      <c r="I525" s="5">
        <v>0</v>
      </c>
      <c r="J525" s="5">
        <v>0</v>
      </c>
      <c r="K525" t="s">
        <v>10229</v>
      </c>
      <c r="L525" cm="1">
        <f t="array" ref="L525">wordCount(K525)</f>
        <v>17</v>
      </c>
      <c r="M525">
        <f t="shared" si="16"/>
        <v>71</v>
      </c>
      <c r="N525">
        <v>0.5161290322580645</v>
      </c>
      <c r="O525" s="23" cm="1">
        <f t="array" ref="O525">WordListCount(K525,keywords!$A$2:$A$31)-WordListCount(K525,keywords!$B$2:$B$31)</f>
        <v>0</v>
      </c>
      <c r="P525" s="25">
        <f t="shared" si="17"/>
        <v>0.56385416666666666</v>
      </c>
      <c r="Q525" s="23">
        <f>SUM($O$2:O525)</f>
        <v>11</v>
      </c>
      <c r="Y525" s="14"/>
      <c r="Z525" s="13"/>
      <c r="AA525"/>
    </row>
    <row r="526" spans="1:27" x14ac:dyDescent="0.2">
      <c r="A526" s="12" t="s">
        <v>1725</v>
      </c>
      <c r="B526" t="s">
        <v>1726</v>
      </c>
      <c r="C526" t="s">
        <v>1727</v>
      </c>
      <c r="D526" t="s">
        <v>124</v>
      </c>
      <c r="E526" t="s">
        <v>13</v>
      </c>
      <c r="F526">
        <v>361</v>
      </c>
      <c r="G526">
        <v>1799</v>
      </c>
      <c r="H526" s="5" t="s">
        <v>22</v>
      </c>
      <c r="I526" s="5">
        <v>0</v>
      </c>
      <c r="J526" s="5">
        <v>0</v>
      </c>
      <c r="K526" t="s">
        <v>10230</v>
      </c>
      <c r="L526" cm="1">
        <f t="array" ref="L526">wordCount(K526)</f>
        <v>24</v>
      </c>
      <c r="M526">
        <f t="shared" si="16"/>
        <v>124</v>
      </c>
      <c r="N526">
        <v>0.56097560975609762</v>
      </c>
      <c r="O526" s="23" cm="1">
        <f t="array" ref="O526">WordListCount(K526,keywords!$A$2:$A$31)-WordListCount(K526,keywords!$B$2:$B$31)</f>
        <v>2</v>
      </c>
      <c r="P526" s="25">
        <f t="shared" si="17"/>
        <v>0.56400462962962961</v>
      </c>
      <c r="Q526" s="23">
        <f>SUM($O$2:O526)</f>
        <v>13</v>
      </c>
      <c r="Y526" s="14"/>
      <c r="Z526" s="13"/>
      <c r="AA526"/>
    </row>
    <row r="527" spans="1:27" x14ac:dyDescent="0.2">
      <c r="A527" s="12" t="s">
        <v>1728</v>
      </c>
      <c r="B527" t="s">
        <v>1729</v>
      </c>
      <c r="C527" t="s">
        <v>1730</v>
      </c>
      <c r="D527" t="s">
        <v>12</v>
      </c>
      <c r="E527" t="s">
        <v>13</v>
      </c>
      <c r="F527">
        <v>4336</v>
      </c>
      <c r="G527">
        <v>3251</v>
      </c>
      <c r="H527" s="5" t="s">
        <v>14</v>
      </c>
      <c r="I527" s="5">
        <v>0</v>
      </c>
      <c r="J527" s="5">
        <v>0</v>
      </c>
      <c r="K527" t="s">
        <v>9183</v>
      </c>
      <c r="L527" cm="1">
        <f t="array" ref="L527">wordCount(K527)</f>
        <v>12</v>
      </c>
      <c r="M527">
        <f t="shared" si="16"/>
        <v>74</v>
      </c>
      <c r="N527">
        <v>0.65384615384615385</v>
      </c>
      <c r="O527" s="23" cm="1">
        <f t="array" ref="O527">WordListCount(K527,keywords!$A$2:$A$31)-WordListCount(K527,keywords!$B$2:$B$31)</f>
        <v>0</v>
      </c>
      <c r="P527" s="25">
        <f t="shared" si="17"/>
        <v>0.56406250000000002</v>
      </c>
      <c r="Q527" s="23">
        <f>SUM($O$2:O527)</f>
        <v>13</v>
      </c>
      <c r="Y527" s="14"/>
      <c r="Z527" s="13"/>
      <c r="AA527"/>
    </row>
    <row r="528" spans="1:27" x14ac:dyDescent="0.2">
      <c r="A528" s="12" t="s">
        <v>1731</v>
      </c>
      <c r="B528" t="s">
        <v>1732</v>
      </c>
      <c r="C528" t="s">
        <v>1733</v>
      </c>
      <c r="D528" t="s">
        <v>12</v>
      </c>
      <c r="E528" t="s">
        <v>13</v>
      </c>
      <c r="F528">
        <v>1039</v>
      </c>
      <c r="G528">
        <v>638</v>
      </c>
      <c r="H528" s="5" t="s">
        <v>22</v>
      </c>
      <c r="I528" s="5">
        <v>0</v>
      </c>
      <c r="J528" s="5">
        <v>0</v>
      </c>
      <c r="K528" t="s">
        <v>10231</v>
      </c>
      <c r="L528" cm="1">
        <f t="array" ref="L528">wordCount(K528)</f>
        <v>15</v>
      </c>
      <c r="M528">
        <f t="shared" si="16"/>
        <v>78</v>
      </c>
      <c r="N528">
        <v>0.6</v>
      </c>
      <c r="O528" s="23" cm="1">
        <f t="array" ref="O528">WordListCount(K528,keywords!$A$2:$A$31)-WordListCount(K528,keywords!$B$2:$B$31)</f>
        <v>0</v>
      </c>
      <c r="P528" s="25">
        <f t="shared" si="17"/>
        <v>0.56414351851851852</v>
      </c>
      <c r="Q528" s="23">
        <f>SUM($O$2:O528)</f>
        <v>13</v>
      </c>
      <c r="Y528" s="14"/>
      <c r="Z528" s="13"/>
      <c r="AA528"/>
    </row>
    <row r="529" spans="1:27" x14ac:dyDescent="0.2">
      <c r="A529" s="12" t="s">
        <v>1734</v>
      </c>
      <c r="B529" t="s">
        <v>1735</v>
      </c>
      <c r="C529" t="s">
        <v>1736</v>
      </c>
      <c r="D529" t="s">
        <v>1737</v>
      </c>
      <c r="E529" t="s">
        <v>13</v>
      </c>
      <c r="F529">
        <v>53</v>
      </c>
      <c r="G529">
        <v>210</v>
      </c>
      <c r="H529" s="5" t="s">
        <v>22</v>
      </c>
      <c r="I529" s="5">
        <v>0</v>
      </c>
      <c r="J529" s="5">
        <v>0</v>
      </c>
      <c r="K529" t="s">
        <v>10232</v>
      </c>
      <c r="L529" cm="1">
        <f t="array" ref="L529">wordCount(K529)</f>
        <v>11</v>
      </c>
      <c r="M529">
        <f t="shared" si="16"/>
        <v>49</v>
      </c>
      <c r="N529">
        <v>0.78947368421052633</v>
      </c>
      <c r="O529" s="23" cm="1">
        <f t="array" ref="O529">WordListCount(K529,keywords!$A$2:$A$31)-WordListCount(K529,keywords!$B$2:$B$31)</f>
        <v>0</v>
      </c>
      <c r="P529" s="25">
        <f t="shared" si="17"/>
        <v>0.56444444444444442</v>
      </c>
      <c r="Q529" s="23">
        <f>SUM($O$2:O529)</f>
        <v>13</v>
      </c>
      <c r="Y529" s="14"/>
      <c r="Z529" s="13"/>
      <c r="AA529"/>
    </row>
    <row r="530" spans="1:27" x14ac:dyDescent="0.2">
      <c r="A530" s="12" t="s">
        <v>1738</v>
      </c>
      <c r="B530" t="s">
        <v>1739</v>
      </c>
      <c r="C530" t="s">
        <v>1740</v>
      </c>
      <c r="D530" t="s">
        <v>1741</v>
      </c>
      <c r="E530" t="s">
        <v>13</v>
      </c>
      <c r="F530">
        <v>417</v>
      </c>
      <c r="G530">
        <v>74</v>
      </c>
      <c r="H530" s="5" t="s">
        <v>22</v>
      </c>
      <c r="I530" s="5">
        <v>0</v>
      </c>
      <c r="J530" s="5">
        <v>0</v>
      </c>
      <c r="K530" t="s">
        <v>10233</v>
      </c>
      <c r="L530" cm="1">
        <f t="array" ref="L530">wordCount(K530)</f>
        <v>8</v>
      </c>
      <c r="M530">
        <f t="shared" si="16"/>
        <v>44</v>
      </c>
      <c r="N530">
        <v>0.6875</v>
      </c>
      <c r="O530" s="23" cm="1">
        <f t="array" ref="O530">WordListCount(K530,keywords!$A$2:$A$31)-WordListCount(K530,keywords!$B$2:$B$31)</f>
        <v>0</v>
      </c>
      <c r="P530" s="25">
        <f t="shared" si="17"/>
        <v>0.56450231481481483</v>
      </c>
      <c r="Q530" s="23">
        <f>SUM($O$2:O530)</f>
        <v>13</v>
      </c>
      <c r="Y530" s="14"/>
      <c r="Z530" s="13"/>
      <c r="AA530"/>
    </row>
    <row r="531" spans="1:27" x14ac:dyDescent="0.2">
      <c r="A531" s="12" t="s">
        <v>1742</v>
      </c>
      <c r="B531" t="s">
        <v>1743</v>
      </c>
      <c r="C531" t="s">
        <v>1744</v>
      </c>
      <c r="D531" t="s">
        <v>1745</v>
      </c>
      <c r="E531" t="s">
        <v>13</v>
      </c>
      <c r="F531">
        <v>82</v>
      </c>
      <c r="G531">
        <v>32</v>
      </c>
      <c r="H531" s="5" t="s">
        <v>22</v>
      </c>
      <c r="I531" s="5">
        <v>0</v>
      </c>
      <c r="J531" s="5">
        <v>0</v>
      </c>
      <c r="K531" t="s">
        <v>9184</v>
      </c>
      <c r="L531" cm="1">
        <f t="array" ref="L531">wordCount(K531)</f>
        <v>10</v>
      </c>
      <c r="M531">
        <f t="shared" si="16"/>
        <v>55</v>
      </c>
      <c r="N531">
        <v>0.25</v>
      </c>
      <c r="O531" s="23" cm="1">
        <f t="array" ref="O531">WordListCount(K531,keywords!$A$2:$A$31)-WordListCount(K531,keywords!$B$2:$B$31)</f>
        <v>0</v>
      </c>
      <c r="P531" s="25">
        <f t="shared" si="17"/>
        <v>0.56478009259259265</v>
      </c>
      <c r="Q531" s="23">
        <f>SUM($O$2:O531)</f>
        <v>13</v>
      </c>
      <c r="Y531" s="14"/>
      <c r="Z531" s="13"/>
      <c r="AA531"/>
    </row>
    <row r="532" spans="1:27" x14ac:dyDescent="0.2">
      <c r="A532" s="12" t="s">
        <v>1746</v>
      </c>
      <c r="B532" t="s">
        <v>1747</v>
      </c>
      <c r="C532" t="s">
        <v>1748</v>
      </c>
      <c r="D532" t="s">
        <v>12</v>
      </c>
      <c r="E532" t="s">
        <v>13</v>
      </c>
      <c r="F532">
        <v>25</v>
      </c>
      <c r="G532">
        <v>290</v>
      </c>
      <c r="H532" s="5" t="s">
        <v>22</v>
      </c>
      <c r="I532" s="5">
        <v>0</v>
      </c>
      <c r="J532" s="5">
        <v>0</v>
      </c>
      <c r="K532" t="s">
        <v>9185</v>
      </c>
      <c r="L532" cm="1">
        <f t="array" ref="L532">wordCount(K532)</f>
        <v>13</v>
      </c>
      <c r="M532">
        <f t="shared" si="16"/>
        <v>71</v>
      </c>
      <c r="N532">
        <v>0.41176470588235292</v>
      </c>
      <c r="O532" s="23" cm="1">
        <f t="array" ref="O532">WordListCount(K532,keywords!$A$2:$A$31)-WordListCount(K532,keywords!$B$2:$B$31)</f>
        <v>0</v>
      </c>
      <c r="P532" s="25">
        <f t="shared" si="17"/>
        <v>0.56484953703703711</v>
      </c>
      <c r="Q532" s="23">
        <f>SUM($O$2:O532)</f>
        <v>13</v>
      </c>
      <c r="Y532" s="14"/>
      <c r="Z532" s="13"/>
      <c r="AA532"/>
    </row>
    <row r="533" spans="1:27" x14ac:dyDescent="0.2">
      <c r="A533" s="12" t="s">
        <v>1749</v>
      </c>
      <c r="B533" t="s">
        <v>1750</v>
      </c>
      <c r="C533" t="s">
        <v>1751</v>
      </c>
      <c r="D533" t="s">
        <v>1752</v>
      </c>
      <c r="E533" t="s">
        <v>13</v>
      </c>
      <c r="F533">
        <v>255</v>
      </c>
      <c r="G533">
        <v>777</v>
      </c>
      <c r="H533" s="5" t="s">
        <v>22</v>
      </c>
      <c r="I533" s="5">
        <v>0</v>
      </c>
      <c r="J533" s="5">
        <v>0</v>
      </c>
      <c r="K533" t="s">
        <v>10234</v>
      </c>
      <c r="L533" cm="1">
        <f t="array" ref="L533">wordCount(K533)</f>
        <v>15</v>
      </c>
      <c r="M533">
        <f t="shared" si="16"/>
        <v>64</v>
      </c>
      <c r="N533">
        <v>0.65384615384615385</v>
      </c>
      <c r="O533" s="23" cm="1">
        <f t="array" ref="O533">WordListCount(K533,keywords!$A$2:$A$31)-WordListCount(K533,keywords!$B$2:$B$31)</f>
        <v>1</v>
      </c>
      <c r="P533" s="25">
        <f t="shared" si="17"/>
        <v>0.56519675925925927</v>
      </c>
      <c r="Q533" s="23">
        <f>SUM($O$2:O533)</f>
        <v>14</v>
      </c>
      <c r="Y533" s="14"/>
      <c r="Z533" s="13"/>
      <c r="AA533"/>
    </row>
    <row r="534" spans="1:27" x14ac:dyDescent="0.2">
      <c r="A534" s="12" t="s">
        <v>1753</v>
      </c>
      <c r="B534" t="s">
        <v>1754</v>
      </c>
      <c r="C534" t="s">
        <v>1755</v>
      </c>
      <c r="D534" t="s">
        <v>12</v>
      </c>
      <c r="E534" t="s">
        <v>13</v>
      </c>
      <c r="F534">
        <v>19</v>
      </c>
      <c r="G534">
        <v>28</v>
      </c>
      <c r="H534" s="5" t="s">
        <v>22</v>
      </c>
      <c r="I534" s="5">
        <v>0</v>
      </c>
      <c r="J534" s="5">
        <v>0</v>
      </c>
      <c r="K534" t="s">
        <v>10235</v>
      </c>
      <c r="L534" cm="1">
        <f t="array" ref="L534">wordCount(K534)</f>
        <v>6</v>
      </c>
      <c r="M534">
        <f t="shared" si="16"/>
        <v>23</v>
      </c>
      <c r="N534">
        <v>0.54545454545454541</v>
      </c>
      <c r="O534" s="23" cm="1">
        <f t="array" ref="O534">WordListCount(K534,keywords!$A$2:$A$31)-WordListCount(K534,keywords!$B$2:$B$31)</f>
        <v>0</v>
      </c>
      <c r="P534" s="25">
        <f t="shared" si="17"/>
        <v>0.56530092592592596</v>
      </c>
      <c r="Q534" s="23">
        <f>SUM($O$2:O534)</f>
        <v>14</v>
      </c>
      <c r="Y534" s="14"/>
      <c r="Z534" s="13"/>
      <c r="AA534"/>
    </row>
    <row r="535" spans="1:27" x14ac:dyDescent="0.2">
      <c r="A535" s="12" t="s">
        <v>1756</v>
      </c>
      <c r="B535" t="s">
        <v>1757</v>
      </c>
      <c r="C535" t="s">
        <v>1751</v>
      </c>
      <c r="D535" t="s">
        <v>1752</v>
      </c>
      <c r="E535" t="s">
        <v>13</v>
      </c>
      <c r="F535">
        <v>255</v>
      </c>
      <c r="G535">
        <v>777</v>
      </c>
      <c r="H535" s="5" t="s">
        <v>22</v>
      </c>
      <c r="I535" s="5">
        <v>0</v>
      </c>
      <c r="J535" s="5">
        <v>0</v>
      </c>
      <c r="K535" t="s">
        <v>10236</v>
      </c>
      <c r="L535" cm="1">
        <f t="array" ref="L535">wordCount(K535)</f>
        <v>12</v>
      </c>
      <c r="M535">
        <f t="shared" si="16"/>
        <v>41</v>
      </c>
      <c r="N535">
        <v>0.78947368421052633</v>
      </c>
      <c r="O535" s="23" cm="1">
        <f t="array" ref="O535">WordListCount(K535,keywords!$A$2:$A$31)-WordListCount(K535,keywords!$B$2:$B$31)</f>
        <v>3</v>
      </c>
      <c r="P535" s="25">
        <f t="shared" si="17"/>
        <v>0.56585648148148149</v>
      </c>
      <c r="Q535" s="23">
        <f>SUM($O$2:O535)</f>
        <v>17</v>
      </c>
      <c r="Y535" s="14"/>
      <c r="Z535" s="13"/>
      <c r="AA535"/>
    </row>
    <row r="536" spans="1:27" x14ac:dyDescent="0.2">
      <c r="A536" s="12" t="s">
        <v>1758</v>
      </c>
      <c r="B536" t="s">
        <v>1759</v>
      </c>
      <c r="C536" t="s">
        <v>205</v>
      </c>
      <c r="D536" t="s">
        <v>12</v>
      </c>
      <c r="E536" t="s">
        <v>13</v>
      </c>
      <c r="F536">
        <v>2867</v>
      </c>
      <c r="G536">
        <v>6</v>
      </c>
      <c r="H536" s="5" t="s">
        <v>22</v>
      </c>
      <c r="I536" s="5">
        <v>0</v>
      </c>
      <c r="J536" s="5">
        <v>0</v>
      </c>
      <c r="K536" t="s">
        <v>9186</v>
      </c>
      <c r="L536" cm="1">
        <f t="array" ref="L536">wordCount(K536)</f>
        <v>8</v>
      </c>
      <c r="M536">
        <f t="shared" si="16"/>
        <v>55</v>
      </c>
      <c r="N536">
        <v>0.77777777777777779</v>
      </c>
      <c r="O536" s="23" cm="1">
        <f t="array" ref="O536">WordListCount(K536,keywords!$A$2:$A$31)-WordListCount(K536,keywords!$B$2:$B$31)</f>
        <v>0</v>
      </c>
      <c r="P536" s="25">
        <f t="shared" si="17"/>
        <v>0.56597222222222221</v>
      </c>
      <c r="Q536" s="23">
        <f>SUM($O$2:O536)</f>
        <v>17</v>
      </c>
      <c r="Y536" s="14"/>
      <c r="Z536" s="13"/>
      <c r="AA536"/>
    </row>
    <row r="537" spans="1:27" x14ac:dyDescent="0.2">
      <c r="A537" s="12" t="s">
        <v>1760</v>
      </c>
      <c r="B537" t="s">
        <v>1761</v>
      </c>
      <c r="C537" t="s">
        <v>1762</v>
      </c>
      <c r="D537" t="s">
        <v>1763</v>
      </c>
      <c r="E537" t="s">
        <v>13</v>
      </c>
      <c r="F537">
        <v>177</v>
      </c>
      <c r="G537">
        <v>174</v>
      </c>
      <c r="H537" s="5" t="s">
        <v>22</v>
      </c>
      <c r="I537" s="5">
        <v>0</v>
      </c>
      <c r="J537" s="5">
        <v>0</v>
      </c>
      <c r="K537" t="s">
        <v>10237</v>
      </c>
      <c r="L537" cm="1">
        <f t="array" ref="L537">wordCount(K537)</f>
        <v>20</v>
      </c>
      <c r="M537">
        <f t="shared" si="16"/>
        <v>115</v>
      </c>
      <c r="N537">
        <v>0.30769230769230771</v>
      </c>
      <c r="O537" s="23" cm="1">
        <f t="array" ref="O537">WordListCount(K537,keywords!$A$2:$A$31)-WordListCount(K537,keywords!$B$2:$B$31)</f>
        <v>0</v>
      </c>
      <c r="P537" s="25">
        <f t="shared" si="17"/>
        <v>0.56634259259259256</v>
      </c>
      <c r="Q537" s="23">
        <f>SUM($O$2:O537)</f>
        <v>17</v>
      </c>
      <c r="Y537" s="14"/>
      <c r="Z537" s="13"/>
      <c r="AA537"/>
    </row>
    <row r="538" spans="1:27" x14ac:dyDescent="0.2">
      <c r="A538" s="12" t="s">
        <v>1764</v>
      </c>
      <c r="B538" t="s">
        <v>1765</v>
      </c>
      <c r="C538" t="s">
        <v>1766</v>
      </c>
      <c r="D538" t="s">
        <v>1767</v>
      </c>
      <c r="E538" t="s">
        <v>13</v>
      </c>
      <c r="F538">
        <v>85</v>
      </c>
      <c r="G538">
        <v>113</v>
      </c>
      <c r="H538" s="5" t="s">
        <v>22</v>
      </c>
      <c r="I538" s="5">
        <v>0</v>
      </c>
      <c r="J538" s="5">
        <v>0</v>
      </c>
      <c r="K538" t="s">
        <v>9187</v>
      </c>
      <c r="L538" cm="1">
        <f t="array" ref="L538">wordCount(K538)</f>
        <v>6</v>
      </c>
      <c r="M538">
        <f t="shared" si="16"/>
        <v>31</v>
      </c>
      <c r="N538">
        <v>0.8</v>
      </c>
      <c r="O538" s="23" cm="1">
        <f t="array" ref="O538">WordListCount(K538,keywords!$A$2:$A$31)-WordListCount(K538,keywords!$B$2:$B$31)</f>
        <v>0</v>
      </c>
      <c r="P538" s="25">
        <f t="shared" si="17"/>
        <v>0.56665509259259261</v>
      </c>
      <c r="Q538" s="23">
        <f>SUM($O$2:O538)</f>
        <v>17</v>
      </c>
      <c r="Y538" s="14"/>
      <c r="Z538" s="13"/>
      <c r="AA538"/>
    </row>
    <row r="539" spans="1:27" x14ac:dyDescent="0.2">
      <c r="A539" s="12" t="s">
        <v>1768</v>
      </c>
      <c r="B539" t="s">
        <v>1769</v>
      </c>
      <c r="C539" t="s">
        <v>1658</v>
      </c>
      <c r="D539" t="s">
        <v>902</v>
      </c>
      <c r="E539" t="s">
        <v>13</v>
      </c>
      <c r="F539">
        <v>31</v>
      </c>
      <c r="G539">
        <v>106</v>
      </c>
      <c r="H539" s="5" t="s">
        <v>22</v>
      </c>
      <c r="I539" s="5">
        <v>0</v>
      </c>
      <c r="J539" s="5">
        <v>0</v>
      </c>
      <c r="K539" t="s">
        <v>10238</v>
      </c>
      <c r="L539" cm="1">
        <f t="array" ref="L539">wordCount(K539)</f>
        <v>8</v>
      </c>
      <c r="M539">
        <f t="shared" si="16"/>
        <v>41</v>
      </c>
      <c r="N539">
        <v>0.72727272727272729</v>
      </c>
      <c r="O539" s="23" cm="1">
        <f t="array" ref="O539">WordListCount(K539,keywords!$A$2:$A$31)-WordListCount(K539,keywords!$B$2:$B$31)</f>
        <v>-1</v>
      </c>
      <c r="P539" s="25">
        <f t="shared" si="17"/>
        <v>0.56670138888888888</v>
      </c>
      <c r="Q539" s="23">
        <f>SUM($O$2:O539)</f>
        <v>16</v>
      </c>
      <c r="Y539" s="14"/>
      <c r="Z539" s="13"/>
      <c r="AA539"/>
    </row>
    <row r="540" spans="1:27" x14ac:dyDescent="0.2">
      <c r="A540" s="12" t="s">
        <v>1770</v>
      </c>
      <c r="B540" t="s">
        <v>1771</v>
      </c>
      <c r="C540" t="s">
        <v>1772</v>
      </c>
      <c r="D540" t="s">
        <v>1773</v>
      </c>
      <c r="E540" t="s">
        <v>13</v>
      </c>
      <c r="F540">
        <v>1541</v>
      </c>
      <c r="G540">
        <v>241</v>
      </c>
      <c r="H540" s="5" t="s">
        <v>22</v>
      </c>
      <c r="I540" s="5">
        <v>0</v>
      </c>
      <c r="J540" s="5">
        <v>0</v>
      </c>
      <c r="K540" t="s">
        <v>10239</v>
      </c>
      <c r="L540" cm="1">
        <f t="array" ref="L540">wordCount(K540)</f>
        <v>14</v>
      </c>
      <c r="M540">
        <f t="shared" si="16"/>
        <v>74</v>
      </c>
      <c r="N540">
        <v>0.5</v>
      </c>
      <c r="O540" s="23" cm="1">
        <f t="array" ref="O540">WordListCount(K540,keywords!$A$2:$A$31)-WordListCount(K540,keywords!$B$2:$B$31)</f>
        <v>0</v>
      </c>
      <c r="P540" s="25">
        <f t="shared" si="17"/>
        <v>0.5668171296296296</v>
      </c>
      <c r="Q540" s="23">
        <f>SUM($O$2:O540)</f>
        <v>16</v>
      </c>
      <c r="Y540" s="14"/>
      <c r="Z540" s="13"/>
      <c r="AA540"/>
    </row>
    <row r="541" spans="1:27" x14ac:dyDescent="0.2">
      <c r="A541" s="12" t="s">
        <v>1774</v>
      </c>
      <c r="B541" t="s">
        <v>1775</v>
      </c>
      <c r="C541" t="s">
        <v>1776</v>
      </c>
      <c r="D541" t="s">
        <v>1777</v>
      </c>
      <c r="E541" t="s">
        <v>13</v>
      </c>
      <c r="F541">
        <v>1014</v>
      </c>
      <c r="G541">
        <v>670</v>
      </c>
      <c r="H541" s="5" t="s">
        <v>22</v>
      </c>
      <c r="I541" s="5">
        <v>0</v>
      </c>
      <c r="J541" s="5">
        <v>0</v>
      </c>
      <c r="K541" t="s">
        <v>10240</v>
      </c>
      <c r="L541" cm="1">
        <f t="array" ref="L541">wordCount(K541)</f>
        <v>15</v>
      </c>
      <c r="M541">
        <f t="shared" si="16"/>
        <v>85</v>
      </c>
      <c r="N541">
        <v>0.47826086956521741</v>
      </c>
      <c r="O541" s="23" cm="1">
        <f t="array" ref="O541">WordListCount(K541,keywords!$A$2:$A$31)-WordListCount(K541,keywords!$B$2:$B$31)</f>
        <v>-1</v>
      </c>
      <c r="P541" s="25">
        <f t="shared" si="17"/>
        <v>0.56717592592592592</v>
      </c>
      <c r="Q541" s="23">
        <f>SUM($O$2:O541)</f>
        <v>15</v>
      </c>
      <c r="Y541" s="14"/>
      <c r="Z541" s="13"/>
      <c r="AA541"/>
    </row>
    <row r="542" spans="1:27" x14ac:dyDescent="0.2">
      <c r="A542" s="12" t="s">
        <v>1778</v>
      </c>
      <c r="B542" t="s">
        <v>1779</v>
      </c>
      <c r="C542" t="s">
        <v>1780</v>
      </c>
      <c r="D542" t="s">
        <v>1781</v>
      </c>
      <c r="E542" t="s">
        <v>13</v>
      </c>
      <c r="F542">
        <v>2697</v>
      </c>
      <c r="G542">
        <v>1249</v>
      </c>
      <c r="H542" s="5" t="s">
        <v>22</v>
      </c>
      <c r="I542" s="5">
        <v>0</v>
      </c>
      <c r="J542" s="5">
        <v>0</v>
      </c>
      <c r="K542" t="s">
        <v>10241</v>
      </c>
      <c r="L542" cm="1">
        <f t="array" ref="L542">wordCount(K542)</f>
        <v>22</v>
      </c>
      <c r="M542">
        <f t="shared" si="16"/>
        <v>98</v>
      </c>
      <c r="N542">
        <v>0.375</v>
      </c>
      <c r="O542" s="23" cm="1">
        <f t="array" ref="O542">WordListCount(K542,keywords!$A$2:$A$31)-WordListCount(K542,keywords!$B$2:$B$31)</f>
        <v>0</v>
      </c>
      <c r="P542" s="25">
        <f t="shared" si="17"/>
        <v>0.56721064814814814</v>
      </c>
      <c r="Q542" s="23">
        <f>SUM($O$2:O542)</f>
        <v>15</v>
      </c>
      <c r="Y542" s="14"/>
      <c r="Z542" s="13"/>
      <c r="AA542"/>
    </row>
    <row r="543" spans="1:27" x14ac:dyDescent="0.2">
      <c r="A543" s="12" t="s">
        <v>1782</v>
      </c>
      <c r="B543" t="s">
        <v>1783</v>
      </c>
      <c r="C543" t="s">
        <v>1784</v>
      </c>
      <c r="D543" t="s">
        <v>1785</v>
      </c>
      <c r="E543" t="s">
        <v>13</v>
      </c>
      <c r="F543">
        <v>33981</v>
      </c>
      <c r="G543">
        <v>9443</v>
      </c>
      <c r="H543" s="5" t="s">
        <v>22</v>
      </c>
      <c r="I543" s="5">
        <v>0</v>
      </c>
      <c r="J543" s="5">
        <v>0</v>
      </c>
      <c r="K543" t="s">
        <v>9188</v>
      </c>
      <c r="L543" cm="1">
        <f t="array" ref="L543">wordCount(K543)</f>
        <v>8</v>
      </c>
      <c r="M543">
        <f t="shared" si="16"/>
        <v>48</v>
      </c>
      <c r="N543">
        <v>0.38461538461538464</v>
      </c>
      <c r="O543" s="23" cm="1">
        <f t="array" ref="O543">WordListCount(K543,keywords!$A$2:$A$31)-WordListCount(K543,keywords!$B$2:$B$31)</f>
        <v>0</v>
      </c>
      <c r="P543" s="25">
        <f t="shared" si="17"/>
        <v>0.5678009259259259</v>
      </c>
      <c r="Q543" s="23">
        <f>SUM($O$2:O543)</f>
        <v>15</v>
      </c>
      <c r="Y543" s="14"/>
      <c r="Z543" s="13"/>
      <c r="AA543"/>
    </row>
    <row r="544" spans="1:27" x14ac:dyDescent="0.2">
      <c r="A544" s="12" t="s">
        <v>1786</v>
      </c>
      <c r="B544" t="s">
        <v>1783</v>
      </c>
      <c r="C544" t="s">
        <v>1787</v>
      </c>
      <c r="D544" t="s">
        <v>12</v>
      </c>
      <c r="E544" t="s">
        <v>13</v>
      </c>
      <c r="F544">
        <v>17</v>
      </c>
      <c r="G544">
        <v>163</v>
      </c>
      <c r="H544" s="5" t="s">
        <v>22</v>
      </c>
      <c r="I544" s="5">
        <v>0</v>
      </c>
      <c r="J544" s="5">
        <v>0</v>
      </c>
      <c r="K544" t="s">
        <v>9188</v>
      </c>
      <c r="L544" cm="1">
        <f t="array" ref="L544">wordCount(K544)</f>
        <v>8</v>
      </c>
      <c r="M544">
        <f t="shared" si="16"/>
        <v>48</v>
      </c>
      <c r="N544">
        <v>0.88888888888888884</v>
      </c>
      <c r="O544" s="23" cm="1">
        <f t="array" ref="O544">WordListCount(K544,keywords!$A$2:$A$31)-WordListCount(K544,keywords!$B$2:$B$31)</f>
        <v>0</v>
      </c>
      <c r="P544" s="25">
        <f t="shared" si="17"/>
        <v>0.56791666666666674</v>
      </c>
      <c r="Q544" s="23">
        <f>SUM($O$2:O544)</f>
        <v>15</v>
      </c>
      <c r="Y544" s="14"/>
      <c r="Z544" s="13"/>
      <c r="AA544"/>
    </row>
    <row r="545" spans="1:27" x14ac:dyDescent="0.2">
      <c r="A545" s="12" t="s">
        <v>1788</v>
      </c>
      <c r="B545" t="s">
        <v>1789</v>
      </c>
      <c r="C545" t="s">
        <v>1790</v>
      </c>
      <c r="D545" t="s">
        <v>12</v>
      </c>
      <c r="E545" t="s">
        <v>13</v>
      </c>
      <c r="F545">
        <v>97</v>
      </c>
      <c r="G545">
        <v>727</v>
      </c>
      <c r="H545" s="5" t="s">
        <v>22</v>
      </c>
      <c r="I545" s="5">
        <v>0</v>
      </c>
      <c r="J545" s="5">
        <v>0</v>
      </c>
      <c r="K545" t="s">
        <v>10242</v>
      </c>
      <c r="L545" cm="1">
        <f t="array" ref="L545">wordCount(K545)</f>
        <v>7</v>
      </c>
      <c r="M545">
        <f t="shared" si="16"/>
        <v>38</v>
      </c>
      <c r="N545">
        <v>0.6</v>
      </c>
      <c r="O545" s="23" cm="1">
        <f t="array" ref="O545">WordListCount(K545,keywords!$A$2:$A$31)-WordListCount(K545,keywords!$B$2:$B$31)</f>
        <v>0</v>
      </c>
      <c r="P545" s="25">
        <f t="shared" si="17"/>
        <v>0.56792824074074078</v>
      </c>
      <c r="Q545" s="23">
        <f>SUM($O$2:O545)</f>
        <v>15</v>
      </c>
      <c r="Y545" s="14"/>
      <c r="Z545" s="13"/>
      <c r="AA545"/>
    </row>
    <row r="546" spans="1:27" x14ac:dyDescent="0.2">
      <c r="A546" s="12" t="s">
        <v>1791</v>
      </c>
      <c r="B546" t="s">
        <v>1792</v>
      </c>
      <c r="C546" t="s">
        <v>572</v>
      </c>
      <c r="D546" t="s">
        <v>573</v>
      </c>
      <c r="E546" t="s">
        <v>13</v>
      </c>
      <c r="F546">
        <v>213</v>
      </c>
      <c r="G546">
        <v>343</v>
      </c>
      <c r="H546" s="5" t="s">
        <v>139</v>
      </c>
      <c r="I546" s="5">
        <v>0</v>
      </c>
      <c r="J546" s="5">
        <v>0</v>
      </c>
      <c r="K546" t="s">
        <v>10243</v>
      </c>
      <c r="L546" cm="1">
        <f t="array" ref="L546">wordCount(K546)</f>
        <v>17</v>
      </c>
      <c r="M546">
        <f t="shared" si="16"/>
        <v>38</v>
      </c>
      <c r="N546">
        <v>0.75</v>
      </c>
      <c r="O546" s="23" cm="1">
        <f t="array" ref="O546">WordListCount(K546,keywords!$A$2:$A$31)-WordListCount(K546,keywords!$B$2:$B$31)</f>
        <v>-1</v>
      </c>
      <c r="P546" s="25">
        <f t="shared" si="17"/>
        <v>0.56811342592592595</v>
      </c>
      <c r="Q546" s="23">
        <f>SUM($O$2:O546)</f>
        <v>14</v>
      </c>
      <c r="Y546" s="14"/>
      <c r="Z546" s="13"/>
      <c r="AA546"/>
    </row>
    <row r="547" spans="1:27" x14ac:dyDescent="0.2">
      <c r="A547" s="12" t="s">
        <v>1793</v>
      </c>
      <c r="B547" t="s">
        <v>1794</v>
      </c>
      <c r="C547" t="s">
        <v>1795</v>
      </c>
      <c r="D547" t="s">
        <v>1796</v>
      </c>
      <c r="E547" t="s">
        <v>13</v>
      </c>
      <c r="F547">
        <v>1224</v>
      </c>
      <c r="G547">
        <v>99</v>
      </c>
      <c r="H547" s="5" t="s">
        <v>22</v>
      </c>
      <c r="I547" s="5">
        <v>0</v>
      </c>
      <c r="J547" s="5">
        <v>0</v>
      </c>
      <c r="K547" t="s">
        <v>10244</v>
      </c>
      <c r="L547" cm="1">
        <f t="array" ref="L547">wordCount(K547)</f>
        <v>13</v>
      </c>
      <c r="M547">
        <f t="shared" si="16"/>
        <v>69</v>
      </c>
      <c r="N547">
        <v>0.64516129032258063</v>
      </c>
      <c r="O547" s="23" cm="1">
        <f t="array" ref="O547">WordListCount(K547,keywords!$A$2:$A$31)-WordListCount(K547,keywords!$B$2:$B$31)</f>
        <v>0</v>
      </c>
      <c r="P547" s="25">
        <f t="shared" si="17"/>
        <v>0.56815972222222222</v>
      </c>
      <c r="Q547" s="23">
        <f>SUM($O$2:O547)</f>
        <v>14</v>
      </c>
      <c r="Y547" s="14"/>
      <c r="Z547" s="13"/>
      <c r="AA547"/>
    </row>
    <row r="548" spans="1:27" x14ac:dyDescent="0.2">
      <c r="A548" s="12" t="s">
        <v>1797</v>
      </c>
      <c r="B548" t="s">
        <v>1798</v>
      </c>
      <c r="C548" t="s">
        <v>1799</v>
      </c>
      <c r="D548" t="s">
        <v>1800</v>
      </c>
      <c r="E548" t="s">
        <v>13</v>
      </c>
      <c r="F548">
        <v>105</v>
      </c>
      <c r="G548">
        <v>178</v>
      </c>
      <c r="H548" s="5" t="s">
        <v>22</v>
      </c>
      <c r="I548" s="5">
        <v>0</v>
      </c>
      <c r="J548" s="5">
        <v>0</v>
      </c>
      <c r="K548" t="s">
        <v>9189</v>
      </c>
      <c r="L548" cm="1">
        <f t="array" ref="L548">wordCount(K548)</f>
        <v>7</v>
      </c>
      <c r="M548">
        <f t="shared" si="16"/>
        <v>29</v>
      </c>
      <c r="N548">
        <v>0.63636363636363635</v>
      </c>
      <c r="O548" s="23" cm="1">
        <f t="array" ref="O548">WordListCount(K548,keywords!$A$2:$A$31)-WordListCount(K548,keywords!$B$2:$B$31)</f>
        <v>0</v>
      </c>
      <c r="P548" s="25">
        <f t="shared" si="17"/>
        <v>0.56821759259259264</v>
      </c>
      <c r="Q548" s="23">
        <f>SUM($O$2:O548)</f>
        <v>14</v>
      </c>
      <c r="Y548" s="14"/>
      <c r="Z548" s="13"/>
      <c r="AA548"/>
    </row>
    <row r="549" spans="1:27" x14ac:dyDescent="0.2">
      <c r="A549" s="12" t="s">
        <v>1801</v>
      </c>
      <c r="B549" t="s">
        <v>1802</v>
      </c>
      <c r="C549" t="s">
        <v>1803</v>
      </c>
      <c r="D549" t="s">
        <v>1804</v>
      </c>
      <c r="E549" t="s">
        <v>13</v>
      </c>
      <c r="F549">
        <v>157</v>
      </c>
      <c r="G549">
        <v>114</v>
      </c>
      <c r="H549" s="5" t="s">
        <v>22</v>
      </c>
      <c r="I549" s="5">
        <v>0</v>
      </c>
      <c r="J549" s="5">
        <v>0</v>
      </c>
      <c r="K549" t="s">
        <v>10245</v>
      </c>
      <c r="L549" cm="1">
        <f t="array" ref="L549">wordCount(K549)</f>
        <v>22</v>
      </c>
      <c r="M549">
        <f t="shared" si="16"/>
        <v>102</v>
      </c>
      <c r="N549">
        <v>0.20833333333333334</v>
      </c>
      <c r="O549" s="23" cm="1">
        <f t="array" ref="O549">WordListCount(K549,keywords!$A$2:$A$31)-WordListCount(K549,keywords!$B$2:$B$31)</f>
        <v>0</v>
      </c>
      <c r="P549" s="25">
        <f t="shared" si="17"/>
        <v>0.5683449074074074</v>
      </c>
      <c r="Q549" s="23">
        <f>SUM($O$2:O549)</f>
        <v>14</v>
      </c>
      <c r="Y549" s="14"/>
      <c r="Z549" s="13"/>
      <c r="AA549"/>
    </row>
    <row r="550" spans="1:27" x14ac:dyDescent="0.2">
      <c r="A550" s="12" t="s">
        <v>1805</v>
      </c>
      <c r="B550" t="s">
        <v>1806</v>
      </c>
      <c r="C550" t="s">
        <v>1807</v>
      </c>
      <c r="D550" t="s">
        <v>12</v>
      </c>
      <c r="E550" t="s">
        <v>13</v>
      </c>
      <c r="F550">
        <v>10</v>
      </c>
      <c r="G550">
        <v>110</v>
      </c>
      <c r="H550" s="5" t="s">
        <v>22</v>
      </c>
      <c r="I550" s="5">
        <v>0</v>
      </c>
      <c r="J550" s="5">
        <v>0</v>
      </c>
      <c r="K550" t="s">
        <v>10246</v>
      </c>
      <c r="L550" cm="1">
        <f t="array" ref="L550">wordCount(K550)</f>
        <v>16</v>
      </c>
      <c r="M550">
        <f t="shared" si="16"/>
        <v>74</v>
      </c>
      <c r="N550">
        <v>0.5357142857142857</v>
      </c>
      <c r="O550" s="23" cm="1">
        <f t="array" ref="O550">WordListCount(K550,keywords!$A$2:$A$31)-WordListCount(K550,keywords!$B$2:$B$31)</f>
        <v>0</v>
      </c>
      <c r="P550" s="25">
        <f t="shared" si="17"/>
        <v>0.56873842592592594</v>
      </c>
      <c r="Q550" s="23">
        <f>SUM($O$2:O550)</f>
        <v>14</v>
      </c>
      <c r="Y550" s="14"/>
      <c r="Z550" s="13"/>
      <c r="AA550"/>
    </row>
    <row r="551" spans="1:27" x14ac:dyDescent="0.2">
      <c r="A551" s="12" t="s">
        <v>1808</v>
      </c>
      <c r="B551" t="s">
        <v>1809</v>
      </c>
      <c r="C551" t="s">
        <v>1810</v>
      </c>
      <c r="D551" t="s">
        <v>12</v>
      </c>
      <c r="E551" t="s">
        <v>13</v>
      </c>
      <c r="F551">
        <v>231</v>
      </c>
      <c r="G551">
        <v>453</v>
      </c>
      <c r="H551" s="5" t="s">
        <v>22</v>
      </c>
      <c r="I551" s="5">
        <v>0</v>
      </c>
      <c r="J551" s="5">
        <v>0</v>
      </c>
      <c r="K551" t="s">
        <v>10247</v>
      </c>
      <c r="L551" cm="1">
        <f t="array" ref="L551">wordCount(K551)</f>
        <v>7</v>
      </c>
      <c r="M551">
        <f t="shared" si="16"/>
        <v>36</v>
      </c>
      <c r="N551">
        <v>0.78947368421052633</v>
      </c>
      <c r="O551" s="23" cm="1">
        <f t="array" ref="O551">WordListCount(K551,keywords!$A$2:$A$31)-WordListCount(K551,keywords!$B$2:$B$31)</f>
        <v>0</v>
      </c>
      <c r="P551" s="25">
        <f t="shared" si="17"/>
        <v>0.56901620370370376</v>
      </c>
      <c r="Q551" s="23">
        <f>SUM($O$2:O551)</f>
        <v>14</v>
      </c>
      <c r="Y551" s="14"/>
      <c r="Z551" s="13"/>
      <c r="AA551"/>
    </row>
    <row r="552" spans="1:27" x14ac:dyDescent="0.2">
      <c r="A552" s="12" t="s">
        <v>1811</v>
      </c>
      <c r="B552" t="s">
        <v>1812</v>
      </c>
      <c r="C552" t="s">
        <v>1813</v>
      </c>
      <c r="D552" t="s">
        <v>12</v>
      </c>
      <c r="E552" t="s">
        <v>13</v>
      </c>
      <c r="F552">
        <v>4</v>
      </c>
      <c r="G552">
        <v>4</v>
      </c>
      <c r="H552" s="5" t="s">
        <v>22</v>
      </c>
      <c r="I552" s="5">
        <v>0</v>
      </c>
      <c r="J552" s="5">
        <v>0</v>
      </c>
      <c r="K552" t="s">
        <v>10248</v>
      </c>
      <c r="L552" cm="1">
        <f t="array" ref="L552">wordCount(K552)</f>
        <v>27</v>
      </c>
      <c r="M552">
        <f t="shared" si="16"/>
        <v>121</v>
      </c>
      <c r="N552">
        <v>0.32258064516129031</v>
      </c>
      <c r="O552" s="23" cm="1">
        <f t="array" ref="O552">WordListCount(K552,keywords!$A$2:$A$31)-WordListCount(K552,keywords!$B$2:$B$31)</f>
        <v>0</v>
      </c>
      <c r="P552" s="25">
        <f t="shared" si="17"/>
        <v>0.56907407407407407</v>
      </c>
      <c r="Q552" s="23">
        <f>SUM($O$2:O552)</f>
        <v>14</v>
      </c>
      <c r="Y552" s="14"/>
      <c r="Z552" s="13"/>
      <c r="AA552"/>
    </row>
    <row r="553" spans="1:27" x14ac:dyDescent="0.2">
      <c r="A553" s="12" t="s">
        <v>1814</v>
      </c>
      <c r="B553" t="s">
        <v>1815</v>
      </c>
      <c r="C553" t="s">
        <v>1816</v>
      </c>
      <c r="D553" t="s">
        <v>12</v>
      </c>
      <c r="E553" t="s">
        <v>13</v>
      </c>
      <c r="F553">
        <v>10</v>
      </c>
      <c r="G553">
        <v>70</v>
      </c>
      <c r="H553" s="5" t="s">
        <v>22</v>
      </c>
      <c r="I553" s="5">
        <v>0</v>
      </c>
      <c r="J553" s="5">
        <v>0</v>
      </c>
      <c r="K553" t="s">
        <v>10249</v>
      </c>
      <c r="L553" cm="1">
        <f t="array" ref="L553">wordCount(K553)</f>
        <v>18</v>
      </c>
      <c r="M553">
        <f t="shared" si="16"/>
        <v>73</v>
      </c>
      <c r="N553">
        <v>0.43478260869565216</v>
      </c>
      <c r="O553" s="23" cm="1">
        <f t="array" ref="O553">WordListCount(K553,keywords!$A$2:$A$31)-WordListCount(K553,keywords!$B$2:$B$31)</f>
        <v>1</v>
      </c>
      <c r="P553" s="25">
        <f t="shared" si="17"/>
        <v>0.56909722222222225</v>
      </c>
      <c r="Q553" s="23">
        <f>SUM($O$2:O553)</f>
        <v>15</v>
      </c>
      <c r="Y553" s="14"/>
      <c r="Z553" s="13"/>
      <c r="AA553"/>
    </row>
    <row r="554" spans="1:27" x14ac:dyDescent="0.2">
      <c r="A554" s="12" t="s">
        <v>1817</v>
      </c>
      <c r="B554" t="s">
        <v>1818</v>
      </c>
      <c r="C554" t="s">
        <v>1819</v>
      </c>
      <c r="D554" t="s">
        <v>12</v>
      </c>
      <c r="E554" t="s">
        <v>13</v>
      </c>
      <c r="F554">
        <v>715</v>
      </c>
      <c r="G554">
        <v>557</v>
      </c>
      <c r="H554" s="5" t="s">
        <v>22</v>
      </c>
      <c r="I554" s="5">
        <v>0</v>
      </c>
      <c r="J554" s="5">
        <v>0</v>
      </c>
      <c r="K554" t="s">
        <v>9190</v>
      </c>
      <c r="L554" cm="1">
        <f t="array" ref="L554">wordCount(K554)</f>
        <v>6</v>
      </c>
      <c r="M554">
        <f t="shared" si="16"/>
        <v>31</v>
      </c>
      <c r="N554">
        <v>0.82608695652173914</v>
      </c>
      <c r="O554" s="23" cm="1">
        <f t="array" ref="O554">WordListCount(K554,keywords!$A$2:$A$31)-WordListCount(K554,keywords!$B$2:$B$31)</f>
        <v>0</v>
      </c>
      <c r="P554" s="25">
        <f t="shared" si="17"/>
        <v>0.56918981481481479</v>
      </c>
      <c r="Q554" s="23">
        <f>SUM($O$2:O554)</f>
        <v>15</v>
      </c>
      <c r="Y554" s="14"/>
      <c r="Z554" s="13"/>
      <c r="AA554"/>
    </row>
    <row r="555" spans="1:27" x14ac:dyDescent="0.2">
      <c r="A555" s="12" t="s">
        <v>1820</v>
      </c>
      <c r="B555" t="s">
        <v>1821</v>
      </c>
      <c r="C555" t="s">
        <v>1822</v>
      </c>
      <c r="D555" t="s">
        <v>12</v>
      </c>
      <c r="E555" t="s">
        <v>13</v>
      </c>
      <c r="F555">
        <v>38</v>
      </c>
      <c r="G555">
        <v>163</v>
      </c>
      <c r="H555" s="5" t="s">
        <v>1823</v>
      </c>
      <c r="I555" s="5">
        <v>0</v>
      </c>
      <c r="J555" s="5">
        <v>0</v>
      </c>
      <c r="K555" t="s">
        <v>9191</v>
      </c>
      <c r="L555" cm="1">
        <f t="array" ref="L555">wordCount(K555)</f>
        <v>2</v>
      </c>
      <c r="M555">
        <f t="shared" si="16"/>
        <v>8</v>
      </c>
      <c r="N555">
        <v>1</v>
      </c>
      <c r="O555" s="23" cm="1">
        <f t="array" ref="O555">WordListCount(K555,keywords!$A$2:$A$31)-WordListCount(K555,keywords!$B$2:$B$31)</f>
        <v>0</v>
      </c>
      <c r="P555" s="25">
        <f t="shared" si="17"/>
        <v>0.56951388888888888</v>
      </c>
      <c r="Q555" s="23">
        <f>SUM($O$2:O555)</f>
        <v>15</v>
      </c>
      <c r="Y555" s="14"/>
      <c r="Z555" s="13"/>
      <c r="AA555"/>
    </row>
    <row r="556" spans="1:27" x14ac:dyDescent="0.2">
      <c r="A556" s="12" t="s">
        <v>1824</v>
      </c>
      <c r="B556" t="s">
        <v>1825</v>
      </c>
      <c r="C556" t="s">
        <v>1826</v>
      </c>
      <c r="D556" t="s">
        <v>12</v>
      </c>
      <c r="E556" t="s">
        <v>13</v>
      </c>
      <c r="F556">
        <v>1184</v>
      </c>
      <c r="G556">
        <v>1977</v>
      </c>
      <c r="H556" s="5" t="s">
        <v>22</v>
      </c>
      <c r="I556" s="5">
        <v>0</v>
      </c>
      <c r="J556" s="5">
        <v>0</v>
      </c>
      <c r="K556" t="s">
        <v>10250</v>
      </c>
      <c r="L556" cm="1">
        <f t="array" ref="L556">wordCount(K556)</f>
        <v>10</v>
      </c>
      <c r="M556">
        <f t="shared" si="16"/>
        <v>42</v>
      </c>
      <c r="N556">
        <v>0.77777777777777779</v>
      </c>
      <c r="O556" s="23" cm="1">
        <f t="array" ref="O556">WordListCount(K556,keywords!$A$2:$A$31)-WordListCount(K556,keywords!$B$2:$B$31)</f>
        <v>0</v>
      </c>
      <c r="P556" s="25">
        <f t="shared" si="17"/>
        <v>0.56957175925925929</v>
      </c>
      <c r="Q556" s="23">
        <f>SUM($O$2:O556)</f>
        <v>15</v>
      </c>
      <c r="Y556" s="14"/>
      <c r="Z556" s="13"/>
      <c r="AA556"/>
    </row>
    <row r="557" spans="1:27" x14ac:dyDescent="0.2">
      <c r="A557" s="12" t="s">
        <v>1827</v>
      </c>
      <c r="B557" t="s">
        <v>1828</v>
      </c>
      <c r="C557" t="s">
        <v>1829</v>
      </c>
      <c r="D557" t="s">
        <v>1830</v>
      </c>
      <c r="E557" t="s">
        <v>13</v>
      </c>
      <c r="F557">
        <v>516</v>
      </c>
      <c r="G557">
        <v>499</v>
      </c>
      <c r="H557" s="5" t="s">
        <v>22</v>
      </c>
      <c r="I557" s="5">
        <v>0</v>
      </c>
      <c r="J557" s="5">
        <v>0</v>
      </c>
      <c r="K557" t="s">
        <v>10251</v>
      </c>
      <c r="L557" cm="1">
        <f t="array" ref="L557">wordCount(K557)</f>
        <v>10</v>
      </c>
      <c r="M557">
        <f t="shared" si="16"/>
        <v>54</v>
      </c>
      <c r="N557">
        <v>0.63157894736842102</v>
      </c>
      <c r="O557" s="23" cm="1">
        <f t="array" ref="O557">WordListCount(K557,keywords!$A$2:$A$31)-WordListCount(K557,keywords!$B$2:$B$31)</f>
        <v>-1</v>
      </c>
      <c r="P557" s="25">
        <f t="shared" si="17"/>
        <v>0.56999999999999995</v>
      </c>
      <c r="Q557" s="23">
        <f>SUM($O$2:O557)</f>
        <v>14</v>
      </c>
      <c r="Y557" s="14"/>
      <c r="Z557" s="13"/>
      <c r="AA557"/>
    </row>
    <row r="558" spans="1:27" x14ac:dyDescent="0.2">
      <c r="A558" s="12" t="s">
        <v>1831</v>
      </c>
      <c r="B558" t="s">
        <v>1832</v>
      </c>
      <c r="C558" t="s">
        <v>1833</v>
      </c>
      <c r="D558" t="s">
        <v>12</v>
      </c>
      <c r="E558" t="s">
        <v>13</v>
      </c>
      <c r="F558">
        <v>97</v>
      </c>
      <c r="G558">
        <v>727</v>
      </c>
      <c r="H558" s="5" t="s">
        <v>22</v>
      </c>
      <c r="I558" s="5">
        <v>0</v>
      </c>
      <c r="J558" s="5">
        <v>0</v>
      </c>
      <c r="K558" t="s">
        <v>9192</v>
      </c>
      <c r="L558" cm="1">
        <f t="array" ref="L558">wordCount(K558)</f>
        <v>6</v>
      </c>
      <c r="M558">
        <f t="shared" si="16"/>
        <v>26</v>
      </c>
      <c r="N558">
        <v>0.55555555555555558</v>
      </c>
      <c r="O558" s="23" cm="1">
        <f t="array" ref="O558">WordListCount(K558,keywords!$A$2:$A$31)-WordListCount(K558,keywords!$B$2:$B$31)</f>
        <v>0</v>
      </c>
      <c r="P558" s="25">
        <f t="shared" si="17"/>
        <v>0.57002314814814814</v>
      </c>
      <c r="Q558" s="23">
        <f>SUM($O$2:O558)</f>
        <v>14</v>
      </c>
      <c r="Y558" s="14"/>
      <c r="Z558" s="13"/>
      <c r="AA558"/>
    </row>
    <row r="559" spans="1:27" x14ac:dyDescent="0.2">
      <c r="A559" s="12" t="s">
        <v>1834</v>
      </c>
      <c r="B559" t="s">
        <v>1835</v>
      </c>
      <c r="C559" t="s">
        <v>610</v>
      </c>
      <c r="D559" t="s">
        <v>611</v>
      </c>
      <c r="E559" t="s">
        <v>13</v>
      </c>
      <c r="F559">
        <v>11598</v>
      </c>
      <c r="G559">
        <v>1531</v>
      </c>
      <c r="H559" s="5" t="s">
        <v>59</v>
      </c>
      <c r="I559" s="5">
        <v>0</v>
      </c>
      <c r="J559" s="5">
        <v>0</v>
      </c>
      <c r="K559" t="s">
        <v>9193</v>
      </c>
      <c r="L559" cm="1">
        <f t="array" ref="L559">wordCount(K559)</f>
        <v>5</v>
      </c>
      <c r="M559">
        <f t="shared" si="16"/>
        <v>21</v>
      </c>
      <c r="N559">
        <v>0.7142857142857143</v>
      </c>
      <c r="O559" s="23" cm="1">
        <f t="array" ref="O559">WordListCount(K559,keywords!$A$2:$A$31)-WordListCount(K559,keywords!$B$2:$B$31)</f>
        <v>0</v>
      </c>
      <c r="P559" s="25">
        <f t="shared" si="17"/>
        <v>0.5701504629629629</v>
      </c>
      <c r="Q559" s="23">
        <f>SUM($O$2:O559)</f>
        <v>14</v>
      </c>
      <c r="Y559" s="14"/>
      <c r="Z559" s="13"/>
      <c r="AA559"/>
    </row>
    <row r="560" spans="1:27" x14ac:dyDescent="0.2">
      <c r="A560" s="12" t="s">
        <v>1836</v>
      </c>
      <c r="B560" t="s">
        <v>1837</v>
      </c>
      <c r="C560" t="s">
        <v>1838</v>
      </c>
      <c r="D560" t="s">
        <v>1343</v>
      </c>
      <c r="E560" t="s">
        <v>13</v>
      </c>
      <c r="F560">
        <v>0</v>
      </c>
      <c r="G560">
        <v>12</v>
      </c>
      <c r="H560" s="5" t="s">
        <v>22</v>
      </c>
      <c r="I560" s="5">
        <v>0</v>
      </c>
      <c r="J560" s="5">
        <v>0</v>
      </c>
      <c r="K560" t="s">
        <v>9194</v>
      </c>
      <c r="L560" cm="1">
        <f t="array" ref="L560">wordCount(K560)</f>
        <v>11</v>
      </c>
      <c r="M560">
        <f t="shared" si="16"/>
        <v>90</v>
      </c>
      <c r="N560">
        <v>0.33333333333333331</v>
      </c>
      <c r="O560" s="23" cm="1">
        <f t="array" ref="O560">WordListCount(K560,keywords!$A$2:$A$31)-WordListCount(K560,keywords!$B$2:$B$31)</f>
        <v>1</v>
      </c>
      <c r="P560" s="25">
        <f t="shared" si="17"/>
        <v>0.57018518518518524</v>
      </c>
      <c r="Q560" s="23">
        <f>SUM($O$2:O560)</f>
        <v>15</v>
      </c>
      <c r="Y560" s="14"/>
      <c r="Z560" s="13"/>
      <c r="AA560"/>
    </row>
    <row r="561" spans="1:27" x14ac:dyDescent="0.2">
      <c r="A561" s="12" t="s">
        <v>1839</v>
      </c>
      <c r="B561" t="s">
        <v>1840</v>
      </c>
      <c r="C561" t="s">
        <v>1841</v>
      </c>
      <c r="D561" t="s">
        <v>1842</v>
      </c>
      <c r="E561" t="s">
        <v>13</v>
      </c>
      <c r="F561">
        <v>1879</v>
      </c>
      <c r="G561">
        <v>1636</v>
      </c>
      <c r="H561" s="5" t="s">
        <v>22</v>
      </c>
      <c r="I561" s="5">
        <v>0</v>
      </c>
      <c r="J561" s="5">
        <v>0</v>
      </c>
      <c r="K561" t="s">
        <v>10252</v>
      </c>
      <c r="L561" cm="1">
        <f t="array" ref="L561">wordCount(K561)</f>
        <v>9</v>
      </c>
      <c r="M561">
        <f t="shared" si="16"/>
        <v>37</v>
      </c>
      <c r="N561">
        <v>0.66666666666666663</v>
      </c>
      <c r="O561" s="23" cm="1">
        <f t="array" ref="O561">WordListCount(K561,keywords!$A$2:$A$31)-WordListCount(K561,keywords!$B$2:$B$31)</f>
        <v>0</v>
      </c>
      <c r="P561" s="25">
        <f t="shared" si="17"/>
        <v>0.57025462962962969</v>
      </c>
      <c r="Q561" s="23">
        <f>SUM($O$2:O561)</f>
        <v>15</v>
      </c>
      <c r="Y561" s="14"/>
      <c r="Z561" s="13"/>
      <c r="AA561"/>
    </row>
    <row r="562" spans="1:27" x14ac:dyDescent="0.2">
      <c r="A562" s="12" t="s">
        <v>1843</v>
      </c>
      <c r="B562" t="s">
        <v>1844</v>
      </c>
      <c r="C562" t="s">
        <v>396</v>
      </c>
      <c r="D562" t="s">
        <v>12</v>
      </c>
      <c r="E562" t="s">
        <v>13</v>
      </c>
      <c r="F562">
        <v>1438</v>
      </c>
      <c r="G562">
        <v>29</v>
      </c>
      <c r="H562" s="5" t="s">
        <v>59</v>
      </c>
      <c r="I562" s="5">
        <v>0</v>
      </c>
      <c r="J562" s="5">
        <v>0</v>
      </c>
      <c r="K562" t="s">
        <v>9195</v>
      </c>
      <c r="L562" cm="1">
        <f t="array" ref="L562">wordCount(K562)</f>
        <v>8</v>
      </c>
      <c r="M562">
        <f t="shared" si="16"/>
        <v>42</v>
      </c>
      <c r="N562">
        <v>0.44444444444444442</v>
      </c>
      <c r="O562" s="23" cm="1">
        <f t="array" ref="O562">WordListCount(K562,keywords!$A$2:$A$31)-WordListCount(K562,keywords!$B$2:$B$31)</f>
        <v>0</v>
      </c>
      <c r="P562" s="25">
        <f t="shared" si="17"/>
        <v>0.57027777777777777</v>
      </c>
      <c r="Q562" s="23">
        <f>SUM($O$2:O562)</f>
        <v>15</v>
      </c>
      <c r="Y562" s="14"/>
      <c r="Z562" s="13"/>
      <c r="AA562"/>
    </row>
    <row r="563" spans="1:27" x14ac:dyDescent="0.2">
      <c r="A563" s="12" t="s">
        <v>1845</v>
      </c>
      <c r="B563" t="s">
        <v>1846</v>
      </c>
      <c r="C563" t="s">
        <v>1847</v>
      </c>
      <c r="D563" t="s">
        <v>1848</v>
      </c>
      <c r="E563" t="s">
        <v>13</v>
      </c>
      <c r="F563">
        <v>24309</v>
      </c>
      <c r="G563">
        <v>3348</v>
      </c>
      <c r="H563" s="5" t="s">
        <v>22</v>
      </c>
      <c r="I563" s="5">
        <v>0</v>
      </c>
      <c r="J563" s="5">
        <v>0</v>
      </c>
      <c r="K563" t="s">
        <v>10253</v>
      </c>
      <c r="L563" cm="1">
        <f t="array" ref="L563">wordCount(K563)</f>
        <v>17</v>
      </c>
      <c r="M563">
        <f t="shared" si="16"/>
        <v>70</v>
      </c>
      <c r="N563">
        <v>0.64516129032258063</v>
      </c>
      <c r="O563" s="23" cm="1">
        <f t="array" ref="O563">WordListCount(K563,keywords!$A$2:$A$31)-WordListCount(K563,keywords!$B$2:$B$31)</f>
        <v>0</v>
      </c>
      <c r="P563" s="25">
        <f t="shared" si="17"/>
        <v>0.57030092592592596</v>
      </c>
      <c r="Q563" s="23">
        <f>SUM($O$2:O563)</f>
        <v>15</v>
      </c>
      <c r="Y563" s="14"/>
      <c r="Z563" s="13"/>
      <c r="AA563"/>
    </row>
    <row r="564" spans="1:27" x14ac:dyDescent="0.2">
      <c r="A564" s="12" t="s">
        <v>1849</v>
      </c>
      <c r="B564" t="s">
        <v>1850</v>
      </c>
      <c r="C564" t="s">
        <v>1718</v>
      </c>
      <c r="D564" t="s">
        <v>1719</v>
      </c>
      <c r="E564" t="s">
        <v>13</v>
      </c>
      <c r="F564">
        <v>4</v>
      </c>
      <c r="G564">
        <v>0</v>
      </c>
      <c r="H564" s="5" t="s">
        <v>22</v>
      </c>
      <c r="I564" s="5">
        <v>0</v>
      </c>
      <c r="J564" s="5">
        <v>0</v>
      </c>
      <c r="K564" t="s">
        <v>10254</v>
      </c>
      <c r="L564" cm="1">
        <f t="array" ref="L564">wordCount(K564)</f>
        <v>23</v>
      </c>
      <c r="M564">
        <f t="shared" si="16"/>
        <v>120</v>
      </c>
      <c r="N564">
        <v>0.24</v>
      </c>
      <c r="O564" s="23" cm="1">
        <f t="array" ref="O564">WordListCount(K564,keywords!$A$2:$A$31)-WordListCount(K564,keywords!$B$2:$B$31)</f>
        <v>0</v>
      </c>
      <c r="P564" s="25">
        <f t="shared" si="17"/>
        <v>0.570775462962963</v>
      </c>
      <c r="Q564" s="23">
        <f>SUM($O$2:O564)</f>
        <v>15</v>
      </c>
      <c r="Y564" s="14"/>
      <c r="Z564" s="13"/>
      <c r="AA564"/>
    </row>
    <row r="565" spans="1:27" x14ac:dyDescent="0.2">
      <c r="A565" s="12" t="s">
        <v>1851</v>
      </c>
      <c r="B565" t="s">
        <v>1852</v>
      </c>
      <c r="C565" t="s">
        <v>1853</v>
      </c>
      <c r="D565" t="s">
        <v>1854</v>
      </c>
      <c r="E565" t="s">
        <v>13</v>
      </c>
      <c r="F565">
        <v>202</v>
      </c>
      <c r="G565">
        <v>424</v>
      </c>
      <c r="H565" s="5" t="s">
        <v>22</v>
      </c>
      <c r="I565" s="5">
        <v>0</v>
      </c>
      <c r="J565" s="5">
        <v>0</v>
      </c>
      <c r="K565" t="s">
        <v>10255</v>
      </c>
      <c r="L565" cm="1">
        <f t="array" ref="L565">wordCount(K565)</f>
        <v>17</v>
      </c>
      <c r="M565">
        <f t="shared" si="16"/>
        <v>78</v>
      </c>
      <c r="N565">
        <v>0.25</v>
      </c>
      <c r="O565" s="23" cm="1">
        <f t="array" ref="O565">WordListCount(K565,keywords!$A$2:$A$31)-WordListCount(K565,keywords!$B$2:$B$31)</f>
        <v>0</v>
      </c>
      <c r="P565" s="25">
        <f t="shared" si="17"/>
        <v>0.57096064814814818</v>
      </c>
      <c r="Q565" s="23">
        <f>SUM($O$2:O565)</f>
        <v>15</v>
      </c>
      <c r="Y565" s="14"/>
      <c r="Z565" s="13"/>
      <c r="AA565"/>
    </row>
    <row r="566" spans="1:27" x14ac:dyDescent="0.2">
      <c r="A566" s="12" t="s">
        <v>1855</v>
      </c>
      <c r="B566" t="s">
        <v>1856</v>
      </c>
      <c r="C566" t="s">
        <v>1857</v>
      </c>
      <c r="D566" t="s">
        <v>1858</v>
      </c>
      <c r="E566" t="s">
        <v>13</v>
      </c>
      <c r="F566">
        <v>1848</v>
      </c>
      <c r="G566">
        <v>1184</v>
      </c>
      <c r="H566" s="5" t="s">
        <v>22</v>
      </c>
      <c r="I566" s="5">
        <v>0</v>
      </c>
      <c r="J566" s="5">
        <v>0</v>
      </c>
      <c r="K566" t="s">
        <v>10256</v>
      </c>
      <c r="L566" cm="1">
        <f t="array" ref="L566">wordCount(K566)</f>
        <v>2</v>
      </c>
      <c r="M566">
        <f t="shared" si="16"/>
        <v>13</v>
      </c>
      <c r="N566">
        <v>0.84615384615384615</v>
      </c>
      <c r="O566" s="23" cm="1">
        <f t="array" ref="O566">WordListCount(K566,keywords!$A$2:$A$31)-WordListCount(K566,keywords!$B$2:$B$31)</f>
        <v>0</v>
      </c>
      <c r="P566" s="25">
        <f t="shared" si="17"/>
        <v>0.57123842592592589</v>
      </c>
      <c r="Q566" s="23">
        <f>SUM($O$2:O566)</f>
        <v>15</v>
      </c>
      <c r="Y566" s="14"/>
      <c r="Z566" s="13"/>
      <c r="AA566"/>
    </row>
    <row r="567" spans="1:27" x14ac:dyDescent="0.2">
      <c r="A567" s="12" t="s">
        <v>1859</v>
      </c>
      <c r="B567" t="s">
        <v>1860</v>
      </c>
      <c r="C567" t="s">
        <v>1861</v>
      </c>
      <c r="D567" t="s">
        <v>1862</v>
      </c>
      <c r="E567" t="s">
        <v>13</v>
      </c>
      <c r="F567">
        <v>169</v>
      </c>
      <c r="G567">
        <v>280</v>
      </c>
      <c r="H567" s="5" t="s">
        <v>22</v>
      </c>
      <c r="I567" s="5">
        <v>0</v>
      </c>
      <c r="J567" s="5">
        <v>0</v>
      </c>
      <c r="K567" t="s">
        <v>10257</v>
      </c>
      <c r="L567" cm="1">
        <f t="array" ref="L567">wordCount(K567)</f>
        <v>14</v>
      </c>
      <c r="M567">
        <f t="shared" si="16"/>
        <v>80</v>
      </c>
      <c r="N567">
        <v>0.23529411764705882</v>
      </c>
      <c r="O567" s="23" cm="1">
        <f t="array" ref="O567">WordListCount(K567,keywords!$A$2:$A$31)-WordListCount(K567,keywords!$B$2:$B$31)</f>
        <v>-1</v>
      </c>
      <c r="P567" s="25">
        <f t="shared" si="17"/>
        <v>0.57141203703703702</v>
      </c>
      <c r="Q567" s="23">
        <f>SUM($O$2:O567)</f>
        <v>14</v>
      </c>
      <c r="Y567" s="14"/>
      <c r="Z567" s="13"/>
      <c r="AA567"/>
    </row>
    <row r="568" spans="1:27" x14ac:dyDescent="0.2">
      <c r="A568" s="12" t="s">
        <v>1863</v>
      </c>
      <c r="B568" t="s">
        <v>1864</v>
      </c>
      <c r="C568" t="s">
        <v>1865</v>
      </c>
      <c r="D568" t="s">
        <v>1866</v>
      </c>
      <c r="E568" t="s">
        <v>47</v>
      </c>
      <c r="F568">
        <v>72038</v>
      </c>
      <c r="G568">
        <v>420</v>
      </c>
      <c r="H568" s="5" t="s">
        <v>22</v>
      </c>
      <c r="I568" s="5">
        <v>0</v>
      </c>
      <c r="J568" s="5">
        <v>0</v>
      </c>
      <c r="K568" t="s">
        <v>9196</v>
      </c>
      <c r="L568" cm="1">
        <f t="array" ref="L568">wordCount(K568)</f>
        <v>15</v>
      </c>
      <c r="M568">
        <f t="shared" si="16"/>
        <v>67</v>
      </c>
      <c r="N568">
        <v>0.27777777777777779</v>
      </c>
      <c r="O568" s="23" cm="1">
        <f t="array" ref="O568">WordListCount(K568,keywords!$A$2:$A$31)-WordListCount(K568,keywords!$B$2:$B$31)</f>
        <v>0</v>
      </c>
      <c r="P568" s="25">
        <f t="shared" si="17"/>
        <v>0.57171296296296303</v>
      </c>
      <c r="Q568" s="23">
        <f>SUM($O$2:O568)</f>
        <v>14</v>
      </c>
      <c r="Y568" s="14"/>
      <c r="Z568" s="13"/>
      <c r="AA568"/>
    </row>
    <row r="569" spans="1:27" x14ac:dyDescent="0.2">
      <c r="A569" s="12" t="s">
        <v>1867</v>
      </c>
      <c r="B569" t="s">
        <v>1868</v>
      </c>
      <c r="C569" t="s">
        <v>1869</v>
      </c>
      <c r="D569" t="s">
        <v>1870</v>
      </c>
      <c r="E569" t="s">
        <v>13</v>
      </c>
      <c r="F569">
        <v>676</v>
      </c>
      <c r="G569">
        <v>4999</v>
      </c>
      <c r="H569" s="5" t="s">
        <v>22</v>
      </c>
      <c r="I569" s="5">
        <v>0</v>
      </c>
      <c r="J569" s="5">
        <v>0</v>
      </c>
      <c r="K569" t="s">
        <v>9197</v>
      </c>
      <c r="L569" cm="1">
        <f t="array" ref="L569">wordCount(K569)</f>
        <v>3</v>
      </c>
      <c r="M569">
        <f t="shared" si="16"/>
        <v>24</v>
      </c>
      <c r="N569">
        <v>0.82352941176470584</v>
      </c>
      <c r="O569" s="23" cm="1">
        <f t="array" ref="O569">WordListCount(K569,keywords!$A$2:$A$31)-WordListCount(K569,keywords!$B$2:$B$31)</f>
        <v>0</v>
      </c>
      <c r="P569" s="25">
        <f t="shared" si="17"/>
        <v>0.57185185185185183</v>
      </c>
      <c r="Q569" s="23">
        <f>SUM($O$2:O569)</f>
        <v>14</v>
      </c>
      <c r="Y569" s="14"/>
      <c r="Z569" s="13"/>
      <c r="AA569"/>
    </row>
    <row r="570" spans="1:27" x14ac:dyDescent="0.2">
      <c r="A570" s="12" t="s">
        <v>1871</v>
      </c>
      <c r="B570" t="s">
        <v>1872</v>
      </c>
      <c r="C570" t="s">
        <v>1873</v>
      </c>
      <c r="D570" t="s">
        <v>1874</v>
      </c>
      <c r="E570" t="s">
        <v>13</v>
      </c>
      <c r="F570">
        <v>74</v>
      </c>
      <c r="G570">
        <v>398</v>
      </c>
      <c r="H570" s="5" t="s">
        <v>22</v>
      </c>
      <c r="I570" s="5">
        <v>0</v>
      </c>
      <c r="J570" s="5">
        <v>0</v>
      </c>
      <c r="K570" t="s">
        <v>10258</v>
      </c>
      <c r="L570" cm="1">
        <f t="array" ref="L570">wordCount(K570)</f>
        <v>6</v>
      </c>
      <c r="M570">
        <f t="shared" si="16"/>
        <v>22</v>
      </c>
      <c r="N570">
        <v>0.86956521739130432</v>
      </c>
      <c r="O570" s="23" cm="1">
        <f t="array" ref="O570">WordListCount(K570,keywords!$A$2:$A$31)-WordListCount(K570,keywords!$B$2:$B$31)</f>
        <v>0</v>
      </c>
      <c r="P570" s="25">
        <f t="shared" si="17"/>
        <v>0.57203703703703701</v>
      </c>
      <c r="Q570" s="23">
        <f>SUM($O$2:O570)</f>
        <v>14</v>
      </c>
      <c r="Y570" s="14"/>
      <c r="Z570" s="13"/>
      <c r="AA570"/>
    </row>
    <row r="571" spans="1:27" x14ac:dyDescent="0.2">
      <c r="A571" s="12" t="s">
        <v>1875</v>
      </c>
      <c r="B571" t="s">
        <v>1876</v>
      </c>
      <c r="C571" t="s">
        <v>1877</v>
      </c>
      <c r="D571" t="s">
        <v>1878</v>
      </c>
      <c r="E571" t="s">
        <v>13</v>
      </c>
      <c r="F571">
        <v>1223</v>
      </c>
      <c r="G571">
        <v>2150</v>
      </c>
      <c r="H571" s="5" t="s">
        <v>22</v>
      </c>
      <c r="I571" s="5">
        <v>0</v>
      </c>
      <c r="J571" s="5">
        <v>0</v>
      </c>
      <c r="K571" t="s">
        <v>10259</v>
      </c>
      <c r="L571" cm="1">
        <f t="array" ref="L571">wordCount(K571)</f>
        <v>19</v>
      </c>
      <c r="M571">
        <f t="shared" si="16"/>
        <v>108</v>
      </c>
      <c r="N571">
        <v>0.33333333333333331</v>
      </c>
      <c r="O571" s="23" cm="1">
        <f t="array" ref="O571">WordListCount(K571,keywords!$A$2:$A$31)-WordListCount(K571,keywords!$B$2:$B$31)</f>
        <v>0</v>
      </c>
      <c r="P571" s="25">
        <f t="shared" si="17"/>
        <v>0.57219907407407411</v>
      </c>
      <c r="Q571" s="23">
        <f>SUM($O$2:O571)</f>
        <v>14</v>
      </c>
      <c r="Y571" s="14"/>
      <c r="Z571" s="13"/>
      <c r="AA571"/>
    </row>
    <row r="572" spans="1:27" x14ac:dyDescent="0.2">
      <c r="A572" s="12" t="s">
        <v>1879</v>
      </c>
      <c r="B572" t="s">
        <v>1880</v>
      </c>
      <c r="C572" t="s">
        <v>1881</v>
      </c>
      <c r="D572" t="s">
        <v>1882</v>
      </c>
      <c r="E572" t="s">
        <v>13</v>
      </c>
      <c r="F572">
        <v>696</v>
      </c>
      <c r="G572">
        <v>571</v>
      </c>
      <c r="H572" s="5" t="s">
        <v>22</v>
      </c>
      <c r="I572" s="5">
        <v>0</v>
      </c>
      <c r="J572" s="5">
        <v>0</v>
      </c>
      <c r="K572" t="s">
        <v>9047</v>
      </c>
      <c r="L572" cm="1">
        <f t="array" ref="L572">wordCount(K572)</f>
        <v>1</v>
      </c>
      <c r="M572">
        <f t="shared" si="16"/>
        <v>7</v>
      </c>
      <c r="N572">
        <v>0.5</v>
      </c>
      <c r="O572" s="23" cm="1">
        <f t="array" ref="O572">WordListCount(K572,keywords!$A$2:$A$31)-WordListCount(K572,keywords!$B$2:$B$31)</f>
        <v>0</v>
      </c>
      <c r="P572" s="25">
        <f t="shared" si="17"/>
        <v>0.57289351851851855</v>
      </c>
      <c r="Q572" s="23">
        <f>SUM($O$2:O572)</f>
        <v>14</v>
      </c>
      <c r="Y572" s="14"/>
      <c r="Z572" s="13"/>
      <c r="AA572"/>
    </row>
    <row r="573" spans="1:27" x14ac:dyDescent="0.2">
      <c r="A573" s="12" t="s">
        <v>1883</v>
      </c>
      <c r="B573" t="s">
        <v>1884</v>
      </c>
      <c r="C573" t="s">
        <v>205</v>
      </c>
      <c r="D573" t="s">
        <v>12</v>
      </c>
      <c r="E573" t="s">
        <v>13</v>
      </c>
      <c r="F573">
        <v>2867</v>
      </c>
      <c r="G573">
        <v>6</v>
      </c>
      <c r="H573" s="5" t="s">
        <v>22</v>
      </c>
      <c r="I573" s="5">
        <v>0</v>
      </c>
      <c r="J573" s="5">
        <v>0</v>
      </c>
      <c r="K573" t="s">
        <v>9198</v>
      </c>
      <c r="L573" cm="1">
        <f t="array" ref="L573">wordCount(K573)</f>
        <v>8</v>
      </c>
      <c r="M573">
        <f t="shared" si="16"/>
        <v>55</v>
      </c>
      <c r="N573">
        <v>0.77777777777777779</v>
      </c>
      <c r="O573" s="23" cm="1">
        <f t="array" ref="O573">WordListCount(K573,keywords!$A$2:$A$31)-WordListCount(K573,keywords!$B$2:$B$31)</f>
        <v>0</v>
      </c>
      <c r="P573" s="25">
        <f t="shared" si="17"/>
        <v>0.57291666666666663</v>
      </c>
      <c r="Q573" s="23">
        <f>SUM($O$2:O573)</f>
        <v>14</v>
      </c>
      <c r="Y573" s="14"/>
      <c r="Z573" s="13"/>
      <c r="AA573"/>
    </row>
    <row r="574" spans="1:27" x14ac:dyDescent="0.2">
      <c r="A574" s="12" t="s">
        <v>1885</v>
      </c>
      <c r="B574" t="s">
        <v>1886</v>
      </c>
      <c r="C574" t="s">
        <v>429</v>
      </c>
      <c r="D574" t="s">
        <v>430</v>
      </c>
      <c r="E574" t="s">
        <v>13</v>
      </c>
      <c r="F574">
        <v>1663</v>
      </c>
      <c r="G574">
        <v>1479</v>
      </c>
      <c r="H574" s="5" t="s">
        <v>22</v>
      </c>
      <c r="I574" s="5">
        <v>0</v>
      </c>
      <c r="J574" s="5">
        <v>0</v>
      </c>
      <c r="K574" t="s">
        <v>10260</v>
      </c>
      <c r="L574" cm="1">
        <f t="array" ref="L574">wordCount(K574)</f>
        <v>9</v>
      </c>
      <c r="M574">
        <f t="shared" si="16"/>
        <v>64</v>
      </c>
      <c r="N574">
        <v>0.8</v>
      </c>
      <c r="O574" s="23" cm="1">
        <f t="array" ref="O574">WordListCount(K574,keywords!$A$2:$A$31)-WordListCount(K574,keywords!$B$2:$B$31)</f>
        <v>0</v>
      </c>
      <c r="P574" s="25">
        <f t="shared" si="17"/>
        <v>0.57293981481481482</v>
      </c>
      <c r="Q574" s="23">
        <f>SUM($O$2:O574)</f>
        <v>14</v>
      </c>
      <c r="Y574" s="14"/>
      <c r="Z574" s="13"/>
      <c r="AA574"/>
    </row>
    <row r="575" spans="1:27" x14ac:dyDescent="0.2">
      <c r="A575" s="12" t="s">
        <v>1887</v>
      </c>
      <c r="B575" t="s">
        <v>1888</v>
      </c>
      <c r="C575" t="s">
        <v>1889</v>
      </c>
      <c r="D575" t="s">
        <v>1890</v>
      </c>
      <c r="E575" t="s">
        <v>13</v>
      </c>
      <c r="F575">
        <v>101</v>
      </c>
      <c r="G575">
        <v>542</v>
      </c>
      <c r="H575" s="5" t="s">
        <v>22</v>
      </c>
      <c r="I575" s="5">
        <v>0</v>
      </c>
      <c r="J575" s="5">
        <v>0</v>
      </c>
      <c r="K575" t="s">
        <v>9199</v>
      </c>
      <c r="L575" cm="1">
        <f t="array" ref="L575">wordCount(K575)</f>
        <v>4</v>
      </c>
      <c r="M575">
        <f t="shared" si="16"/>
        <v>25</v>
      </c>
      <c r="N575">
        <v>0.88</v>
      </c>
      <c r="O575" s="23" cm="1">
        <f t="array" ref="O575">WordListCount(K575,keywords!$A$2:$A$31)-WordListCount(K575,keywords!$B$2:$B$31)</f>
        <v>0</v>
      </c>
      <c r="P575" s="25">
        <f t="shared" si="17"/>
        <v>0.57296296296296301</v>
      </c>
      <c r="Q575" s="23">
        <f>SUM($O$2:O575)</f>
        <v>14</v>
      </c>
      <c r="Y575" s="14"/>
      <c r="Z575" s="13"/>
      <c r="AA575"/>
    </row>
    <row r="576" spans="1:27" x14ac:dyDescent="0.2">
      <c r="A576" s="12" t="s">
        <v>1891</v>
      </c>
      <c r="B576" t="s">
        <v>1892</v>
      </c>
      <c r="C576" t="s">
        <v>1893</v>
      </c>
      <c r="D576" t="s">
        <v>74</v>
      </c>
      <c r="E576" t="s">
        <v>13</v>
      </c>
      <c r="F576">
        <v>2027</v>
      </c>
      <c r="G576">
        <v>331</v>
      </c>
      <c r="H576" s="5" t="s">
        <v>22</v>
      </c>
      <c r="I576" s="5">
        <v>0</v>
      </c>
      <c r="J576" s="5">
        <v>0</v>
      </c>
      <c r="K576" t="s">
        <v>10261</v>
      </c>
      <c r="L576" cm="1">
        <f t="array" ref="L576">wordCount(K576)</f>
        <v>7</v>
      </c>
      <c r="M576">
        <f t="shared" si="16"/>
        <v>33</v>
      </c>
      <c r="N576">
        <v>0.6875</v>
      </c>
      <c r="O576" s="23" cm="1">
        <f t="array" ref="O576">WordListCount(K576,keywords!$A$2:$A$31)-WordListCount(K576,keywords!$B$2:$B$31)</f>
        <v>0</v>
      </c>
      <c r="P576" s="25">
        <f t="shared" si="17"/>
        <v>0.57311342592592596</v>
      </c>
      <c r="Q576" s="23">
        <f>SUM($O$2:O576)</f>
        <v>14</v>
      </c>
      <c r="Y576" s="14"/>
      <c r="Z576" s="13"/>
      <c r="AA576"/>
    </row>
    <row r="577" spans="1:27" x14ac:dyDescent="0.2">
      <c r="A577" s="12" t="s">
        <v>1894</v>
      </c>
      <c r="B577" t="s">
        <v>1895</v>
      </c>
      <c r="C577" t="s">
        <v>1896</v>
      </c>
      <c r="D577" t="s">
        <v>12</v>
      </c>
      <c r="E577" t="s">
        <v>13</v>
      </c>
      <c r="F577">
        <v>194</v>
      </c>
      <c r="G577">
        <v>89</v>
      </c>
      <c r="H577" s="5" t="s">
        <v>1705</v>
      </c>
      <c r="I577" s="5">
        <v>0</v>
      </c>
      <c r="J577" s="5">
        <v>0</v>
      </c>
      <c r="K577" t="s">
        <v>10262</v>
      </c>
      <c r="L577" cm="1">
        <f t="array" ref="L577">wordCount(K577)</f>
        <v>25</v>
      </c>
      <c r="M577">
        <f t="shared" si="16"/>
        <v>104</v>
      </c>
      <c r="N577">
        <v>0.24</v>
      </c>
      <c r="O577" s="23" cm="1">
        <f t="array" ref="O577">WordListCount(K577,keywords!$A$2:$A$31)-WordListCount(K577,keywords!$B$2:$B$31)</f>
        <v>1</v>
      </c>
      <c r="P577" s="25">
        <f t="shared" si="17"/>
        <v>0.57318287037037041</v>
      </c>
      <c r="Q577" s="23">
        <f>SUM($O$2:O577)</f>
        <v>15</v>
      </c>
      <c r="Y577" s="14"/>
      <c r="Z577" s="13"/>
      <c r="AA577"/>
    </row>
    <row r="578" spans="1:27" x14ac:dyDescent="0.2">
      <c r="A578" s="12" t="s">
        <v>1897</v>
      </c>
      <c r="B578" t="s">
        <v>1898</v>
      </c>
      <c r="C578" t="s">
        <v>1899</v>
      </c>
      <c r="D578" t="s">
        <v>12</v>
      </c>
      <c r="E578" t="s">
        <v>13</v>
      </c>
      <c r="F578">
        <v>201</v>
      </c>
      <c r="G578">
        <v>18</v>
      </c>
      <c r="H578" s="5" t="s">
        <v>22</v>
      </c>
      <c r="I578" s="5">
        <v>0</v>
      </c>
      <c r="J578" s="5">
        <v>0</v>
      </c>
      <c r="K578" t="s">
        <v>9200</v>
      </c>
      <c r="L578" cm="1">
        <f t="array" ref="L578">wordCount(K578)</f>
        <v>16</v>
      </c>
      <c r="M578">
        <f t="shared" ref="M578:M641" si="18">LEN(K578)</f>
        <v>85</v>
      </c>
      <c r="N578">
        <v>0.60606060606060608</v>
      </c>
      <c r="O578" s="23" cm="1">
        <f t="array" ref="O578">WordListCount(K578,keywords!$A$2:$A$31)-WordListCount(K578,keywords!$B$2:$B$31)</f>
        <v>0</v>
      </c>
      <c r="P578" s="25">
        <f t="shared" ref="P578:P641" si="19">TIMEVALUE(RIGHT(A578,8))</f>
        <v>0.57393518518518516</v>
      </c>
      <c r="Q578" s="23">
        <f>SUM($O$2:O578)</f>
        <v>15</v>
      </c>
      <c r="Y578" s="14"/>
      <c r="Z578" s="13"/>
      <c r="AA578"/>
    </row>
    <row r="579" spans="1:27" x14ac:dyDescent="0.2">
      <c r="A579" s="12" t="s">
        <v>1900</v>
      </c>
      <c r="B579" t="s">
        <v>1901</v>
      </c>
      <c r="C579" t="s">
        <v>1902</v>
      </c>
      <c r="D579" t="s">
        <v>12</v>
      </c>
      <c r="E579" t="s">
        <v>13</v>
      </c>
      <c r="F579">
        <v>77</v>
      </c>
      <c r="G579">
        <v>115</v>
      </c>
      <c r="H579" s="5" t="s">
        <v>22</v>
      </c>
      <c r="I579" s="5">
        <v>0</v>
      </c>
      <c r="J579" s="5">
        <v>0</v>
      </c>
      <c r="K579" t="s">
        <v>9201</v>
      </c>
      <c r="L579" cm="1">
        <f t="array" ref="L579">wordCount(K579)</f>
        <v>26</v>
      </c>
      <c r="M579">
        <f t="shared" si="18"/>
        <v>119</v>
      </c>
      <c r="N579">
        <v>0.23076923076923078</v>
      </c>
      <c r="O579" s="23" cm="1">
        <f t="array" ref="O579">WordListCount(K579,keywords!$A$2:$A$31)-WordListCount(K579,keywords!$B$2:$B$31)</f>
        <v>-1</v>
      </c>
      <c r="P579" s="25">
        <f t="shared" si="19"/>
        <v>0.57400462962962961</v>
      </c>
      <c r="Q579" s="23">
        <f>SUM($O$2:O579)</f>
        <v>14</v>
      </c>
      <c r="Y579" s="14"/>
      <c r="Z579" s="13"/>
      <c r="AA579"/>
    </row>
    <row r="580" spans="1:27" x14ac:dyDescent="0.2">
      <c r="A580" s="12" t="s">
        <v>1903</v>
      </c>
      <c r="B580" t="s">
        <v>1904</v>
      </c>
      <c r="C580" t="s">
        <v>1905</v>
      </c>
      <c r="D580" t="s">
        <v>12</v>
      </c>
      <c r="E580" t="s">
        <v>13</v>
      </c>
      <c r="F580">
        <v>61</v>
      </c>
      <c r="G580">
        <v>129</v>
      </c>
      <c r="H580" s="5" t="s">
        <v>22</v>
      </c>
      <c r="I580" s="5">
        <v>0</v>
      </c>
      <c r="J580" s="5">
        <v>0</v>
      </c>
      <c r="K580" t="s">
        <v>10263</v>
      </c>
      <c r="L580" cm="1">
        <f t="array" ref="L580">wordCount(K580)</f>
        <v>6</v>
      </c>
      <c r="M580">
        <f t="shared" si="18"/>
        <v>31</v>
      </c>
      <c r="N580">
        <v>0.78947368421052633</v>
      </c>
      <c r="O580" s="23" cm="1">
        <f t="array" ref="O580">WordListCount(K580,keywords!$A$2:$A$31)-WordListCount(K580,keywords!$B$2:$B$31)</f>
        <v>0</v>
      </c>
      <c r="P580" s="25">
        <f t="shared" si="19"/>
        <v>0.57408564814814811</v>
      </c>
      <c r="Q580" s="23">
        <f>SUM($O$2:O580)</f>
        <v>14</v>
      </c>
      <c r="Y580" s="14"/>
      <c r="Z580" s="13"/>
      <c r="AA580"/>
    </row>
    <row r="581" spans="1:27" x14ac:dyDescent="0.2">
      <c r="A581" s="12" t="s">
        <v>1906</v>
      </c>
      <c r="B581" t="s">
        <v>1907</v>
      </c>
      <c r="C581" t="s">
        <v>1889</v>
      </c>
      <c r="D581" t="s">
        <v>1890</v>
      </c>
      <c r="E581" t="s">
        <v>13</v>
      </c>
      <c r="F581">
        <v>101</v>
      </c>
      <c r="G581">
        <v>542</v>
      </c>
      <c r="H581" s="5" t="s">
        <v>22</v>
      </c>
      <c r="I581" s="5">
        <v>0</v>
      </c>
      <c r="J581" s="5">
        <v>0</v>
      </c>
      <c r="K581" t="s">
        <v>10264</v>
      </c>
      <c r="L581" cm="1">
        <f t="array" ref="L581">wordCount(K581)</f>
        <v>12</v>
      </c>
      <c r="M581">
        <f t="shared" si="18"/>
        <v>58</v>
      </c>
      <c r="N581">
        <v>0.75</v>
      </c>
      <c r="O581" s="23" cm="1">
        <f t="array" ref="O581">WordListCount(K581,keywords!$A$2:$A$31)-WordListCount(K581,keywords!$B$2:$B$31)</f>
        <v>0</v>
      </c>
      <c r="P581" s="25">
        <f t="shared" si="19"/>
        <v>0.5741666666666666</v>
      </c>
      <c r="Q581" s="23">
        <f>SUM($O$2:O581)</f>
        <v>14</v>
      </c>
      <c r="Y581" s="14"/>
      <c r="Z581" s="13"/>
      <c r="AA581"/>
    </row>
    <row r="582" spans="1:27" x14ac:dyDescent="0.2">
      <c r="A582" s="12" t="s">
        <v>1908</v>
      </c>
      <c r="B582" t="s">
        <v>1909</v>
      </c>
      <c r="C582" t="s">
        <v>371</v>
      </c>
      <c r="D582" t="s">
        <v>12</v>
      </c>
      <c r="E582" t="s">
        <v>13</v>
      </c>
      <c r="F582">
        <v>6</v>
      </c>
      <c r="G582">
        <v>77</v>
      </c>
      <c r="H582" s="5" t="s">
        <v>22</v>
      </c>
      <c r="I582" s="5">
        <v>0</v>
      </c>
      <c r="J582" s="5">
        <v>0</v>
      </c>
      <c r="K582" t="s">
        <v>9202</v>
      </c>
      <c r="L582" cm="1">
        <f t="array" ref="L582">wordCount(K582)</f>
        <v>7</v>
      </c>
      <c r="M582">
        <f t="shared" si="18"/>
        <v>41</v>
      </c>
      <c r="N582">
        <v>0.33333333333333331</v>
      </c>
      <c r="O582" s="23" cm="1">
        <f t="array" ref="O582">WordListCount(K582,keywords!$A$2:$A$31)-WordListCount(K582,keywords!$B$2:$B$31)</f>
        <v>-1</v>
      </c>
      <c r="P582" s="25">
        <f t="shared" si="19"/>
        <v>0.57443287037037039</v>
      </c>
      <c r="Q582" s="23">
        <f>SUM($O$2:O582)</f>
        <v>13</v>
      </c>
      <c r="Y582" s="14"/>
      <c r="Z582" s="13"/>
      <c r="AA582"/>
    </row>
    <row r="583" spans="1:27" x14ac:dyDescent="0.2">
      <c r="A583" s="12" t="s">
        <v>1910</v>
      </c>
      <c r="B583" t="s">
        <v>1911</v>
      </c>
      <c r="C583" t="s">
        <v>1912</v>
      </c>
      <c r="D583" t="s">
        <v>1913</v>
      </c>
      <c r="E583" t="s">
        <v>13</v>
      </c>
      <c r="F583">
        <v>28</v>
      </c>
      <c r="G583">
        <v>101</v>
      </c>
      <c r="H583" s="5" t="s">
        <v>22</v>
      </c>
      <c r="I583" s="5">
        <v>0</v>
      </c>
      <c r="J583" s="5">
        <v>0</v>
      </c>
      <c r="K583" t="s">
        <v>9203</v>
      </c>
      <c r="L583" cm="1">
        <f t="array" ref="L583">wordCount(K583)</f>
        <v>7</v>
      </c>
      <c r="M583">
        <f t="shared" si="18"/>
        <v>44</v>
      </c>
      <c r="N583">
        <v>0.58333333333333337</v>
      </c>
      <c r="O583" s="23" cm="1">
        <f t="array" ref="O583">WordListCount(K583,keywords!$A$2:$A$31)-WordListCount(K583,keywords!$B$2:$B$31)</f>
        <v>0</v>
      </c>
      <c r="P583" s="25">
        <f t="shared" si="19"/>
        <v>0.57461805555555556</v>
      </c>
      <c r="Q583" s="23">
        <f>SUM($O$2:O583)</f>
        <v>13</v>
      </c>
      <c r="Y583" s="14"/>
      <c r="Z583" s="13"/>
      <c r="AA583"/>
    </row>
    <row r="584" spans="1:27" x14ac:dyDescent="0.2">
      <c r="A584" s="12" t="s">
        <v>1914</v>
      </c>
      <c r="B584" t="s">
        <v>1915</v>
      </c>
      <c r="C584" t="s">
        <v>1050</v>
      </c>
      <c r="D584" t="s">
        <v>1051</v>
      </c>
      <c r="E584" t="s">
        <v>13</v>
      </c>
      <c r="F584">
        <v>4945</v>
      </c>
      <c r="G584">
        <v>4841</v>
      </c>
      <c r="H584" s="5" t="s">
        <v>125</v>
      </c>
      <c r="I584" s="5">
        <v>0</v>
      </c>
      <c r="J584" s="5">
        <v>0</v>
      </c>
      <c r="K584" t="s">
        <v>10265</v>
      </c>
      <c r="L584" cm="1">
        <f t="array" ref="L584">wordCount(K584)</f>
        <v>4</v>
      </c>
      <c r="M584">
        <f t="shared" si="18"/>
        <v>17</v>
      </c>
      <c r="N584">
        <v>0.8</v>
      </c>
      <c r="O584" s="23" cm="1">
        <f t="array" ref="O584">WordListCount(K584,keywords!$A$2:$A$31)-WordListCount(K584,keywords!$B$2:$B$31)</f>
        <v>0</v>
      </c>
      <c r="P584" s="25">
        <f t="shared" si="19"/>
        <v>0.57476851851851851</v>
      </c>
      <c r="Q584" s="23">
        <f>SUM($O$2:O584)</f>
        <v>13</v>
      </c>
      <c r="Y584" s="14"/>
      <c r="Z584" s="13"/>
      <c r="AA584"/>
    </row>
    <row r="585" spans="1:27" x14ac:dyDescent="0.2">
      <c r="A585" s="12" t="s">
        <v>1916</v>
      </c>
      <c r="B585" t="s">
        <v>1917</v>
      </c>
      <c r="C585" t="s">
        <v>496</v>
      </c>
      <c r="D585" t="s">
        <v>497</v>
      </c>
      <c r="E585" t="s">
        <v>13</v>
      </c>
      <c r="F585">
        <v>366</v>
      </c>
      <c r="G585">
        <v>225</v>
      </c>
      <c r="H585" s="5" t="s">
        <v>22</v>
      </c>
      <c r="I585" s="5">
        <v>0</v>
      </c>
      <c r="J585" s="5">
        <v>0</v>
      </c>
      <c r="K585" t="s">
        <v>10266</v>
      </c>
      <c r="L585" cm="1">
        <f t="array" ref="L585">wordCount(K585)</f>
        <v>24</v>
      </c>
      <c r="M585">
        <f t="shared" si="18"/>
        <v>103</v>
      </c>
      <c r="N585">
        <v>0.79166666666666663</v>
      </c>
      <c r="O585" s="23" cm="1">
        <f t="array" ref="O585">WordListCount(K585,keywords!$A$2:$A$31)-WordListCount(K585,keywords!$B$2:$B$31)</f>
        <v>0</v>
      </c>
      <c r="P585" s="25">
        <f t="shared" si="19"/>
        <v>0.5747916666666667</v>
      </c>
      <c r="Q585" s="23">
        <f>SUM($O$2:O585)</f>
        <v>13</v>
      </c>
      <c r="Y585" s="14"/>
      <c r="Z585" s="13"/>
      <c r="AA585"/>
    </row>
    <row r="586" spans="1:27" x14ac:dyDescent="0.2">
      <c r="A586" s="12" t="s">
        <v>1918</v>
      </c>
      <c r="B586" t="s">
        <v>1919</v>
      </c>
      <c r="C586" t="s">
        <v>1920</v>
      </c>
      <c r="D586" t="s">
        <v>1921</v>
      </c>
      <c r="E586" t="s">
        <v>13</v>
      </c>
      <c r="F586">
        <v>102</v>
      </c>
      <c r="G586">
        <v>144</v>
      </c>
      <c r="H586" s="5" t="s">
        <v>22</v>
      </c>
      <c r="I586" s="5">
        <v>0</v>
      </c>
      <c r="J586" s="5">
        <v>0</v>
      </c>
      <c r="K586" t="s">
        <v>9204</v>
      </c>
      <c r="L586" cm="1">
        <f t="array" ref="L586">wordCount(K586)</f>
        <v>8</v>
      </c>
      <c r="M586">
        <f t="shared" si="18"/>
        <v>43</v>
      </c>
      <c r="N586">
        <v>0.66666666666666663</v>
      </c>
      <c r="O586" s="23" cm="1">
        <f t="array" ref="O586">WordListCount(K586,keywords!$A$2:$A$31)-WordListCount(K586,keywords!$B$2:$B$31)</f>
        <v>-1</v>
      </c>
      <c r="P586" s="25">
        <f t="shared" si="19"/>
        <v>0.57500000000000007</v>
      </c>
      <c r="Q586" s="23">
        <f>SUM($O$2:O586)</f>
        <v>12</v>
      </c>
      <c r="Y586" s="14"/>
      <c r="Z586" s="13"/>
      <c r="AA586"/>
    </row>
    <row r="587" spans="1:27" x14ac:dyDescent="0.2">
      <c r="A587" s="12" t="s">
        <v>1922</v>
      </c>
      <c r="B587" t="s">
        <v>1923</v>
      </c>
      <c r="C587" t="s">
        <v>310</v>
      </c>
      <c r="D587" t="s">
        <v>12</v>
      </c>
      <c r="E587" t="s">
        <v>13</v>
      </c>
      <c r="F587">
        <v>3633</v>
      </c>
      <c r="G587">
        <v>3731</v>
      </c>
      <c r="H587" s="5" t="s">
        <v>22</v>
      </c>
      <c r="I587" s="5">
        <v>0</v>
      </c>
      <c r="J587" s="5">
        <v>0</v>
      </c>
      <c r="K587" t="s">
        <v>9205</v>
      </c>
      <c r="L587" cm="1">
        <f t="array" ref="L587">wordCount(K587)</f>
        <v>9</v>
      </c>
      <c r="M587">
        <f t="shared" si="18"/>
        <v>61</v>
      </c>
      <c r="N587">
        <v>0.45454545454545453</v>
      </c>
      <c r="O587" s="23" cm="1">
        <f t="array" ref="O587">WordListCount(K587,keywords!$A$2:$A$31)-WordListCount(K587,keywords!$B$2:$B$31)</f>
        <v>0</v>
      </c>
      <c r="P587" s="25">
        <f t="shared" si="19"/>
        <v>0.57528935185185182</v>
      </c>
      <c r="Q587" s="23">
        <f>SUM($O$2:O587)</f>
        <v>12</v>
      </c>
      <c r="Y587" s="14"/>
      <c r="Z587" s="13"/>
      <c r="AA587"/>
    </row>
    <row r="588" spans="1:27" x14ac:dyDescent="0.2">
      <c r="A588" s="12" t="s">
        <v>1924</v>
      </c>
      <c r="B588" t="s">
        <v>1925</v>
      </c>
      <c r="C588" t="s">
        <v>1926</v>
      </c>
      <c r="D588" t="s">
        <v>1927</v>
      </c>
      <c r="E588" t="s">
        <v>13</v>
      </c>
      <c r="F588">
        <v>534</v>
      </c>
      <c r="G588">
        <v>545</v>
      </c>
      <c r="H588" s="5" t="s">
        <v>22</v>
      </c>
      <c r="I588" s="5">
        <v>0</v>
      </c>
      <c r="J588" s="5">
        <v>0</v>
      </c>
      <c r="K588" t="s">
        <v>9206</v>
      </c>
      <c r="L588" cm="1">
        <f t="array" ref="L588">wordCount(K588)</f>
        <v>7</v>
      </c>
      <c r="M588">
        <f t="shared" si="18"/>
        <v>25</v>
      </c>
      <c r="N588">
        <v>0.63636363636363635</v>
      </c>
      <c r="O588" s="23" cm="1">
        <f t="array" ref="O588">WordListCount(K588,keywords!$A$2:$A$31)-WordListCount(K588,keywords!$B$2:$B$31)</f>
        <v>0</v>
      </c>
      <c r="P588" s="25">
        <f t="shared" si="19"/>
        <v>0.57533564814814808</v>
      </c>
      <c r="Q588" s="23">
        <f>SUM($O$2:O588)</f>
        <v>12</v>
      </c>
      <c r="Y588" s="14"/>
      <c r="Z588" s="13"/>
      <c r="AA588"/>
    </row>
    <row r="589" spans="1:27" x14ac:dyDescent="0.2">
      <c r="A589" s="12" t="s">
        <v>1928</v>
      </c>
      <c r="B589" t="s">
        <v>1929</v>
      </c>
      <c r="C589" t="s">
        <v>1930</v>
      </c>
      <c r="D589" t="s">
        <v>12</v>
      </c>
      <c r="E589" t="s">
        <v>13</v>
      </c>
      <c r="F589">
        <v>619</v>
      </c>
      <c r="G589">
        <v>1376</v>
      </c>
      <c r="H589" s="5" t="s">
        <v>22</v>
      </c>
      <c r="I589" s="5">
        <v>0</v>
      </c>
      <c r="J589" s="5">
        <v>0</v>
      </c>
      <c r="K589" t="s">
        <v>10267</v>
      </c>
      <c r="L589" cm="1">
        <f t="array" ref="L589">wordCount(K589)</f>
        <v>10</v>
      </c>
      <c r="M589">
        <f t="shared" si="18"/>
        <v>63</v>
      </c>
      <c r="N589">
        <v>0.66666666666666663</v>
      </c>
      <c r="O589" s="23" cm="1">
        <f t="array" ref="O589">WordListCount(K589,keywords!$A$2:$A$31)-WordListCount(K589,keywords!$B$2:$B$31)</f>
        <v>0</v>
      </c>
      <c r="P589" s="25">
        <f t="shared" si="19"/>
        <v>0.57546296296296295</v>
      </c>
      <c r="Q589" s="23">
        <f>SUM($O$2:O589)</f>
        <v>12</v>
      </c>
      <c r="Y589" s="14"/>
      <c r="Z589" s="13"/>
      <c r="AA589"/>
    </row>
    <row r="590" spans="1:27" x14ac:dyDescent="0.2">
      <c r="A590" s="12" t="s">
        <v>1931</v>
      </c>
      <c r="B590" t="s">
        <v>1932</v>
      </c>
      <c r="C590" t="s">
        <v>1933</v>
      </c>
      <c r="D590" t="s">
        <v>12</v>
      </c>
      <c r="E590" t="s">
        <v>13</v>
      </c>
      <c r="F590">
        <v>30114</v>
      </c>
      <c r="G590">
        <v>981</v>
      </c>
      <c r="H590" s="5" t="s">
        <v>59</v>
      </c>
      <c r="I590" s="5">
        <v>0</v>
      </c>
      <c r="J590" s="5">
        <v>0</v>
      </c>
      <c r="K590" t="s">
        <v>10268</v>
      </c>
      <c r="L590" cm="1">
        <f t="array" ref="L590">wordCount(K590)</f>
        <v>5</v>
      </c>
      <c r="M590">
        <f t="shared" si="18"/>
        <v>11</v>
      </c>
      <c r="N590">
        <v>0.91666666666666663</v>
      </c>
      <c r="O590" s="23" cm="1">
        <f t="array" ref="O590">WordListCount(K590,keywords!$A$2:$A$31)-WordListCount(K590,keywords!$B$2:$B$31)</f>
        <v>0</v>
      </c>
      <c r="P590" s="25">
        <f t="shared" si="19"/>
        <v>0.57555555555555549</v>
      </c>
      <c r="Q590" s="23">
        <f>SUM($O$2:O590)</f>
        <v>12</v>
      </c>
      <c r="Y590" s="14"/>
      <c r="Z590" s="13"/>
      <c r="AA590"/>
    </row>
    <row r="591" spans="1:27" x14ac:dyDescent="0.2">
      <c r="A591" s="12" t="s">
        <v>1934</v>
      </c>
      <c r="B591" t="s">
        <v>1935</v>
      </c>
      <c r="C591" t="s">
        <v>696</v>
      </c>
      <c r="D591" t="s">
        <v>697</v>
      </c>
      <c r="E591" t="s">
        <v>13</v>
      </c>
      <c r="F591">
        <v>7063</v>
      </c>
      <c r="G591">
        <v>262</v>
      </c>
      <c r="H591" s="5" t="s">
        <v>22</v>
      </c>
      <c r="I591" s="5">
        <v>0</v>
      </c>
      <c r="J591" s="5">
        <v>0</v>
      </c>
      <c r="K591" t="s">
        <v>10269</v>
      </c>
      <c r="L591" cm="1">
        <f t="array" ref="L591">wordCount(K591)</f>
        <v>11</v>
      </c>
      <c r="M591">
        <f t="shared" si="18"/>
        <v>101</v>
      </c>
      <c r="N591">
        <v>0.52631578947368418</v>
      </c>
      <c r="O591" s="23" cm="1">
        <f t="array" ref="O591">WordListCount(K591,keywords!$A$2:$A$31)-WordListCount(K591,keywords!$B$2:$B$31)</f>
        <v>0</v>
      </c>
      <c r="P591" s="25">
        <f t="shared" si="19"/>
        <v>0.57570601851851855</v>
      </c>
      <c r="Q591" s="23">
        <f>SUM($O$2:O591)</f>
        <v>12</v>
      </c>
      <c r="Y591" s="14"/>
      <c r="Z591" s="13"/>
      <c r="AA591"/>
    </row>
    <row r="592" spans="1:27" x14ac:dyDescent="0.2">
      <c r="A592" s="12" t="s">
        <v>1936</v>
      </c>
      <c r="B592" t="s">
        <v>1937</v>
      </c>
      <c r="C592" t="s">
        <v>1938</v>
      </c>
      <c r="D592" t="s">
        <v>12</v>
      </c>
      <c r="E592" t="s">
        <v>13</v>
      </c>
      <c r="F592">
        <v>285</v>
      </c>
      <c r="G592">
        <v>545</v>
      </c>
      <c r="H592" s="5" t="s">
        <v>22</v>
      </c>
      <c r="I592" s="5">
        <v>0</v>
      </c>
      <c r="J592" s="5">
        <v>0</v>
      </c>
      <c r="K592" t="s">
        <v>10270</v>
      </c>
      <c r="L592" cm="1">
        <f t="array" ref="L592">wordCount(K592)</f>
        <v>21</v>
      </c>
      <c r="M592">
        <f t="shared" si="18"/>
        <v>97</v>
      </c>
      <c r="N592">
        <v>0.40740740740740738</v>
      </c>
      <c r="O592" s="23" cm="1">
        <f t="array" ref="O592">WordListCount(K592,keywords!$A$2:$A$31)-WordListCount(K592,keywords!$B$2:$B$31)</f>
        <v>-1</v>
      </c>
      <c r="P592" s="25">
        <f t="shared" si="19"/>
        <v>0.57587962962962969</v>
      </c>
      <c r="Q592" s="23">
        <f>SUM($O$2:O592)</f>
        <v>11</v>
      </c>
      <c r="Y592" s="14"/>
      <c r="Z592" s="13"/>
      <c r="AA592"/>
    </row>
    <row r="593" spans="1:27" x14ac:dyDescent="0.2">
      <c r="A593" s="12" t="s">
        <v>1939</v>
      </c>
      <c r="B593" t="s">
        <v>1940</v>
      </c>
      <c r="C593" t="s">
        <v>1941</v>
      </c>
      <c r="D593" t="s">
        <v>1942</v>
      </c>
      <c r="E593" t="s">
        <v>13</v>
      </c>
      <c r="F593">
        <v>476</v>
      </c>
      <c r="G593">
        <v>180</v>
      </c>
      <c r="H593" s="5" t="s">
        <v>22</v>
      </c>
      <c r="I593" s="5">
        <v>0</v>
      </c>
      <c r="J593" s="5">
        <v>0</v>
      </c>
      <c r="K593" t="s">
        <v>10271</v>
      </c>
      <c r="L593" cm="1">
        <f t="array" ref="L593">wordCount(K593)</f>
        <v>9</v>
      </c>
      <c r="M593">
        <f t="shared" si="18"/>
        <v>29</v>
      </c>
      <c r="N593">
        <v>0.375</v>
      </c>
      <c r="O593" s="23" cm="1">
        <f t="array" ref="O593">WordListCount(K593,keywords!$A$2:$A$31)-WordListCount(K593,keywords!$B$2:$B$31)</f>
        <v>0</v>
      </c>
      <c r="P593" s="25">
        <f t="shared" si="19"/>
        <v>0.57589120370370372</v>
      </c>
      <c r="Q593" s="23">
        <f>SUM($O$2:O593)</f>
        <v>11</v>
      </c>
      <c r="Y593" s="14"/>
      <c r="Z593" s="13"/>
      <c r="AA593"/>
    </row>
    <row r="594" spans="1:27" x14ac:dyDescent="0.2">
      <c r="A594" s="12" t="s">
        <v>1943</v>
      </c>
      <c r="B594" t="s">
        <v>1944</v>
      </c>
      <c r="C594" t="s">
        <v>1945</v>
      </c>
      <c r="D594" t="s">
        <v>12</v>
      </c>
      <c r="E594" t="s">
        <v>13</v>
      </c>
      <c r="F594">
        <v>56</v>
      </c>
      <c r="G594">
        <v>36</v>
      </c>
      <c r="H594" s="5" t="s">
        <v>22</v>
      </c>
      <c r="I594" s="5">
        <v>0</v>
      </c>
      <c r="J594" s="5">
        <v>0</v>
      </c>
      <c r="K594" t="s">
        <v>10272</v>
      </c>
      <c r="L594" cm="1">
        <f t="array" ref="L594">wordCount(K594)</f>
        <v>19</v>
      </c>
      <c r="M594">
        <f t="shared" si="18"/>
        <v>101</v>
      </c>
      <c r="N594">
        <v>0.54545454545454541</v>
      </c>
      <c r="O594" s="23" cm="1">
        <f t="array" ref="O594">WordListCount(K594,keywords!$A$2:$A$31)-WordListCount(K594,keywords!$B$2:$B$31)</f>
        <v>0</v>
      </c>
      <c r="P594" s="25">
        <f t="shared" si="19"/>
        <v>0.57650462962962956</v>
      </c>
      <c r="Q594" s="23">
        <f>SUM($O$2:O594)</f>
        <v>11</v>
      </c>
      <c r="Y594" s="14"/>
      <c r="Z594" s="13"/>
      <c r="AA594"/>
    </row>
    <row r="595" spans="1:27" x14ac:dyDescent="0.2">
      <c r="A595" s="12" t="s">
        <v>1946</v>
      </c>
      <c r="B595" t="s">
        <v>1947</v>
      </c>
      <c r="C595" t="s">
        <v>1948</v>
      </c>
      <c r="D595" t="s">
        <v>12</v>
      </c>
      <c r="E595" t="s">
        <v>13</v>
      </c>
      <c r="F595">
        <v>4</v>
      </c>
      <c r="G595">
        <v>58</v>
      </c>
      <c r="H595" s="5" t="s">
        <v>22</v>
      </c>
      <c r="I595" s="5">
        <v>0</v>
      </c>
      <c r="J595" s="5">
        <v>0</v>
      </c>
      <c r="K595" t="s">
        <v>9207</v>
      </c>
      <c r="L595" cm="1">
        <f t="array" ref="L595">wordCount(K595)</f>
        <v>1</v>
      </c>
      <c r="M595">
        <f t="shared" si="18"/>
        <v>10</v>
      </c>
      <c r="N595">
        <v>0.9285714285714286</v>
      </c>
      <c r="O595" s="23" cm="1">
        <f t="array" ref="O595">WordListCount(K595,keywords!$A$2:$A$31)-WordListCount(K595,keywords!$B$2:$B$31)</f>
        <v>0</v>
      </c>
      <c r="P595" s="25">
        <f t="shared" si="19"/>
        <v>0.57657407407407402</v>
      </c>
      <c r="Q595" s="23">
        <f>SUM($O$2:O595)</f>
        <v>11</v>
      </c>
      <c r="Y595" s="14"/>
      <c r="Z595" s="13"/>
      <c r="AA595"/>
    </row>
    <row r="596" spans="1:27" x14ac:dyDescent="0.2">
      <c r="A596" s="12" t="s">
        <v>1949</v>
      </c>
      <c r="B596" t="s">
        <v>1950</v>
      </c>
      <c r="C596" t="s">
        <v>1951</v>
      </c>
      <c r="D596" t="s">
        <v>12</v>
      </c>
      <c r="E596" t="s">
        <v>13</v>
      </c>
      <c r="F596">
        <v>3056</v>
      </c>
      <c r="G596">
        <v>171</v>
      </c>
      <c r="H596" s="5" t="s">
        <v>125</v>
      </c>
      <c r="I596" s="5">
        <v>0</v>
      </c>
      <c r="J596" s="5">
        <v>0</v>
      </c>
      <c r="K596" t="s">
        <v>9047</v>
      </c>
      <c r="L596" cm="1">
        <f t="array" ref="L596">wordCount(K596)</f>
        <v>1</v>
      </c>
      <c r="M596">
        <f t="shared" si="18"/>
        <v>7</v>
      </c>
      <c r="N596">
        <v>0.5</v>
      </c>
      <c r="O596" s="23" cm="1">
        <f t="array" ref="O596">WordListCount(K596,keywords!$A$2:$A$31)-WordListCount(K596,keywords!$B$2:$B$31)</f>
        <v>0</v>
      </c>
      <c r="P596" s="25">
        <f t="shared" si="19"/>
        <v>0.57664351851851847</v>
      </c>
      <c r="Q596" s="23">
        <f>SUM($O$2:O596)</f>
        <v>11</v>
      </c>
      <c r="Y596" s="14"/>
      <c r="Z596" s="13"/>
      <c r="AA596"/>
    </row>
    <row r="597" spans="1:27" x14ac:dyDescent="0.2">
      <c r="A597" s="12" t="s">
        <v>1952</v>
      </c>
      <c r="B597" t="s">
        <v>1953</v>
      </c>
      <c r="C597" t="s">
        <v>1954</v>
      </c>
      <c r="D597" t="s">
        <v>1955</v>
      </c>
      <c r="E597" t="s">
        <v>13</v>
      </c>
      <c r="F597">
        <v>1688</v>
      </c>
      <c r="G597">
        <v>2246</v>
      </c>
      <c r="H597" s="5" t="s">
        <v>22</v>
      </c>
      <c r="I597" s="5">
        <v>0</v>
      </c>
      <c r="J597" s="5">
        <v>0</v>
      </c>
      <c r="K597" t="s">
        <v>10273</v>
      </c>
      <c r="L597" cm="1">
        <f t="array" ref="L597">wordCount(K597)</f>
        <v>21</v>
      </c>
      <c r="M597">
        <f t="shared" si="18"/>
        <v>102</v>
      </c>
      <c r="N597">
        <v>0.5</v>
      </c>
      <c r="O597" s="23" cm="1">
        <f t="array" ref="O597">WordListCount(K597,keywords!$A$2:$A$31)-WordListCount(K597,keywords!$B$2:$B$31)</f>
        <v>0</v>
      </c>
      <c r="P597" s="25">
        <f t="shared" si="19"/>
        <v>0.57670138888888889</v>
      </c>
      <c r="Q597" s="23">
        <f>SUM($O$2:O597)</f>
        <v>11</v>
      </c>
      <c r="Y597" s="14"/>
      <c r="Z597" s="13"/>
      <c r="AA597"/>
    </row>
    <row r="598" spans="1:27" x14ac:dyDescent="0.2">
      <c r="A598" s="12" t="s">
        <v>1956</v>
      </c>
      <c r="B598" t="s">
        <v>1957</v>
      </c>
      <c r="C598" t="s">
        <v>1958</v>
      </c>
      <c r="D598" t="s">
        <v>1959</v>
      </c>
      <c r="E598" t="s">
        <v>13</v>
      </c>
      <c r="F598">
        <v>22</v>
      </c>
      <c r="G598">
        <v>56</v>
      </c>
      <c r="H598" s="5" t="s">
        <v>22</v>
      </c>
      <c r="I598" s="5">
        <v>0</v>
      </c>
      <c r="J598" s="5">
        <v>0</v>
      </c>
      <c r="K598" t="s">
        <v>9208</v>
      </c>
      <c r="L598" cm="1">
        <f t="array" ref="L598">wordCount(K598)</f>
        <v>11</v>
      </c>
      <c r="M598">
        <f t="shared" si="18"/>
        <v>56</v>
      </c>
      <c r="N598">
        <v>0.61904761904761907</v>
      </c>
      <c r="O598" s="23" cm="1">
        <f t="array" ref="O598">WordListCount(K598,keywords!$A$2:$A$31)-WordListCount(K598,keywords!$B$2:$B$31)</f>
        <v>1</v>
      </c>
      <c r="P598" s="25">
        <f t="shared" si="19"/>
        <v>0.57680555555555557</v>
      </c>
      <c r="Q598" s="23">
        <f>SUM($O$2:O598)</f>
        <v>12</v>
      </c>
      <c r="Y598" s="14"/>
      <c r="Z598" s="13"/>
      <c r="AA598"/>
    </row>
    <row r="599" spans="1:27" x14ac:dyDescent="0.2">
      <c r="A599" s="12" t="s">
        <v>1960</v>
      </c>
      <c r="B599" t="s">
        <v>1961</v>
      </c>
      <c r="C599" t="s">
        <v>1962</v>
      </c>
      <c r="D599" t="s">
        <v>1963</v>
      </c>
      <c r="E599" t="s">
        <v>13</v>
      </c>
      <c r="F599">
        <v>1162</v>
      </c>
      <c r="G599">
        <v>861</v>
      </c>
      <c r="H599" s="5" t="s">
        <v>22</v>
      </c>
      <c r="I599" s="5">
        <v>0</v>
      </c>
      <c r="J599" s="5">
        <v>0</v>
      </c>
      <c r="K599" t="s">
        <v>9209</v>
      </c>
      <c r="L599" cm="1">
        <f t="array" ref="L599">wordCount(K599)</f>
        <v>11</v>
      </c>
      <c r="M599">
        <f t="shared" si="18"/>
        <v>59</v>
      </c>
      <c r="N599">
        <v>0.6785714285714286</v>
      </c>
      <c r="O599" s="23" cm="1">
        <f t="array" ref="O599">WordListCount(K599,keywords!$A$2:$A$31)-WordListCount(K599,keywords!$B$2:$B$31)</f>
        <v>0</v>
      </c>
      <c r="P599" s="25">
        <f t="shared" si="19"/>
        <v>0.5771412037037037</v>
      </c>
      <c r="Q599" s="23">
        <f>SUM($O$2:O599)</f>
        <v>12</v>
      </c>
      <c r="Y599" s="14"/>
      <c r="Z599" s="13"/>
      <c r="AA599"/>
    </row>
    <row r="600" spans="1:27" x14ac:dyDescent="0.2">
      <c r="A600" s="12" t="s">
        <v>1964</v>
      </c>
      <c r="B600" t="s">
        <v>1965</v>
      </c>
      <c r="C600" t="s">
        <v>1966</v>
      </c>
      <c r="D600" t="s">
        <v>1967</v>
      </c>
      <c r="E600" t="s">
        <v>13</v>
      </c>
      <c r="F600">
        <v>1</v>
      </c>
      <c r="G600">
        <v>42</v>
      </c>
      <c r="H600" s="5" t="s">
        <v>59</v>
      </c>
      <c r="I600" s="5">
        <v>0</v>
      </c>
      <c r="J600" s="5">
        <v>0</v>
      </c>
      <c r="K600" t="s">
        <v>9210</v>
      </c>
      <c r="L600" cm="1">
        <f t="array" ref="L600">wordCount(K600)</f>
        <v>9</v>
      </c>
      <c r="M600">
        <f t="shared" si="18"/>
        <v>39</v>
      </c>
      <c r="N600">
        <v>0.65</v>
      </c>
      <c r="O600" s="23" cm="1">
        <f t="array" ref="O600">WordListCount(K600,keywords!$A$2:$A$31)-WordListCount(K600,keywords!$B$2:$B$31)</f>
        <v>0</v>
      </c>
      <c r="P600" s="25">
        <f t="shared" si="19"/>
        <v>0.57732638888888888</v>
      </c>
      <c r="Q600" s="23">
        <f>SUM($O$2:O600)</f>
        <v>12</v>
      </c>
      <c r="Y600" s="14"/>
      <c r="Z600" s="13"/>
      <c r="AA600"/>
    </row>
    <row r="601" spans="1:27" x14ac:dyDescent="0.2">
      <c r="A601" s="12" t="s">
        <v>1968</v>
      </c>
      <c r="B601" t="s">
        <v>1969</v>
      </c>
      <c r="C601" t="s">
        <v>1970</v>
      </c>
      <c r="D601" t="s">
        <v>12</v>
      </c>
      <c r="E601" t="s">
        <v>13</v>
      </c>
      <c r="F601">
        <v>9</v>
      </c>
      <c r="G601">
        <v>169</v>
      </c>
      <c r="H601" s="5" t="s">
        <v>22</v>
      </c>
      <c r="I601" s="5">
        <v>0</v>
      </c>
      <c r="J601" s="5">
        <v>0</v>
      </c>
      <c r="K601" t="s">
        <v>10274</v>
      </c>
      <c r="L601" cm="1">
        <f t="array" ref="L601">wordCount(K601)</f>
        <v>18</v>
      </c>
      <c r="M601">
        <f t="shared" si="18"/>
        <v>78</v>
      </c>
      <c r="N601">
        <v>0.5714285714285714</v>
      </c>
      <c r="O601" s="23" cm="1">
        <f t="array" ref="O601">WordListCount(K601,keywords!$A$2:$A$31)-WordListCount(K601,keywords!$B$2:$B$31)</f>
        <v>0</v>
      </c>
      <c r="P601" s="25">
        <f t="shared" si="19"/>
        <v>0.57734953703703706</v>
      </c>
      <c r="Q601" s="23">
        <f>SUM($O$2:O601)</f>
        <v>12</v>
      </c>
      <c r="Y601" s="14"/>
      <c r="Z601" s="13"/>
      <c r="AA601"/>
    </row>
    <row r="602" spans="1:27" x14ac:dyDescent="0.2">
      <c r="A602" s="12" t="s">
        <v>1971</v>
      </c>
      <c r="B602" t="s">
        <v>1972</v>
      </c>
      <c r="C602" t="s">
        <v>1973</v>
      </c>
      <c r="D602" t="s">
        <v>1785</v>
      </c>
      <c r="E602" t="s">
        <v>13</v>
      </c>
      <c r="F602">
        <v>5011</v>
      </c>
      <c r="G602">
        <v>4738</v>
      </c>
      <c r="H602" s="5" t="s">
        <v>22</v>
      </c>
      <c r="I602" s="5">
        <v>0</v>
      </c>
      <c r="J602" s="5">
        <v>0</v>
      </c>
      <c r="K602" t="s">
        <v>9211</v>
      </c>
      <c r="L602" cm="1">
        <f t="array" ref="L602">wordCount(K602)</f>
        <v>4</v>
      </c>
      <c r="M602">
        <f t="shared" si="18"/>
        <v>23</v>
      </c>
      <c r="N602">
        <v>0.66666666666666663</v>
      </c>
      <c r="O602" s="23" cm="1">
        <f t="array" ref="O602">WordListCount(K602,keywords!$A$2:$A$31)-WordListCount(K602,keywords!$B$2:$B$31)</f>
        <v>0</v>
      </c>
      <c r="P602" s="25">
        <f t="shared" si="19"/>
        <v>0.57747685185185182</v>
      </c>
      <c r="Q602" s="23">
        <f>SUM($O$2:O602)</f>
        <v>12</v>
      </c>
      <c r="Y602" s="14"/>
      <c r="Z602" s="13"/>
      <c r="AA602"/>
    </row>
    <row r="603" spans="1:27" x14ac:dyDescent="0.2">
      <c r="A603" s="12" t="s">
        <v>1974</v>
      </c>
      <c r="B603" t="s">
        <v>1975</v>
      </c>
      <c r="C603" t="s">
        <v>1718</v>
      </c>
      <c r="D603" t="s">
        <v>1719</v>
      </c>
      <c r="E603" t="s">
        <v>13</v>
      </c>
      <c r="F603">
        <v>4</v>
      </c>
      <c r="G603">
        <v>0</v>
      </c>
      <c r="H603" s="5" t="s">
        <v>22</v>
      </c>
      <c r="I603" s="5">
        <v>0</v>
      </c>
      <c r="J603" s="5">
        <v>0</v>
      </c>
      <c r="K603" t="s">
        <v>9212</v>
      </c>
      <c r="L603" cm="1">
        <f t="array" ref="L603">wordCount(K603)</f>
        <v>4</v>
      </c>
      <c r="M603">
        <f t="shared" si="18"/>
        <v>22</v>
      </c>
      <c r="N603">
        <v>0.8</v>
      </c>
      <c r="O603" s="23" cm="1">
        <f t="array" ref="O603">WordListCount(K603,keywords!$A$2:$A$31)-WordListCount(K603,keywords!$B$2:$B$31)</f>
        <v>0</v>
      </c>
      <c r="P603" s="25">
        <f t="shared" si="19"/>
        <v>0.57773148148148146</v>
      </c>
      <c r="Q603" s="23">
        <f>SUM($O$2:O603)</f>
        <v>12</v>
      </c>
      <c r="Y603" s="14"/>
      <c r="Z603" s="13"/>
      <c r="AA603"/>
    </row>
    <row r="604" spans="1:27" x14ac:dyDescent="0.2">
      <c r="A604" s="12" t="s">
        <v>1976</v>
      </c>
      <c r="B604" t="s">
        <v>1977</v>
      </c>
      <c r="C604" t="s">
        <v>1978</v>
      </c>
      <c r="D604" t="s">
        <v>74</v>
      </c>
      <c r="E604" t="s">
        <v>13</v>
      </c>
      <c r="F604">
        <v>141</v>
      </c>
      <c r="G604">
        <v>312</v>
      </c>
      <c r="H604" s="5" t="s">
        <v>22</v>
      </c>
      <c r="I604" s="5">
        <v>0</v>
      </c>
      <c r="J604" s="5">
        <v>0</v>
      </c>
      <c r="K604" t="s">
        <v>10275</v>
      </c>
      <c r="L604" cm="1">
        <f t="array" ref="L604">wordCount(K604)</f>
        <v>7</v>
      </c>
      <c r="M604">
        <f t="shared" si="18"/>
        <v>30</v>
      </c>
      <c r="N604">
        <v>0.7142857142857143</v>
      </c>
      <c r="O604" s="23" cm="1">
        <f t="array" ref="O604">WordListCount(K604,keywords!$A$2:$A$31)-WordListCount(K604,keywords!$B$2:$B$31)</f>
        <v>0</v>
      </c>
      <c r="P604" s="25">
        <f t="shared" si="19"/>
        <v>0.57789351851851845</v>
      </c>
      <c r="Q604" s="23">
        <f>SUM($O$2:O604)</f>
        <v>12</v>
      </c>
      <c r="Y604" s="14"/>
      <c r="Z604" s="13"/>
      <c r="AA604"/>
    </row>
    <row r="605" spans="1:27" x14ac:dyDescent="0.2">
      <c r="A605" s="12" t="s">
        <v>1979</v>
      </c>
      <c r="B605" t="s">
        <v>1980</v>
      </c>
      <c r="C605" t="s">
        <v>1981</v>
      </c>
      <c r="D605" t="s">
        <v>1982</v>
      </c>
      <c r="E605" t="s">
        <v>13</v>
      </c>
      <c r="F605">
        <v>111</v>
      </c>
      <c r="G605">
        <v>294</v>
      </c>
      <c r="H605" s="5" t="s">
        <v>22</v>
      </c>
      <c r="I605" s="5">
        <v>0</v>
      </c>
      <c r="J605" s="5">
        <v>0</v>
      </c>
      <c r="K605" t="s">
        <v>9213</v>
      </c>
      <c r="L605" cm="1">
        <f t="array" ref="L605">wordCount(K605)</f>
        <v>14</v>
      </c>
      <c r="M605">
        <f t="shared" si="18"/>
        <v>75</v>
      </c>
      <c r="N605">
        <v>0.45454545454545453</v>
      </c>
      <c r="O605" s="23" cm="1">
        <f t="array" ref="O605">WordListCount(K605,keywords!$A$2:$A$31)-WordListCount(K605,keywords!$B$2:$B$31)</f>
        <v>0</v>
      </c>
      <c r="P605" s="25">
        <f t="shared" si="19"/>
        <v>0.5779050925925926</v>
      </c>
      <c r="Q605" s="23">
        <f>SUM($O$2:O605)</f>
        <v>12</v>
      </c>
      <c r="Y605" s="14"/>
      <c r="Z605" s="13"/>
      <c r="AA605"/>
    </row>
    <row r="606" spans="1:27" x14ac:dyDescent="0.2">
      <c r="A606" s="12" t="s">
        <v>1983</v>
      </c>
      <c r="B606" t="s">
        <v>1984</v>
      </c>
      <c r="C606" t="s">
        <v>1985</v>
      </c>
      <c r="D606" t="s">
        <v>12</v>
      </c>
      <c r="E606" t="s">
        <v>13</v>
      </c>
      <c r="F606">
        <v>24</v>
      </c>
      <c r="G606">
        <v>41</v>
      </c>
      <c r="H606" s="5" t="s">
        <v>22</v>
      </c>
      <c r="I606" s="5">
        <v>0</v>
      </c>
      <c r="J606" s="5">
        <v>0</v>
      </c>
      <c r="K606" t="s">
        <v>9214</v>
      </c>
      <c r="L606" cm="1">
        <f t="array" ref="L606">wordCount(K606)</f>
        <v>15</v>
      </c>
      <c r="M606">
        <f t="shared" si="18"/>
        <v>82</v>
      </c>
      <c r="N606">
        <v>0.55555555555555558</v>
      </c>
      <c r="O606" s="23" cm="1">
        <f t="array" ref="O606">WordListCount(K606,keywords!$A$2:$A$31)-WordListCount(K606,keywords!$B$2:$B$31)</f>
        <v>0</v>
      </c>
      <c r="P606" s="25">
        <f t="shared" si="19"/>
        <v>0.57795138888888886</v>
      </c>
      <c r="Q606" s="23">
        <f>SUM($O$2:O606)</f>
        <v>12</v>
      </c>
      <c r="Y606" s="14"/>
      <c r="Z606" s="13"/>
      <c r="AA606"/>
    </row>
    <row r="607" spans="1:27" x14ac:dyDescent="0.2">
      <c r="A607" s="12" t="s">
        <v>1986</v>
      </c>
      <c r="B607" t="s">
        <v>1987</v>
      </c>
      <c r="C607" t="s">
        <v>1342</v>
      </c>
      <c r="D607" t="s">
        <v>1343</v>
      </c>
      <c r="E607" t="s">
        <v>13</v>
      </c>
      <c r="F607">
        <v>1355</v>
      </c>
      <c r="G607">
        <v>1069</v>
      </c>
      <c r="H607" s="5" t="s">
        <v>22</v>
      </c>
      <c r="I607" s="5">
        <v>0</v>
      </c>
      <c r="J607" s="5">
        <v>0</v>
      </c>
      <c r="K607" t="s">
        <v>10276</v>
      </c>
      <c r="L607" cm="1">
        <f t="array" ref="L607">wordCount(K607)</f>
        <v>23</v>
      </c>
      <c r="M607">
        <f t="shared" si="18"/>
        <v>107</v>
      </c>
      <c r="N607">
        <v>0.17391304347826086</v>
      </c>
      <c r="O607" s="23" cm="1">
        <f t="array" ref="O607">WordListCount(K607,keywords!$A$2:$A$31)-WordListCount(K607,keywords!$B$2:$B$31)</f>
        <v>-1</v>
      </c>
      <c r="P607" s="25">
        <f t="shared" si="19"/>
        <v>0.57829861111111114</v>
      </c>
      <c r="Q607" s="23">
        <f>SUM($O$2:O607)</f>
        <v>11</v>
      </c>
      <c r="Y607" s="14"/>
      <c r="Z607" s="13"/>
      <c r="AA607"/>
    </row>
    <row r="608" spans="1:27" x14ac:dyDescent="0.2">
      <c r="A608" s="12" t="s">
        <v>1988</v>
      </c>
      <c r="B608" t="s">
        <v>1989</v>
      </c>
      <c r="C608" t="s">
        <v>1990</v>
      </c>
      <c r="D608" t="s">
        <v>1991</v>
      </c>
      <c r="E608" t="s">
        <v>13</v>
      </c>
      <c r="F608">
        <v>1174</v>
      </c>
      <c r="G608">
        <v>917</v>
      </c>
      <c r="H608" s="5" t="s">
        <v>22</v>
      </c>
      <c r="I608" s="5">
        <v>0</v>
      </c>
      <c r="J608" s="5">
        <v>0</v>
      </c>
      <c r="K608" t="s">
        <v>10277</v>
      </c>
      <c r="L608" cm="1">
        <f t="array" ref="L608">wordCount(K608)</f>
        <v>6</v>
      </c>
      <c r="M608">
        <f t="shared" si="18"/>
        <v>23</v>
      </c>
      <c r="N608">
        <v>0.73333333333333328</v>
      </c>
      <c r="O608" s="23" cm="1">
        <f t="array" ref="O608">WordListCount(K608,keywords!$A$2:$A$31)-WordListCount(K608,keywords!$B$2:$B$31)</f>
        <v>0</v>
      </c>
      <c r="P608" s="25">
        <f t="shared" si="19"/>
        <v>0.5785069444444445</v>
      </c>
      <c r="Q608" s="23">
        <f>SUM($O$2:O608)</f>
        <v>11</v>
      </c>
      <c r="Y608" s="14"/>
      <c r="Z608" s="13"/>
      <c r="AA608"/>
    </row>
    <row r="609" spans="1:27" x14ac:dyDescent="0.2">
      <c r="A609" s="12" t="s">
        <v>1992</v>
      </c>
      <c r="B609" t="s">
        <v>1993</v>
      </c>
      <c r="C609" t="s">
        <v>1994</v>
      </c>
      <c r="D609" t="s">
        <v>12</v>
      </c>
      <c r="E609" t="s">
        <v>13</v>
      </c>
      <c r="F609">
        <v>0</v>
      </c>
      <c r="G609">
        <v>2</v>
      </c>
      <c r="H609" s="5" t="s">
        <v>22</v>
      </c>
      <c r="I609" s="5">
        <v>0</v>
      </c>
      <c r="J609" s="5">
        <v>0</v>
      </c>
      <c r="K609" t="s">
        <v>9215</v>
      </c>
      <c r="L609" cm="1">
        <f t="array" ref="L609">wordCount(K609)</f>
        <v>3</v>
      </c>
      <c r="M609">
        <f t="shared" si="18"/>
        <v>15</v>
      </c>
      <c r="N609">
        <v>0.92307692307692313</v>
      </c>
      <c r="O609" s="23" cm="1">
        <f t="array" ref="O609">WordListCount(K609,keywords!$A$2:$A$31)-WordListCount(K609,keywords!$B$2:$B$31)</f>
        <v>1</v>
      </c>
      <c r="P609" s="25">
        <f t="shared" si="19"/>
        <v>0.57891203703703698</v>
      </c>
      <c r="Q609" s="23">
        <f>SUM($O$2:O609)</f>
        <v>12</v>
      </c>
      <c r="Y609" s="14"/>
      <c r="Z609" s="13"/>
      <c r="AA609"/>
    </row>
    <row r="610" spans="1:27" x14ac:dyDescent="0.2">
      <c r="A610" s="12" t="s">
        <v>1995</v>
      </c>
      <c r="B610" t="s">
        <v>1996</v>
      </c>
      <c r="C610" t="s">
        <v>1997</v>
      </c>
      <c r="D610" t="s">
        <v>1998</v>
      </c>
      <c r="E610" t="s">
        <v>13</v>
      </c>
      <c r="F610">
        <v>7630</v>
      </c>
      <c r="G610">
        <v>933</v>
      </c>
      <c r="H610" s="5" t="s">
        <v>22</v>
      </c>
      <c r="I610" s="5">
        <v>0</v>
      </c>
      <c r="J610" s="5">
        <v>0</v>
      </c>
      <c r="K610" t="s">
        <v>10278</v>
      </c>
      <c r="L610" cm="1">
        <f t="array" ref="L610">wordCount(K610)</f>
        <v>18</v>
      </c>
      <c r="M610">
        <f t="shared" si="18"/>
        <v>75</v>
      </c>
      <c r="N610">
        <v>0.46875</v>
      </c>
      <c r="O610" s="23" cm="1">
        <f t="array" ref="O610">WordListCount(K610,keywords!$A$2:$A$31)-WordListCount(K610,keywords!$B$2:$B$31)</f>
        <v>0</v>
      </c>
      <c r="P610" s="25">
        <f t="shared" si="19"/>
        <v>0.57909722222222226</v>
      </c>
      <c r="Q610" s="23">
        <f>SUM($O$2:O610)</f>
        <v>12</v>
      </c>
      <c r="Y610" s="14"/>
      <c r="Z610" s="13"/>
      <c r="AA610"/>
    </row>
    <row r="611" spans="1:27" x14ac:dyDescent="0.2">
      <c r="A611" s="12" t="s">
        <v>1999</v>
      </c>
      <c r="B611" t="s">
        <v>2000</v>
      </c>
      <c r="C611" t="s">
        <v>2001</v>
      </c>
      <c r="D611" t="s">
        <v>2002</v>
      </c>
      <c r="E611" t="s">
        <v>13</v>
      </c>
      <c r="F611">
        <v>37</v>
      </c>
      <c r="G611">
        <v>8</v>
      </c>
      <c r="H611" s="5" t="s">
        <v>22</v>
      </c>
      <c r="I611" s="5">
        <v>0</v>
      </c>
      <c r="J611" s="5">
        <v>0</v>
      </c>
      <c r="K611" t="s">
        <v>10279</v>
      </c>
      <c r="L611" cm="1">
        <f t="array" ref="L611">wordCount(K611)</f>
        <v>26</v>
      </c>
      <c r="M611">
        <f t="shared" si="18"/>
        <v>122</v>
      </c>
      <c r="N611">
        <v>0.19230769230769232</v>
      </c>
      <c r="O611" s="23" cm="1">
        <f t="array" ref="O611">WordListCount(K611,keywords!$A$2:$A$31)-WordListCount(K611,keywords!$B$2:$B$31)</f>
        <v>1</v>
      </c>
      <c r="P611" s="25">
        <f t="shared" si="19"/>
        <v>0.57916666666666672</v>
      </c>
      <c r="Q611" s="23">
        <f>SUM($O$2:O611)</f>
        <v>13</v>
      </c>
      <c r="Y611" s="14"/>
      <c r="Z611" s="13"/>
      <c r="AA611"/>
    </row>
    <row r="612" spans="1:27" x14ac:dyDescent="0.2">
      <c r="A612" s="12" t="s">
        <v>2003</v>
      </c>
      <c r="B612" t="s">
        <v>2004</v>
      </c>
      <c r="C612" t="s">
        <v>2005</v>
      </c>
      <c r="D612" t="s">
        <v>2006</v>
      </c>
      <c r="E612" t="s">
        <v>13</v>
      </c>
      <c r="F612">
        <v>25</v>
      </c>
      <c r="G612">
        <v>78</v>
      </c>
      <c r="H612" s="5" t="s">
        <v>59</v>
      </c>
      <c r="I612" s="5">
        <v>0</v>
      </c>
      <c r="J612" s="5">
        <v>0</v>
      </c>
      <c r="K612" t="s">
        <v>10280</v>
      </c>
      <c r="L612" cm="1">
        <f t="array" ref="L612">wordCount(K612)</f>
        <v>5</v>
      </c>
      <c r="M612">
        <f t="shared" si="18"/>
        <v>15</v>
      </c>
      <c r="N612">
        <v>0.83333333333333337</v>
      </c>
      <c r="O612" s="23" cm="1">
        <f t="array" ref="O612">WordListCount(K612,keywords!$A$2:$A$31)-WordListCount(K612,keywords!$B$2:$B$31)</f>
        <v>0</v>
      </c>
      <c r="P612" s="25">
        <f t="shared" si="19"/>
        <v>0.57944444444444443</v>
      </c>
      <c r="Q612" s="23">
        <f>SUM($O$2:O612)</f>
        <v>13</v>
      </c>
      <c r="Y612" s="14"/>
      <c r="Z612" s="13"/>
      <c r="AA612"/>
    </row>
    <row r="613" spans="1:27" x14ac:dyDescent="0.2">
      <c r="A613" s="12" t="s">
        <v>2007</v>
      </c>
      <c r="B613" t="s">
        <v>2008</v>
      </c>
      <c r="C613" t="s">
        <v>2009</v>
      </c>
      <c r="D613" t="s">
        <v>12</v>
      </c>
      <c r="E613" t="s">
        <v>13</v>
      </c>
      <c r="F613">
        <v>25</v>
      </c>
      <c r="G613">
        <v>109</v>
      </c>
      <c r="H613" s="5" t="s">
        <v>22</v>
      </c>
      <c r="I613" s="5">
        <v>0</v>
      </c>
      <c r="J613" s="5">
        <v>0</v>
      </c>
      <c r="K613" t="s">
        <v>10281</v>
      </c>
      <c r="L613" cm="1">
        <f t="array" ref="L613">wordCount(K613)</f>
        <v>13</v>
      </c>
      <c r="M613">
        <f t="shared" si="18"/>
        <v>72</v>
      </c>
      <c r="N613">
        <v>0.25</v>
      </c>
      <c r="O613" s="23" cm="1">
        <f t="array" ref="O613">WordListCount(K613,keywords!$A$2:$A$31)-WordListCount(K613,keywords!$B$2:$B$31)</f>
        <v>0</v>
      </c>
      <c r="P613" s="25">
        <f t="shared" si="19"/>
        <v>0.57982638888888893</v>
      </c>
      <c r="Q613" s="23">
        <f>SUM($O$2:O613)</f>
        <v>13</v>
      </c>
      <c r="Y613" s="14"/>
      <c r="Z613" s="13"/>
      <c r="AA613"/>
    </row>
    <row r="614" spans="1:27" x14ac:dyDescent="0.2">
      <c r="A614" s="12" t="s">
        <v>2010</v>
      </c>
      <c r="B614" t="s">
        <v>2011</v>
      </c>
      <c r="C614" t="s">
        <v>2012</v>
      </c>
      <c r="D614" t="s">
        <v>12</v>
      </c>
      <c r="E614" t="s">
        <v>13</v>
      </c>
      <c r="F614">
        <v>4</v>
      </c>
      <c r="G614">
        <v>8</v>
      </c>
      <c r="H614" s="5" t="s">
        <v>22</v>
      </c>
      <c r="I614" s="5">
        <v>0</v>
      </c>
      <c r="J614" s="5">
        <v>0</v>
      </c>
      <c r="K614" t="s">
        <v>9216</v>
      </c>
      <c r="L614" cm="1">
        <f t="array" ref="L614">wordCount(K614)</f>
        <v>11</v>
      </c>
      <c r="M614">
        <f t="shared" si="18"/>
        <v>126</v>
      </c>
      <c r="N614">
        <v>0.25</v>
      </c>
      <c r="O614" s="23" cm="1">
        <f t="array" ref="O614">WordListCount(K614,keywords!$A$2:$A$31)-WordListCount(K614,keywords!$B$2:$B$31)</f>
        <v>0</v>
      </c>
      <c r="P614" s="25">
        <f t="shared" si="19"/>
        <v>0.5798726851851852</v>
      </c>
      <c r="Q614" s="23">
        <f>SUM($O$2:O614)</f>
        <v>13</v>
      </c>
      <c r="Y614" s="14"/>
      <c r="Z614" s="13"/>
      <c r="AA614"/>
    </row>
    <row r="615" spans="1:27" x14ac:dyDescent="0.2">
      <c r="A615" s="12" t="s">
        <v>2013</v>
      </c>
      <c r="B615" t="s">
        <v>2014</v>
      </c>
      <c r="C615" t="s">
        <v>1342</v>
      </c>
      <c r="D615" t="s">
        <v>1343</v>
      </c>
      <c r="E615" t="s">
        <v>13</v>
      </c>
      <c r="F615">
        <v>1355</v>
      </c>
      <c r="G615">
        <v>1069</v>
      </c>
      <c r="H615" s="5" t="s">
        <v>22</v>
      </c>
      <c r="I615" s="5">
        <v>0</v>
      </c>
      <c r="J615" s="5">
        <v>0</v>
      </c>
      <c r="K615" t="s">
        <v>10282</v>
      </c>
      <c r="L615" cm="1">
        <f t="array" ref="L615">wordCount(K615)</f>
        <v>7</v>
      </c>
      <c r="M615">
        <f t="shared" si="18"/>
        <v>37</v>
      </c>
      <c r="N615">
        <v>0.55555555555555558</v>
      </c>
      <c r="O615" s="23" cm="1">
        <f t="array" ref="O615">WordListCount(K615,keywords!$A$2:$A$31)-WordListCount(K615,keywords!$B$2:$B$31)</f>
        <v>0</v>
      </c>
      <c r="P615" s="25">
        <f t="shared" si="19"/>
        <v>0.57994212962962965</v>
      </c>
      <c r="Q615" s="23">
        <f>SUM($O$2:O615)</f>
        <v>13</v>
      </c>
      <c r="Y615" s="14"/>
      <c r="Z615" s="13"/>
      <c r="AA615"/>
    </row>
    <row r="616" spans="1:27" x14ac:dyDescent="0.2">
      <c r="A616" s="12" t="s">
        <v>2015</v>
      </c>
      <c r="B616" t="s">
        <v>2016</v>
      </c>
      <c r="C616" t="s">
        <v>2017</v>
      </c>
      <c r="D616" t="s">
        <v>2018</v>
      </c>
      <c r="E616" t="s">
        <v>13</v>
      </c>
      <c r="F616">
        <v>339</v>
      </c>
      <c r="G616">
        <v>430</v>
      </c>
      <c r="H616" s="5" t="s">
        <v>22</v>
      </c>
      <c r="I616" s="5">
        <v>0</v>
      </c>
      <c r="J616" s="5">
        <v>0</v>
      </c>
      <c r="K616" t="s">
        <v>10283</v>
      </c>
      <c r="L616" cm="1">
        <f t="array" ref="L616">wordCount(K616)</f>
        <v>15</v>
      </c>
      <c r="M616">
        <f t="shared" si="18"/>
        <v>78</v>
      </c>
      <c r="N616">
        <v>0.58620689655172409</v>
      </c>
      <c r="O616" s="23" cm="1">
        <f t="array" ref="O616">WordListCount(K616,keywords!$A$2:$A$31)-WordListCount(K616,keywords!$B$2:$B$31)</f>
        <v>0</v>
      </c>
      <c r="P616" s="25">
        <f t="shared" si="19"/>
        <v>0.57997685185185188</v>
      </c>
      <c r="Q616" s="23">
        <f>SUM($O$2:O616)</f>
        <v>13</v>
      </c>
      <c r="Y616" s="14"/>
      <c r="Z616" s="13"/>
      <c r="AA616"/>
    </row>
    <row r="617" spans="1:27" x14ac:dyDescent="0.2">
      <c r="A617" s="12" t="s">
        <v>2019</v>
      </c>
      <c r="B617" t="s">
        <v>2020</v>
      </c>
      <c r="C617" t="s">
        <v>2021</v>
      </c>
      <c r="D617" t="s">
        <v>2022</v>
      </c>
      <c r="E617" t="s">
        <v>13</v>
      </c>
      <c r="F617">
        <v>463</v>
      </c>
      <c r="G617">
        <v>222</v>
      </c>
      <c r="H617" s="5" t="s">
        <v>22</v>
      </c>
      <c r="I617" s="5">
        <v>0</v>
      </c>
      <c r="J617" s="5">
        <v>0</v>
      </c>
      <c r="K617" t="s">
        <v>10284</v>
      </c>
      <c r="L617" cm="1">
        <f t="array" ref="L617">wordCount(K617)</f>
        <v>7</v>
      </c>
      <c r="M617">
        <f t="shared" si="18"/>
        <v>33</v>
      </c>
      <c r="N617">
        <v>0.45454545454545453</v>
      </c>
      <c r="O617" s="23" cm="1">
        <f t="array" ref="O617">WordListCount(K617,keywords!$A$2:$A$31)-WordListCount(K617,keywords!$B$2:$B$31)</f>
        <v>0</v>
      </c>
      <c r="P617" s="25">
        <f t="shared" si="19"/>
        <v>0.58005787037037038</v>
      </c>
      <c r="Q617" s="23">
        <f>SUM($O$2:O617)</f>
        <v>13</v>
      </c>
      <c r="Y617" s="14"/>
      <c r="Z617" s="13"/>
      <c r="AA617"/>
    </row>
    <row r="618" spans="1:27" x14ac:dyDescent="0.2">
      <c r="A618" s="12" t="s">
        <v>2023</v>
      </c>
      <c r="B618" t="s">
        <v>2024</v>
      </c>
      <c r="C618" t="s">
        <v>2025</v>
      </c>
      <c r="D618" t="s">
        <v>337</v>
      </c>
      <c r="E618" t="s">
        <v>13</v>
      </c>
      <c r="F618">
        <v>778</v>
      </c>
      <c r="G618">
        <v>775</v>
      </c>
      <c r="H618" s="5" t="s">
        <v>22</v>
      </c>
      <c r="I618" s="5">
        <v>0</v>
      </c>
      <c r="J618" s="5">
        <v>0</v>
      </c>
      <c r="K618" t="s">
        <v>9217</v>
      </c>
      <c r="L618" cm="1">
        <f t="array" ref="L618">wordCount(K618)</f>
        <v>5</v>
      </c>
      <c r="M618">
        <f t="shared" si="18"/>
        <v>24</v>
      </c>
      <c r="N618">
        <v>0.78947368421052633</v>
      </c>
      <c r="O618" s="23" cm="1">
        <f t="array" ref="O618">WordListCount(K618,keywords!$A$2:$A$31)-WordListCount(K618,keywords!$B$2:$B$31)</f>
        <v>0</v>
      </c>
      <c r="P618" s="25">
        <f t="shared" si="19"/>
        <v>0.58021990740740736</v>
      </c>
      <c r="Q618" s="23">
        <f>SUM($O$2:O618)</f>
        <v>13</v>
      </c>
      <c r="Y618" s="14"/>
      <c r="Z618" s="13"/>
      <c r="AA618"/>
    </row>
    <row r="619" spans="1:27" x14ac:dyDescent="0.2">
      <c r="A619" s="12" t="s">
        <v>2026</v>
      </c>
      <c r="B619" t="s">
        <v>2027</v>
      </c>
      <c r="C619" t="s">
        <v>2028</v>
      </c>
      <c r="D619" t="s">
        <v>2029</v>
      </c>
      <c r="E619" t="s">
        <v>13</v>
      </c>
      <c r="F619">
        <v>382</v>
      </c>
      <c r="G619">
        <v>1026</v>
      </c>
      <c r="H619" s="5" t="s">
        <v>59</v>
      </c>
      <c r="I619" s="5">
        <v>0</v>
      </c>
      <c r="J619" s="5">
        <v>0</v>
      </c>
      <c r="K619" t="s">
        <v>10285</v>
      </c>
      <c r="L619" cm="1">
        <f t="array" ref="L619">wordCount(K619)</f>
        <v>19</v>
      </c>
      <c r="M619">
        <f t="shared" si="18"/>
        <v>80</v>
      </c>
      <c r="N619">
        <v>0.42307692307692307</v>
      </c>
      <c r="O619" s="23" cm="1">
        <f t="array" ref="O619">WordListCount(K619,keywords!$A$2:$A$31)-WordListCount(K619,keywords!$B$2:$B$31)</f>
        <v>-1</v>
      </c>
      <c r="P619" s="25">
        <f t="shared" si="19"/>
        <v>0.58030092592592586</v>
      </c>
      <c r="Q619" s="23">
        <f>SUM($O$2:O619)</f>
        <v>12</v>
      </c>
      <c r="Y619" s="14"/>
      <c r="Z619" s="13"/>
      <c r="AA619"/>
    </row>
    <row r="620" spans="1:27" x14ac:dyDescent="0.2">
      <c r="A620" s="12" t="s">
        <v>2030</v>
      </c>
      <c r="B620" t="s">
        <v>2031</v>
      </c>
      <c r="C620" t="s">
        <v>2032</v>
      </c>
      <c r="D620" t="s">
        <v>12</v>
      </c>
      <c r="E620" t="s">
        <v>13</v>
      </c>
      <c r="F620">
        <v>664</v>
      </c>
      <c r="G620">
        <v>897</v>
      </c>
      <c r="H620" s="5" t="s">
        <v>22</v>
      </c>
      <c r="I620" s="5">
        <v>0</v>
      </c>
      <c r="J620" s="5">
        <v>0</v>
      </c>
      <c r="K620" t="s">
        <v>10286</v>
      </c>
      <c r="L620" cm="1">
        <f t="array" ref="L620">wordCount(K620)</f>
        <v>5</v>
      </c>
      <c r="M620">
        <f t="shared" si="18"/>
        <v>29</v>
      </c>
      <c r="N620">
        <v>0.75</v>
      </c>
      <c r="O620" s="23" cm="1">
        <f t="array" ref="O620">WordListCount(K620,keywords!$A$2:$A$31)-WordListCount(K620,keywords!$B$2:$B$31)</f>
        <v>0</v>
      </c>
      <c r="P620" s="25">
        <f t="shared" si="19"/>
        <v>0.5803935185185185</v>
      </c>
      <c r="Q620" s="23">
        <f>SUM($O$2:O620)</f>
        <v>12</v>
      </c>
      <c r="Y620" s="14"/>
      <c r="Z620" s="13"/>
      <c r="AA620"/>
    </row>
    <row r="621" spans="1:27" x14ac:dyDescent="0.2">
      <c r="A621" s="12" t="s">
        <v>2033</v>
      </c>
      <c r="B621" t="s">
        <v>2034</v>
      </c>
      <c r="C621" t="s">
        <v>1766</v>
      </c>
      <c r="D621" t="s">
        <v>1767</v>
      </c>
      <c r="E621" t="s">
        <v>13</v>
      </c>
      <c r="F621">
        <v>85</v>
      </c>
      <c r="G621">
        <v>113</v>
      </c>
      <c r="H621" s="5" t="s">
        <v>22</v>
      </c>
      <c r="I621" s="5">
        <v>0</v>
      </c>
      <c r="J621" s="5">
        <v>0</v>
      </c>
      <c r="K621" t="s">
        <v>10287</v>
      </c>
      <c r="L621" cm="1">
        <f t="array" ref="L621">wordCount(K621)</f>
        <v>5</v>
      </c>
      <c r="M621">
        <f t="shared" si="18"/>
        <v>19</v>
      </c>
      <c r="N621">
        <v>0.77777777777777779</v>
      </c>
      <c r="O621" s="23" cm="1">
        <f t="array" ref="O621">WordListCount(K621,keywords!$A$2:$A$31)-WordListCount(K621,keywords!$B$2:$B$31)</f>
        <v>0</v>
      </c>
      <c r="P621" s="25">
        <f t="shared" si="19"/>
        <v>0.58084490740740746</v>
      </c>
      <c r="Q621" s="23">
        <f>SUM($O$2:O621)</f>
        <v>12</v>
      </c>
      <c r="Y621" s="14"/>
      <c r="Z621" s="13"/>
      <c r="AA621"/>
    </row>
    <row r="622" spans="1:27" x14ac:dyDescent="0.2">
      <c r="A622" s="12" t="s">
        <v>2035</v>
      </c>
      <c r="B622" t="s">
        <v>2036</v>
      </c>
      <c r="C622" t="s">
        <v>1926</v>
      </c>
      <c r="D622" t="s">
        <v>1927</v>
      </c>
      <c r="E622" t="s">
        <v>13</v>
      </c>
      <c r="F622">
        <v>536</v>
      </c>
      <c r="G622">
        <v>546</v>
      </c>
      <c r="H622" s="5" t="s">
        <v>22</v>
      </c>
      <c r="I622" s="5">
        <v>0</v>
      </c>
      <c r="J622" s="5">
        <v>0</v>
      </c>
      <c r="K622" t="s">
        <v>9218</v>
      </c>
      <c r="L622" cm="1">
        <f t="array" ref="L622">wordCount(K622)</f>
        <v>6</v>
      </c>
      <c r="M622">
        <f t="shared" si="18"/>
        <v>34</v>
      </c>
      <c r="N622">
        <v>0.78947368421052633</v>
      </c>
      <c r="O622" s="23" cm="1">
        <f t="array" ref="O622">WordListCount(K622,keywords!$A$2:$A$31)-WordListCount(K622,keywords!$B$2:$B$31)</f>
        <v>0</v>
      </c>
      <c r="P622" s="25">
        <f t="shared" si="19"/>
        <v>0.58090277777777777</v>
      </c>
      <c r="Q622" s="23">
        <f>SUM($O$2:O622)</f>
        <v>12</v>
      </c>
      <c r="Y622" s="14"/>
      <c r="Z622" s="13"/>
      <c r="AA622"/>
    </row>
    <row r="623" spans="1:27" x14ac:dyDescent="0.2">
      <c r="A623" s="12" t="s">
        <v>2037</v>
      </c>
      <c r="B623" t="s">
        <v>2038</v>
      </c>
      <c r="C623" t="s">
        <v>2039</v>
      </c>
      <c r="D623" t="s">
        <v>986</v>
      </c>
      <c r="E623" t="s">
        <v>13</v>
      </c>
      <c r="F623">
        <v>511</v>
      </c>
      <c r="G623">
        <v>1334</v>
      </c>
      <c r="H623" s="5" t="s">
        <v>96</v>
      </c>
      <c r="I623" s="5">
        <v>0</v>
      </c>
      <c r="J623" s="5">
        <v>0</v>
      </c>
      <c r="K623" t="s">
        <v>10288</v>
      </c>
      <c r="L623" cm="1">
        <f t="array" ref="L623">wordCount(K623)</f>
        <v>16</v>
      </c>
      <c r="M623">
        <f t="shared" si="18"/>
        <v>67</v>
      </c>
      <c r="N623">
        <v>0.43478260869565216</v>
      </c>
      <c r="O623" s="23" cm="1">
        <f t="array" ref="O623">WordListCount(K623,keywords!$A$2:$A$31)-WordListCount(K623,keywords!$B$2:$B$31)</f>
        <v>0</v>
      </c>
      <c r="P623" s="25">
        <f t="shared" si="19"/>
        <v>0.58107638888888891</v>
      </c>
      <c r="Q623" s="23">
        <f>SUM($O$2:O623)</f>
        <v>12</v>
      </c>
      <c r="Y623" s="14"/>
      <c r="Z623" s="13"/>
      <c r="AA623"/>
    </row>
    <row r="624" spans="1:27" x14ac:dyDescent="0.2">
      <c r="A624" s="12" t="s">
        <v>2040</v>
      </c>
      <c r="B624" t="s">
        <v>2041</v>
      </c>
      <c r="C624" t="s">
        <v>1342</v>
      </c>
      <c r="D624" t="s">
        <v>1343</v>
      </c>
      <c r="E624" t="s">
        <v>13</v>
      </c>
      <c r="F624">
        <v>1354</v>
      </c>
      <c r="G624">
        <v>1070</v>
      </c>
      <c r="H624" s="5" t="s">
        <v>22</v>
      </c>
      <c r="I624" s="5">
        <v>0</v>
      </c>
      <c r="J624" s="5">
        <v>0</v>
      </c>
      <c r="K624" t="s">
        <v>10289</v>
      </c>
      <c r="L624" cm="1">
        <f t="array" ref="L624">wordCount(K624)</f>
        <v>13</v>
      </c>
      <c r="M624">
        <f t="shared" si="18"/>
        <v>74</v>
      </c>
      <c r="N624">
        <v>0.42105263157894735</v>
      </c>
      <c r="O624" s="23" cm="1">
        <f t="array" ref="O624">WordListCount(K624,keywords!$A$2:$A$31)-WordListCount(K624,keywords!$B$2:$B$31)</f>
        <v>0</v>
      </c>
      <c r="P624" s="25">
        <f t="shared" si="19"/>
        <v>0.58130787037037035</v>
      </c>
      <c r="Q624" s="23">
        <f>SUM($O$2:O624)</f>
        <v>12</v>
      </c>
      <c r="Y624" s="14"/>
      <c r="Z624" s="13"/>
      <c r="AA624"/>
    </row>
    <row r="625" spans="1:27" x14ac:dyDescent="0.2">
      <c r="A625" s="12" t="s">
        <v>2042</v>
      </c>
      <c r="B625" t="s">
        <v>2043</v>
      </c>
      <c r="C625" t="s">
        <v>2044</v>
      </c>
      <c r="D625">
        <v>1988</v>
      </c>
      <c r="E625" t="s">
        <v>13</v>
      </c>
      <c r="F625">
        <v>134</v>
      </c>
      <c r="G625">
        <v>196</v>
      </c>
      <c r="H625" s="5" t="s">
        <v>22</v>
      </c>
      <c r="I625" s="5">
        <v>0</v>
      </c>
      <c r="J625" s="5">
        <v>0</v>
      </c>
      <c r="K625" t="s">
        <v>10290</v>
      </c>
      <c r="L625" cm="1">
        <f t="array" ref="L625">wordCount(K625)</f>
        <v>21</v>
      </c>
      <c r="M625">
        <f t="shared" si="18"/>
        <v>97</v>
      </c>
      <c r="N625">
        <v>0.58823529411764708</v>
      </c>
      <c r="O625" s="23" cm="1">
        <f t="array" ref="O625">WordListCount(K625,keywords!$A$2:$A$31)-WordListCount(K625,keywords!$B$2:$B$31)</f>
        <v>0</v>
      </c>
      <c r="P625" s="25">
        <f t="shared" si="19"/>
        <v>0.5816203703703704</v>
      </c>
      <c r="Q625" s="23">
        <f>SUM($O$2:O625)</f>
        <v>12</v>
      </c>
      <c r="Y625" s="14"/>
      <c r="Z625" s="13"/>
      <c r="AA625"/>
    </row>
    <row r="626" spans="1:27" x14ac:dyDescent="0.2">
      <c r="A626" s="12" t="s">
        <v>2045</v>
      </c>
      <c r="B626" t="s">
        <v>2046</v>
      </c>
      <c r="C626" t="s">
        <v>2047</v>
      </c>
      <c r="D626" t="s">
        <v>2048</v>
      </c>
      <c r="E626" t="s">
        <v>13</v>
      </c>
      <c r="F626">
        <v>18</v>
      </c>
      <c r="G626">
        <v>184</v>
      </c>
      <c r="H626" s="5" t="s">
        <v>22</v>
      </c>
      <c r="I626" s="5">
        <v>0</v>
      </c>
      <c r="J626" s="5">
        <v>0</v>
      </c>
      <c r="K626" t="s">
        <v>10291</v>
      </c>
      <c r="L626" cm="1">
        <f t="array" ref="L626">wordCount(K626)</f>
        <v>13</v>
      </c>
      <c r="M626">
        <f t="shared" si="18"/>
        <v>71</v>
      </c>
      <c r="N626">
        <v>0.55000000000000004</v>
      </c>
      <c r="O626" s="23" cm="1">
        <f t="array" ref="O626">WordListCount(K626,keywords!$A$2:$A$31)-WordListCount(K626,keywords!$B$2:$B$31)</f>
        <v>0</v>
      </c>
      <c r="P626" s="25">
        <f t="shared" si="19"/>
        <v>0.58164351851851859</v>
      </c>
      <c r="Q626" s="23">
        <f>SUM($O$2:O626)</f>
        <v>12</v>
      </c>
      <c r="Y626" s="14"/>
      <c r="Z626" s="13"/>
      <c r="AA626"/>
    </row>
    <row r="627" spans="1:27" x14ac:dyDescent="0.2">
      <c r="A627" s="12" t="s">
        <v>2049</v>
      </c>
      <c r="B627" t="s">
        <v>2050</v>
      </c>
      <c r="C627" t="s">
        <v>2051</v>
      </c>
      <c r="D627" t="s">
        <v>1967</v>
      </c>
      <c r="E627" t="s">
        <v>13</v>
      </c>
      <c r="F627">
        <v>6391</v>
      </c>
      <c r="G627">
        <v>1185</v>
      </c>
      <c r="H627" s="5" t="s">
        <v>22</v>
      </c>
      <c r="I627" s="5">
        <v>0</v>
      </c>
      <c r="J627" s="5">
        <v>0</v>
      </c>
      <c r="K627" t="s">
        <v>10292</v>
      </c>
      <c r="L627" cm="1">
        <f t="array" ref="L627">wordCount(K627)</f>
        <v>12</v>
      </c>
      <c r="M627">
        <f t="shared" si="18"/>
        <v>78</v>
      </c>
      <c r="N627">
        <v>0.61538461538461542</v>
      </c>
      <c r="O627" s="23" cm="1">
        <f t="array" ref="O627">WordListCount(K627,keywords!$A$2:$A$31)-WordListCount(K627,keywords!$B$2:$B$31)</f>
        <v>0</v>
      </c>
      <c r="P627" s="25">
        <f t="shared" si="19"/>
        <v>0.58174768518518516</v>
      </c>
      <c r="Q627" s="23">
        <f>SUM($O$2:O627)</f>
        <v>12</v>
      </c>
      <c r="Y627" s="14"/>
      <c r="Z627" s="13"/>
      <c r="AA627"/>
    </row>
    <row r="628" spans="1:27" x14ac:dyDescent="0.2">
      <c r="A628" s="12" t="s">
        <v>2052</v>
      </c>
      <c r="B628" t="s">
        <v>2053</v>
      </c>
      <c r="C628" t="s">
        <v>2054</v>
      </c>
      <c r="D628" t="s">
        <v>12</v>
      </c>
      <c r="E628" t="s">
        <v>13</v>
      </c>
      <c r="F628">
        <v>224</v>
      </c>
      <c r="G628">
        <v>1407</v>
      </c>
      <c r="H628" s="5" t="s">
        <v>22</v>
      </c>
      <c r="I628" s="5">
        <v>0</v>
      </c>
      <c r="J628" s="5">
        <v>0</v>
      </c>
      <c r="K628" t="s">
        <v>10293</v>
      </c>
      <c r="L628" cm="1">
        <f t="array" ref="L628">wordCount(K628)</f>
        <v>15</v>
      </c>
      <c r="M628">
        <f t="shared" si="18"/>
        <v>72</v>
      </c>
      <c r="N628">
        <v>0.16666666666666666</v>
      </c>
      <c r="O628" s="23" cm="1">
        <f t="array" ref="O628">WordListCount(K628,keywords!$A$2:$A$31)-WordListCount(K628,keywords!$B$2:$B$31)</f>
        <v>0</v>
      </c>
      <c r="P628" s="25">
        <f t="shared" si="19"/>
        <v>0.58275462962962965</v>
      </c>
      <c r="Q628" s="23">
        <f>SUM($O$2:O628)</f>
        <v>12</v>
      </c>
      <c r="Y628" s="14"/>
      <c r="Z628" s="13"/>
      <c r="AA628"/>
    </row>
    <row r="629" spans="1:27" x14ac:dyDescent="0.2">
      <c r="A629" s="12" t="s">
        <v>2055</v>
      </c>
      <c r="B629" t="s">
        <v>2056</v>
      </c>
      <c r="C629" t="s">
        <v>2057</v>
      </c>
      <c r="D629" t="s">
        <v>2058</v>
      </c>
      <c r="E629" t="s">
        <v>13</v>
      </c>
      <c r="F629">
        <v>97</v>
      </c>
      <c r="G629">
        <v>89</v>
      </c>
      <c r="H629" s="5" t="s">
        <v>22</v>
      </c>
      <c r="I629" s="5">
        <v>0</v>
      </c>
      <c r="J629" s="5">
        <v>0</v>
      </c>
      <c r="K629" t="s">
        <v>10294</v>
      </c>
      <c r="L629" cm="1">
        <f t="array" ref="L629">wordCount(K629)</f>
        <v>15</v>
      </c>
      <c r="M629">
        <f t="shared" si="18"/>
        <v>61</v>
      </c>
      <c r="N629">
        <v>0.5</v>
      </c>
      <c r="O629" s="23" cm="1">
        <f t="array" ref="O629">WordListCount(K629,keywords!$A$2:$A$31)-WordListCount(K629,keywords!$B$2:$B$31)</f>
        <v>0</v>
      </c>
      <c r="P629" s="25">
        <f t="shared" si="19"/>
        <v>0.58276620370370369</v>
      </c>
      <c r="Q629" s="23">
        <f>SUM($O$2:O629)</f>
        <v>12</v>
      </c>
      <c r="Y629" s="14"/>
      <c r="Z629" s="13"/>
      <c r="AA629"/>
    </row>
    <row r="630" spans="1:27" x14ac:dyDescent="0.2">
      <c r="A630" s="12" t="s">
        <v>2059</v>
      </c>
      <c r="B630" t="s">
        <v>2060</v>
      </c>
      <c r="C630" t="s">
        <v>2044</v>
      </c>
      <c r="D630">
        <v>1988</v>
      </c>
      <c r="E630" t="s">
        <v>13</v>
      </c>
      <c r="F630">
        <v>134</v>
      </c>
      <c r="G630">
        <v>196</v>
      </c>
      <c r="H630" s="5" t="s">
        <v>22</v>
      </c>
      <c r="I630" s="5">
        <v>0</v>
      </c>
      <c r="J630" s="5">
        <v>0</v>
      </c>
      <c r="K630" t="s">
        <v>10295</v>
      </c>
      <c r="L630" cm="1">
        <f t="array" ref="L630">wordCount(K630)</f>
        <v>8</v>
      </c>
      <c r="M630">
        <f t="shared" si="18"/>
        <v>33</v>
      </c>
      <c r="N630">
        <v>0.41666666666666669</v>
      </c>
      <c r="O630" s="23" cm="1">
        <f t="array" ref="O630">WordListCount(K630,keywords!$A$2:$A$31)-WordListCount(K630,keywords!$B$2:$B$31)</f>
        <v>0</v>
      </c>
      <c r="P630" s="25">
        <f t="shared" si="19"/>
        <v>0.58277777777777773</v>
      </c>
      <c r="Q630" s="23">
        <f>SUM($O$2:O630)</f>
        <v>12</v>
      </c>
      <c r="Y630" s="14"/>
      <c r="Z630" s="13"/>
      <c r="AA630"/>
    </row>
    <row r="631" spans="1:27" x14ac:dyDescent="0.2">
      <c r="A631" s="12" t="s">
        <v>2061</v>
      </c>
      <c r="B631" t="s">
        <v>2062</v>
      </c>
      <c r="C631" t="s">
        <v>2063</v>
      </c>
      <c r="D631" t="s">
        <v>12</v>
      </c>
      <c r="E631" t="s">
        <v>13</v>
      </c>
      <c r="F631">
        <v>802</v>
      </c>
      <c r="G631">
        <v>551</v>
      </c>
      <c r="H631" s="5" t="s">
        <v>86</v>
      </c>
      <c r="I631" s="5">
        <v>0</v>
      </c>
      <c r="J631" s="5">
        <v>0</v>
      </c>
      <c r="K631" t="s">
        <v>10296</v>
      </c>
      <c r="L631" cm="1">
        <f t="array" ref="L631">wordCount(K631)</f>
        <v>21</v>
      </c>
      <c r="M631">
        <f t="shared" si="18"/>
        <v>107</v>
      </c>
      <c r="N631">
        <v>0.32</v>
      </c>
      <c r="O631" s="23" cm="1">
        <f t="array" ref="O631">WordListCount(K631,keywords!$A$2:$A$31)-WordListCount(K631,keywords!$B$2:$B$31)</f>
        <v>1</v>
      </c>
      <c r="P631" s="25">
        <f t="shared" si="19"/>
        <v>0.58281250000000007</v>
      </c>
      <c r="Q631" s="23">
        <f>SUM($O$2:O631)</f>
        <v>13</v>
      </c>
      <c r="Y631" s="14"/>
      <c r="Z631" s="13"/>
      <c r="AA631"/>
    </row>
    <row r="632" spans="1:27" x14ac:dyDescent="0.2">
      <c r="A632" s="12" t="s">
        <v>2064</v>
      </c>
      <c r="B632" t="s">
        <v>2065</v>
      </c>
      <c r="C632" t="s">
        <v>2066</v>
      </c>
      <c r="D632" t="s">
        <v>12</v>
      </c>
      <c r="E632" t="s">
        <v>13</v>
      </c>
      <c r="F632">
        <v>862</v>
      </c>
      <c r="G632">
        <v>596</v>
      </c>
      <c r="H632" s="5" t="s">
        <v>22</v>
      </c>
      <c r="I632" s="5">
        <v>0</v>
      </c>
      <c r="J632" s="5">
        <v>0</v>
      </c>
      <c r="K632" t="s">
        <v>9219</v>
      </c>
      <c r="L632" cm="1">
        <f t="array" ref="L632">wordCount(K632)</f>
        <v>10</v>
      </c>
      <c r="M632">
        <f t="shared" si="18"/>
        <v>53</v>
      </c>
      <c r="N632">
        <v>0.52941176470588236</v>
      </c>
      <c r="O632" s="23" cm="1">
        <f t="array" ref="O632">WordListCount(K632,keywords!$A$2:$A$31)-WordListCount(K632,keywords!$B$2:$B$31)</f>
        <v>0</v>
      </c>
      <c r="P632" s="25">
        <f t="shared" si="19"/>
        <v>0.58287037037037037</v>
      </c>
      <c r="Q632" s="23">
        <f>SUM($O$2:O632)</f>
        <v>13</v>
      </c>
      <c r="Y632" s="14"/>
      <c r="Z632" s="13"/>
      <c r="AA632"/>
    </row>
    <row r="633" spans="1:27" x14ac:dyDescent="0.2">
      <c r="A633" s="12" t="s">
        <v>2067</v>
      </c>
      <c r="B633" t="s">
        <v>2068</v>
      </c>
      <c r="C633" t="s">
        <v>2069</v>
      </c>
      <c r="D633" t="s">
        <v>2070</v>
      </c>
      <c r="E633" t="s">
        <v>13</v>
      </c>
      <c r="F633">
        <v>183</v>
      </c>
      <c r="G633">
        <v>153</v>
      </c>
      <c r="H633" s="5" t="s">
        <v>393</v>
      </c>
      <c r="I633" s="5">
        <v>0</v>
      </c>
      <c r="J633" s="5">
        <v>0</v>
      </c>
      <c r="K633" t="s">
        <v>10297</v>
      </c>
      <c r="L633" cm="1">
        <f t="array" ref="L633">wordCount(K633)</f>
        <v>3</v>
      </c>
      <c r="M633">
        <f t="shared" si="18"/>
        <v>11</v>
      </c>
      <c r="N633">
        <v>0.66666666666666663</v>
      </c>
      <c r="O633" s="23" cm="1">
        <f t="array" ref="O633">WordListCount(K633,keywords!$A$2:$A$31)-WordListCount(K633,keywords!$B$2:$B$31)</f>
        <v>0</v>
      </c>
      <c r="P633" s="25">
        <f t="shared" si="19"/>
        <v>0.58318287037037042</v>
      </c>
      <c r="Q633" s="23">
        <f>SUM($O$2:O633)</f>
        <v>13</v>
      </c>
      <c r="Y633" s="14"/>
      <c r="Z633" s="13"/>
      <c r="AA633"/>
    </row>
    <row r="634" spans="1:27" x14ac:dyDescent="0.2">
      <c r="A634" s="12" t="s">
        <v>2071</v>
      </c>
      <c r="B634" t="s">
        <v>2072</v>
      </c>
      <c r="C634" t="s">
        <v>2073</v>
      </c>
      <c r="D634" t="s">
        <v>12</v>
      </c>
      <c r="E634" t="s">
        <v>13</v>
      </c>
      <c r="F634">
        <v>14</v>
      </c>
      <c r="G634">
        <v>65</v>
      </c>
      <c r="H634" s="5" t="s">
        <v>22</v>
      </c>
      <c r="I634" s="5">
        <v>0</v>
      </c>
      <c r="J634" s="5">
        <v>0</v>
      </c>
      <c r="K634" t="s">
        <v>10298</v>
      </c>
      <c r="L634" cm="1">
        <f t="array" ref="L634">wordCount(K634)</f>
        <v>8</v>
      </c>
      <c r="M634">
        <f t="shared" si="18"/>
        <v>41</v>
      </c>
      <c r="N634">
        <v>0.22222222222222221</v>
      </c>
      <c r="O634" s="23" cm="1">
        <f t="array" ref="O634">WordListCount(K634,keywords!$A$2:$A$31)-WordListCount(K634,keywords!$B$2:$B$31)</f>
        <v>0</v>
      </c>
      <c r="P634" s="25">
        <f t="shared" si="19"/>
        <v>0.58327546296296295</v>
      </c>
      <c r="Q634" s="23">
        <f>SUM($O$2:O634)</f>
        <v>13</v>
      </c>
      <c r="Y634" s="14"/>
      <c r="Z634" s="13"/>
      <c r="AA634"/>
    </row>
    <row r="635" spans="1:27" x14ac:dyDescent="0.2">
      <c r="A635" s="12" t="s">
        <v>2074</v>
      </c>
      <c r="B635" t="s">
        <v>2075</v>
      </c>
      <c r="C635" t="s">
        <v>586</v>
      </c>
      <c r="D635" t="s">
        <v>12</v>
      </c>
      <c r="E635" t="s">
        <v>13</v>
      </c>
      <c r="F635">
        <v>236</v>
      </c>
      <c r="G635">
        <v>2</v>
      </c>
      <c r="H635" s="5" t="s">
        <v>22</v>
      </c>
      <c r="I635" s="5">
        <v>0</v>
      </c>
      <c r="J635" s="5">
        <v>0</v>
      </c>
      <c r="K635" t="s">
        <v>10299</v>
      </c>
      <c r="L635" cm="1">
        <f t="array" ref="L635">wordCount(K635)</f>
        <v>19</v>
      </c>
      <c r="M635">
        <f t="shared" si="18"/>
        <v>107</v>
      </c>
      <c r="N635">
        <v>0.76190476190476186</v>
      </c>
      <c r="O635" s="23" cm="1">
        <f t="array" ref="O635">WordListCount(K635,keywords!$A$2:$A$31)-WordListCount(K635,keywords!$B$2:$B$31)</f>
        <v>0</v>
      </c>
      <c r="P635" s="25">
        <f t="shared" si="19"/>
        <v>0.58333333333333337</v>
      </c>
      <c r="Q635" s="23">
        <f>SUM($O$2:O635)</f>
        <v>13</v>
      </c>
      <c r="Y635" s="14"/>
      <c r="Z635" s="13"/>
      <c r="AA635"/>
    </row>
    <row r="636" spans="1:27" x14ac:dyDescent="0.2">
      <c r="A636" s="12" t="s">
        <v>2076</v>
      </c>
      <c r="B636" t="s">
        <v>2077</v>
      </c>
      <c r="C636" t="s">
        <v>589</v>
      </c>
      <c r="D636" t="s">
        <v>590</v>
      </c>
      <c r="E636" t="s">
        <v>13</v>
      </c>
      <c r="F636">
        <v>385</v>
      </c>
      <c r="G636">
        <v>72</v>
      </c>
      <c r="H636" s="5" t="s">
        <v>22</v>
      </c>
      <c r="I636" s="5">
        <v>0</v>
      </c>
      <c r="J636" s="5">
        <v>0</v>
      </c>
      <c r="K636" t="s">
        <v>10300</v>
      </c>
      <c r="L636" cm="1">
        <f t="array" ref="L636">wordCount(K636)</f>
        <v>9</v>
      </c>
      <c r="M636">
        <f t="shared" si="18"/>
        <v>56</v>
      </c>
      <c r="N636">
        <v>0.81818181818181823</v>
      </c>
      <c r="O636" s="23" cm="1">
        <f t="array" ref="O636">WordListCount(K636,keywords!$A$2:$A$31)-WordListCount(K636,keywords!$B$2:$B$31)</f>
        <v>0</v>
      </c>
      <c r="P636" s="25">
        <f t="shared" si="19"/>
        <v>0.58335648148148145</v>
      </c>
      <c r="Q636" s="23">
        <f>SUM($O$2:O636)</f>
        <v>13</v>
      </c>
      <c r="Y636" s="14"/>
      <c r="Z636" s="13"/>
      <c r="AA636"/>
    </row>
    <row r="637" spans="1:27" x14ac:dyDescent="0.2">
      <c r="A637" s="12" t="s">
        <v>2076</v>
      </c>
      <c r="B637" t="s">
        <v>2080</v>
      </c>
      <c r="C637" t="s">
        <v>599</v>
      </c>
      <c r="D637" t="s">
        <v>74</v>
      </c>
      <c r="E637" t="s">
        <v>13</v>
      </c>
      <c r="F637">
        <v>580</v>
      </c>
      <c r="G637">
        <v>0</v>
      </c>
      <c r="H637" s="5" t="s">
        <v>22</v>
      </c>
      <c r="I637" s="5">
        <v>0</v>
      </c>
      <c r="J637" s="5">
        <v>0</v>
      </c>
      <c r="K637" t="s">
        <v>10301</v>
      </c>
      <c r="L637" cm="1">
        <f t="array" ref="L637">wordCount(K637)</f>
        <v>11</v>
      </c>
      <c r="M637">
        <f t="shared" si="18"/>
        <v>64</v>
      </c>
      <c r="N637">
        <v>0.84615384615384615</v>
      </c>
      <c r="O637" s="23" cm="1">
        <f t="array" ref="O637">WordListCount(K637,keywords!$A$2:$A$31)-WordListCount(K637,keywords!$B$2:$B$31)</f>
        <v>0</v>
      </c>
      <c r="P637" s="25">
        <f t="shared" si="19"/>
        <v>0.58335648148148145</v>
      </c>
      <c r="Q637" s="23">
        <f>SUM($O$2:O637)</f>
        <v>13</v>
      </c>
      <c r="Y637" s="14"/>
      <c r="Z637" s="13"/>
      <c r="AA637"/>
    </row>
    <row r="638" spans="1:27" x14ac:dyDescent="0.2">
      <c r="A638" s="12" t="s">
        <v>2076</v>
      </c>
      <c r="B638" t="s">
        <v>2078</v>
      </c>
      <c r="C638" t="s">
        <v>596</v>
      </c>
      <c r="D638" t="s">
        <v>597</v>
      </c>
      <c r="E638" t="s">
        <v>13</v>
      </c>
      <c r="F638">
        <v>998</v>
      </c>
      <c r="G638">
        <v>1</v>
      </c>
      <c r="H638" s="5" t="s">
        <v>382</v>
      </c>
      <c r="I638" s="5">
        <v>0</v>
      </c>
      <c r="J638" s="5">
        <v>0</v>
      </c>
      <c r="K638" t="s">
        <v>9220</v>
      </c>
      <c r="L638" cm="1">
        <f t="array" ref="L638">wordCount(K638)</f>
        <v>5</v>
      </c>
      <c r="M638">
        <f t="shared" si="18"/>
        <v>30</v>
      </c>
      <c r="N638">
        <v>0.42857142857142855</v>
      </c>
      <c r="O638" s="23" cm="1">
        <f t="array" ref="O638">WordListCount(K638,keywords!$A$2:$A$31)-WordListCount(K638,keywords!$B$2:$B$31)</f>
        <v>0</v>
      </c>
      <c r="P638" s="25">
        <f t="shared" si="19"/>
        <v>0.58335648148148145</v>
      </c>
      <c r="Q638" s="23">
        <f>SUM($O$2:O638)</f>
        <v>13</v>
      </c>
      <c r="Y638" s="14"/>
      <c r="Z638" s="13"/>
      <c r="AA638"/>
    </row>
    <row r="639" spans="1:27" x14ac:dyDescent="0.2">
      <c r="A639" s="12" t="s">
        <v>2076</v>
      </c>
      <c r="B639" t="s">
        <v>2079</v>
      </c>
      <c r="C639" t="s">
        <v>306</v>
      </c>
      <c r="D639" t="s">
        <v>307</v>
      </c>
      <c r="E639" t="s">
        <v>13</v>
      </c>
      <c r="F639">
        <v>228</v>
      </c>
      <c r="G639">
        <v>1</v>
      </c>
      <c r="H639" s="5" t="s">
        <v>22</v>
      </c>
      <c r="I639" s="5">
        <v>0</v>
      </c>
      <c r="J639" s="5">
        <v>0</v>
      </c>
      <c r="K639" t="s">
        <v>9221</v>
      </c>
      <c r="L639" cm="1">
        <f t="array" ref="L639">wordCount(K639)</f>
        <v>7</v>
      </c>
      <c r="M639">
        <f t="shared" si="18"/>
        <v>105</v>
      </c>
      <c r="N639">
        <v>0.53846153846153844</v>
      </c>
      <c r="O639" s="23" cm="1">
        <f t="array" ref="O639">WordListCount(K639,keywords!$A$2:$A$31)-WordListCount(K639,keywords!$B$2:$B$31)</f>
        <v>0</v>
      </c>
      <c r="P639" s="25">
        <f t="shared" si="19"/>
        <v>0.58335648148148145</v>
      </c>
      <c r="Q639" s="23">
        <f>SUM($O$2:O639)</f>
        <v>13</v>
      </c>
      <c r="Y639" s="14"/>
      <c r="Z639" s="13"/>
      <c r="AA639"/>
    </row>
    <row r="640" spans="1:27" x14ac:dyDescent="0.2">
      <c r="A640" s="12" t="s">
        <v>2081</v>
      </c>
      <c r="B640" t="s">
        <v>2082</v>
      </c>
      <c r="C640" t="s">
        <v>604</v>
      </c>
      <c r="D640" t="s">
        <v>605</v>
      </c>
      <c r="E640" t="s">
        <v>13</v>
      </c>
      <c r="F640">
        <v>168</v>
      </c>
      <c r="G640">
        <v>115</v>
      </c>
      <c r="H640" s="5" t="s">
        <v>22</v>
      </c>
      <c r="I640" s="5">
        <v>0</v>
      </c>
      <c r="J640" s="5">
        <v>0</v>
      </c>
      <c r="K640" t="s">
        <v>10302</v>
      </c>
      <c r="L640" cm="1">
        <f t="array" ref="L640">wordCount(K640)</f>
        <v>13</v>
      </c>
      <c r="M640">
        <f t="shared" si="18"/>
        <v>68</v>
      </c>
      <c r="N640">
        <v>0.75</v>
      </c>
      <c r="O640" s="23" cm="1">
        <f t="array" ref="O640">WordListCount(K640,keywords!$A$2:$A$31)-WordListCount(K640,keywords!$B$2:$B$31)</f>
        <v>0</v>
      </c>
      <c r="P640" s="25">
        <f t="shared" si="19"/>
        <v>0.58340277777777783</v>
      </c>
      <c r="Q640" s="23">
        <f>SUM($O$2:O640)</f>
        <v>13</v>
      </c>
      <c r="Y640" s="14"/>
      <c r="Z640" s="13"/>
      <c r="AA640"/>
    </row>
    <row r="641" spans="1:27" x14ac:dyDescent="0.2">
      <c r="A641" s="12" t="s">
        <v>2083</v>
      </c>
      <c r="B641" t="s">
        <v>2084</v>
      </c>
      <c r="C641" t="s">
        <v>617</v>
      </c>
      <c r="D641" t="s">
        <v>12</v>
      </c>
      <c r="E641" t="s">
        <v>13</v>
      </c>
      <c r="F641">
        <v>8725</v>
      </c>
      <c r="G641">
        <v>268</v>
      </c>
      <c r="H641" s="5" t="s">
        <v>22</v>
      </c>
      <c r="I641" s="5">
        <v>0</v>
      </c>
      <c r="J641" s="5">
        <v>0</v>
      </c>
      <c r="K641" t="s">
        <v>10303</v>
      </c>
      <c r="L641" cm="1">
        <f t="array" ref="L641">wordCount(K641)</f>
        <v>14</v>
      </c>
      <c r="M641">
        <f t="shared" si="18"/>
        <v>101</v>
      </c>
      <c r="N641">
        <v>0.8571428571428571</v>
      </c>
      <c r="O641" s="23" cm="1">
        <f t="array" ref="O641">WordListCount(K641,keywords!$A$2:$A$31)-WordListCount(K641,keywords!$B$2:$B$31)</f>
        <v>0</v>
      </c>
      <c r="P641" s="25">
        <f t="shared" si="19"/>
        <v>0.58348379629629632</v>
      </c>
      <c r="Q641" s="23">
        <f>SUM($O$2:O641)</f>
        <v>13</v>
      </c>
      <c r="Y641" s="14"/>
      <c r="Z641" s="13"/>
      <c r="AA641"/>
    </row>
    <row r="642" spans="1:27" x14ac:dyDescent="0.2">
      <c r="A642" s="12" t="s">
        <v>2085</v>
      </c>
      <c r="B642" t="s">
        <v>2086</v>
      </c>
      <c r="C642" t="s">
        <v>2087</v>
      </c>
      <c r="D642" t="s">
        <v>12</v>
      </c>
      <c r="E642" t="s">
        <v>13</v>
      </c>
      <c r="F642">
        <v>5841</v>
      </c>
      <c r="G642">
        <v>5841</v>
      </c>
      <c r="H642" s="5" t="s">
        <v>14</v>
      </c>
      <c r="I642" s="5">
        <v>0</v>
      </c>
      <c r="J642" s="5">
        <v>0</v>
      </c>
      <c r="K642" t="s">
        <v>10304</v>
      </c>
      <c r="L642" cm="1">
        <f t="array" ref="L642">wordCount(K642)</f>
        <v>10</v>
      </c>
      <c r="M642">
        <f t="shared" ref="M642:M705" si="20">LEN(K642)</f>
        <v>46</v>
      </c>
      <c r="N642">
        <v>0.72727272727272729</v>
      </c>
      <c r="O642" s="23" cm="1">
        <f t="array" ref="O642">WordListCount(K642,keywords!$A$2:$A$31)-WordListCount(K642,keywords!$B$2:$B$31)</f>
        <v>0</v>
      </c>
      <c r="P642" s="25">
        <f t="shared" ref="P642:P705" si="21">TIMEVALUE(RIGHT(A642,8))</f>
        <v>0.58354166666666674</v>
      </c>
      <c r="Q642" s="23">
        <f>SUM($O$2:O642)</f>
        <v>13</v>
      </c>
      <c r="Y642" s="14"/>
      <c r="Z642" s="13"/>
      <c r="AA642"/>
    </row>
    <row r="643" spans="1:27" x14ac:dyDescent="0.2">
      <c r="A643" s="12" t="s">
        <v>2088</v>
      </c>
      <c r="B643" t="s">
        <v>2089</v>
      </c>
      <c r="C643" t="s">
        <v>2090</v>
      </c>
      <c r="D643" t="s">
        <v>12</v>
      </c>
      <c r="E643" t="s">
        <v>13</v>
      </c>
      <c r="F643">
        <v>1</v>
      </c>
      <c r="G643">
        <v>92</v>
      </c>
      <c r="H643" s="5" t="s">
        <v>22</v>
      </c>
      <c r="I643" s="5">
        <v>0</v>
      </c>
      <c r="J643" s="5">
        <v>0</v>
      </c>
      <c r="K643" t="s">
        <v>10305</v>
      </c>
      <c r="L643" cm="1">
        <f t="array" ref="L643">wordCount(K643)</f>
        <v>14</v>
      </c>
      <c r="M643">
        <f t="shared" si="20"/>
        <v>72</v>
      </c>
      <c r="N643">
        <v>0.57692307692307687</v>
      </c>
      <c r="O643" s="23" cm="1">
        <f t="array" ref="O643">WordListCount(K643,keywords!$A$2:$A$31)-WordListCount(K643,keywords!$B$2:$B$31)</f>
        <v>0</v>
      </c>
      <c r="P643" s="25">
        <f t="shared" si="21"/>
        <v>0.58368055555555554</v>
      </c>
      <c r="Q643" s="23">
        <f>SUM($O$2:O643)</f>
        <v>13</v>
      </c>
      <c r="Y643" s="14"/>
      <c r="Z643" s="13"/>
      <c r="AA643"/>
    </row>
    <row r="644" spans="1:27" x14ac:dyDescent="0.2">
      <c r="A644" s="12" t="s">
        <v>2091</v>
      </c>
      <c r="B644" t="s">
        <v>2092</v>
      </c>
      <c r="C644" t="s">
        <v>631</v>
      </c>
      <c r="D644" t="s">
        <v>12</v>
      </c>
      <c r="E644" t="s">
        <v>13</v>
      </c>
      <c r="F644">
        <v>93</v>
      </c>
      <c r="G644">
        <v>2</v>
      </c>
      <c r="H644" s="5" t="s">
        <v>86</v>
      </c>
      <c r="I644" s="5">
        <v>0</v>
      </c>
      <c r="J644" s="5">
        <v>0</v>
      </c>
      <c r="K644" t="s">
        <v>9222</v>
      </c>
      <c r="L644" cm="1">
        <f t="array" ref="L644">wordCount(K644)</f>
        <v>8</v>
      </c>
      <c r="M644">
        <f t="shared" si="20"/>
        <v>43</v>
      </c>
      <c r="N644">
        <v>0.77777777777777779</v>
      </c>
      <c r="O644" s="23" cm="1">
        <f t="array" ref="O644">WordListCount(K644,keywords!$A$2:$A$31)-WordListCount(K644,keywords!$B$2:$B$31)</f>
        <v>0</v>
      </c>
      <c r="P644" s="25">
        <f t="shared" si="21"/>
        <v>0.58369212962962969</v>
      </c>
      <c r="Q644" s="23">
        <f>SUM($O$2:O644)</f>
        <v>13</v>
      </c>
      <c r="Y644" s="14"/>
      <c r="Z644" s="13"/>
      <c r="AA644"/>
    </row>
    <row r="645" spans="1:27" x14ac:dyDescent="0.2">
      <c r="A645" s="12" t="s">
        <v>2093</v>
      </c>
      <c r="B645" t="s">
        <v>2094</v>
      </c>
      <c r="C645" t="s">
        <v>2095</v>
      </c>
      <c r="D645" t="s">
        <v>2096</v>
      </c>
      <c r="E645" t="s">
        <v>13</v>
      </c>
      <c r="F645">
        <v>156</v>
      </c>
      <c r="G645">
        <v>219</v>
      </c>
      <c r="H645" s="5" t="s">
        <v>393</v>
      </c>
      <c r="I645" s="5">
        <v>0</v>
      </c>
      <c r="J645" s="5">
        <v>0</v>
      </c>
      <c r="K645" t="s">
        <v>9223</v>
      </c>
      <c r="L645" cm="1">
        <f t="array" ref="L645">wordCount(K645)</f>
        <v>8</v>
      </c>
      <c r="M645">
        <f t="shared" si="20"/>
        <v>46</v>
      </c>
      <c r="N645">
        <v>0.88235294117647056</v>
      </c>
      <c r="O645" s="23" cm="1">
        <f t="array" ref="O645">WordListCount(K645,keywords!$A$2:$A$31)-WordListCount(K645,keywords!$B$2:$B$31)</f>
        <v>0</v>
      </c>
      <c r="P645" s="25">
        <f t="shared" si="21"/>
        <v>0.58377314814814818</v>
      </c>
      <c r="Q645" s="23">
        <f>SUM($O$2:O645)</f>
        <v>13</v>
      </c>
      <c r="Y645" s="14"/>
      <c r="Z645" s="13"/>
      <c r="AA645"/>
    </row>
    <row r="646" spans="1:27" x14ac:dyDescent="0.2">
      <c r="A646" s="12" t="s">
        <v>2097</v>
      </c>
      <c r="B646" t="s">
        <v>2098</v>
      </c>
      <c r="C646" t="s">
        <v>2099</v>
      </c>
      <c r="D646" t="s">
        <v>2100</v>
      </c>
      <c r="E646" t="s">
        <v>13</v>
      </c>
      <c r="F646">
        <v>48</v>
      </c>
      <c r="G646">
        <v>139</v>
      </c>
      <c r="H646" s="5" t="s">
        <v>22</v>
      </c>
      <c r="I646" s="5">
        <v>0</v>
      </c>
      <c r="J646" s="5">
        <v>0</v>
      </c>
      <c r="K646" t="s">
        <v>10306</v>
      </c>
      <c r="L646" cm="1">
        <f t="array" ref="L646">wordCount(K646)</f>
        <v>7</v>
      </c>
      <c r="M646">
        <f t="shared" si="20"/>
        <v>27</v>
      </c>
      <c r="N646">
        <v>0.7142857142857143</v>
      </c>
      <c r="O646" s="23" cm="1">
        <f t="array" ref="O646">WordListCount(K646,keywords!$A$2:$A$31)-WordListCount(K646,keywords!$B$2:$B$31)</f>
        <v>0</v>
      </c>
      <c r="P646" s="25">
        <f t="shared" si="21"/>
        <v>0.58400462962962962</v>
      </c>
      <c r="Q646" s="23">
        <f>SUM($O$2:O646)</f>
        <v>13</v>
      </c>
      <c r="Y646" s="14"/>
      <c r="Z646" s="13"/>
      <c r="AA646"/>
    </row>
    <row r="647" spans="1:27" x14ac:dyDescent="0.2">
      <c r="A647" s="12" t="s">
        <v>2101</v>
      </c>
      <c r="B647" t="s">
        <v>2102</v>
      </c>
      <c r="C647" t="s">
        <v>50</v>
      </c>
      <c r="D647" t="s">
        <v>51</v>
      </c>
      <c r="E647" t="s">
        <v>13</v>
      </c>
      <c r="F647">
        <v>2057</v>
      </c>
      <c r="G647">
        <v>453</v>
      </c>
      <c r="H647" s="5" t="s">
        <v>22</v>
      </c>
      <c r="I647" s="5">
        <v>0</v>
      </c>
      <c r="J647" s="5">
        <v>0</v>
      </c>
      <c r="K647" t="s">
        <v>9224</v>
      </c>
      <c r="L647" cm="1">
        <f t="array" ref="L647">wordCount(K647)</f>
        <v>6</v>
      </c>
      <c r="M647">
        <f t="shared" si="20"/>
        <v>36</v>
      </c>
      <c r="N647">
        <v>0.88888888888888884</v>
      </c>
      <c r="O647" s="23" cm="1">
        <f t="array" ref="O647">WordListCount(K647,keywords!$A$2:$A$31)-WordListCount(K647,keywords!$B$2:$B$31)</f>
        <v>0</v>
      </c>
      <c r="P647" s="25">
        <f t="shared" si="21"/>
        <v>0.58403935185185185</v>
      </c>
      <c r="Q647" s="23">
        <f>SUM($O$2:O647)</f>
        <v>13</v>
      </c>
      <c r="Y647" s="14"/>
      <c r="Z647" s="13"/>
      <c r="AA647"/>
    </row>
    <row r="648" spans="1:27" x14ac:dyDescent="0.2">
      <c r="A648" s="12" t="s">
        <v>2103</v>
      </c>
      <c r="B648" t="s">
        <v>2104</v>
      </c>
      <c r="C648" t="s">
        <v>440</v>
      </c>
      <c r="D648" t="s">
        <v>441</v>
      </c>
      <c r="E648" t="s">
        <v>13</v>
      </c>
      <c r="F648">
        <v>2717</v>
      </c>
      <c r="G648">
        <v>1822</v>
      </c>
      <c r="H648" s="5" t="s">
        <v>22</v>
      </c>
      <c r="I648" s="5">
        <v>0</v>
      </c>
      <c r="J648" s="5">
        <v>0</v>
      </c>
      <c r="K648" t="s">
        <v>10307</v>
      </c>
      <c r="L648" cm="1">
        <f t="array" ref="L648">wordCount(K648)</f>
        <v>14</v>
      </c>
      <c r="M648">
        <f t="shared" si="20"/>
        <v>101</v>
      </c>
      <c r="N648">
        <v>0.8571428571428571</v>
      </c>
      <c r="O648" s="23" cm="1">
        <f t="array" ref="O648">WordListCount(K648,keywords!$A$2:$A$31)-WordListCount(K648,keywords!$B$2:$B$31)</f>
        <v>0</v>
      </c>
      <c r="P648" s="25">
        <f t="shared" si="21"/>
        <v>0.58405092592592589</v>
      </c>
      <c r="Q648" s="23">
        <f>SUM($O$2:O648)</f>
        <v>13</v>
      </c>
      <c r="Y648" s="14"/>
      <c r="Z648" s="13"/>
      <c r="AA648"/>
    </row>
    <row r="649" spans="1:27" x14ac:dyDescent="0.2">
      <c r="A649" s="12" t="s">
        <v>2105</v>
      </c>
      <c r="B649" t="s">
        <v>2094</v>
      </c>
      <c r="C649" t="s">
        <v>2106</v>
      </c>
      <c r="D649" t="s">
        <v>12</v>
      </c>
      <c r="E649" t="s">
        <v>13</v>
      </c>
      <c r="F649">
        <v>13</v>
      </c>
      <c r="G649">
        <v>94</v>
      </c>
      <c r="H649" s="5" t="s">
        <v>22</v>
      </c>
      <c r="I649" s="5">
        <v>0</v>
      </c>
      <c r="J649" s="5">
        <v>0</v>
      </c>
      <c r="K649" t="s">
        <v>9223</v>
      </c>
      <c r="L649" cm="1">
        <f t="array" ref="L649">wordCount(K649)</f>
        <v>8</v>
      </c>
      <c r="M649">
        <f t="shared" si="20"/>
        <v>46</v>
      </c>
      <c r="N649">
        <v>0.88888888888888884</v>
      </c>
      <c r="O649" s="23" cm="1">
        <f t="array" ref="O649">WordListCount(K649,keywords!$A$2:$A$31)-WordListCount(K649,keywords!$B$2:$B$31)</f>
        <v>0</v>
      </c>
      <c r="P649" s="25">
        <f t="shared" si="21"/>
        <v>0.58415509259259257</v>
      </c>
      <c r="Q649" s="23">
        <f>SUM($O$2:O649)</f>
        <v>13</v>
      </c>
      <c r="Y649" s="14"/>
      <c r="Z649" s="13"/>
      <c r="AA649"/>
    </row>
    <row r="650" spans="1:27" x14ac:dyDescent="0.2">
      <c r="A650" s="12" t="s">
        <v>2107</v>
      </c>
      <c r="B650" t="s">
        <v>2110</v>
      </c>
      <c r="C650" t="s">
        <v>21</v>
      </c>
      <c r="D650" t="s">
        <v>12</v>
      </c>
      <c r="E650" t="s">
        <v>13</v>
      </c>
      <c r="F650">
        <v>44</v>
      </c>
      <c r="G650">
        <v>9</v>
      </c>
      <c r="H650" s="5" t="s">
        <v>22</v>
      </c>
      <c r="I650" s="5">
        <v>0</v>
      </c>
      <c r="J650" s="5">
        <v>0</v>
      </c>
      <c r="K650" t="s">
        <v>9225</v>
      </c>
      <c r="L650" cm="1">
        <f t="array" ref="L650">wordCount(K650)</f>
        <v>5</v>
      </c>
      <c r="M650">
        <f t="shared" si="20"/>
        <v>28</v>
      </c>
      <c r="N650">
        <v>0.83333333333333337</v>
      </c>
      <c r="O650" s="23" cm="1">
        <f t="array" ref="O650">WordListCount(K650,keywords!$A$2:$A$31)-WordListCount(K650,keywords!$B$2:$B$31)</f>
        <v>0</v>
      </c>
      <c r="P650" s="25">
        <f t="shared" si="21"/>
        <v>0.58422453703703703</v>
      </c>
      <c r="Q650" s="23">
        <f>SUM($O$2:O650)</f>
        <v>13</v>
      </c>
      <c r="Y650" s="14"/>
      <c r="Z650" s="13"/>
      <c r="AA650"/>
    </row>
    <row r="651" spans="1:27" x14ac:dyDescent="0.2">
      <c r="A651" s="12" t="s">
        <v>2107</v>
      </c>
      <c r="B651" t="s">
        <v>2108</v>
      </c>
      <c r="C651" t="s">
        <v>2109</v>
      </c>
      <c r="D651" t="s">
        <v>1454</v>
      </c>
      <c r="E651" t="s">
        <v>13</v>
      </c>
      <c r="F651">
        <v>6738</v>
      </c>
      <c r="G651">
        <v>7165</v>
      </c>
      <c r="H651" s="5" t="s">
        <v>14</v>
      </c>
      <c r="I651" s="5">
        <v>0</v>
      </c>
      <c r="J651" s="5">
        <v>0</v>
      </c>
      <c r="K651" t="s">
        <v>10308</v>
      </c>
      <c r="L651" cm="1">
        <f t="array" ref="L651">wordCount(K651)</f>
        <v>11</v>
      </c>
      <c r="M651">
        <f t="shared" si="20"/>
        <v>46</v>
      </c>
      <c r="N651">
        <v>0.75</v>
      </c>
      <c r="O651" s="23" cm="1">
        <f t="array" ref="O651">WordListCount(K651,keywords!$A$2:$A$31)-WordListCount(K651,keywords!$B$2:$B$31)</f>
        <v>1</v>
      </c>
      <c r="P651" s="25">
        <f t="shared" si="21"/>
        <v>0.58422453703703703</v>
      </c>
      <c r="Q651" s="23">
        <f>SUM($O$2:O651)</f>
        <v>14</v>
      </c>
      <c r="Y651" s="14"/>
      <c r="Z651" s="13"/>
      <c r="AA651"/>
    </row>
    <row r="652" spans="1:27" x14ac:dyDescent="0.2">
      <c r="A652" s="12" t="s">
        <v>2111</v>
      </c>
      <c r="B652" t="s">
        <v>2102</v>
      </c>
      <c r="C652" t="s">
        <v>651</v>
      </c>
      <c r="D652" t="s">
        <v>652</v>
      </c>
      <c r="E652" t="s">
        <v>13</v>
      </c>
      <c r="F652">
        <v>13384</v>
      </c>
      <c r="G652">
        <v>13242</v>
      </c>
      <c r="H652" s="5" t="s">
        <v>22</v>
      </c>
      <c r="I652" s="5">
        <v>0</v>
      </c>
      <c r="J652" s="5">
        <v>0</v>
      </c>
      <c r="K652" t="s">
        <v>9224</v>
      </c>
      <c r="L652" cm="1">
        <f t="array" ref="L652">wordCount(K652)</f>
        <v>6</v>
      </c>
      <c r="M652">
        <f t="shared" si="20"/>
        <v>36</v>
      </c>
      <c r="N652">
        <v>0.8571428571428571</v>
      </c>
      <c r="O652" s="23" cm="1">
        <f t="array" ref="O652">WordListCount(K652,keywords!$A$2:$A$31)-WordListCount(K652,keywords!$B$2:$B$31)</f>
        <v>0</v>
      </c>
      <c r="P652" s="25">
        <f t="shared" si="21"/>
        <v>0.58437499999999998</v>
      </c>
      <c r="Q652" s="23">
        <f>SUM($O$2:O652)</f>
        <v>14</v>
      </c>
      <c r="Y652" s="14"/>
      <c r="Z652" s="13"/>
      <c r="AA652"/>
    </row>
    <row r="653" spans="1:27" x14ac:dyDescent="0.2">
      <c r="A653" s="12" t="s">
        <v>2112</v>
      </c>
      <c r="B653" t="s">
        <v>2113</v>
      </c>
      <c r="C653" t="s">
        <v>2114</v>
      </c>
      <c r="D653" t="s">
        <v>12</v>
      </c>
      <c r="E653" t="s">
        <v>13</v>
      </c>
      <c r="F653">
        <v>178</v>
      </c>
      <c r="G653">
        <v>814</v>
      </c>
      <c r="H653" s="5" t="s">
        <v>22</v>
      </c>
      <c r="I653" s="5">
        <v>0</v>
      </c>
      <c r="J653" s="5">
        <v>0</v>
      </c>
      <c r="K653" t="s">
        <v>9226</v>
      </c>
      <c r="L653" cm="1">
        <f t="array" ref="L653">wordCount(K653)</f>
        <v>7</v>
      </c>
      <c r="M653">
        <f t="shared" si="20"/>
        <v>43</v>
      </c>
      <c r="N653">
        <v>0.77777777777777779</v>
      </c>
      <c r="O653" s="23" cm="1">
        <f t="array" ref="O653">WordListCount(K653,keywords!$A$2:$A$31)-WordListCount(K653,keywords!$B$2:$B$31)</f>
        <v>0</v>
      </c>
      <c r="P653" s="25">
        <f t="shared" si="21"/>
        <v>0.58439814814814817</v>
      </c>
      <c r="Q653" s="23">
        <f>SUM($O$2:O653)</f>
        <v>14</v>
      </c>
      <c r="Y653" s="14"/>
      <c r="Z653" s="13"/>
      <c r="AA653"/>
    </row>
    <row r="654" spans="1:27" x14ac:dyDescent="0.2">
      <c r="A654" s="12" t="s">
        <v>2115</v>
      </c>
      <c r="B654" t="s">
        <v>2116</v>
      </c>
      <c r="C654" t="s">
        <v>634</v>
      </c>
      <c r="D654" t="s">
        <v>635</v>
      </c>
      <c r="E654" t="s">
        <v>13</v>
      </c>
      <c r="F654">
        <v>2121</v>
      </c>
      <c r="G654">
        <v>4146</v>
      </c>
      <c r="H654" s="5" t="s">
        <v>22</v>
      </c>
      <c r="I654" s="5">
        <v>0</v>
      </c>
      <c r="J654" s="5">
        <v>0</v>
      </c>
      <c r="K654" t="s">
        <v>9227</v>
      </c>
      <c r="L654" cm="1">
        <f t="array" ref="L654">wordCount(K654)</f>
        <v>21</v>
      </c>
      <c r="M654">
        <f t="shared" si="20"/>
        <v>102</v>
      </c>
      <c r="N654">
        <v>0.4</v>
      </c>
      <c r="O654" s="23" cm="1">
        <f t="array" ref="O654">WordListCount(K654,keywords!$A$2:$A$31)-WordListCount(K654,keywords!$B$2:$B$31)</f>
        <v>2</v>
      </c>
      <c r="P654" s="25">
        <f t="shared" si="21"/>
        <v>0.58443287037037039</v>
      </c>
      <c r="Q654" s="23">
        <f>SUM($O$2:O654)</f>
        <v>16</v>
      </c>
      <c r="Y654" s="14"/>
      <c r="Z654" s="13"/>
      <c r="AA654"/>
    </row>
    <row r="655" spans="1:27" x14ac:dyDescent="0.2">
      <c r="A655" s="12" t="s">
        <v>2117</v>
      </c>
      <c r="B655" t="s">
        <v>2118</v>
      </c>
      <c r="C655" t="s">
        <v>2119</v>
      </c>
      <c r="D655" t="s">
        <v>12</v>
      </c>
      <c r="E655" t="s">
        <v>13</v>
      </c>
      <c r="F655">
        <v>4</v>
      </c>
      <c r="G655">
        <v>113</v>
      </c>
      <c r="H655" s="5" t="s">
        <v>22</v>
      </c>
      <c r="I655" s="5">
        <v>0</v>
      </c>
      <c r="J655" s="5">
        <v>0</v>
      </c>
      <c r="K655" t="s">
        <v>10309</v>
      </c>
      <c r="L655" cm="1">
        <f t="array" ref="L655">wordCount(K655)</f>
        <v>22</v>
      </c>
      <c r="M655">
        <f t="shared" si="20"/>
        <v>109</v>
      </c>
      <c r="N655">
        <v>0.42857142857142855</v>
      </c>
      <c r="O655" s="23" cm="1">
        <f t="array" ref="O655">WordListCount(K655,keywords!$A$2:$A$31)-WordListCount(K655,keywords!$B$2:$B$31)</f>
        <v>0</v>
      </c>
      <c r="P655" s="25">
        <f t="shared" si="21"/>
        <v>0.58449074074074081</v>
      </c>
      <c r="Q655" s="23">
        <f>SUM($O$2:O655)</f>
        <v>16</v>
      </c>
      <c r="Y655" s="14"/>
      <c r="Z655" s="13"/>
      <c r="AA655"/>
    </row>
    <row r="656" spans="1:27" x14ac:dyDescent="0.2">
      <c r="A656" s="12" t="s">
        <v>2120</v>
      </c>
      <c r="B656" t="s">
        <v>2121</v>
      </c>
      <c r="C656" t="s">
        <v>2122</v>
      </c>
      <c r="D656" t="s">
        <v>2123</v>
      </c>
      <c r="E656" t="s">
        <v>13</v>
      </c>
      <c r="F656">
        <v>596</v>
      </c>
      <c r="G656">
        <v>53</v>
      </c>
      <c r="H656" s="5" t="s">
        <v>22</v>
      </c>
      <c r="I656" s="5">
        <v>0</v>
      </c>
      <c r="J656" s="5">
        <v>0</v>
      </c>
      <c r="K656" t="s">
        <v>9228</v>
      </c>
      <c r="L656" cm="1">
        <f t="array" ref="L656">wordCount(K656)</f>
        <v>6</v>
      </c>
      <c r="M656">
        <f t="shared" si="20"/>
        <v>30</v>
      </c>
      <c r="N656">
        <v>0.63636363636363635</v>
      </c>
      <c r="O656" s="23" cm="1">
        <f t="array" ref="O656">WordListCount(K656,keywords!$A$2:$A$31)-WordListCount(K656,keywords!$B$2:$B$31)</f>
        <v>0</v>
      </c>
      <c r="P656" s="25">
        <f t="shared" si="21"/>
        <v>0.58482638888888883</v>
      </c>
      <c r="Q656" s="23">
        <f>SUM($O$2:O656)</f>
        <v>16</v>
      </c>
      <c r="Y656" s="14"/>
      <c r="Z656" s="13"/>
      <c r="AA656"/>
    </row>
    <row r="657" spans="1:27" x14ac:dyDescent="0.2">
      <c r="A657" s="12" t="s">
        <v>2124</v>
      </c>
      <c r="B657" t="s">
        <v>2125</v>
      </c>
      <c r="C657" t="s">
        <v>2126</v>
      </c>
      <c r="D657" t="s">
        <v>74</v>
      </c>
      <c r="E657" t="s">
        <v>13</v>
      </c>
      <c r="F657">
        <v>95</v>
      </c>
      <c r="G657">
        <v>83</v>
      </c>
      <c r="H657" s="5" t="s">
        <v>22</v>
      </c>
      <c r="I657" s="5">
        <v>0</v>
      </c>
      <c r="J657" s="5">
        <v>0</v>
      </c>
      <c r="K657" t="s">
        <v>9229</v>
      </c>
      <c r="L657" cm="1">
        <f t="array" ref="L657">wordCount(K657)</f>
        <v>4</v>
      </c>
      <c r="M657">
        <f t="shared" si="20"/>
        <v>27</v>
      </c>
      <c r="N657">
        <v>0.7</v>
      </c>
      <c r="O657" s="23" cm="1">
        <f t="array" ref="O657">WordListCount(K657,keywords!$A$2:$A$31)-WordListCount(K657,keywords!$B$2:$B$31)</f>
        <v>0</v>
      </c>
      <c r="P657" s="25">
        <f t="shared" si="21"/>
        <v>0.58489583333333328</v>
      </c>
      <c r="Q657" s="23">
        <f>SUM($O$2:O657)</f>
        <v>16</v>
      </c>
      <c r="Y657" s="14"/>
      <c r="Z657" s="13"/>
      <c r="AA657"/>
    </row>
    <row r="658" spans="1:27" x14ac:dyDescent="0.2">
      <c r="A658" s="12" t="s">
        <v>2127</v>
      </c>
      <c r="B658" t="s">
        <v>2128</v>
      </c>
      <c r="C658" t="s">
        <v>2129</v>
      </c>
      <c r="D658" t="s">
        <v>2130</v>
      </c>
      <c r="E658" t="s">
        <v>13</v>
      </c>
      <c r="F658">
        <v>495</v>
      </c>
      <c r="G658">
        <v>1111</v>
      </c>
      <c r="H658" s="5" t="s">
        <v>22</v>
      </c>
      <c r="I658" s="5">
        <v>0</v>
      </c>
      <c r="J658" s="5">
        <v>0</v>
      </c>
      <c r="K658" t="s">
        <v>9230</v>
      </c>
      <c r="L658" cm="1">
        <f t="array" ref="L658">wordCount(K658)</f>
        <v>7</v>
      </c>
      <c r="M658">
        <f t="shared" si="20"/>
        <v>38</v>
      </c>
      <c r="N658">
        <v>0.7142857142857143</v>
      </c>
      <c r="O658" s="23" cm="1">
        <f t="array" ref="O658">WordListCount(K658,keywords!$A$2:$A$31)-WordListCount(K658,keywords!$B$2:$B$31)</f>
        <v>0</v>
      </c>
      <c r="P658" s="25">
        <f t="shared" si="21"/>
        <v>0.58491898148148147</v>
      </c>
      <c r="Q658" s="23">
        <f>SUM($O$2:O658)</f>
        <v>16</v>
      </c>
      <c r="Y658" s="14"/>
      <c r="Z658" s="13"/>
      <c r="AA658"/>
    </row>
    <row r="659" spans="1:27" x14ac:dyDescent="0.2">
      <c r="A659" s="12" t="s">
        <v>2131</v>
      </c>
      <c r="B659" t="s">
        <v>2132</v>
      </c>
      <c r="C659" t="s">
        <v>1355</v>
      </c>
      <c r="D659" t="s">
        <v>1356</v>
      </c>
      <c r="E659" t="s">
        <v>13</v>
      </c>
      <c r="F659">
        <v>64</v>
      </c>
      <c r="G659">
        <v>34</v>
      </c>
      <c r="H659" s="5" t="s">
        <v>382</v>
      </c>
      <c r="I659" s="5">
        <v>0</v>
      </c>
      <c r="J659" s="5">
        <v>0</v>
      </c>
      <c r="K659" t="s">
        <v>9231</v>
      </c>
      <c r="L659" cm="1">
        <f t="array" ref="L659">wordCount(K659)</f>
        <v>3</v>
      </c>
      <c r="M659">
        <f t="shared" si="20"/>
        <v>17</v>
      </c>
      <c r="N659">
        <v>0.6</v>
      </c>
      <c r="O659" s="23" cm="1">
        <f t="array" ref="O659">WordListCount(K659,keywords!$A$2:$A$31)-WordListCount(K659,keywords!$B$2:$B$31)</f>
        <v>0</v>
      </c>
      <c r="P659" s="25">
        <f t="shared" si="21"/>
        <v>0.58543981481481489</v>
      </c>
      <c r="Q659" s="23">
        <f>SUM($O$2:O659)</f>
        <v>16</v>
      </c>
      <c r="Y659" s="14"/>
      <c r="Z659" s="13"/>
      <c r="AA659"/>
    </row>
    <row r="660" spans="1:27" x14ac:dyDescent="0.2">
      <c r="A660" s="12" t="s">
        <v>2133</v>
      </c>
      <c r="B660" t="s">
        <v>2134</v>
      </c>
      <c r="C660" t="s">
        <v>511</v>
      </c>
      <c r="D660" t="s">
        <v>512</v>
      </c>
      <c r="E660" t="s">
        <v>13</v>
      </c>
      <c r="F660">
        <v>1899</v>
      </c>
      <c r="G660">
        <v>540</v>
      </c>
      <c r="H660" s="5" t="s">
        <v>22</v>
      </c>
      <c r="I660" s="5">
        <v>0</v>
      </c>
      <c r="J660" s="5">
        <v>0</v>
      </c>
      <c r="K660" t="s">
        <v>10310</v>
      </c>
      <c r="L660" cm="1">
        <f t="array" ref="L660">wordCount(K660)</f>
        <v>8</v>
      </c>
      <c r="M660">
        <f t="shared" si="20"/>
        <v>41</v>
      </c>
      <c r="N660">
        <v>0.875</v>
      </c>
      <c r="O660" s="23" cm="1">
        <f t="array" ref="O660">WordListCount(K660,keywords!$A$2:$A$31)-WordListCount(K660,keywords!$B$2:$B$31)</f>
        <v>0</v>
      </c>
      <c r="P660" s="25">
        <f t="shared" si="21"/>
        <v>0.58546296296296296</v>
      </c>
      <c r="Q660" s="23">
        <f>SUM($O$2:O660)</f>
        <v>16</v>
      </c>
      <c r="Y660" s="14"/>
      <c r="Z660" s="13"/>
      <c r="AA660"/>
    </row>
    <row r="661" spans="1:27" x14ac:dyDescent="0.2">
      <c r="A661" s="12" t="s">
        <v>2135</v>
      </c>
      <c r="B661" t="s">
        <v>1298</v>
      </c>
      <c r="C661" t="s">
        <v>2136</v>
      </c>
      <c r="D661" t="s">
        <v>2137</v>
      </c>
      <c r="E661" t="s">
        <v>13</v>
      </c>
      <c r="F661">
        <v>1461</v>
      </c>
      <c r="G661">
        <v>3604</v>
      </c>
      <c r="H661" s="5" t="s">
        <v>22</v>
      </c>
      <c r="I661" s="5">
        <v>0</v>
      </c>
      <c r="J661" s="5">
        <v>0</v>
      </c>
      <c r="K661" t="s">
        <v>9133</v>
      </c>
      <c r="L661" cm="1">
        <f t="array" ref="L661">wordCount(K661)</f>
        <v>6</v>
      </c>
      <c r="M661">
        <f t="shared" si="20"/>
        <v>36</v>
      </c>
      <c r="N661">
        <v>0.8571428571428571</v>
      </c>
      <c r="O661" s="23" cm="1">
        <f t="array" ref="O661">WordListCount(K661,keywords!$A$2:$A$31)-WordListCount(K661,keywords!$B$2:$B$31)</f>
        <v>0</v>
      </c>
      <c r="P661" s="25">
        <f t="shared" si="21"/>
        <v>0.58550925925925923</v>
      </c>
      <c r="Q661" s="23">
        <f>SUM($O$2:O661)</f>
        <v>16</v>
      </c>
      <c r="Y661" s="14"/>
      <c r="Z661" s="13"/>
      <c r="AA661"/>
    </row>
    <row r="662" spans="1:27" x14ac:dyDescent="0.2">
      <c r="A662" s="12" t="s">
        <v>2138</v>
      </c>
      <c r="B662" t="s">
        <v>2139</v>
      </c>
      <c r="C662" t="s">
        <v>713</v>
      </c>
      <c r="D662" t="s">
        <v>714</v>
      </c>
      <c r="E662" t="s">
        <v>13</v>
      </c>
      <c r="F662">
        <v>4758</v>
      </c>
      <c r="G662">
        <v>3442</v>
      </c>
      <c r="H662" s="5" t="s">
        <v>22</v>
      </c>
      <c r="I662" s="5">
        <v>0</v>
      </c>
      <c r="J662" s="5">
        <v>0</v>
      </c>
      <c r="K662" t="s">
        <v>9224</v>
      </c>
      <c r="L662" cm="1">
        <f t="array" ref="L662">wordCount(K662)</f>
        <v>6</v>
      </c>
      <c r="M662">
        <f t="shared" si="20"/>
        <v>36</v>
      </c>
      <c r="N662">
        <v>0.8571428571428571</v>
      </c>
      <c r="O662" s="23" cm="1">
        <f t="array" ref="O662">WordListCount(K662,keywords!$A$2:$A$31)-WordListCount(K662,keywords!$B$2:$B$31)</f>
        <v>0</v>
      </c>
      <c r="P662" s="25">
        <f t="shared" si="21"/>
        <v>0.58557870370370368</v>
      </c>
      <c r="Q662" s="23">
        <f>SUM($O$2:O662)</f>
        <v>16</v>
      </c>
      <c r="Y662" s="14"/>
      <c r="Z662" s="13"/>
      <c r="AA662"/>
    </row>
    <row r="663" spans="1:27" x14ac:dyDescent="0.2">
      <c r="A663" s="12" t="s">
        <v>2140</v>
      </c>
      <c r="B663" t="s">
        <v>2141</v>
      </c>
      <c r="C663" t="s">
        <v>2142</v>
      </c>
      <c r="D663" t="s">
        <v>2143</v>
      </c>
      <c r="E663" t="s">
        <v>13</v>
      </c>
      <c r="F663">
        <v>30874</v>
      </c>
      <c r="G663">
        <v>5408</v>
      </c>
      <c r="H663" s="5" t="s">
        <v>22</v>
      </c>
      <c r="I663" s="5">
        <v>0</v>
      </c>
      <c r="J663" s="5">
        <v>0</v>
      </c>
      <c r="K663" t="s">
        <v>10311</v>
      </c>
      <c r="L663" cm="1">
        <f t="array" ref="L663">wordCount(K663)</f>
        <v>9</v>
      </c>
      <c r="M663">
        <f t="shared" si="20"/>
        <v>54</v>
      </c>
      <c r="N663">
        <v>0.5</v>
      </c>
      <c r="O663" s="23" cm="1">
        <f t="array" ref="O663">WordListCount(K663,keywords!$A$2:$A$31)-WordListCount(K663,keywords!$B$2:$B$31)</f>
        <v>0</v>
      </c>
      <c r="P663" s="25">
        <f t="shared" si="21"/>
        <v>0.58559027777777783</v>
      </c>
      <c r="Q663" s="23">
        <f>SUM($O$2:O663)</f>
        <v>16</v>
      </c>
      <c r="Y663" s="14"/>
      <c r="Z663" s="13"/>
      <c r="AA663"/>
    </row>
    <row r="664" spans="1:27" x14ac:dyDescent="0.2">
      <c r="A664" s="12" t="s">
        <v>2144</v>
      </c>
      <c r="B664" t="s">
        <v>2145</v>
      </c>
      <c r="C664" t="s">
        <v>657</v>
      </c>
      <c r="D664" t="s">
        <v>658</v>
      </c>
      <c r="E664" t="s">
        <v>13</v>
      </c>
      <c r="F664">
        <v>3564</v>
      </c>
      <c r="G664">
        <v>88</v>
      </c>
      <c r="H664" s="5" t="s">
        <v>22</v>
      </c>
      <c r="I664" s="5">
        <v>0</v>
      </c>
      <c r="J664" s="5">
        <v>0</v>
      </c>
      <c r="K664" t="s">
        <v>9232</v>
      </c>
      <c r="L664" cm="1">
        <f t="array" ref="L664">wordCount(K664)</f>
        <v>7</v>
      </c>
      <c r="M664">
        <f t="shared" si="20"/>
        <v>37</v>
      </c>
      <c r="N664">
        <v>1</v>
      </c>
      <c r="O664" s="23" cm="1">
        <f t="array" ref="O664">WordListCount(K664,keywords!$A$2:$A$31)-WordListCount(K664,keywords!$B$2:$B$31)</f>
        <v>0</v>
      </c>
      <c r="P664" s="25">
        <f t="shared" si="21"/>
        <v>0.58561342592592591</v>
      </c>
      <c r="Q664" s="23">
        <f>SUM($O$2:O664)</f>
        <v>16</v>
      </c>
      <c r="Y664" s="14"/>
      <c r="Z664" s="13"/>
      <c r="AA664"/>
    </row>
    <row r="665" spans="1:27" x14ac:dyDescent="0.2">
      <c r="A665" s="12" t="s">
        <v>2146</v>
      </c>
      <c r="B665" t="s">
        <v>2147</v>
      </c>
      <c r="C665" t="s">
        <v>2148</v>
      </c>
      <c r="D665" t="s">
        <v>2149</v>
      </c>
      <c r="E665" t="s">
        <v>13</v>
      </c>
      <c r="F665">
        <v>492</v>
      </c>
      <c r="G665">
        <v>584</v>
      </c>
      <c r="H665" s="5" t="s">
        <v>125</v>
      </c>
      <c r="I665" s="5">
        <v>0</v>
      </c>
      <c r="J665" s="5">
        <v>0</v>
      </c>
      <c r="K665" t="s">
        <v>10312</v>
      </c>
      <c r="L665" cm="1">
        <f t="array" ref="L665">wordCount(K665)</f>
        <v>14</v>
      </c>
      <c r="M665">
        <f t="shared" si="20"/>
        <v>38</v>
      </c>
      <c r="N665">
        <v>0.45454545454545453</v>
      </c>
      <c r="O665" s="23" cm="1">
        <f t="array" ref="O665">WordListCount(K665,keywords!$A$2:$A$31)-WordListCount(K665,keywords!$B$2:$B$31)</f>
        <v>0</v>
      </c>
      <c r="P665" s="25">
        <f t="shared" si="21"/>
        <v>0.58568287037037037</v>
      </c>
      <c r="Q665" s="23">
        <f>SUM($O$2:O665)</f>
        <v>16</v>
      </c>
      <c r="Y665" s="14"/>
      <c r="Z665" s="13"/>
      <c r="AA665"/>
    </row>
    <row r="666" spans="1:27" x14ac:dyDescent="0.2">
      <c r="A666" s="12" t="s">
        <v>2150</v>
      </c>
      <c r="B666" t="s">
        <v>2151</v>
      </c>
      <c r="C666" t="s">
        <v>2152</v>
      </c>
      <c r="D666" t="s">
        <v>2153</v>
      </c>
      <c r="E666" t="s">
        <v>13</v>
      </c>
      <c r="F666">
        <v>85</v>
      </c>
      <c r="G666">
        <v>229</v>
      </c>
      <c r="H666" s="5" t="s">
        <v>677</v>
      </c>
      <c r="I666" s="5">
        <v>0</v>
      </c>
      <c r="J666" s="5">
        <v>0</v>
      </c>
      <c r="K666" t="s">
        <v>9233</v>
      </c>
      <c r="L666" cm="1">
        <f t="array" ref="L666">wordCount(K666)</f>
        <v>6</v>
      </c>
      <c r="M666">
        <f t="shared" si="20"/>
        <v>30</v>
      </c>
      <c r="N666">
        <v>0.76470588235294112</v>
      </c>
      <c r="O666" s="23" cm="1">
        <f t="array" ref="O666">WordListCount(K666,keywords!$A$2:$A$31)-WordListCount(K666,keywords!$B$2:$B$31)</f>
        <v>0</v>
      </c>
      <c r="P666" s="25">
        <f t="shared" si="21"/>
        <v>0.58597222222222223</v>
      </c>
      <c r="Q666" s="23">
        <f>SUM($O$2:O666)</f>
        <v>16</v>
      </c>
      <c r="Y666" s="14"/>
      <c r="Z666" s="13"/>
      <c r="AA666"/>
    </row>
    <row r="667" spans="1:27" x14ac:dyDescent="0.2">
      <c r="A667" s="12" t="s">
        <v>2154</v>
      </c>
      <c r="B667" t="s">
        <v>2155</v>
      </c>
      <c r="C667" t="s">
        <v>2156</v>
      </c>
      <c r="D667" t="s">
        <v>12</v>
      </c>
      <c r="E667" t="s">
        <v>13</v>
      </c>
      <c r="F667">
        <v>65</v>
      </c>
      <c r="G667">
        <v>81</v>
      </c>
      <c r="H667" s="5" t="s">
        <v>22</v>
      </c>
      <c r="I667" s="5">
        <v>0</v>
      </c>
      <c r="J667" s="5">
        <v>0</v>
      </c>
      <c r="K667" t="s">
        <v>10313</v>
      </c>
      <c r="L667" cm="1">
        <f t="array" ref="L667">wordCount(K667)</f>
        <v>15</v>
      </c>
      <c r="M667">
        <f t="shared" si="20"/>
        <v>73</v>
      </c>
      <c r="N667">
        <v>0.23529411764705882</v>
      </c>
      <c r="O667" s="23" cm="1">
        <f t="array" ref="O667">WordListCount(K667,keywords!$A$2:$A$31)-WordListCount(K667,keywords!$B$2:$B$31)</f>
        <v>0</v>
      </c>
      <c r="P667" s="25">
        <f t="shared" si="21"/>
        <v>0.58611111111111114</v>
      </c>
      <c r="Q667" s="23">
        <f>SUM($O$2:O667)</f>
        <v>16</v>
      </c>
      <c r="Y667" s="14"/>
      <c r="Z667" s="13"/>
      <c r="AA667"/>
    </row>
    <row r="668" spans="1:27" x14ac:dyDescent="0.2">
      <c r="A668" s="12" t="s">
        <v>2157</v>
      </c>
      <c r="B668" t="s">
        <v>2158</v>
      </c>
      <c r="C668" t="s">
        <v>2159</v>
      </c>
      <c r="D668" t="s">
        <v>2160</v>
      </c>
      <c r="E668" t="s">
        <v>13</v>
      </c>
      <c r="F668">
        <v>70</v>
      </c>
      <c r="G668">
        <v>249</v>
      </c>
      <c r="H668" s="5" t="s">
        <v>22</v>
      </c>
      <c r="I668" s="5">
        <v>0</v>
      </c>
      <c r="J668" s="5">
        <v>0</v>
      </c>
      <c r="K668" t="s">
        <v>10314</v>
      </c>
      <c r="L668" cm="1">
        <f t="array" ref="L668">wordCount(K668)</f>
        <v>21</v>
      </c>
      <c r="M668">
        <f t="shared" si="20"/>
        <v>90</v>
      </c>
      <c r="N668">
        <v>0.48</v>
      </c>
      <c r="O668" s="23" cm="1">
        <f t="array" ref="O668">WordListCount(K668,keywords!$A$2:$A$31)-WordListCount(K668,keywords!$B$2:$B$31)</f>
        <v>0</v>
      </c>
      <c r="P668" s="25">
        <f t="shared" si="21"/>
        <v>0.58620370370370367</v>
      </c>
      <c r="Q668" s="23">
        <f>SUM($O$2:O668)</f>
        <v>16</v>
      </c>
      <c r="Y668" s="14"/>
      <c r="Z668" s="13"/>
      <c r="AA668"/>
    </row>
    <row r="669" spans="1:27" x14ac:dyDescent="0.2">
      <c r="A669" s="12" t="s">
        <v>2161</v>
      </c>
      <c r="B669" t="s">
        <v>2162</v>
      </c>
      <c r="C669" t="s">
        <v>2163</v>
      </c>
      <c r="D669" t="s">
        <v>12</v>
      </c>
      <c r="E669" t="s">
        <v>13</v>
      </c>
      <c r="F669">
        <v>30</v>
      </c>
      <c r="G669">
        <v>11</v>
      </c>
      <c r="H669" s="5" t="s">
        <v>22</v>
      </c>
      <c r="I669" s="5">
        <v>0</v>
      </c>
      <c r="J669" s="5">
        <v>0</v>
      </c>
      <c r="K669" t="s">
        <v>10315</v>
      </c>
      <c r="L669" cm="1">
        <f t="array" ref="L669">wordCount(K669)</f>
        <v>9</v>
      </c>
      <c r="M669">
        <f t="shared" si="20"/>
        <v>40</v>
      </c>
      <c r="N669">
        <v>0.65</v>
      </c>
      <c r="O669" s="23" cm="1">
        <f t="array" ref="O669">WordListCount(K669,keywords!$A$2:$A$31)-WordListCount(K669,keywords!$B$2:$B$31)</f>
        <v>0</v>
      </c>
      <c r="P669" s="25">
        <f t="shared" si="21"/>
        <v>0.58630787037037035</v>
      </c>
      <c r="Q669" s="23">
        <f>SUM($O$2:O669)</f>
        <v>16</v>
      </c>
      <c r="Y669" s="14"/>
      <c r="Z669" s="13"/>
      <c r="AA669"/>
    </row>
    <row r="670" spans="1:27" x14ac:dyDescent="0.2">
      <c r="A670" s="12" t="s">
        <v>2164</v>
      </c>
      <c r="B670" t="s">
        <v>2165</v>
      </c>
      <c r="C670" t="s">
        <v>2166</v>
      </c>
      <c r="D670" t="s">
        <v>12</v>
      </c>
      <c r="E670" t="s">
        <v>13</v>
      </c>
      <c r="F670">
        <v>357</v>
      </c>
      <c r="G670">
        <v>494</v>
      </c>
      <c r="H670" s="5" t="s">
        <v>22</v>
      </c>
      <c r="I670" s="5">
        <v>0</v>
      </c>
      <c r="J670" s="5">
        <v>0</v>
      </c>
      <c r="K670" t="s">
        <v>10316</v>
      </c>
      <c r="L670" cm="1">
        <f t="array" ref="L670">wordCount(K670)</f>
        <v>21</v>
      </c>
      <c r="M670">
        <f t="shared" si="20"/>
        <v>108</v>
      </c>
      <c r="N670">
        <v>0.51515151515151514</v>
      </c>
      <c r="O670" s="23" cm="1">
        <f t="array" ref="O670">WordListCount(K670,keywords!$A$2:$A$31)-WordListCount(K670,keywords!$B$2:$B$31)</f>
        <v>1</v>
      </c>
      <c r="P670" s="25">
        <f t="shared" si="21"/>
        <v>0.58688657407407407</v>
      </c>
      <c r="Q670" s="23">
        <f>SUM($O$2:O670)</f>
        <v>17</v>
      </c>
      <c r="Y670" s="14"/>
      <c r="Z670" s="13"/>
      <c r="AA670"/>
    </row>
    <row r="671" spans="1:27" x14ac:dyDescent="0.2">
      <c r="A671" s="12" t="s">
        <v>2167</v>
      </c>
      <c r="B671" t="s">
        <v>2168</v>
      </c>
      <c r="C671" t="s">
        <v>1652</v>
      </c>
      <c r="D671" t="s">
        <v>1653</v>
      </c>
      <c r="E671" t="s">
        <v>13</v>
      </c>
      <c r="F671">
        <v>25</v>
      </c>
      <c r="G671">
        <v>43</v>
      </c>
      <c r="H671" s="5" t="s">
        <v>22</v>
      </c>
      <c r="I671" s="5">
        <v>0</v>
      </c>
      <c r="J671" s="5">
        <v>0</v>
      </c>
      <c r="K671" t="s">
        <v>9234</v>
      </c>
      <c r="L671" cm="1">
        <f t="array" ref="L671">wordCount(K671)</f>
        <v>2</v>
      </c>
      <c r="M671">
        <f t="shared" si="20"/>
        <v>11</v>
      </c>
      <c r="N671">
        <v>0.75</v>
      </c>
      <c r="O671" s="23" cm="1">
        <f t="array" ref="O671">WordListCount(K671,keywords!$A$2:$A$31)-WordListCount(K671,keywords!$B$2:$B$31)</f>
        <v>0</v>
      </c>
      <c r="P671" s="25">
        <f t="shared" si="21"/>
        <v>0.5870023148148148</v>
      </c>
      <c r="Q671" s="23">
        <f>SUM($O$2:O671)</f>
        <v>17</v>
      </c>
      <c r="Y671" s="14"/>
      <c r="Z671" s="13"/>
      <c r="AA671"/>
    </row>
    <row r="672" spans="1:27" x14ac:dyDescent="0.2">
      <c r="A672" s="12" t="s">
        <v>2169</v>
      </c>
      <c r="B672" t="s">
        <v>2170</v>
      </c>
      <c r="C672" t="s">
        <v>2171</v>
      </c>
      <c r="D672" t="s">
        <v>2172</v>
      </c>
      <c r="E672" t="s">
        <v>47</v>
      </c>
      <c r="F672">
        <v>32161</v>
      </c>
      <c r="G672">
        <v>1573</v>
      </c>
      <c r="H672" s="5" t="s">
        <v>22</v>
      </c>
      <c r="I672" s="5">
        <v>0</v>
      </c>
      <c r="J672" s="5">
        <v>0</v>
      </c>
      <c r="K672" t="s">
        <v>10317</v>
      </c>
      <c r="L672" cm="1">
        <f t="array" ref="L672">wordCount(K672)</f>
        <v>11</v>
      </c>
      <c r="M672">
        <f t="shared" si="20"/>
        <v>50</v>
      </c>
      <c r="N672">
        <v>0.42857142857142855</v>
      </c>
      <c r="O672" s="23" cm="1">
        <f t="array" ref="O672">WordListCount(K672,keywords!$A$2:$A$31)-WordListCount(K672,keywords!$B$2:$B$31)</f>
        <v>0</v>
      </c>
      <c r="P672" s="25">
        <f t="shared" si="21"/>
        <v>0.58703703703703702</v>
      </c>
      <c r="Q672" s="23">
        <f>SUM($O$2:O672)</f>
        <v>17</v>
      </c>
      <c r="Y672" s="14"/>
      <c r="Z672" s="13"/>
      <c r="AA672"/>
    </row>
    <row r="673" spans="1:27" x14ac:dyDescent="0.2">
      <c r="A673" s="12" t="s">
        <v>2173</v>
      </c>
      <c r="B673" t="s">
        <v>2174</v>
      </c>
      <c r="C673" t="s">
        <v>2175</v>
      </c>
      <c r="D673" t="s">
        <v>12</v>
      </c>
      <c r="E673" t="s">
        <v>13</v>
      </c>
      <c r="F673">
        <v>4296</v>
      </c>
      <c r="G673">
        <v>210</v>
      </c>
      <c r="H673" s="5" t="s">
        <v>22</v>
      </c>
      <c r="I673" s="5">
        <v>0</v>
      </c>
      <c r="J673" s="5">
        <v>0</v>
      </c>
      <c r="K673" t="s">
        <v>10318</v>
      </c>
      <c r="L673" cm="1">
        <f t="array" ref="L673">wordCount(K673)</f>
        <v>21</v>
      </c>
      <c r="M673">
        <f t="shared" si="20"/>
        <v>108</v>
      </c>
      <c r="N673">
        <v>0.48</v>
      </c>
      <c r="O673" s="23" cm="1">
        <f t="array" ref="O673">WordListCount(K673,keywords!$A$2:$A$31)-WordListCount(K673,keywords!$B$2:$B$31)</f>
        <v>1</v>
      </c>
      <c r="P673" s="25">
        <f t="shared" si="21"/>
        <v>0.58718749999999997</v>
      </c>
      <c r="Q673" s="23">
        <f>SUM($O$2:O673)</f>
        <v>18</v>
      </c>
      <c r="Y673" s="14"/>
      <c r="Z673" s="13"/>
      <c r="AA673"/>
    </row>
    <row r="674" spans="1:27" x14ac:dyDescent="0.2">
      <c r="A674" s="12" t="s">
        <v>2176</v>
      </c>
      <c r="B674" t="s">
        <v>2177</v>
      </c>
      <c r="C674" t="s">
        <v>2178</v>
      </c>
      <c r="D674" t="s">
        <v>2179</v>
      </c>
      <c r="E674" t="s">
        <v>13</v>
      </c>
      <c r="F674">
        <v>1321</v>
      </c>
      <c r="G674">
        <v>1091</v>
      </c>
      <c r="H674" s="5" t="s">
        <v>22</v>
      </c>
      <c r="I674" s="5">
        <v>0</v>
      </c>
      <c r="J674" s="5">
        <v>0</v>
      </c>
      <c r="K674" t="s">
        <v>9235</v>
      </c>
      <c r="L674" cm="1">
        <f t="array" ref="L674">wordCount(K674)</f>
        <v>6</v>
      </c>
      <c r="M674">
        <f t="shared" si="20"/>
        <v>39</v>
      </c>
      <c r="N674">
        <v>0.75</v>
      </c>
      <c r="O674" s="23" cm="1">
        <f t="array" ref="O674">WordListCount(K674,keywords!$A$2:$A$31)-WordListCount(K674,keywords!$B$2:$B$31)</f>
        <v>1</v>
      </c>
      <c r="P674" s="25">
        <f t="shared" si="21"/>
        <v>0.58724537037037039</v>
      </c>
      <c r="Q674" s="23">
        <f>SUM($O$2:O674)</f>
        <v>19</v>
      </c>
      <c r="Y674" s="14"/>
      <c r="Z674" s="13"/>
      <c r="AA674"/>
    </row>
    <row r="675" spans="1:27" x14ac:dyDescent="0.2">
      <c r="A675" s="12" t="s">
        <v>2180</v>
      </c>
      <c r="B675" t="s">
        <v>2181</v>
      </c>
      <c r="C675" t="s">
        <v>440</v>
      </c>
      <c r="D675" t="s">
        <v>441</v>
      </c>
      <c r="E675" t="s">
        <v>13</v>
      </c>
      <c r="F675">
        <v>2717</v>
      </c>
      <c r="G675">
        <v>1822</v>
      </c>
      <c r="H675" s="5" t="s">
        <v>22</v>
      </c>
      <c r="I675" s="5">
        <v>0</v>
      </c>
      <c r="J675" s="5">
        <v>0</v>
      </c>
      <c r="K675" t="s">
        <v>10319</v>
      </c>
      <c r="L675" cm="1">
        <f t="array" ref="L675">wordCount(K675)</f>
        <v>14</v>
      </c>
      <c r="M675">
        <f t="shared" si="20"/>
        <v>101</v>
      </c>
      <c r="N675">
        <v>0.8571428571428571</v>
      </c>
      <c r="O675" s="23" cm="1">
        <f t="array" ref="O675">WordListCount(K675,keywords!$A$2:$A$31)-WordListCount(K675,keywords!$B$2:$B$31)</f>
        <v>0</v>
      </c>
      <c r="P675" s="25">
        <f t="shared" si="21"/>
        <v>0.5873032407407407</v>
      </c>
      <c r="Q675" s="23">
        <f>SUM($O$2:O675)</f>
        <v>19</v>
      </c>
      <c r="Y675" s="14"/>
      <c r="Z675" s="13"/>
      <c r="AA675"/>
    </row>
    <row r="676" spans="1:27" x14ac:dyDescent="0.2">
      <c r="A676" s="12" t="s">
        <v>2182</v>
      </c>
      <c r="B676" t="s">
        <v>2183</v>
      </c>
      <c r="C676" t="s">
        <v>2184</v>
      </c>
      <c r="D676" t="s">
        <v>2185</v>
      </c>
      <c r="E676" t="s">
        <v>13</v>
      </c>
      <c r="F676">
        <v>188</v>
      </c>
      <c r="G676">
        <v>541</v>
      </c>
      <c r="H676" s="5" t="s">
        <v>22</v>
      </c>
      <c r="I676" s="5">
        <v>0</v>
      </c>
      <c r="J676" s="5">
        <v>0</v>
      </c>
      <c r="K676" t="s">
        <v>10320</v>
      </c>
      <c r="L676" cm="1">
        <f t="array" ref="L676">wordCount(K676)</f>
        <v>14</v>
      </c>
      <c r="M676">
        <f t="shared" si="20"/>
        <v>79</v>
      </c>
      <c r="N676">
        <v>0.6333333333333333</v>
      </c>
      <c r="O676" s="23" cm="1">
        <f t="array" ref="O676">WordListCount(K676,keywords!$A$2:$A$31)-WordListCount(K676,keywords!$B$2:$B$31)</f>
        <v>0</v>
      </c>
      <c r="P676" s="25">
        <f t="shared" si="21"/>
        <v>0.58738425925925919</v>
      </c>
      <c r="Q676" s="23">
        <f>SUM($O$2:O676)</f>
        <v>19</v>
      </c>
      <c r="Y676" s="14"/>
      <c r="Z676" s="13"/>
      <c r="AA676"/>
    </row>
    <row r="677" spans="1:27" x14ac:dyDescent="0.2">
      <c r="A677" s="12" t="s">
        <v>2186</v>
      </c>
      <c r="B677" t="s">
        <v>2187</v>
      </c>
      <c r="C677" t="s">
        <v>2188</v>
      </c>
      <c r="D677" t="s">
        <v>12</v>
      </c>
      <c r="E677" t="s">
        <v>13</v>
      </c>
      <c r="F677">
        <v>1</v>
      </c>
      <c r="G677">
        <v>11</v>
      </c>
      <c r="H677" s="5" t="s">
        <v>22</v>
      </c>
      <c r="I677" s="5">
        <v>0</v>
      </c>
      <c r="J677" s="5">
        <v>0</v>
      </c>
      <c r="K677" t="s">
        <v>10321</v>
      </c>
      <c r="L677" cm="1">
        <f t="array" ref="L677">wordCount(K677)</f>
        <v>10</v>
      </c>
      <c r="M677">
        <f t="shared" si="20"/>
        <v>51</v>
      </c>
      <c r="N677">
        <v>0.5625</v>
      </c>
      <c r="O677" s="23" cm="1">
        <f t="array" ref="O677">WordListCount(K677,keywords!$A$2:$A$31)-WordListCount(K677,keywords!$B$2:$B$31)</f>
        <v>0</v>
      </c>
      <c r="P677" s="25">
        <f t="shared" si="21"/>
        <v>0.58741898148148153</v>
      </c>
      <c r="Q677" s="23">
        <f>SUM($O$2:O677)</f>
        <v>19</v>
      </c>
      <c r="Y677" s="14"/>
      <c r="Z677" s="13"/>
      <c r="AA677"/>
    </row>
    <row r="678" spans="1:27" x14ac:dyDescent="0.2">
      <c r="A678" s="12" t="s">
        <v>2189</v>
      </c>
      <c r="B678" t="s">
        <v>2190</v>
      </c>
      <c r="C678" t="s">
        <v>2191</v>
      </c>
      <c r="D678" t="s">
        <v>2192</v>
      </c>
      <c r="E678" t="s">
        <v>13</v>
      </c>
      <c r="F678">
        <v>1605</v>
      </c>
      <c r="G678">
        <v>288</v>
      </c>
      <c r="H678" s="5" t="s">
        <v>22</v>
      </c>
      <c r="I678" s="5">
        <v>0</v>
      </c>
      <c r="J678" s="5">
        <v>0</v>
      </c>
      <c r="K678" t="s">
        <v>10322</v>
      </c>
      <c r="L678" cm="1">
        <f t="array" ref="L678">wordCount(K678)</f>
        <v>6</v>
      </c>
      <c r="M678">
        <f t="shared" si="20"/>
        <v>33</v>
      </c>
      <c r="N678">
        <v>0.6</v>
      </c>
      <c r="O678" s="23" cm="1">
        <f t="array" ref="O678">WordListCount(K678,keywords!$A$2:$A$31)-WordListCount(K678,keywords!$B$2:$B$31)</f>
        <v>0</v>
      </c>
      <c r="P678" s="25">
        <f t="shared" si="21"/>
        <v>0.5876851851851852</v>
      </c>
      <c r="Q678" s="23">
        <f>SUM($O$2:O678)</f>
        <v>19</v>
      </c>
      <c r="Y678" s="14"/>
      <c r="Z678" s="13"/>
      <c r="AA678"/>
    </row>
    <row r="679" spans="1:27" x14ac:dyDescent="0.2">
      <c r="A679" s="12" t="s">
        <v>2193</v>
      </c>
      <c r="B679" t="s">
        <v>2194</v>
      </c>
      <c r="C679" t="s">
        <v>2195</v>
      </c>
      <c r="D679" t="s">
        <v>12</v>
      </c>
      <c r="E679" t="s">
        <v>13</v>
      </c>
      <c r="F679">
        <v>48</v>
      </c>
      <c r="G679">
        <v>246</v>
      </c>
      <c r="H679" s="5" t="s">
        <v>22</v>
      </c>
      <c r="I679" s="5">
        <v>0</v>
      </c>
      <c r="J679" s="5">
        <v>0</v>
      </c>
      <c r="K679" t="s">
        <v>9236</v>
      </c>
      <c r="L679" cm="1">
        <f t="array" ref="L679">wordCount(K679)</f>
        <v>13</v>
      </c>
      <c r="M679">
        <f t="shared" si="20"/>
        <v>68</v>
      </c>
      <c r="N679">
        <v>0.67741935483870963</v>
      </c>
      <c r="O679" s="23" cm="1">
        <f t="array" ref="O679">WordListCount(K679,keywords!$A$2:$A$31)-WordListCount(K679,keywords!$B$2:$B$31)</f>
        <v>0</v>
      </c>
      <c r="P679" s="25">
        <f t="shared" si="21"/>
        <v>0.5877430555555555</v>
      </c>
      <c r="Q679" s="23">
        <f>SUM($O$2:O679)</f>
        <v>19</v>
      </c>
      <c r="Y679" s="14"/>
      <c r="Z679" s="13"/>
      <c r="AA679"/>
    </row>
    <row r="680" spans="1:27" x14ac:dyDescent="0.2">
      <c r="A680" s="12" t="s">
        <v>2196</v>
      </c>
      <c r="B680" t="s">
        <v>2197</v>
      </c>
      <c r="C680" t="s">
        <v>2198</v>
      </c>
      <c r="D680" t="s">
        <v>2199</v>
      </c>
      <c r="E680" t="s">
        <v>13</v>
      </c>
      <c r="F680">
        <v>1003</v>
      </c>
      <c r="G680">
        <v>147</v>
      </c>
      <c r="H680" s="5" t="s">
        <v>22</v>
      </c>
      <c r="I680" s="5">
        <v>0</v>
      </c>
      <c r="J680" s="5">
        <v>0</v>
      </c>
      <c r="K680" t="s">
        <v>10323</v>
      </c>
      <c r="L680" cm="1">
        <f t="array" ref="L680">wordCount(K680)</f>
        <v>9</v>
      </c>
      <c r="M680">
        <f t="shared" si="20"/>
        <v>40</v>
      </c>
      <c r="N680">
        <v>0.61111111111111116</v>
      </c>
      <c r="O680" s="23" cm="1">
        <f t="array" ref="O680">WordListCount(K680,keywords!$A$2:$A$31)-WordListCount(K680,keywords!$B$2:$B$31)</f>
        <v>0</v>
      </c>
      <c r="P680" s="25">
        <f t="shared" si="21"/>
        <v>0.58778935185185188</v>
      </c>
      <c r="Q680" s="23">
        <f>SUM($O$2:O680)</f>
        <v>19</v>
      </c>
      <c r="Y680" s="14"/>
      <c r="Z680" s="13"/>
      <c r="AA680"/>
    </row>
    <row r="681" spans="1:27" x14ac:dyDescent="0.2">
      <c r="A681" s="12" t="s">
        <v>2200</v>
      </c>
      <c r="B681" t="s">
        <v>2201</v>
      </c>
      <c r="C681" t="s">
        <v>2202</v>
      </c>
      <c r="D681" t="s">
        <v>186</v>
      </c>
      <c r="E681" t="s">
        <v>13</v>
      </c>
      <c r="F681">
        <v>10</v>
      </c>
      <c r="G681">
        <v>2</v>
      </c>
      <c r="H681" s="5" t="s">
        <v>22</v>
      </c>
      <c r="I681" s="5">
        <v>0</v>
      </c>
      <c r="J681" s="5">
        <v>0</v>
      </c>
      <c r="K681" t="s">
        <v>10324</v>
      </c>
      <c r="L681" cm="1">
        <f t="array" ref="L681">wordCount(K681)</f>
        <v>13</v>
      </c>
      <c r="M681">
        <f t="shared" si="20"/>
        <v>56</v>
      </c>
      <c r="N681">
        <v>0.52631578947368418</v>
      </c>
      <c r="O681" s="23" cm="1">
        <f t="array" ref="O681">WordListCount(K681,keywords!$A$2:$A$31)-WordListCount(K681,keywords!$B$2:$B$31)</f>
        <v>1</v>
      </c>
      <c r="P681" s="25">
        <f t="shared" si="21"/>
        <v>0.5879050925925926</v>
      </c>
      <c r="Q681" s="23">
        <f>SUM($O$2:O681)</f>
        <v>20</v>
      </c>
      <c r="Y681" s="14"/>
      <c r="Z681" s="13"/>
      <c r="AA681"/>
    </row>
    <row r="682" spans="1:27" x14ac:dyDescent="0.2">
      <c r="A682" s="12" t="s">
        <v>2203</v>
      </c>
      <c r="B682" t="s">
        <v>2204</v>
      </c>
      <c r="C682" t="s">
        <v>2205</v>
      </c>
      <c r="D682" t="s">
        <v>1272</v>
      </c>
      <c r="E682" t="s">
        <v>13</v>
      </c>
      <c r="F682">
        <v>1314</v>
      </c>
      <c r="G682">
        <v>2612</v>
      </c>
      <c r="H682" s="5" t="s">
        <v>22</v>
      </c>
      <c r="I682" s="5">
        <v>0</v>
      </c>
      <c r="J682" s="5">
        <v>0</v>
      </c>
      <c r="K682" t="s">
        <v>10325</v>
      </c>
      <c r="L682" cm="1">
        <f t="array" ref="L682">wordCount(K682)</f>
        <v>21</v>
      </c>
      <c r="M682">
        <f t="shared" si="20"/>
        <v>100</v>
      </c>
      <c r="N682">
        <v>0.45454545454545453</v>
      </c>
      <c r="O682" s="23" cm="1">
        <f t="array" ref="O682">WordListCount(K682,keywords!$A$2:$A$31)-WordListCount(K682,keywords!$B$2:$B$31)</f>
        <v>-1</v>
      </c>
      <c r="P682" s="25">
        <f t="shared" si="21"/>
        <v>0.58795138888888887</v>
      </c>
      <c r="Q682" s="23">
        <f>SUM($O$2:O682)</f>
        <v>19</v>
      </c>
      <c r="Y682" s="14"/>
      <c r="Z682" s="13"/>
      <c r="AA682"/>
    </row>
    <row r="683" spans="1:27" x14ac:dyDescent="0.2">
      <c r="A683" s="12" t="s">
        <v>2206</v>
      </c>
      <c r="B683" t="s">
        <v>2207</v>
      </c>
      <c r="C683" t="s">
        <v>511</v>
      </c>
      <c r="D683" t="s">
        <v>512</v>
      </c>
      <c r="E683" t="s">
        <v>13</v>
      </c>
      <c r="F683">
        <v>1899</v>
      </c>
      <c r="G683">
        <v>540</v>
      </c>
      <c r="H683" s="5" t="s">
        <v>22</v>
      </c>
      <c r="I683" s="5">
        <v>0</v>
      </c>
      <c r="J683" s="5">
        <v>0</v>
      </c>
      <c r="K683" t="s">
        <v>10326</v>
      </c>
      <c r="L683" cm="1">
        <f t="array" ref="L683">wordCount(K683)</f>
        <v>8</v>
      </c>
      <c r="M683">
        <f t="shared" si="20"/>
        <v>42</v>
      </c>
      <c r="N683">
        <v>0.875</v>
      </c>
      <c r="O683" s="23" cm="1">
        <f t="array" ref="O683">WordListCount(K683,keywords!$A$2:$A$31)-WordListCount(K683,keywords!$B$2:$B$31)</f>
        <v>0</v>
      </c>
      <c r="P683" s="25">
        <f t="shared" si="21"/>
        <v>0.58824074074074073</v>
      </c>
      <c r="Q683" s="23">
        <f>SUM($O$2:O683)</f>
        <v>19</v>
      </c>
      <c r="Y683" s="14"/>
      <c r="Z683" s="13"/>
      <c r="AA683"/>
    </row>
    <row r="684" spans="1:27" x14ac:dyDescent="0.2">
      <c r="A684" s="12" t="s">
        <v>2208</v>
      </c>
      <c r="B684" t="s">
        <v>2209</v>
      </c>
      <c r="C684" t="s">
        <v>2210</v>
      </c>
      <c r="D684" t="s">
        <v>124</v>
      </c>
      <c r="E684" t="s">
        <v>13</v>
      </c>
      <c r="F684">
        <v>648</v>
      </c>
      <c r="G684">
        <v>45</v>
      </c>
      <c r="H684" s="5" t="s">
        <v>22</v>
      </c>
      <c r="I684" s="5">
        <v>0</v>
      </c>
      <c r="J684" s="5">
        <v>0</v>
      </c>
      <c r="K684" t="s">
        <v>9237</v>
      </c>
      <c r="L684" cm="1">
        <f t="array" ref="L684">wordCount(K684)</f>
        <v>3</v>
      </c>
      <c r="M684">
        <f t="shared" si="20"/>
        <v>19</v>
      </c>
      <c r="N684">
        <v>0.88888888888888884</v>
      </c>
      <c r="O684" s="23" cm="1">
        <f t="array" ref="O684">WordListCount(K684,keywords!$A$2:$A$31)-WordListCount(K684,keywords!$B$2:$B$31)</f>
        <v>0</v>
      </c>
      <c r="P684" s="25">
        <f t="shared" si="21"/>
        <v>0.58847222222222217</v>
      </c>
      <c r="Q684" s="23">
        <f>SUM($O$2:O684)</f>
        <v>19</v>
      </c>
      <c r="Y684" s="14"/>
      <c r="Z684" s="13"/>
      <c r="AA684"/>
    </row>
    <row r="685" spans="1:27" x14ac:dyDescent="0.2">
      <c r="A685" s="12" t="s">
        <v>2211</v>
      </c>
      <c r="B685" t="s">
        <v>2212</v>
      </c>
      <c r="C685" t="s">
        <v>2213</v>
      </c>
      <c r="D685" t="s">
        <v>1785</v>
      </c>
      <c r="E685" t="s">
        <v>13</v>
      </c>
      <c r="F685">
        <v>601</v>
      </c>
      <c r="G685">
        <v>23</v>
      </c>
      <c r="H685" s="5" t="s">
        <v>22</v>
      </c>
      <c r="I685" s="5">
        <v>0</v>
      </c>
      <c r="J685" s="5">
        <v>0</v>
      </c>
      <c r="K685" t="s">
        <v>10327</v>
      </c>
      <c r="L685" cm="1">
        <f t="array" ref="L685">wordCount(K685)</f>
        <v>16</v>
      </c>
      <c r="M685">
        <f t="shared" si="20"/>
        <v>79</v>
      </c>
      <c r="N685">
        <v>0.17647058823529413</v>
      </c>
      <c r="O685" s="23" cm="1">
        <f t="array" ref="O685">WordListCount(K685,keywords!$A$2:$A$31)-WordListCount(K685,keywords!$B$2:$B$31)</f>
        <v>1</v>
      </c>
      <c r="P685" s="25">
        <f t="shared" si="21"/>
        <v>0.58884259259259253</v>
      </c>
      <c r="Q685" s="23">
        <f>SUM($O$2:O685)</f>
        <v>20</v>
      </c>
      <c r="Y685" s="14"/>
      <c r="Z685" s="13"/>
      <c r="AA685"/>
    </row>
    <row r="686" spans="1:27" x14ac:dyDescent="0.2">
      <c r="A686" s="12" t="s">
        <v>2214</v>
      </c>
      <c r="B686" t="s">
        <v>2215</v>
      </c>
      <c r="C686" t="s">
        <v>459</v>
      </c>
      <c r="D686" t="s">
        <v>12</v>
      </c>
      <c r="E686" t="s">
        <v>13</v>
      </c>
      <c r="F686">
        <v>12</v>
      </c>
      <c r="G686">
        <v>1</v>
      </c>
      <c r="H686" s="5" t="s">
        <v>22</v>
      </c>
      <c r="I686" s="5">
        <v>0</v>
      </c>
      <c r="J686" s="5">
        <v>0</v>
      </c>
      <c r="K686" t="s">
        <v>9238</v>
      </c>
      <c r="L686" cm="1">
        <f t="array" ref="L686">wordCount(K686)</f>
        <v>15</v>
      </c>
      <c r="M686">
        <f t="shared" si="20"/>
        <v>103</v>
      </c>
      <c r="N686">
        <v>0.8125</v>
      </c>
      <c r="O686" s="23" cm="1">
        <f t="array" ref="O686">WordListCount(K686,keywords!$A$2:$A$31)-WordListCount(K686,keywords!$B$2:$B$31)</f>
        <v>0</v>
      </c>
      <c r="P686" s="25">
        <f t="shared" si="21"/>
        <v>0.58912037037037035</v>
      </c>
      <c r="Q686" s="23">
        <f>SUM($O$2:O686)</f>
        <v>20</v>
      </c>
      <c r="Y686" s="14"/>
      <c r="Z686" s="13"/>
      <c r="AA686"/>
    </row>
    <row r="687" spans="1:27" x14ac:dyDescent="0.2">
      <c r="A687" s="12" t="s">
        <v>2216</v>
      </c>
      <c r="B687" t="s">
        <v>2217</v>
      </c>
      <c r="C687" t="s">
        <v>2218</v>
      </c>
      <c r="D687" t="s">
        <v>12</v>
      </c>
      <c r="E687" t="s">
        <v>13</v>
      </c>
      <c r="F687">
        <v>27</v>
      </c>
      <c r="G687">
        <v>168</v>
      </c>
      <c r="H687" s="5" t="s">
        <v>1162</v>
      </c>
      <c r="I687" s="5">
        <v>0</v>
      </c>
      <c r="J687" s="5">
        <v>0</v>
      </c>
      <c r="K687" t="s">
        <v>9239</v>
      </c>
      <c r="L687" cm="1">
        <f t="array" ref="L687">wordCount(K687)</f>
        <v>3</v>
      </c>
      <c r="M687">
        <f t="shared" si="20"/>
        <v>20</v>
      </c>
      <c r="N687">
        <v>0.8571428571428571</v>
      </c>
      <c r="O687" s="23" cm="1">
        <f t="array" ref="O687">WordListCount(K687,keywords!$A$2:$A$31)-WordListCount(K687,keywords!$B$2:$B$31)</f>
        <v>0</v>
      </c>
      <c r="P687" s="25">
        <f t="shared" si="21"/>
        <v>0.58913194444444439</v>
      </c>
      <c r="Q687" s="23">
        <f>SUM($O$2:O687)</f>
        <v>20</v>
      </c>
      <c r="Y687" s="14"/>
      <c r="Z687" s="13"/>
      <c r="AA687"/>
    </row>
    <row r="688" spans="1:27" x14ac:dyDescent="0.2">
      <c r="A688" s="12" t="s">
        <v>2219</v>
      </c>
      <c r="B688" t="s">
        <v>2220</v>
      </c>
      <c r="C688" t="s">
        <v>2221</v>
      </c>
      <c r="D688" t="s">
        <v>112</v>
      </c>
      <c r="E688" t="s">
        <v>13</v>
      </c>
      <c r="F688">
        <v>4164</v>
      </c>
      <c r="G688">
        <v>1594</v>
      </c>
      <c r="H688" s="5" t="s">
        <v>22</v>
      </c>
      <c r="I688" s="5">
        <v>0</v>
      </c>
      <c r="J688" s="5">
        <v>0</v>
      </c>
      <c r="K688" t="s">
        <v>9240</v>
      </c>
      <c r="L688" cm="1">
        <f t="array" ref="L688">wordCount(K688)</f>
        <v>14</v>
      </c>
      <c r="M688">
        <f t="shared" si="20"/>
        <v>61</v>
      </c>
      <c r="N688">
        <v>0.5</v>
      </c>
      <c r="O688" s="23" cm="1">
        <f t="array" ref="O688">WordListCount(K688,keywords!$A$2:$A$31)-WordListCount(K688,keywords!$B$2:$B$31)</f>
        <v>0</v>
      </c>
      <c r="P688" s="25">
        <f t="shared" si="21"/>
        <v>0.58971064814814811</v>
      </c>
      <c r="Q688" s="23">
        <f>SUM($O$2:O688)</f>
        <v>20</v>
      </c>
      <c r="Y688" s="14"/>
      <c r="Z688" s="13"/>
      <c r="AA688"/>
    </row>
    <row r="689" spans="1:27" x14ac:dyDescent="0.2">
      <c r="A689" s="12" t="s">
        <v>2222</v>
      </c>
      <c r="B689" t="s">
        <v>2223</v>
      </c>
      <c r="C689" t="s">
        <v>2224</v>
      </c>
      <c r="D689" t="s">
        <v>12</v>
      </c>
      <c r="E689" t="s">
        <v>13</v>
      </c>
      <c r="F689">
        <v>15</v>
      </c>
      <c r="G689">
        <v>86</v>
      </c>
      <c r="H689" s="5" t="s">
        <v>22</v>
      </c>
      <c r="I689" s="5">
        <v>0</v>
      </c>
      <c r="J689" s="5">
        <v>0</v>
      </c>
      <c r="K689" t="s">
        <v>9241</v>
      </c>
      <c r="L689" cm="1">
        <f t="array" ref="L689">wordCount(K689)</f>
        <v>4</v>
      </c>
      <c r="M689">
        <f t="shared" si="20"/>
        <v>10</v>
      </c>
      <c r="N689">
        <v>0.75</v>
      </c>
      <c r="O689" s="23" cm="1">
        <f t="array" ref="O689">WordListCount(K689,keywords!$A$2:$A$31)-WordListCount(K689,keywords!$B$2:$B$31)</f>
        <v>0</v>
      </c>
      <c r="P689" s="25">
        <f t="shared" si="21"/>
        <v>0.5897337962962963</v>
      </c>
      <c r="Q689" s="23">
        <f>SUM($O$2:O689)</f>
        <v>20</v>
      </c>
      <c r="Y689" s="14"/>
      <c r="Z689" s="13"/>
      <c r="AA689"/>
    </row>
    <row r="690" spans="1:27" x14ac:dyDescent="0.2">
      <c r="A690" s="12" t="s">
        <v>2225</v>
      </c>
      <c r="B690" t="s">
        <v>2226</v>
      </c>
      <c r="C690" t="s">
        <v>2227</v>
      </c>
      <c r="D690" t="s">
        <v>12</v>
      </c>
      <c r="E690" t="s">
        <v>13</v>
      </c>
      <c r="F690">
        <v>13</v>
      </c>
      <c r="G690">
        <v>71</v>
      </c>
      <c r="H690" s="5" t="s">
        <v>22</v>
      </c>
      <c r="I690" s="5">
        <v>0</v>
      </c>
      <c r="J690" s="5">
        <v>0</v>
      </c>
      <c r="K690" t="s">
        <v>10328</v>
      </c>
      <c r="L690" cm="1">
        <f t="array" ref="L690">wordCount(K690)</f>
        <v>16</v>
      </c>
      <c r="M690">
        <f t="shared" si="20"/>
        <v>86</v>
      </c>
      <c r="N690">
        <v>0.53846153846153844</v>
      </c>
      <c r="O690" s="23" cm="1">
        <f t="array" ref="O690">WordListCount(K690,keywords!$A$2:$A$31)-WordListCount(K690,keywords!$B$2:$B$31)</f>
        <v>0</v>
      </c>
      <c r="P690" s="25">
        <f t="shared" si="21"/>
        <v>0.58990740740740744</v>
      </c>
      <c r="Q690" s="23">
        <f>SUM($O$2:O690)</f>
        <v>20</v>
      </c>
      <c r="Y690" s="14"/>
      <c r="Z690" s="13"/>
      <c r="AA690"/>
    </row>
    <row r="691" spans="1:27" x14ac:dyDescent="0.2">
      <c r="A691" s="12" t="s">
        <v>2228</v>
      </c>
      <c r="B691" t="s">
        <v>2229</v>
      </c>
      <c r="C691" t="s">
        <v>2230</v>
      </c>
      <c r="D691" t="s">
        <v>2231</v>
      </c>
      <c r="E691" t="s">
        <v>13</v>
      </c>
      <c r="F691">
        <v>387</v>
      </c>
      <c r="G691">
        <v>187</v>
      </c>
      <c r="H691" s="5" t="s">
        <v>22</v>
      </c>
      <c r="I691" s="5">
        <v>0</v>
      </c>
      <c r="J691" s="5">
        <v>0</v>
      </c>
      <c r="K691" t="s">
        <v>10329</v>
      </c>
      <c r="L691" cm="1">
        <f t="array" ref="L691">wordCount(K691)</f>
        <v>10</v>
      </c>
      <c r="M691">
        <f t="shared" si="20"/>
        <v>57</v>
      </c>
      <c r="N691">
        <v>0.46666666666666667</v>
      </c>
      <c r="O691" s="23" cm="1">
        <f t="array" ref="O691">WordListCount(K691,keywords!$A$2:$A$31)-WordListCount(K691,keywords!$B$2:$B$31)</f>
        <v>0</v>
      </c>
      <c r="P691" s="25">
        <f t="shared" si="21"/>
        <v>0.59004629629629635</v>
      </c>
      <c r="Q691" s="23">
        <f>SUM($O$2:O691)</f>
        <v>20</v>
      </c>
      <c r="Y691" s="14"/>
      <c r="Z691" s="13"/>
      <c r="AA691"/>
    </row>
    <row r="692" spans="1:27" x14ac:dyDescent="0.2">
      <c r="A692" s="12" t="s">
        <v>2232</v>
      </c>
      <c r="B692" t="s">
        <v>2233</v>
      </c>
      <c r="C692" t="s">
        <v>119</v>
      </c>
      <c r="D692" t="s">
        <v>120</v>
      </c>
      <c r="E692" t="s">
        <v>13</v>
      </c>
      <c r="F692">
        <v>16</v>
      </c>
      <c r="G692">
        <v>39</v>
      </c>
      <c r="H692" s="5" t="s">
        <v>22</v>
      </c>
      <c r="I692" s="5">
        <v>0</v>
      </c>
      <c r="J692" s="5">
        <v>0</v>
      </c>
      <c r="K692" t="s">
        <v>9914</v>
      </c>
      <c r="L692" cm="1">
        <f t="array" ref="L692">wordCount(K692)</f>
        <v>10</v>
      </c>
      <c r="M692">
        <f t="shared" si="20"/>
        <v>49</v>
      </c>
      <c r="N692">
        <v>0.9</v>
      </c>
      <c r="O692" s="23" cm="1">
        <f t="array" ref="O692">WordListCount(K692,keywords!$A$2:$A$31)-WordListCount(K692,keywords!$B$2:$B$31)</f>
        <v>0</v>
      </c>
      <c r="P692" s="25">
        <f t="shared" si="21"/>
        <v>0.59031250000000002</v>
      </c>
      <c r="Q692" s="23">
        <f>SUM($O$2:O692)</f>
        <v>20</v>
      </c>
      <c r="Y692" s="14"/>
      <c r="Z692" s="13"/>
      <c r="AA692"/>
    </row>
    <row r="693" spans="1:27" x14ac:dyDescent="0.2">
      <c r="A693" s="12" t="s">
        <v>2232</v>
      </c>
      <c r="B693" t="s">
        <v>2234</v>
      </c>
      <c r="C693" t="s">
        <v>2235</v>
      </c>
      <c r="D693" t="s">
        <v>12</v>
      </c>
      <c r="E693" t="s">
        <v>13</v>
      </c>
      <c r="F693">
        <v>2</v>
      </c>
      <c r="G693">
        <v>14</v>
      </c>
      <c r="H693" s="5" t="s">
        <v>22</v>
      </c>
      <c r="I693" s="5">
        <v>0</v>
      </c>
      <c r="J693" s="5">
        <v>0</v>
      </c>
      <c r="K693" t="s">
        <v>9242</v>
      </c>
      <c r="L693" cm="1">
        <f t="array" ref="L693">wordCount(K693)</f>
        <v>14</v>
      </c>
      <c r="M693">
        <f t="shared" si="20"/>
        <v>73</v>
      </c>
      <c r="N693">
        <v>0.61904761904761907</v>
      </c>
      <c r="O693" s="23" cm="1">
        <f t="array" ref="O693">WordListCount(K693,keywords!$A$2:$A$31)-WordListCount(K693,keywords!$B$2:$B$31)</f>
        <v>1</v>
      </c>
      <c r="P693" s="25">
        <f t="shared" si="21"/>
        <v>0.59031250000000002</v>
      </c>
      <c r="Q693" s="23">
        <f>SUM($O$2:O693)</f>
        <v>21</v>
      </c>
      <c r="Y693" s="14"/>
      <c r="Z693" s="13"/>
      <c r="AA693"/>
    </row>
    <row r="694" spans="1:27" x14ac:dyDescent="0.2">
      <c r="A694" s="33" t="s">
        <v>2236</v>
      </c>
      <c r="B694" s="34" t="s">
        <v>2237</v>
      </c>
      <c r="C694" s="34" t="s">
        <v>123</v>
      </c>
      <c r="D694" s="34" t="s">
        <v>124</v>
      </c>
      <c r="E694" s="34" t="s">
        <v>13</v>
      </c>
      <c r="F694" s="34">
        <v>839</v>
      </c>
      <c r="G694" s="34">
        <v>899</v>
      </c>
      <c r="H694" s="35" t="s">
        <v>125</v>
      </c>
      <c r="I694" s="35">
        <v>0</v>
      </c>
      <c r="J694" s="35">
        <v>0</v>
      </c>
      <c r="K694" s="34" t="s">
        <v>9243</v>
      </c>
      <c r="L694" s="34" cm="1">
        <f t="array" ref="L694">wordCount(K694)</f>
        <v>20</v>
      </c>
      <c r="M694" s="34">
        <f t="shared" si="20"/>
        <v>89</v>
      </c>
      <c r="N694" s="34">
        <v>0.8</v>
      </c>
      <c r="O694" s="36" cm="1">
        <f t="array" ref="O694">WordListCount(K694,keywords!$A$2:$A$31)-WordListCount(K694,keywords!$B$2:$B$31)</f>
        <v>0</v>
      </c>
      <c r="P694" s="37">
        <f t="shared" si="21"/>
        <v>0.59032407407407406</v>
      </c>
      <c r="Q694" s="23">
        <f>SUM($O$2:O694)</f>
        <v>21</v>
      </c>
    </row>
    <row r="695" spans="1:27" x14ac:dyDescent="0.2">
      <c r="A695" s="12" t="s">
        <v>2238</v>
      </c>
      <c r="B695" t="s">
        <v>2239</v>
      </c>
      <c r="C695" t="s">
        <v>119</v>
      </c>
      <c r="D695" t="s">
        <v>120</v>
      </c>
      <c r="E695" t="s">
        <v>13</v>
      </c>
      <c r="F695">
        <v>16</v>
      </c>
      <c r="G695">
        <v>39</v>
      </c>
      <c r="H695" s="5" t="s">
        <v>22</v>
      </c>
      <c r="I695" s="5">
        <v>0</v>
      </c>
      <c r="J695" s="5">
        <v>0</v>
      </c>
      <c r="K695" t="s">
        <v>9914</v>
      </c>
      <c r="L695" cm="1">
        <f t="array" ref="L695">wordCount(K695)</f>
        <v>10</v>
      </c>
      <c r="M695">
        <f t="shared" si="20"/>
        <v>49</v>
      </c>
      <c r="N695">
        <v>0.9</v>
      </c>
      <c r="O695" s="23" cm="1">
        <f t="array" ref="O695">WordListCount(K695,keywords!$A$2:$A$31)-WordListCount(K695,keywords!$B$2:$B$31)</f>
        <v>0</v>
      </c>
      <c r="P695" s="25">
        <f t="shared" si="21"/>
        <v>0.59033564814814821</v>
      </c>
      <c r="Q695" s="23">
        <f>SUM($O$2:O695)</f>
        <v>21</v>
      </c>
      <c r="Y695" s="14"/>
      <c r="Z695" s="13"/>
      <c r="AA695"/>
    </row>
    <row r="696" spans="1:27" x14ac:dyDescent="0.2">
      <c r="A696" s="12" t="s">
        <v>2240</v>
      </c>
      <c r="B696" t="s">
        <v>2241</v>
      </c>
      <c r="C696" t="s">
        <v>840</v>
      </c>
      <c r="D696" t="s">
        <v>108</v>
      </c>
      <c r="E696" t="s">
        <v>13</v>
      </c>
      <c r="F696">
        <v>289</v>
      </c>
      <c r="G696">
        <v>881</v>
      </c>
      <c r="H696" s="5" t="s">
        <v>22</v>
      </c>
      <c r="I696" s="5">
        <v>0</v>
      </c>
      <c r="J696" s="5">
        <v>0</v>
      </c>
      <c r="K696" t="s">
        <v>10330</v>
      </c>
      <c r="L696" cm="1">
        <f t="array" ref="L696">wordCount(K696)</f>
        <v>16</v>
      </c>
      <c r="M696">
        <f t="shared" si="20"/>
        <v>75</v>
      </c>
      <c r="N696">
        <v>0.45454545454545453</v>
      </c>
      <c r="O696" s="23" cm="1">
        <f t="array" ref="O696">WordListCount(K696,keywords!$A$2:$A$31)-WordListCount(K696,keywords!$B$2:$B$31)</f>
        <v>0</v>
      </c>
      <c r="P696" s="25">
        <f t="shared" si="21"/>
        <v>0.5904166666666667</v>
      </c>
      <c r="Q696" s="23">
        <f>SUM($O$2:O696)</f>
        <v>21</v>
      </c>
      <c r="Y696" s="14"/>
      <c r="Z696" s="13"/>
      <c r="AA696"/>
    </row>
    <row r="697" spans="1:27" x14ac:dyDescent="0.2">
      <c r="A697" s="12" t="s">
        <v>2242</v>
      </c>
      <c r="B697" t="s">
        <v>2244</v>
      </c>
      <c r="C697" t="s">
        <v>2245</v>
      </c>
      <c r="D697" t="s">
        <v>12</v>
      </c>
      <c r="E697" t="s">
        <v>13</v>
      </c>
      <c r="F697">
        <v>1530</v>
      </c>
      <c r="G697">
        <v>3256</v>
      </c>
      <c r="H697" s="5" t="s">
        <v>22</v>
      </c>
      <c r="I697" s="5">
        <v>0</v>
      </c>
      <c r="J697" s="5">
        <v>0</v>
      </c>
      <c r="K697" t="s">
        <v>9244</v>
      </c>
      <c r="L697" cm="1">
        <f t="array" ref="L697">wordCount(K697)</f>
        <v>8</v>
      </c>
      <c r="M697">
        <f t="shared" si="20"/>
        <v>43</v>
      </c>
      <c r="N697">
        <v>0.33333333333333331</v>
      </c>
      <c r="O697" s="23" cm="1">
        <f t="array" ref="O697">WordListCount(K697,keywords!$A$2:$A$31)-WordListCount(K697,keywords!$B$2:$B$31)</f>
        <v>0</v>
      </c>
      <c r="P697" s="25">
        <f t="shared" si="21"/>
        <v>0.59046296296296297</v>
      </c>
      <c r="Q697" s="23">
        <f>SUM($O$2:O697)</f>
        <v>21</v>
      </c>
      <c r="Y697" s="14"/>
      <c r="Z697" s="13"/>
      <c r="AA697"/>
    </row>
    <row r="698" spans="1:27" x14ac:dyDescent="0.2">
      <c r="A698" s="12" t="s">
        <v>2242</v>
      </c>
      <c r="B698" t="s">
        <v>2243</v>
      </c>
      <c r="C698" t="s">
        <v>130</v>
      </c>
      <c r="D698" t="s">
        <v>131</v>
      </c>
      <c r="E698" t="s">
        <v>13</v>
      </c>
      <c r="F698">
        <v>93</v>
      </c>
      <c r="G698">
        <v>202</v>
      </c>
      <c r="H698" s="5" t="s">
        <v>22</v>
      </c>
      <c r="I698" s="5">
        <v>0</v>
      </c>
      <c r="J698" s="5">
        <v>0</v>
      </c>
      <c r="K698" t="s">
        <v>10331</v>
      </c>
      <c r="L698" cm="1">
        <f t="array" ref="L698">wordCount(K698)</f>
        <v>11</v>
      </c>
      <c r="M698">
        <f t="shared" si="20"/>
        <v>68</v>
      </c>
      <c r="N698">
        <v>0.7</v>
      </c>
      <c r="O698" s="23" cm="1">
        <f t="array" ref="O698">WordListCount(K698,keywords!$A$2:$A$31)-WordListCount(K698,keywords!$B$2:$B$31)</f>
        <v>0</v>
      </c>
      <c r="P698" s="25">
        <f t="shared" si="21"/>
        <v>0.59046296296296297</v>
      </c>
      <c r="Q698" s="23">
        <f>SUM($O$2:O698)</f>
        <v>21</v>
      </c>
      <c r="Y698" s="14"/>
      <c r="Z698" s="13"/>
      <c r="AA698"/>
    </row>
    <row r="699" spans="1:27" x14ac:dyDescent="0.2">
      <c r="A699" s="12" t="s">
        <v>2246</v>
      </c>
      <c r="B699" t="s">
        <v>2247</v>
      </c>
      <c r="C699" t="s">
        <v>2248</v>
      </c>
      <c r="D699" t="s">
        <v>2249</v>
      </c>
      <c r="E699" t="s">
        <v>13</v>
      </c>
      <c r="F699">
        <v>9748</v>
      </c>
      <c r="G699">
        <v>399</v>
      </c>
      <c r="H699" s="5" t="s">
        <v>22</v>
      </c>
      <c r="I699" s="5">
        <v>0</v>
      </c>
      <c r="J699" s="5">
        <v>0</v>
      </c>
      <c r="K699" t="s">
        <v>10332</v>
      </c>
      <c r="L699" cm="1">
        <f t="array" ref="L699">wordCount(K699)</f>
        <v>24</v>
      </c>
      <c r="M699">
        <f t="shared" si="20"/>
        <v>102</v>
      </c>
      <c r="N699">
        <v>0.34482758620689657</v>
      </c>
      <c r="O699" s="23" cm="1">
        <f t="array" ref="O699">WordListCount(K699,keywords!$A$2:$A$31)-WordListCount(K699,keywords!$B$2:$B$31)</f>
        <v>0</v>
      </c>
      <c r="P699" s="25">
        <f t="shared" si="21"/>
        <v>0.59055555555555561</v>
      </c>
      <c r="Q699" s="23">
        <f>SUM($O$2:O699)</f>
        <v>21</v>
      </c>
      <c r="Y699" s="14"/>
      <c r="Z699" s="13"/>
      <c r="AA699"/>
    </row>
    <row r="700" spans="1:27" x14ac:dyDescent="0.2">
      <c r="A700" s="12" t="s">
        <v>2250</v>
      </c>
      <c r="B700" t="s">
        <v>2251</v>
      </c>
      <c r="C700" t="s">
        <v>782</v>
      </c>
      <c r="D700" t="s">
        <v>12</v>
      </c>
      <c r="E700" t="s">
        <v>13</v>
      </c>
      <c r="F700">
        <v>17347</v>
      </c>
      <c r="G700">
        <v>12513</v>
      </c>
      <c r="H700" s="5" t="s">
        <v>22</v>
      </c>
      <c r="I700" s="5">
        <v>0</v>
      </c>
      <c r="J700" s="5">
        <v>0</v>
      </c>
      <c r="K700" t="s">
        <v>10333</v>
      </c>
      <c r="L700" cm="1">
        <f t="array" ref="L700">wordCount(K700)</f>
        <v>20</v>
      </c>
      <c r="M700">
        <f t="shared" si="20"/>
        <v>82</v>
      </c>
      <c r="N700">
        <v>0.51724137931034486</v>
      </c>
      <c r="O700" s="23" cm="1">
        <f t="array" ref="O700">WordListCount(K700,keywords!$A$2:$A$31)-WordListCount(K700,keywords!$B$2:$B$31)</f>
        <v>0</v>
      </c>
      <c r="P700" s="25">
        <f t="shared" si="21"/>
        <v>0.59065972222222218</v>
      </c>
      <c r="Q700" s="23">
        <f>SUM($O$2:O700)</f>
        <v>21</v>
      </c>
      <c r="Y700" s="14"/>
      <c r="Z700" s="13"/>
      <c r="AA700"/>
    </row>
    <row r="701" spans="1:27" x14ac:dyDescent="0.2">
      <c r="A701" s="12" t="s">
        <v>2252</v>
      </c>
      <c r="B701" t="s">
        <v>2253</v>
      </c>
      <c r="C701" t="s">
        <v>2254</v>
      </c>
      <c r="D701" t="s">
        <v>12</v>
      </c>
      <c r="E701" t="s">
        <v>13</v>
      </c>
      <c r="F701">
        <v>617</v>
      </c>
      <c r="G701">
        <v>1754</v>
      </c>
      <c r="H701" s="5" t="s">
        <v>22</v>
      </c>
      <c r="I701" s="5">
        <v>0</v>
      </c>
      <c r="J701" s="5">
        <v>0</v>
      </c>
      <c r="K701" t="s">
        <v>10334</v>
      </c>
      <c r="L701" cm="1">
        <f t="array" ref="L701">wordCount(K701)</f>
        <v>10</v>
      </c>
      <c r="M701">
        <f t="shared" si="20"/>
        <v>57</v>
      </c>
      <c r="N701">
        <v>0.4</v>
      </c>
      <c r="O701" s="23" cm="1">
        <f t="array" ref="O701">WordListCount(K701,keywords!$A$2:$A$31)-WordListCount(K701,keywords!$B$2:$B$31)</f>
        <v>0</v>
      </c>
      <c r="P701" s="25">
        <f t="shared" si="21"/>
        <v>0.5907175925925926</v>
      </c>
      <c r="Q701" s="23">
        <f>SUM($O$2:O701)</f>
        <v>21</v>
      </c>
      <c r="Y701" s="14"/>
      <c r="Z701" s="13"/>
      <c r="AA701"/>
    </row>
    <row r="702" spans="1:27" x14ac:dyDescent="0.2">
      <c r="A702" s="12" t="s">
        <v>2255</v>
      </c>
      <c r="B702" t="s">
        <v>2256</v>
      </c>
      <c r="C702" t="s">
        <v>310</v>
      </c>
      <c r="D702" t="s">
        <v>12</v>
      </c>
      <c r="E702" t="s">
        <v>13</v>
      </c>
      <c r="F702">
        <v>3634</v>
      </c>
      <c r="G702">
        <v>3732</v>
      </c>
      <c r="H702" s="5" t="s">
        <v>22</v>
      </c>
      <c r="I702" s="5">
        <v>0</v>
      </c>
      <c r="J702" s="5">
        <v>0</v>
      </c>
      <c r="K702" t="s">
        <v>9245</v>
      </c>
      <c r="L702" cm="1">
        <f t="array" ref="L702">wordCount(K702)</f>
        <v>13</v>
      </c>
      <c r="M702">
        <f t="shared" si="20"/>
        <v>85</v>
      </c>
      <c r="N702">
        <v>0.52173913043478259</v>
      </c>
      <c r="O702" s="23" cm="1">
        <f t="array" ref="O702">WordListCount(K702,keywords!$A$2:$A$31)-WordListCount(K702,keywords!$B$2:$B$31)</f>
        <v>-1</v>
      </c>
      <c r="P702" s="25">
        <f t="shared" si="21"/>
        <v>0.59126157407407409</v>
      </c>
      <c r="Q702" s="23">
        <f>SUM($O$2:O702)</f>
        <v>20</v>
      </c>
      <c r="Y702" s="14"/>
      <c r="Z702" s="13"/>
      <c r="AA702"/>
    </row>
    <row r="703" spans="1:27" x14ac:dyDescent="0.2">
      <c r="A703" s="12" t="s">
        <v>2257</v>
      </c>
      <c r="B703" t="s">
        <v>2258</v>
      </c>
      <c r="C703" t="s">
        <v>2259</v>
      </c>
      <c r="D703" t="s">
        <v>2260</v>
      </c>
      <c r="E703" t="s">
        <v>13</v>
      </c>
      <c r="F703">
        <v>176</v>
      </c>
      <c r="G703">
        <v>433</v>
      </c>
      <c r="H703" s="5" t="s">
        <v>22</v>
      </c>
      <c r="I703" s="5">
        <v>0</v>
      </c>
      <c r="J703" s="5">
        <v>0</v>
      </c>
      <c r="K703" t="s">
        <v>10335</v>
      </c>
      <c r="L703" cm="1">
        <f t="array" ref="L703">wordCount(K703)</f>
        <v>6</v>
      </c>
      <c r="M703">
        <f t="shared" si="20"/>
        <v>40</v>
      </c>
      <c r="N703">
        <v>0.76190476190476186</v>
      </c>
      <c r="O703" s="23" cm="1">
        <f t="array" ref="O703">WordListCount(K703,keywords!$A$2:$A$31)-WordListCount(K703,keywords!$B$2:$B$31)</f>
        <v>1</v>
      </c>
      <c r="P703" s="25">
        <f t="shared" si="21"/>
        <v>0.59150462962962969</v>
      </c>
      <c r="Q703" s="23">
        <f>SUM($O$2:O703)</f>
        <v>21</v>
      </c>
      <c r="Y703" s="14"/>
      <c r="Z703" s="13"/>
      <c r="AA703"/>
    </row>
    <row r="704" spans="1:27" x14ac:dyDescent="0.2">
      <c r="A704" s="12" t="s">
        <v>2261</v>
      </c>
      <c r="B704" t="s">
        <v>2262</v>
      </c>
      <c r="C704" t="s">
        <v>2263</v>
      </c>
      <c r="D704" t="s">
        <v>2264</v>
      </c>
      <c r="E704" t="s">
        <v>13</v>
      </c>
      <c r="F704">
        <v>207</v>
      </c>
      <c r="G704">
        <v>322</v>
      </c>
      <c r="H704" s="5" t="s">
        <v>59</v>
      </c>
      <c r="I704" s="5">
        <v>0</v>
      </c>
      <c r="J704" s="5">
        <v>0</v>
      </c>
      <c r="K704" t="s">
        <v>9246</v>
      </c>
      <c r="L704" cm="1">
        <f t="array" ref="L704">wordCount(K704)</f>
        <v>5</v>
      </c>
      <c r="M704">
        <f t="shared" si="20"/>
        <v>29</v>
      </c>
      <c r="N704">
        <v>0.55555555555555558</v>
      </c>
      <c r="O704" s="23" cm="1">
        <f t="array" ref="O704">WordListCount(K704,keywords!$A$2:$A$31)-WordListCount(K704,keywords!$B$2:$B$31)</f>
        <v>0</v>
      </c>
      <c r="P704" s="25">
        <f t="shared" si="21"/>
        <v>0.59179398148148155</v>
      </c>
      <c r="Q704" s="23">
        <f>SUM($O$2:O704)</f>
        <v>21</v>
      </c>
      <c r="Y704" s="14"/>
      <c r="Z704" s="13"/>
      <c r="AA704"/>
    </row>
    <row r="705" spans="1:27" x14ac:dyDescent="0.2">
      <c r="A705" s="12" t="s">
        <v>2265</v>
      </c>
      <c r="B705" t="s">
        <v>2266</v>
      </c>
      <c r="C705" t="s">
        <v>418</v>
      </c>
      <c r="D705" t="s">
        <v>419</v>
      </c>
      <c r="E705" t="s">
        <v>13</v>
      </c>
      <c r="F705">
        <v>52</v>
      </c>
      <c r="G705">
        <v>242</v>
      </c>
      <c r="H705" s="5" t="s">
        <v>22</v>
      </c>
      <c r="I705" s="5">
        <v>0</v>
      </c>
      <c r="J705" s="5">
        <v>0</v>
      </c>
      <c r="K705" t="s">
        <v>10336</v>
      </c>
      <c r="L705" cm="1">
        <f t="array" ref="L705">wordCount(K705)</f>
        <v>14</v>
      </c>
      <c r="M705">
        <f t="shared" si="20"/>
        <v>63</v>
      </c>
      <c r="N705">
        <v>0.2857142857142857</v>
      </c>
      <c r="O705" s="23" cm="1">
        <f t="array" ref="O705">WordListCount(K705,keywords!$A$2:$A$31)-WordListCount(K705,keywords!$B$2:$B$31)</f>
        <v>1</v>
      </c>
      <c r="P705" s="25">
        <f t="shared" si="21"/>
        <v>0.59180555555555558</v>
      </c>
      <c r="Q705" s="23">
        <f>SUM($O$2:O705)</f>
        <v>22</v>
      </c>
      <c r="Y705" s="14"/>
      <c r="Z705" s="13"/>
      <c r="AA705"/>
    </row>
    <row r="706" spans="1:27" x14ac:dyDescent="0.2">
      <c r="A706" s="12" t="s">
        <v>2267</v>
      </c>
      <c r="B706" t="s">
        <v>2268</v>
      </c>
      <c r="C706" t="s">
        <v>2269</v>
      </c>
      <c r="D706" t="s">
        <v>12</v>
      </c>
      <c r="E706" t="s">
        <v>13</v>
      </c>
      <c r="F706">
        <v>13</v>
      </c>
      <c r="G706">
        <v>26</v>
      </c>
      <c r="H706" s="5" t="s">
        <v>22</v>
      </c>
      <c r="I706" s="5">
        <v>0</v>
      </c>
      <c r="J706" s="5">
        <v>0</v>
      </c>
      <c r="K706" t="s">
        <v>10337</v>
      </c>
      <c r="L706" cm="1">
        <f t="array" ref="L706">wordCount(K706)</f>
        <v>20</v>
      </c>
      <c r="M706">
        <f t="shared" ref="M706:M769" si="22">LEN(K706)</f>
        <v>124</v>
      </c>
      <c r="N706">
        <v>0.54545454545454541</v>
      </c>
      <c r="O706" s="23" cm="1">
        <f t="array" ref="O706">WordListCount(K706,keywords!$A$2:$A$31)-WordListCount(K706,keywords!$B$2:$B$31)</f>
        <v>0</v>
      </c>
      <c r="P706" s="25">
        <f t="shared" ref="P706:P769" si="23">TIMEVALUE(RIGHT(A706,8))</f>
        <v>0.59202546296296299</v>
      </c>
      <c r="Q706" s="23">
        <f>SUM($O$2:O706)</f>
        <v>22</v>
      </c>
      <c r="Y706" s="14"/>
      <c r="Z706" s="13"/>
      <c r="AA706"/>
    </row>
    <row r="707" spans="1:27" x14ac:dyDescent="0.2">
      <c r="A707" s="12" t="s">
        <v>2270</v>
      </c>
      <c r="B707" t="s">
        <v>2271</v>
      </c>
      <c r="C707" t="s">
        <v>2272</v>
      </c>
      <c r="D707" t="s">
        <v>2273</v>
      </c>
      <c r="E707" t="s">
        <v>13</v>
      </c>
      <c r="F707">
        <v>323</v>
      </c>
      <c r="G707">
        <v>566</v>
      </c>
      <c r="H707" s="5" t="s">
        <v>22</v>
      </c>
      <c r="I707" s="5">
        <v>0</v>
      </c>
      <c r="J707" s="5">
        <v>0</v>
      </c>
      <c r="K707" t="s">
        <v>10338</v>
      </c>
      <c r="L707" cm="1">
        <f t="array" ref="L707">wordCount(K707)</f>
        <v>16</v>
      </c>
      <c r="M707">
        <f t="shared" si="22"/>
        <v>63</v>
      </c>
      <c r="N707">
        <v>0.52380952380952384</v>
      </c>
      <c r="O707" s="23" cm="1">
        <f t="array" ref="O707">WordListCount(K707,keywords!$A$2:$A$31)-WordListCount(K707,keywords!$B$2:$B$31)</f>
        <v>1</v>
      </c>
      <c r="P707" s="25">
        <f t="shared" si="23"/>
        <v>0.59207175925925926</v>
      </c>
      <c r="Q707" s="23">
        <f>SUM($O$2:O707)</f>
        <v>23</v>
      </c>
      <c r="Y707" s="14"/>
      <c r="Z707" s="13"/>
      <c r="AA707"/>
    </row>
    <row r="708" spans="1:27" x14ac:dyDescent="0.2">
      <c r="A708" s="12" t="s">
        <v>2274</v>
      </c>
      <c r="B708" t="s">
        <v>2275</v>
      </c>
      <c r="C708" t="s">
        <v>2276</v>
      </c>
      <c r="D708" t="s">
        <v>12</v>
      </c>
      <c r="E708" t="s">
        <v>13</v>
      </c>
      <c r="F708">
        <v>28</v>
      </c>
      <c r="G708">
        <v>241</v>
      </c>
      <c r="H708" s="5" t="s">
        <v>22</v>
      </c>
      <c r="I708" s="5">
        <v>0</v>
      </c>
      <c r="J708" s="5">
        <v>0</v>
      </c>
      <c r="K708" t="s">
        <v>10339</v>
      </c>
      <c r="L708" cm="1">
        <f t="array" ref="L708">wordCount(K708)</f>
        <v>20</v>
      </c>
      <c r="M708">
        <f t="shared" si="22"/>
        <v>111</v>
      </c>
      <c r="N708">
        <v>0.36</v>
      </c>
      <c r="O708" s="23" cm="1">
        <f t="array" ref="O708">WordListCount(K708,keywords!$A$2:$A$31)-WordListCount(K708,keywords!$B$2:$B$31)</f>
        <v>0</v>
      </c>
      <c r="P708" s="25">
        <f t="shared" si="23"/>
        <v>0.59225694444444443</v>
      </c>
      <c r="Q708" s="23">
        <f>SUM($O$2:O708)</f>
        <v>23</v>
      </c>
      <c r="Y708" s="14"/>
      <c r="Z708" s="13"/>
      <c r="AA708"/>
    </row>
    <row r="709" spans="1:27" x14ac:dyDescent="0.2">
      <c r="A709" s="12" t="s">
        <v>2277</v>
      </c>
      <c r="B709" t="s">
        <v>2278</v>
      </c>
      <c r="C709" t="s">
        <v>2279</v>
      </c>
      <c r="D709" t="s">
        <v>12</v>
      </c>
      <c r="E709" t="s">
        <v>13</v>
      </c>
      <c r="F709">
        <v>3049</v>
      </c>
      <c r="G709">
        <v>266</v>
      </c>
      <c r="H709" s="5" t="s">
        <v>22</v>
      </c>
      <c r="I709" s="5">
        <v>0</v>
      </c>
      <c r="J709" s="5">
        <v>0</v>
      </c>
      <c r="K709" t="s">
        <v>9247</v>
      </c>
      <c r="L709" cm="1">
        <f t="array" ref="L709">wordCount(K709)</f>
        <v>8</v>
      </c>
      <c r="M709">
        <f t="shared" si="22"/>
        <v>45</v>
      </c>
      <c r="N709">
        <v>0.75</v>
      </c>
      <c r="O709" s="23" cm="1">
        <f t="array" ref="O709">WordListCount(K709,keywords!$A$2:$A$31)-WordListCount(K709,keywords!$B$2:$B$31)</f>
        <v>0</v>
      </c>
      <c r="P709" s="25">
        <f t="shared" si="23"/>
        <v>0.59226851851851847</v>
      </c>
      <c r="Q709" s="23">
        <f>SUM($O$2:O709)</f>
        <v>23</v>
      </c>
      <c r="Y709" s="14"/>
      <c r="Z709" s="13"/>
      <c r="AA709"/>
    </row>
    <row r="710" spans="1:27" x14ac:dyDescent="0.2">
      <c r="A710" s="12" t="s">
        <v>2280</v>
      </c>
      <c r="B710" t="s">
        <v>2281</v>
      </c>
      <c r="C710" t="s">
        <v>2282</v>
      </c>
      <c r="D710" t="s">
        <v>1963</v>
      </c>
      <c r="E710" t="s">
        <v>13</v>
      </c>
      <c r="F710">
        <v>184</v>
      </c>
      <c r="G710">
        <v>300</v>
      </c>
      <c r="H710" s="5" t="s">
        <v>22</v>
      </c>
      <c r="I710" s="5">
        <v>0</v>
      </c>
      <c r="J710" s="5">
        <v>0</v>
      </c>
      <c r="K710" t="s">
        <v>10340</v>
      </c>
      <c r="L710" cm="1">
        <f t="array" ref="L710">wordCount(K710)</f>
        <v>4</v>
      </c>
      <c r="M710">
        <f t="shared" si="22"/>
        <v>20</v>
      </c>
      <c r="N710">
        <v>0.42857142857142855</v>
      </c>
      <c r="O710" s="23" cm="1">
        <f t="array" ref="O710">WordListCount(K710,keywords!$A$2:$A$31)-WordListCount(K710,keywords!$B$2:$B$31)</f>
        <v>0</v>
      </c>
      <c r="P710" s="25">
        <f t="shared" si="23"/>
        <v>0.59237268518518515</v>
      </c>
      <c r="Q710" s="23">
        <f>SUM($O$2:O710)</f>
        <v>23</v>
      </c>
      <c r="Y710" s="14"/>
      <c r="Z710" s="13"/>
      <c r="AA710"/>
    </row>
    <row r="711" spans="1:27" x14ac:dyDescent="0.2">
      <c r="A711" s="12" t="s">
        <v>2280</v>
      </c>
      <c r="B711" t="s">
        <v>2283</v>
      </c>
      <c r="C711" t="s">
        <v>2284</v>
      </c>
      <c r="D711" t="s">
        <v>2285</v>
      </c>
      <c r="E711" t="s">
        <v>13</v>
      </c>
      <c r="F711">
        <v>86</v>
      </c>
      <c r="G711">
        <v>193</v>
      </c>
      <c r="H711" s="5" t="s">
        <v>22</v>
      </c>
      <c r="I711" s="5">
        <v>0</v>
      </c>
      <c r="J711" s="5">
        <v>0</v>
      </c>
      <c r="K711" t="s">
        <v>9248</v>
      </c>
      <c r="L711" cm="1">
        <f t="array" ref="L711">wordCount(K711)</f>
        <v>13</v>
      </c>
      <c r="M711">
        <f t="shared" si="22"/>
        <v>73</v>
      </c>
      <c r="N711">
        <v>0.42857142857142855</v>
      </c>
      <c r="O711" s="23" cm="1">
        <f t="array" ref="O711">WordListCount(K711,keywords!$A$2:$A$31)-WordListCount(K711,keywords!$B$2:$B$31)</f>
        <v>0</v>
      </c>
      <c r="P711" s="25">
        <f t="shared" si="23"/>
        <v>0.59237268518518515</v>
      </c>
      <c r="Q711" s="23">
        <f>SUM($O$2:O711)</f>
        <v>23</v>
      </c>
      <c r="Y711" s="14"/>
      <c r="Z711" s="13"/>
      <c r="AA711"/>
    </row>
    <row r="712" spans="1:27" x14ac:dyDescent="0.2">
      <c r="A712" s="12" t="s">
        <v>2286</v>
      </c>
      <c r="B712" t="s">
        <v>2287</v>
      </c>
      <c r="C712" t="s">
        <v>2288</v>
      </c>
      <c r="D712" t="s">
        <v>2289</v>
      </c>
      <c r="E712" t="s">
        <v>13</v>
      </c>
      <c r="F712">
        <v>1283</v>
      </c>
      <c r="G712">
        <v>1789</v>
      </c>
      <c r="H712" s="5" t="s">
        <v>360</v>
      </c>
      <c r="I712" s="5">
        <v>0</v>
      </c>
      <c r="J712" s="5">
        <v>0</v>
      </c>
      <c r="K712" t="s">
        <v>9584</v>
      </c>
      <c r="L712" cm="1">
        <f t="array" ref="L712">wordCount(K712)</f>
        <v>3</v>
      </c>
      <c r="M712">
        <f t="shared" si="22"/>
        <v>8</v>
      </c>
      <c r="N712">
        <v>0.9</v>
      </c>
      <c r="O712" s="23" cm="1">
        <f t="array" ref="O712">WordListCount(K712,keywords!$A$2:$A$31)-WordListCount(K712,keywords!$B$2:$B$31)</f>
        <v>0</v>
      </c>
      <c r="P712" s="25">
        <f t="shared" si="23"/>
        <v>0.59239583333333334</v>
      </c>
      <c r="Q712" s="23">
        <f>SUM($O$2:O712)</f>
        <v>23</v>
      </c>
      <c r="Y712" s="14"/>
      <c r="Z712" s="13"/>
      <c r="AA712"/>
    </row>
    <row r="713" spans="1:27" x14ac:dyDescent="0.2">
      <c r="A713" s="12" t="s">
        <v>2290</v>
      </c>
      <c r="B713" t="s">
        <v>2291</v>
      </c>
      <c r="C713" t="s">
        <v>2292</v>
      </c>
      <c r="D713" t="s">
        <v>990</v>
      </c>
      <c r="E713" t="s">
        <v>13</v>
      </c>
      <c r="F713">
        <v>26</v>
      </c>
      <c r="G713">
        <v>167</v>
      </c>
      <c r="H713" s="5" t="s">
        <v>22</v>
      </c>
      <c r="I713" s="5">
        <v>0</v>
      </c>
      <c r="J713" s="5">
        <v>0</v>
      </c>
      <c r="K713" t="s">
        <v>10341</v>
      </c>
      <c r="L713" cm="1">
        <f t="array" ref="L713">wordCount(K713)</f>
        <v>11</v>
      </c>
      <c r="M713">
        <f t="shared" si="22"/>
        <v>64</v>
      </c>
      <c r="N713">
        <v>0.47368421052631576</v>
      </c>
      <c r="O713" s="23" cm="1">
        <f t="array" ref="O713">WordListCount(K713,keywords!$A$2:$A$31)-WordListCount(K713,keywords!$B$2:$B$31)</f>
        <v>0</v>
      </c>
      <c r="P713" s="25">
        <f t="shared" si="23"/>
        <v>0.59255787037037033</v>
      </c>
      <c r="Q713" s="23">
        <f>SUM($O$2:O713)</f>
        <v>23</v>
      </c>
      <c r="Y713" s="14"/>
      <c r="Z713" s="13"/>
      <c r="AA713"/>
    </row>
    <row r="714" spans="1:27" x14ac:dyDescent="0.2">
      <c r="A714" s="12" t="s">
        <v>2293</v>
      </c>
      <c r="B714" t="s">
        <v>2294</v>
      </c>
      <c r="C714" t="s">
        <v>2295</v>
      </c>
      <c r="D714" t="s">
        <v>2296</v>
      </c>
      <c r="E714" t="s">
        <v>13</v>
      </c>
      <c r="F714">
        <v>3</v>
      </c>
      <c r="G714">
        <v>17</v>
      </c>
      <c r="H714" s="5" t="s">
        <v>22</v>
      </c>
      <c r="I714" s="5">
        <v>0</v>
      </c>
      <c r="J714" s="5">
        <v>0</v>
      </c>
      <c r="K714" t="s">
        <v>10342</v>
      </c>
      <c r="L714" cm="1">
        <f t="array" ref="L714">wordCount(K714)</f>
        <v>17</v>
      </c>
      <c r="M714">
        <f t="shared" si="22"/>
        <v>90</v>
      </c>
      <c r="N714">
        <v>0.6333333333333333</v>
      </c>
      <c r="O714" s="23" cm="1">
        <f t="array" ref="O714">WordListCount(K714,keywords!$A$2:$A$31)-WordListCount(K714,keywords!$B$2:$B$31)</f>
        <v>0</v>
      </c>
      <c r="P714" s="25">
        <f t="shared" si="23"/>
        <v>0.59277777777777774</v>
      </c>
      <c r="Q714" s="23">
        <f>SUM($O$2:O714)</f>
        <v>23</v>
      </c>
      <c r="Y714" s="14"/>
      <c r="Z714" s="13"/>
      <c r="AA714"/>
    </row>
    <row r="715" spans="1:27" x14ac:dyDescent="0.2">
      <c r="A715" s="12" t="s">
        <v>2297</v>
      </c>
      <c r="B715" t="s">
        <v>2298</v>
      </c>
      <c r="C715" t="s">
        <v>2299</v>
      </c>
      <c r="D715" t="s">
        <v>2300</v>
      </c>
      <c r="E715" t="s">
        <v>13</v>
      </c>
      <c r="F715">
        <v>3880</v>
      </c>
      <c r="G715">
        <v>671</v>
      </c>
      <c r="H715" s="5" t="s">
        <v>22</v>
      </c>
      <c r="I715" s="5">
        <v>0</v>
      </c>
      <c r="J715" s="5">
        <v>0</v>
      </c>
      <c r="K715" t="s">
        <v>10343</v>
      </c>
      <c r="L715" cm="1">
        <f t="array" ref="L715">wordCount(K715)</f>
        <v>5</v>
      </c>
      <c r="M715">
        <f t="shared" si="22"/>
        <v>31</v>
      </c>
      <c r="N715">
        <v>0.84210526315789469</v>
      </c>
      <c r="O715" s="23" cm="1">
        <f t="array" ref="O715">WordListCount(K715,keywords!$A$2:$A$31)-WordListCount(K715,keywords!$B$2:$B$31)</f>
        <v>0</v>
      </c>
      <c r="P715" s="25">
        <f t="shared" si="23"/>
        <v>0.59282407407407411</v>
      </c>
      <c r="Q715" s="23">
        <f>SUM($O$2:O715)</f>
        <v>23</v>
      </c>
      <c r="Y715" s="14"/>
      <c r="Z715" s="13"/>
      <c r="AA715"/>
    </row>
    <row r="716" spans="1:27" x14ac:dyDescent="0.2">
      <c r="A716" s="12" t="s">
        <v>2301</v>
      </c>
      <c r="B716" t="s">
        <v>2302</v>
      </c>
      <c r="C716" t="s">
        <v>2303</v>
      </c>
      <c r="D716" t="s">
        <v>2304</v>
      </c>
      <c r="E716" t="s">
        <v>13</v>
      </c>
      <c r="F716">
        <v>728</v>
      </c>
      <c r="G716">
        <v>448</v>
      </c>
      <c r="H716" s="5" t="s">
        <v>22</v>
      </c>
      <c r="I716" s="5">
        <v>0</v>
      </c>
      <c r="J716" s="5">
        <v>0</v>
      </c>
      <c r="K716" t="s">
        <v>10344</v>
      </c>
      <c r="L716" cm="1">
        <f t="array" ref="L716">wordCount(K716)</f>
        <v>16</v>
      </c>
      <c r="M716">
        <f t="shared" si="22"/>
        <v>81</v>
      </c>
      <c r="N716">
        <v>0.45</v>
      </c>
      <c r="O716" s="23" cm="1">
        <f t="array" ref="O716">WordListCount(K716,keywords!$A$2:$A$31)-WordListCount(K716,keywords!$B$2:$B$31)</f>
        <v>1</v>
      </c>
      <c r="P716" s="25">
        <f t="shared" si="23"/>
        <v>0.59284722222222219</v>
      </c>
      <c r="Q716" s="23">
        <f>SUM($O$2:O716)</f>
        <v>24</v>
      </c>
      <c r="Y716" s="14"/>
      <c r="Z716" s="13"/>
      <c r="AA716"/>
    </row>
    <row r="717" spans="1:27" x14ac:dyDescent="0.2">
      <c r="A717" s="12" t="s">
        <v>2305</v>
      </c>
      <c r="B717" t="s">
        <v>2306</v>
      </c>
      <c r="C717" t="s">
        <v>2307</v>
      </c>
      <c r="D717" t="s">
        <v>2308</v>
      </c>
      <c r="E717" t="s">
        <v>13</v>
      </c>
      <c r="F717">
        <v>173</v>
      </c>
      <c r="G717">
        <v>291</v>
      </c>
      <c r="H717" s="5" t="s">
        <v>22</v>
      </c>
      <c r="I717" s="5">
        <v>0</v>
      </c>
      <c r="J717" s="5">
        <v>0</v>
      </c>
      <c r="K717" t="s">
        <v>9249</v>
      </c>
      <c r="L717" cm="1">
        <f t="array" ref="L717">wordCount(K717)</f>
        <v>16</v>
      </c>
      <c r="M717">
        <f t="shared" si="22"/>
        <v>99</v>
      </c>
      <c r="N717">
        <v>0.39130434782608697</v>
      </c>
      <c r="O717" s="23" cm="1">
        <f t="array" ref="O717">WordListCount(K717,keywords!$A$2:$A$31)-WordListCount(K717,keywords!$B$2:$B$31)</f>
        <v>1</v>
      </c>
      <c r="P717" s="25">
        <f t="shared" si="23"/>
        <v>0.59289351851851857</v>
      </c>
      <c r="Q717" s="23">
        <f>SUM($O$2:O717)</f>
        <v>25</v>
      </c>
      <c r="Y717" s="14"/>
      <c r="Z717" s="13"/>
      <c r="AA717"/>
    </row>
    <row r="718" spans="1:27" x14ac:dyDescent="0.2">
      <c r="A718" s="12" t="s">
        <v>2309</v>
      </c>
      <c r="B718" t="s">
        <v>2310</v>
      </c>
      <c r="C718" t="s">
        <v>205</v>
      </c>
      <c r="D718" t="s">
        <v>12</v>
      </c>
      <c r="E718" t="s">
        <v>13</v>
      </c>
      <c r="F718">
        <v>2867</v>
      </c>
      <c r="G718">
        <v>6</v>
      </c>
      <c r="H718" s="5" t="s">
        <v>22</v>
      </c>
      <c r="I718" s="5">
        <v>0</v>
      </c>
      <c r="J718" s="5">
        <v>0</v>
      </c>
      <c r="K718" t="s">
        <v>9250</v>
      </c>
      <c r="L718" cm="1">
        <f t="array" ref="L718">wordCount(K718)</f>
        <v>8</v>
      </c>
      <c r="M718">
        <f t="shared" si="22"/>
        <v>55</v>
      </c>
      <c r="N718">
        <v>0.77777777777777779</v>
      </c>
      <c r="O718" s="23" cm="1">
        <f t="array" ref="O718">WordListCount(K718,keywords!$A$2:$A$31)-WordListCount(K718,keywords!$B$2:$B$31)</f>
        <v>0</v>
      </c>
      <c r="P718" s="25">
        <f t="shared" si="23"/>
        <v>0.59305555555555556</v>
      </c>
      <c r="Q718" s="23">
        <f>SUM($O$2:O718)</f>
        <v>25</v>
      </c>
      <c r="Y718" s="14"/>
      <c r="Z718" s="13"/>
      <c r="AA718"/>
    </row>
    <row r="719" spans="1:27" x14ac:dyDescent="0.2">
      <c r="A719" s="12" t="s">
        <v>2311</v>
      </c>
      <c r="B719" t="s">
        <v>2312</v>
      </c>
      <c r="C719" t="s">
        <v>2313</v>
      </c>
      <c r="D719" t="s">
        <v>12</v>
      </c>
      <c r="E719" t="s">
        <v>13</v>
      </c>
      <c r="F719">
        <v>89</v>
      </c>
      <c r="G719">
        <v>977</v>
      </c>
      <c r="H719" s="5" t="s">
        <v>22</v>
      </c>
      <c r="I719" s="5">
        <v>0</v>
      </c>
      <c r="J719" s="5">
        <v>0</v>
      </c>
      <c r="K719" t="s">
        <v>10345</v>
      </c>
      <c r="L719" cm="1">
        <f t="array" ref="L719">wordCount(K719)</f>
        <v>11</v>
      </c>
      <c r="M719">
        <f t="shared" si="22"/>
        <v>55</v>
      </c>
      <c r="N719">
        <v>0.625</v>
      </c>
      <c r="O719" s="23" cm="1">
        <f t="array" ref="O719">WordListCount(K719,keywords!$A$2:$A$31)-WordListCount(K719,keywords!$B$2:$B$31)</f>
        <v>0</v>
      </c>
      <c r="P719" s="25">
        <f t="shared" si="23"/>
        <v>0.59313657407407405</v>
      </c>
      <c r="Q719" s="23">
        <f>SUM($O$2:O719)</f>
        <v>25</v>
      </c>
      <c r="Y719" s="14"/>
      <c r="Z719" s="13"/>
      <c r="AA719"/>
    </row>
    <row r="720" spans="1:27" x14ac:dyDescent="0.2">
      <c r="A720" s="12" t="s">
        <v>2314</v>
      </c>
      <c r="B720" t="s">
        <v>2315</v>
      </c>
      <c r="C720" t="s">
        <v>2316</v>
      </c>
      <c r="D720" t="s">
        <v>2317</v>
      </c>
      <c r="E720" t="s">
        <v>13</v>
      </c>
      <c r="F720">
        <v>471</v>
      </c>
      <c r="G720">
        <v>1333</v>
      </c>
      <c r="H720" s="5" t="s">
        <v>22</v>
      </c>
      <c r="I720" s="5">
        <v>0</v>
      </c>
      <c r="J720" s="5">
        <v>0</v>
      </c>
      <c r="K720" t="s">
        <v>10346</v>
      </c>
      <c r="L720" cm="1">
        <f t="array" ref="L720">wordCount(K720)</f>
        <v>9</v>
      </c>
      <c r="M720">
        <f t="shared" si="22"/>
        <v>41</v>
      </c>
      <c r="N720">
        <v>0.66666666666666663</v>
      </c>
      <c r="O720" s="23" cm="1">
        <f t="array" ref="O720">WordListCount(K720,keywords!$A$2:$A$31)-WordListCount(K720,keywords!$B$2:$B$31)</f>
        <v>1</v>
      </c>
      <c r="P720" s="25">
        <f t="shared" si="23"/>
        <v>0.59324074074074074</v>
      </c>
      <c r="Q720" s="23">
        <f>SUM($O$2:O720)</f>
        <v>26</v>
      </c>
      <c r="Y720" s="14"/>
      <c r="Z720" s="13"/>
      <c r="AA720"/>
    </row>
    <row r="721" spans="1:27" x14ac:dyDescent="0.2">
      <c r="A721" s="12" t="s">
        <v>2318</v>
      </c>
      <c r="B721" t="s">
        <v>2319</v>
      </c>
      <c r="C721" t="s">
        <v>2320</v>
      </c>
      <c r="D721" t="s">
        <v>1328</v>
      </c>
      <c r="E721" t="s">
        <v>13</v>
      </c>
      <c r="F721">
        <v>7</v>
      </c>
      <c r="G721">
        <v>27</v>
      </c>
      <c r="H721" s="5" t="s">
        <v>22</v>
      </c>
      <c r="I721" s="5">
        <v>0</v>
      </c>
      <c r="J721" s="5">
        <v>0</v>
      </c>
      <c r="K721" t="s">
        <v>9251</v>
      </c>
      <c r="L721" cm="1">
        <f t="array" ref="L721">wordCount(K721)</f>
        <v>9</v>
      </c>
      <c r="M721">
        <f t="shared" si="22"/>
        <v>41</v>
      </c>
      <c r="N721">
        <v>0.61538461538461542</v>
      </c>
      <c r="O721" s="23" cm="1">
        <f t="array" ref="O721">WordListCount(K721,keywords!$A$2:$A$31)-WordListCount(K721,keywords!$B$2:$B$31)</f>
        <v>0</v>
      </c>
      <c r="P721" s="25">
        <f t="shared" si="23"/>
        <v>0.59346064814814814</v>
      </c>
      <c r="Q721" s="23">
        <f>SUM($O$2:O721)</f>
        <v>26</v>
      </c>
      <c r="Y721" s="14"/>
      <c r="Z721" s="13"/>
      <c r="AA721"/>
    </row>
    <row r="722" spans="1:27" x14ac:dyDescent="0.2">
      <c r="A722" s="12" t="s">
        <v>2321</v>
      </c>
      <c r="B722" t="s">
        <v>2322</v>
      </c>
      <c r="C722" t="s">
        <v>2323</v>
      </c>
      <c r="D722" t="s">
        <v>1254</v>
      </c>
      <c r="E722" t="s">
        <v>13</v>
      </c>
      <c r="F722">
        <v>6908</v>
      </c>
      <c r="G722">
        <v>549</v>
      </c>
      <c r="H722" s="5" t="s">
        <v>22</v>
      </c>
      <c r="I722" s="5">
        <v>0</v>
      </c>
      <c r="J722" s="5">
        <v>0</v>
      </c>
      <c r="K722" t="s">
        <v>10347</v>
      </c>
      <c r="L722" cm="1">
        <f t="array" ref="L722">wordCount(K722)</f>
        <v>7</v>
      </c>
      <c r="M722">
        <f t="shared" si="22"/>
        <v>26</v>
      </c>
      <c r="N722">
        <v>0.42857142857142855</v>
      </c>
      <c r="O722" s="23" cm="1">
        <f t="array" ref="O722">WordListCount(K722,keywords!$A$2:$A$31)-WordListCount(K722,keywords!$B$2:$B$31)</f>
        <v>-1</v>
      </c>
      <c r="P722" s="25">
        <f t="shared" si="23"/>
        <v>0.5935300925925926</v>
      </c>
      <c r="Q722" s="23">
        <f>SUM($O$2:O722)</f>
        <v>25</v>
      </c>
      <c r="Y722" s="14"/>
      <c r="Z722" s="13"/>
      <c r="AA722"/>
    </row>
    <row r="723" spans="1:27" x14ac:dyDescent="0.2">
      <c r="A723" s="12" t="s">
        <v>2324</v>
      </c>
      <c r="B723" t="s">
        <v>2325</v>
      </c>
      <c r="C723" t="s">
        <v>2326</v>
      </c>
      <c r="D723" t="s">
        <v>2327</v>
      </c>
      <c r="E723" t="s">
        <v>13</v>
      </c>
      <c r="F723">
        <v>19</v>
      </c>
      <c r="G723">
        <v>70</v>
      </c>
      <c r="H723" s="5" t="s">
        <v>22</v>
      </c>
      <c r="I723" s="5">
        <v>0</v>
      </c>
      <c r="J723" s="5">
        <v>0</v>
      </c>
      <c r="K723" t="s">
        <v>9252</v>
      </c>
      <c r="L723" cm="1">
        <f t="array" ref="L723">wordCount(K723)</f>
        <v>4</v>
      </c>
      <c r="M723">
        <f t="shared" si="22"/>
        <v>15</v>
      </c>
      <c r="N723">
        <v>0.66666666666666663</v>
      </c>
      <c r="O723" s="23" cm="1">
        <f t="array" ref="O723">WordListCount(K723,keywords!$A$2:$A$31)-WordListCount(K723,keywords!$B$2:$B$31)</f>
        <v>0</v>
      </c>
      <c r="P723" s="25">
        <f t="shared" si="23"/>
        <v>0.5935879629629629</v>
      </c>
      <c r="Q723" s="23">
        <f>SUM($O$2:O723)</f>
        <v>25</v>
      </c>
      <c r="Y723" s="14"/>
      <c r="Z723" s="13"/>
      <c r="AA723"/>
    </row>
    <row r="724" spans="1:27" x14ac:dyDescent="0.2">
      <c r="A724" s="12" t="s">
        <v>2328</v>
      </c>
      <c r="B724" t="s">
        <v>2329</v>
      </c>
      <c r="C724" t="s">
        <v>2191</v>
      </c>
      <c r="D724" t="s">
        <v>2192</v>
      </c>
      <c r="E724" t="s">
        <v>13</v>
      </c>
      <c r="F724">
        <v>1605</v>
      </c>
      <c r="G724">
        <v>288</v>
      </c>
      <c r="H724" s="5" t="s">
        <v>22</v>
      </c>
      <c r="I724" s="5">
        <v>0</v>
      </c>
      <c r="J724" s="5">
        <v>0</v>
      </c>
      <c r="K724" t="s">
        <v>10348</v>
      </c>
      <c r="L724" cm="1">
        <f t="array" ref="L724">wordCount(K724)</f>
        <v>7</v>
      </c>
      <c r="M724">
        <f t="shared" si="22"/>
        <v>38</v>
      </c>
      <c r="N724">
        <v>0.45454545454545453</v>
      </c>
      <c r="O724" s="23" cm="1">
        <f t="array" ref="O724">WordListCount(K724,keywords!$A$2:$A$31)-WordListCount(K724,keywords!$B$2:$B$31)</f>
        <v>0</v>
      </c>
      <c r="P724" s="25">
        <f t="shared" si="23"/>
        <v>0.59359953703703705</v>
      </c>
      <c r="Q724" s="23">
        <f>SUM($O$2:O724)</f>
        <v>25</v>
      </c>
      <c r="Y724" s="14"/>
      <c r="Z724" s="13"/>
      <c r="AA724"/>
    </row>
    <row r="725" spans="1:27" x14ac:dyDescent="0.2">
      <c r="A725" s="12" t="s">
        <v>2330</v>
      </c>
      <c r="B725" t="s">
        <v>2331</v>
      </c>
      <c r="C725" t="s">
        <v>179</v>
      </c>
      <c r="D725" t="s">
        <v>180</v>
      </c>
      <c r="E725" t="s">
        <v>13</v>
      </c>
      <c r="F725">
        <v>970</v>
      </c>
      <c r="G725">
        <v>180</v>
      </c>
      <c r="H725" s="5" t="s">
        <v>22</v>
      </c>
      <c r="I725" s="5">
        <v>0</v>
      </c>
      <c r="J725" s="5">
        <v>0</v>
      </c>
      <c r="K725" t="s">
        <v>10349</v>
      </c>
      <c r="L725" cm="1">
        <f t="array" ref="L725">wordCount(K725)</f>
        <v>17</v>
      </c>
      <c r="M725">
        <f t="shared" si="22"/>
        <v>95</v>
      </c>
      <c r="N725">
        <v>0.75</v>
      </c>
      <c r="O725" s="23" cm="1">
        <f t="array" ref="O725">WordListCount(K725,keywords!$A$2:$A$31)-WordListCount(K725,keywords!$B$2:$B$31)</f>
        <v>0</v>
      </c>
      <c r="P725" s="25">
        <f t="shared" si="23"/>
        <v>0.59377314814814819</v>
      </c>
      <c r="Q725" s="23">
        <f>SUM($O$2:O725)</f>
        <v>25</v>
      </c>
      <c r="Y725" s="14"/>
      <c r="Z725" s="13"/>
      <c r="AA725"/>
    </row>
    <row r="726" spans="1:27" x14ac:dyDescent="0.2">
      <c r="A726" s="12" t="s">
        <v>2332</v>
      </c>
      <c r="B726" t="s">
        <v>2333</v>
      </c>
      <c r="C726" t="s">
        <v>2334</v>
      </c>
      <c r="D726" t="s">
        <v>12</v>
      </c>
      <c r="E726" t="s">
        <v>13</v>
      </c>
      <c r="F726">
        <v>217</v>
      </c>
      <c r="G726">
        <v>369</v>
      </c>
      <c r="H726" s="5" t="s">
        <v>22</v>
      </c>
      <c r="I726" s="5">
        <v>0</v>
      </c>
      <c r="J726" s="5">
        <v>0</v>
      </c>
      <c r="K726" t="s">
        <v>10350</v>
      </c>
      <c r="L726" cm="1">
        <f t="array" ref="L726">wordCount(K726)</f>
        <v>9</v>
      </c>
      <c r="M726">
        <f t="shared" si="22"/>
        <v>48</v>
      </c>
      <c r="N726">
        <v>0.14285714285714285</v>
      </c>
      <c r="O726" s="23" cm="1">
        <f t="array" ref="O726">WordListCount(K726,keywords!$A$2:$A$31)-WordListCount(K726,keywords!$B$2:$B$31)</f>
        <v>0</v>
      </c>
      <c r="P726" s="25">
        <f t="shared" si="23"/>
        <v>0.59388888888888891</v>
      </c>
      <c r="Q726" s="23">
        <f>SUM($O$2:O726)</f>
        <v>25</v>
      </c>
      <c r="Y726" s="14"/>
      <c r="Z726" s="13"/>
      <c r="AA726"/>
    </row>
    <row r="727" spans="1:27" x14ac:dyDescent="0.2">
      <c r="A727" s="12" t="s">
        <v>2335</v>
      </c>
      <c r="B727" t="s">
        <v>2336</v>
      </c>
      <c r="C727" t="s">
        <v>2337</v>
      </c>
      <c r="D727" t="s">
        <v>2338</v>
      </c>
      <c r="E727" t="s">
        <v>13</v>
      </c>
      <c r="F727">
        <v>288</v>
      </c>
      <c r="G727">
        <v>998</v>
      </c>
      <c r="H727" s="5" t="s">
        <v>22</v>
      </c>
      <c r="I727" s="5">
        <v>0</v>
      </c>
      <c r="J727" s="5">
        <v>0</v>
      </c>
      <c r="K727" t="s">
        <v>9253</v>
      </c>
      <c r="L727" cm="1">
        <f t="array" ref="L727">wordCount(K727)</f>
        <v>5</v>
      </c>
      <c r="M727">
        <f t="shared" si="22"/>
        <v>31</v>
      </c>
      <c r="N727">
        <v>0.72222222222222221</v>
      </c>
      <c r="O727" s="23" cm="1">
        <f t="array" ref="O727">WordListCount(K727,keywords!$A$2:$A$31)-WordListCount(K727,keywords!$B$2:$B$31)</f>
        <v>1</v>
      </c>
      <c r="P727" s="25">
        <f t="shared" si="23"/>
        <v>0.59390046296296295</v>
      </c>
      <c r="Q727" s="23">
        <f>SUM($O$2:O727)</f>
        <v>26</v>
      </c>
      <c r="Y727" s="14"/>
      <c r="Z727" s="13"/>
      <c r="AA727"/>
    </row>
    <row r="728" spans="1:27" x14ac:dyDescent="0.2">
      <c r="A728" s="12" t="s">
        <v>2339</v>
      </c>
      <c r="B728" t="s">
        <v>2340</v>
      </c>
      <c r="C728" t="s">
        <v>1833</v>
      </c>
      <c r="D728" t="s">
        <v>12</v>
      </c>
      <c r="E728" t="s">
        <v>13</v>
      </c>
      <c r="F728">
        <v>97</v>
      </c>
      <c r="G728">
        <v>727</v>
      </c>
      <c r="H728" s="5" t="s">
        <v>22</v>
      </c>
      <c r="I728" s="5">
        <v>0</v>
      </c>
      <c r="J728" s="5">
        <v>0</v>
      </c>
      <c r="K728" t="s">
        <v>10351</v>
      </c>
      <c r="L728" cm="1">
        <f t="array" ref="L728">wordCount(K728)</f>
        <v>10</v>
      </c>
      <c r="M728">
        <f t="shared" si="22"/>
        <v>48</v>
      </c>
      <c r="N728">
        <v>0.46666666666666667</v>
      </c>
      <c r="O728" s="23" cm="1">
        <f t="array" ref="O728">WordListCount(K728,keywords!$A$2:$A$31)-WordListCount(K728,keywords!$B$2:$B$31)</f>
        <v>0</v>
      </c>
      <c r="P728" s="25">
        <f t="shared" si="23"/>
        <v>0.59409722222222217</v>
      </c>
      <c r="Q728" s="23">
        <f>SUM($O$2:O728)</f>
        <v>26</v>
      </c>
      <c r="Y728" s="14"/>
      <c r="Z728" s="13"/>
      <c r="AA728"/>
    </row>
    <row r="729" spans="1:27" x14ac:dyDescent="0.2">
      <c r="A729" s="12" t="s">
        <v>2341</v>
      </c>
      <c r="B729" t="s">
        <v>2342</v>
      </c>
      <c r="C729" t="s">
        <v>2343</v>
      </c>
      <c r="D729" t="s">
        <v>12</v>
      </c>
      <c r="E729" t="s">
        <v>13</v>
      </c>
      <c r="F729">
        <v>10</v>
      </c>
      <c r="G729">
        <v>1</v>
      </c>
      <c r="H729" s="5" t="s">
        <v>22</v>
      </c>
      <c r="I729" s="5">
        <v>0</v>
      </c>
      <c r="J729" s="5">
        <v>0</v>
      </c>
      <c r="K729" t="s">
        <v>10352</v>
      </c>
      <c r="L729" cm="1">
        <f t="array" ref="L729">wordCount(K729)</f>
        <v>20</v>
      </c>
      <c r="M729">
        <f t="shared" si="22"/>
        <v>73</v>
      </c>
      <c r="N729">
        <v>0.5357142857142857</v>
      </c>
      <c r="O729" s="23" cm="1">
        <f t="array" ref="O729">WordListCount(K729,keywords!$A$2:$A$31)-WordListCount(K729,keywords!$B$2:$B$31)</f>
        <v>0</v>
      </c>
      <c r="P729" s="25">
        <f t="shared" si="23"/>
        <v>0.59424768518518511</v>
      </c>
      <c r="Q729" s="23">
        <f>SUM($O$2:O729)</f>
        <v>26</v>
      </c>
      <c r="Y729" s="14"/>
      <c r="Z729" s="13"/>
      <c r="AA729"/>
    </row>
    <row r="730" spans="1:27" x14ac:dyDescent="0.2">
      <c r="A730" s="12" t="s">
        <v>2344</v>
      </c>
      <c r="B730" t="s">
        <v>2345</v>
      </c>
      <c r="C730" t="s">
        <v>2346</v>
      </c>
      <c r="D730" t="s">
        <v>2347</v>
      </c>
      <c r="E730" t="s">
        <v>13</v>
      </c>
      <c r="F730">
        <v>2134</v>
      </c>
      <c r="G730">
        <v>2009</v>
      </c>
      <c r="H730" s="5" t="s">
        <v>22</v>
      </c>
      <c r="I730" s="5">
        <v>0</v>
      </c>
      <c r="J730" s="5">
        <v>0</v>
      </c>
      <c r="K730" t="s">
        <v>9254</v>
      </c>
      <c r="L730" cm="1">
        <f t="array" ref="L730">wordCount(K730)</f>
        <v>18</v>
      </c>
      <c r="M730">
        <f t="shared" si="22"/>
        <v>93</v>
      </c>
      <c r="N730">
        <v>0.65714285714285714</v>
      </c>
      <c r="O730" s="23" cm="1">
        <f t="array" ref="O730">WordListCount(K730,keywords!$A$2:$A$31)-WordListCount(K730,keywords!$B$2:$B$31)</f>
        <v>1</v>
      </c>
      <c r="P730" s="25">
        <f t="shared" si="23"/>
        <v>0.59435185185185191</v>
      </c>
      <c r="Q730" s="23">
        <f>SUM($O$2:O730)</f>
        <v>27</v>
      </c>
      <c r="Y730" s="14"/>
      <c r="Z730" s="13"/>
      <c r="AA730"/>
    </row>
    <row r="731" spans="1:27" x14ac:dyDescent="0.2">
      <c r="A731" s="12" t="s">
        <v>2348</v>
      </c>
      <c r="B731" t="s">
        <v>2352</v>
      </c>
      <c r="C731" t="s">
        <v>172</v>
      </c>
      <c r="D731" t="s">
        <v>12</v>
      </c>
      <c r="E731" t="s">
        <v>13</v>
      </c>
      <c r="F731">
        <v>3</v>
      </c>
      <c r="G731">
        <v>1</v>
      </c>
      <c r="H731" s="5" t="s">
        <v>22</v>
      </c>
      <c r="I731" s="5">
        <v>0</v>
      </c>
      <c r="J731" s="5">
        <v>0</v>
      </c>
      <c r="K731" t="s">
        <v>10353</v>
      </c>
      <c r="L731" cm="1">
        <f t="array" ref="L731">wordCount(K731)</f>
        <v>5</v>
      </c>
      <c r="M731">
        <f t="shared" si="22"/>
        <v>27</v>
      </c>
      <c r="N731">
        <v>0.7142857142857143</v>
      </c>
      <c r="O731" s="23" cm="1">
        <f t="array" ref="O731">WordListCount(K731,keywords!$A$2:$A$31)-WordListCount(K731,keywords!$B$2:$B$31)</f>
        <v>0</v>
      </c>
      <c r="P731" s="25">
        <f t="shared" si="23"/>
        <v>0.59515046296296303</v>
      </c>
      <c r="Q731" s="23">
        <f>SUM($O$2:O731)</f>
        <v>27</v>
      </c>
      <c r="Y731" s="14"/>
      <c r="Z731" s="13"/>
      <c r="AA731"/>
    </row>
    <row r="732" spans="1:27" x14ac:dyDescent="0.2">
      <c r="A732" s="12" t="s">
        <v>2348</v>
      </c>
      <c r="B732" t="s">
        <v>2349</v>
      </c>
      <c r="C732" t="s">
        <v>2350</v>
      </c>
      <c r="D732" t="s">
        <v>2351</v>
      </c>
      <c r="E732" t="s">
        <v>13</v>
      </c>
      <c r="F732">
        <v>732</v>
      </c>
      <c r="G732">
        <v>1568</v>
      </c>
      <c r="H732" s="5" t="s">
        <v>22</v>
      </c>
      <c r="I732" s="5">
        <v>0</v>
      </c>
      <c r="J732" s="5">
        <v>0</v>
      </c>
      <c r="K732" t="s">
        <v>9255</v>
      </c>
      <c r="L732" cm="1">
        <f t="array" ref="L732">wordCount(K732)</f>
        <v>1</v>
      </c>
      <c r="M732">
        <f t="shared" si="22"/>
        <v>7</v>
      </c>
      <c r="N732">
        <v>0.5</v>
      </c>
      <c r="O732" s="23" cm="1">
        <f t="array" ref="O732">WordListCount(K732,keywords!$A$2:$A$31)-WordListCount(K732,keywords!$B$2:$B$31)</f>
        <v>0</v>
      </c>
      <c r="P732" s="25">
        <f t="shared" si="23"/>
        <v>0.59515046296296303</v>
      </c>
      <c r="Q732" s="23">
        <f>SUM($O$2:O732)</f>
        <v>27</v>
      </c>
      <c r="Y732" s="14"/>
      <c r="Z732" s="13"/>
      <c r="AA732"/>
    </row>
    <row r="733" spans="1:27" x14ac:dyDescent="0.2">
      <c r="A733" s="12" t="s">
        <v>2348</v>
      </c>
      <c r="B733" t="s">
        <v>2353</v>
      </c>
      <c r="C733" t="s">
        <v>2354</v>
      </c>
      <c r="D733" t="s">
        <v>12</v>
      </c>
      <c r="E733" t="s">
        <v>13</v>
      </c>
      <c r="F733">
        <v>347</v>
      </c>
      <c r="G733">
        <v>270</v>
      </c>
      <c r="H733" s="5" t="s">
        <v>22</v>
      </c>
      <c r="I733" s="5">
        <v>0</v>
      </c>
      <c r="J733" s="5">
        <v>0</v>
      </c>
      <c r="K733" t="s">
        <v>10354</v>
      </c>
      <c r="L733" cm="1">
        <f t="array" ref="L733">wordCount(K733)</f>
        <v>15</v>
      </c>
      <c r="M733">
        <f t="shared" si="22"/>
        <v>75</v>
      </c>
      <c r="N733">
        <v>0.31578947368421051</v>
      </c>
      <c r="O733" s="23" cm="1">
        <f t="array" ref="O733">WordListCount(K733,keywords!$A$2:$A$31)-WordListCount(K733,keywords!$B$2:$B$31)</f>
        <v>0</v>
      </c>
      <c r="P733" s="25">
        <f t="shared" si="23"/>
        <v>0.59515046296296303</v>
      </c>
      <c r="Q733" s="23">
        <f>SUM($O$2:O733)</f>
        <v>27</v>
      </c>
      <c r="Y733" s="14"/>
      <c r="Z733" s="13"/>
      <c r="AA733"/>
    </row>
    <row r="734" spans="1:27" x14ac:dyDescent="0.2">
      <c r="A734" s="33" t="s">
        <v>2355</v>
      </c>
      <c r="B734" s="34" t="s">
        <v>2356</v>
      </c>
      <c r="C734" s="34" t="s">
        <v>123</v>
      </c>
      <c r="D734" s="34" t="s">
        <v>124</v>
      </c>
      <c r="E734" s="34" t="s">
        <v>13</v>
      </c>
      <c r="F734" s="34">
        <v>839</v>
      </c>
      <c r="G734" s="34">
        <v>899</v>
      </c>
      <c r="H734" s="35" t="s">
        <v>125</v>
      </c>
      <c r="I734" s="35">
        <v>0</v>
      </c>
      <c r="J734" s="35">
        <v>0</v>
      </c>
      <c r="K734" s="34" t="s">
        <v>9256</v>
      </c>
      <c r="L734" s="34" cm="1">
        <f t="array" ref="L734">wordCount(K734)</f>
        <v>21</v>
      </c>
      <c r="M734" s="34">
        <f t="shared" si="22"/>
        <v>99</v>
      </c>
      <c r="N734" s="34">
        <v>0.81818181818181823</v>
      </c>
      <c r="O734" s="36" cm="1">
        <f t="array" ref="O734">WordListCount(K734,keywords!$A$2:$A$31)-WordListCount(K734,keywords!$B$2:$B$31)</f>
        <v>0</v>
      </c>
      <c r="P734" s="37">
        <f t="shared" si="23"/>
        <v>0.59518518518518515</v>
      </c>
      <c r="Q734" s="23">
        <f>SUM($O$2:O734)</f>
        <v>27</v>
      </c>
    </row>
    <row r="735" spans="1:27" x14ac:dyDescent="0.2">
      <c r="A735" s="12" t="s">
        <v>2357</v>
      </c>
      <c r="B735" t="s">
        <v>2358</v>
      </c>
      <c r="C735" t="s">
        <v>2359</v>
      </c>
      <c r="D735" t="s">
        <v>743</v>
      </c>
      <c r="E735" t="s">
        <v>13</v>
      </c>
      <c r="F735">
        <v>792</v>
      </c>
      <c r="G735">
        <v>310</v>
      </c>
      <c r="H735" s="5" t="s">
        <v>22</v>
      </c>
      <c r="I735" s="5">
        <v>0</v>
      </c>
      <c r="J735" s="5">
        <v>0</v>
      </c>
      <c r="K735" t="s">
        <v>10355</v>
      </c>
      <c r="L735" cm="1">
        <f t="array" ref="L735">wordCount(K735)</f>
        <v>12</v>
      </c>
      <c r="M735">
        <f t="shared" si="22"/>
        <v>66</v>
      </c>
      <c r="N735">
        <v>0.6428571428571429</v>
      </c>
      <c r="O735" s="23" cm="1">
        <f t="array" ref="O735">WordListCount(K735,keywords!$A$2:$A$31)-WordListCount(K735,keywords!$B$2:$B$31)</f>
        <v>0</v>
      </c>
      <c r="P735" s="25">
        <f t="shared" si="23"/>
        <v>0.59547453703703701</v>
      </c>
      <c r="Q735" s="23">
        <f>SUM($O$2:O735)</f>
        <v>27</v>
      </c>
      <c r="Y735" s="14"/>
      <c r="Z735" s="13"/>
      <c r="AA735"/>
    </row>
    <row r="736" spans="1:27" x14ac:dyDescent="0.2">
      <c r="A736" s="12" t="s">
        <v>2360</v>
      </c>
      <c r="B736" t="s">
        <v>2361</v>
      </c>
      <c r="C736" t="s">
        <v>2362</v>
      </c>
      <c r="D736" t="s">
        <v>2363</v>
      </c>
      <c r="E736" t="s">
        <v>13</v>
      </c>
      <c r="F736">
        <v>924</v>
      </c>
      <c r="G736">
        <v>136</v>
      </c>
      <c r="H736" s="5" t="s">
        <v>22</v>
      </c>
      <c r="I736" s="5">
        <v>0</v>
      </c>
      <c r="J736" s="5">
        <v>0</v>
      </c>
      <c r="K736" t="s">
        <v>9257</v>
      </c>
      <c r="L736" cm="1">
        <f t="array" ref="L736">wordCount(K736)</f>
        <v>12</v>
      </c>
      <c r="M736">
        <f t="shared" si="22"/>
        <v>62</v>
      </c>
      <c r="N736">
        <v>0.18181818181818182</v>
      </c>
      <c r="O736" s="23" cm="1">
        <f t="array" ref="O736">WordListCount(K736,keywords!$A$2:$A$31)-WordListCount(K736,keywords!$B$2:$B$31)</f>
        <v>1</v>
      </c>
      <c r="P736" s="25">
        <f t="shared" si="23"/>
        <v>0.5955555555555555</v>
      </c>
      <c r="Q736" s="23">
        <f>SUM($O$2:O736)</f>
        <v>28</v>
      </c>
      <c r="Y736" s="14"/>
      <c r="Z736" s="13"/>
      <c r="AA736"/>
    </row>
    <row r="737" spans="1:27" x14ac:dyDescent="0.2">
      <c r="A737" s="12" t="s">
        <v>2360</v>
      </c>
      <c r="B737" t="s">
        <v>2364</v>
      </c>
      <c r="C737" t="s">
        <v>2365</v>
      </c>
      <c r="D737" t="s">
        <v>2366</v>
      </c>
      <c r="E737" t="s">
        <v>13</v>
      </c>
      <c r="F737">
        <v>62084</v>
      </c>
      <c r="G737">
        <v>346</v>
      </c>
      <c r="H737" s="5" t="s">
        <v>96</v>
      </c>
      <c r="I737" s="5">
        <v>0</v>
      </c>
      <c r="J737" s="5">
        <v>0</v>
      </c>
      <c r="K737" t="s">
        <v>9258</v>
      </c>
      <c r="L737" cm="1">
        <f t="array" ref="L737">wordCount(K737)</f>
        <v>15</v>
      </c>
      <c r="M737">
        <f t="shared" si="22"/>
        <v>71</v>
      </c>
      <c r="N737">
        <v>0.35</v>
      </c>
      <c r="O737" s="23" cm="1">
        <f t="array" ref="O737">WordListCount(K737,keywords!$A$2:$A$31)-WordListCount(K737,keywords!$B$2:$B$31)</f>
        <v>0</v>
      </c>
      <c r="P737" s="25">
        <f t="shared" si="23"/>
        <v>0.5955555555555555</v>
      </c>
      <c r="Q737" s="23">
        <f>SUM($O$2:O737)</f>
        <v>28</v>
      </c>
      <c r="Y737" s="14"/>
      <c r="Z737" s="13"/>
      <c r="AA737"/>
    </row>
    <row r="738" spans="1:27" x14ac:dyDescent="0.2">
      <c r="A738" s="12" t="s">
        <v>2367</v>
      </c>
      <c r="B738" t="s">
        <v>2368</v>
      </c>
      <c r="C738" t="s">
        <v>2369</v>
      </c>
      <c r="D738" t="s">
        <v>12</v>
      </c>
      <c r="E738" t="s">
        <v>13</v>
      </c>
      <c r="F738">
        <v>2</v>
      </c>
      <c r="G738">
        <v>27</v>
      </c>
      <c r="H738" s="5" t="s">
        <v>22</v>
      </c>
      <c r="I738" s="5">
        <v>0</v>
      </c>
      <c r="J738" s="5">
        <v>0</v>
      </c>
      <c r="K738" t="s">
        <v>9259</v>
      </c>
      <c r="L738" cm="1">
        <f t="array" ref="L738">wordCount(K738)</f>
        <v>18</v>
      </c>
      <c r="M738">
        <f t="shared" si="22"/>
        <v>100</v>
      </c>
      <c r="N738">
        <v>0.33333333333333331</v>
      </c>
      <c r="O738" s="23" cm="1">
        <f t="array" ref="O738">WordListCount(K738,keywords!$A$2:$A$31)-WordListCount(K738,keywords!$B$2:$B$31)</f>
        <v>0</v>
      </c>
      <c r="P738" s="25">
        <f t="shared" si="23"/>
        <v>0.595636574074074</v>
      </c>
      <c r="Q738" s="23">
        <f>SUM($O$2:O738)</f>
        <v>28</v>
      </c>
      <c r="Y738" s="14"/>
      <c r="Z738" s="13"/>
      <c r="AA738"/>
    </row>
    <row r="739" spans="1:27" x14ac:dyDescent="0.2">
      <c r="A739" s="12" t="s">
        <v>2370</v>
      </c>
      <c r="B739" t="s">
        <v>2371</v>
      </c>
      <c r="C739" t="s">
        <v>2372</v>
      </c>
      <c r="D739" t="s">
        <v>124</v>
      </c>
      <c r="E739" t="s">
        <v>13</v>
      </c>
      <c r="F739">
        <v>232</v>
      </c>
      <c r="G739">
        <v>842</v>
      </c>
      <c r="H739" s="5" t="s">
        <v>22</v>
      </c>
      <c r="I739" s="5">
        <v>0</v>
      </c>
      <c r="J739" s="5">
        <v>0</v>
      </c>
      <c r="K739" t="s">
        <v>10356</v>
      </c>
      <c r="L739" cm="1">
        <f t="array" ref="L739">wordCount(K739)</f>
        <v>19</v>
      </c>
      <c r="M739">
        <f t="shared" si="22"/>
        <v>97</v>
      </c>
      <c r="N739">
        <v>0.23809523809523808</v>
      </c>
      <c r="O739" s="23" cm="1">
        <f t="array" ref="O739">WordListCount(K739,keywords!$A$2:$A$31)-WordListCount(K739,keywords!$B$2:$B$31)</f>
        <v>1</v>
      </c>
      <c r="P739" s="25">
        <f t="shared" si="23"/>
        <v>0.59605324074074073</v>
      </c>
      <c r="Q739" s="23">
        <f>SUM($O$2:O739)</f>
        <v>29</v>
      </c>
      <c r="Y739" s="14"/>
      <c r="Z739" s="13"/>
      <c r="AA739"/>
    </row>
    <row r="740" spans="1:27" x14ac:dyDescent="0.2">
      <c r="A740" s="12" t="s">
        <v>2373</v>
      </c>
      <c r="B740" t="s">
        <v>2374</v>
      </c>
      <c r="C740" t="s">
        <v>2362</v>
      </c>
      <c r="D740" t="s">
        <v>2363</v>
      </c>
      <c r="E740" t="s">
        <v>13</v>
      </c>
      <c r="F740">
        <v>924</v>
      </c>
      <c r="G740">
        <v>136</v>
      </c>
      <c r="H740" s="5" t="s">
        <v>22</v>
      </c>
      <c r="I740" s="5">
        <v>0</v>
      </c>
      <c r="J740" s="5">
        <v>0</v>
      </c>
      <c r="K740" t="s">
        <v>10357</v>
      </c>
      <c r="L740" cm="1">
        <f t="array" ref="L740">wordCount(K740)</f>
        <v>13</v>
      </c>
      <c r="M740">
        <f t="shared" si="22"/>
        <v>63</v>
      </c>
      <c r="N740">
        <v>0.46666666666666667</v>
      </c>
      <c r="O740" s="23" cm="1">
        <f t="array" ref="O740">WordListCount(K740,keywords!$A$2:$A$31)-WordListCount(K740,keywords!$B$2:$B$31)</f>
        <v>0</v>
      </c>
      <c r="P740" s="25">
        <f t="shared" si="23"/>
        <v>0.59630787037037036</v>
      </c>
      <c r="Q740" s="23">
        <f>SUM($O$2:O740)</f>
        <v>29</v>
      </c>
      <c r="Y740" s="14"/>
      <c r="Z740" s="13"/>
      <c r="AA740"/>
    </row>
    <row r="741" spans="1:27" x14ac:dyDescent="0.2">
      <c r="A741" s="12" t="s">
        <v>2373</v>
      </c>
      <c r="B741" t="s">
        <v>2375</v>
      </c>
      <c r="C741" t="s">
        <v>2376</v>
      </c>
      <c r="D741" t="s">
        <v>12</v>
      </c>
      <c r="E741" t="s">
        <v>13</v>
      </c>
      <c r="F741">
        <v>65</v>
      </c>
      <c r="G741">
        <v>50</v>
      </c>
      <c r="H741" s="5" t="s">
        <v>2377</v>
      </c>
      <c r="I741" s="5">
        <v>0</v>
      </c>
      <c r="J741" s="5">
        <v>0</v>
      </c>
      <c r="K741" t="s">
        <v>10358</v>
      </c>
      <c r="L741" cm="1">
        <f t="array" ref="L741">wordCount(K741)</f>
        <v>7</v>
      </c>
      <c r="M741">
        <f t="shared" si="22"/>
        <v>38</v>
      </c>
      <c r="N741">
        <v>0.72222222222222221</v>
      </c>
      <c r="O741" s="23" cm="1">
        <f t="array" ref="O741">WordListCount(K741,keywords!$A$2:$A$31)-WordListCount(K741,keywords!$B$2:$B$31)</f>
        <v>0</v>
      </c>
      <c r="P741" s="25">
        <f t="shared" si="23"/>
        <v>0.59630787037037036</v>
      </c>
      <c r="Q741" s="23">
        <f>SUM($O$2:O741)</f>
        <v>29</v>
      </c>
      <c r="Y741" s="14"/>
      <c r="Z741" s="13"/>
      <c r="AA741"/>
    </row>
    <row r="742" spans="1:27" x14ac:dyDescent="0.2">
      <c r="A742" s="12" t="s">
        <v>2378</v>
      </c>
      <c r="B742" t="s">
        <v>2379</v>
      </c>
      <c r="C742" t="s">
        <v>2380</v>
      </c>
      <c r="D742" t="s">
        <v>2381</v>
      </c>
      <c r="E742" t="s">
        <v>13</v>
      </c>
      <c r="F742">
        <v>1792</v>
      </c>
      <c r="G742">
        <v>1251</v>
      </c>
      <c r="H742" s="5" t="s">
        <v>22</v>
      </c>
      <c r="I742" s="5">
        <v>0</v>
      </c>
      <c r="J742" s="5">
        <v>0</v>
      </c>
      <c r="K742" t="s">
        <v>9260</v>
      </c>
      <c r="L742" cm="1">
        <f t="array" ref="L742">wordCount(K742)</f>
        <v>7</v>
      </c>
      <c r="M742">
        <f t="shared" si="22"/>
        <v>37</v>
      </c>
      <c r="N742">
        <v>0.375</v>
      </c>
      <c r="O742" s="23" cm="1">
        <f t="array" ref="O742">WordListCount(K742,keywords!$A$2:$A$31)-WordListCount(K742,keywords!$B$2:$B$31)</f>
        <v>0</v>
      </c>
      <c r="P742" s="25">
        <f t="shared" si="23"/>
        <v>0.59640046296296301</v>
      </c>
      <c r="Q742" s="23">
        <f>SUM($O$2:O742)</f>
        <v>29</v>
      </c>
      <c r="Y742" s="14"/>
      <c r="Z742" s="13"/>
      <c r="AA742"/>
    </row>
    <row r="743" spans="1:27" x14ac:dyDescent="0.2">
      <c r="A743" s="12" t="s">
        <v>2382</v>
      </c>
      <c r="B743" t="s">
        <v>2383</v>
      </c>
      <c r="C743" t="s">
        <v>2384</v>
      </c>
      <c r="D743" t="s">
        <v>12</v>
      </c>
      <c r="E743" t="s">
        <v>13</v>
      </c>
      <c r="F743">
        <v>213</v>
      </c>
      <c r="G743">
        <v>1423</v>
      </c>
      <c r="H743" s="5" t="s">
        <v>22</v>
      </c>
      <c r="I743" s="5">
        <v>0</v>
      </c>
      <c r="J743" s="5">
        <v>0</v>
      </c>
      <c r="K743" t="s">
        <v>10359</v>
      </c>
      <c r="L743" cm="1">
        <f t="array" ref="L743">wordCount(K743)</f>
        <v>4</v>
      </c>
      <c r="M743">
        <f t="shared" si="22"/>
        <v>21</v>
      </c>
      <c r="N743">
        <v>0.75</v>
      </c>
      <c r="O743" s="23" cm="1">
        <f t="array" ref="O743">WordListCount(K743,keywords!$A$2:$A$31)-WordListCount(K743,keywords!$B$2:$B$31)</f>
        <v>0</v>
      </c>
      <c r="P743" s="25">
        <f t="shared" si="23"/>
        <v>0.59660879629629626</v>
      </c>
      <c r="Q743" s="23">
        <f>SUM($O$2:O743)</f>
        <v>29</v>
      </c>
      <c r="Y743" s="14"/>
      <c r="Z743" s="13"/>
      <c r="AA743"/>
    </row>
    <row r="744" spans="1:27" x14ac:dyDescent="0.2">
      <c r="A744" s="12" t="s">
        <v>2385</v>
      </c>
      <c r="B744" t="s">
        <v>2386</v>
      </c>
      <c r="C744" t="s">
        <v>440</v>
      </c>
      <c r="D744" t="s">
        <v>441</v>
      </c>
      <c r="E744" t="s">
        <v>13</v>
      </c>
      <c r="F744">
        <v>2717</v>
      </c>
      <c r="G744">
        <v>1822</v>
      </c>
      <c r="H744" s="5" t="s">
        <v>22</v>
      </c>
      <c r="I744" s="5">
        <v>0</v>
      </c>
      <c r="J744" s="5">
        <v>0</v>
      </c>
      <c r="K744" t="s">
        <v>10360</v>
      </c>
      <c r="L744" cm="1">
        <f t="array" ref="L744">wordCount(K744)</f>
        <v>14</v>
      </c>
      <c r="M744">
        <f t="shared" si="22"/>
        <v>101</v>
      </c>
      <c r="N744">
        <v>0.8571428571428571</v>
      </c>
      <c r="O744" s="23" cm="1">
        <f t="array" ref="O744">WordListCount(K744,keywords!$A$2:$A$31)-WordListCount(K744,keywords!$B$2:$B$31)</f>
        <v>0</v>
      </c>
      <c r="P744" s="25">
        <f t="shared" si="23"/>
        <v>0.59670138888888891</v>
      </c>
      <c r="Q744" s="23">
        <f>SUM($O$2:O744)</f>
        <v>29</v>
      </c>
      <c r="Y744" s="14"/>
      <c r="Z744" s="13"/>
      <c r="AA744"/>
    </row>
    <row r="745" spans="1:27" x14ac:dyDescent="0.2">
      <c r="A745" s="12" t="s">
        <v>2387</v>
      </c>
      <c r="B745" t="s">
        <v>2388</v>
      </c>
      <c r="C745" t="s">
        <v>2191</v>
      </c>
      <c r="D745" t="s">
        <v>2192</v>
      </c>
      <c r="E745" t="s">
        <v>13</v>
      </c>
      <c r="F745">
        <v>1605</v>
      </c>
      <c r="G745">
        <v>288</v>
      </c>
      <c r="H745" s="5" t="s">
        <v>22</v>
      </c>
      <c r="I745" s="5">
        <v>0</v>
      </c>
      <c r="J745" s="5">
        <v>0</v>
      </c>
      <c r="K745" t="s">
        <v>10361</v>
      </c>
      <c r="L745" cm="1">
        <f t="array" ref="L745">wordCount(K745)</f>
        <v>5</v>
      </c>
      <c r="M745">
        <f t="shared" si="22"/>
        <v>36</v>
      </c>
      <c r="N745">
        <v>0.76923076923076927</v>
      </c>
      <c r="O745" s="23" cm="1">
        <f t="array" ref="O745">WordListCount(K745,keywords!$A$2:$A$31)-WordListCount(K745,keywords!$B$2:$B$31)</f>
        <v>0</v>
      </c>
      <c r="P745" s="25">
        <f t="shared" si="23"/>
        <v>0.59684027777777782</v>
      </c>
      <c r="Q745" s="23">
        <f>SUM($O$2:O745)</f>
        <v>29</v>
      </c>
      <c r="Y745" s="14"/>
      <c r="Z745" s="13"/>
      <c r="AA745"/>
    </row>
    <row r="746" spans="1:27" x14ac:dyDescent="0.2">
      <c r="A746" s="12" t="s">
        <v>2389</v>
      </c>
      <c r="B746" t="s">
        <v>2390</v>
      </c>
      <c r="C746" t="s">
        <v>2391</v>
      </c>
      <c r="D746" t="s">
        <v>12</v>
      </c>
      <c r="E746" t="s">
        <v>13</v>
      </c>
      <c r="F746">
        <v>81</v>
      </c>
      <c r="G746">
        <v>284</v>
      </c>
      <c r="H746" s="5" t="s">
        <v>22</v>
      </c>
      <c r="I746" s="5">
        <v>0</v>
      </c>
      <c r="J746" s="5">
        <v>0</v>
      </c>
      <c r="K746" t="s">
        <v>10362</v>
      </c>
      <c r="L746" cm="1">
        <f t="array" ref="L746">wordCount(K746)</f>
        <v>8</v>
      </c>
      <c r="M746">
        <f t="shared" si="22"/>
        <v>28</v>
      </c>
      <c r="N746">
        <v>0.78260869565217395</v>
      </c>
      <c r="O746" s="23" cm="1">
        <f t="array" ref="O746">WordListCount(K746,keywords!$A$2:$A$31)-WordListCount(K746,keywords!$B$2:$B$31)</f>
        <v>0</v>
      </c>
      <c r="P746" s="25">
        <f t="shared" si="23"/>
        <v>0.59696759259259258</v>
      </c>
      <c r="Q746" s="23">
        <f>SUM($O$2:O746)</f>
        <v>29</v>
      </c>
      <c r="Y746" s="14"/>
      <c r="Z746" s="13"/>
      <c r="AA746"/>
    </row>
    <row r="747" spans="1:27" x14ac:dyDescent="0.2">
      <c r="A747" s="12" t="s">
        <v>2392</v>
      </c>
      <c r="B747" t="s">
        <v>2393</v>
      </c>
      <c r="C747" t="s">
        <v>2394</v>
      </c>
      <c r="D747" t="s">
        <v>2395</v>
      </c>
      <c r="E747" t="s">
        <v>13</v>
      </c>
      <c r="F747">
        <v>5</v>
      </c>
      <c r="G747">
        <v>46</v>
      </c>
      <c r="H747" s="5" t="s">
        <v>22</v>
      </c>
      <c r="I747" s="5">
        <v>0</v>
      </c>
      <c r="J747" s="5">
        <v>0</v>
      </c>
      <c r="K747" t="s">
        <v>9261</v>
      </c>
      <c r="L747" cm="1">
        <f t="array" ref="L747">wordCount(K747)</f>
        <v>6</v>
      </c>
      <c r="M747">
        <f t="shared" si="22"/>
        <v>25</v>
      </c>
      <c r="N747">
        <v>0.66666666666666663</v>
      </c>
      <c r="O747" s="23" cm="1">
        <f t="array" ref="O747">WordListCount(K747,keywords!$A$2:$A$31)-WordListCount(K747,keywords!$B$2:$B$31)</f>
        <v>0</v>
      </c>
      <c r="P747" s="25">
        <f t="shared" si="23"/>
        <v>0.59704861111111118</v>
      </c>
      <c r="Q747" s="23">
        <f>SUM($O$2:O747)</f>
        <v>29</v>
      </c>
      <c r="Y747" s="14"/>
      <c r="Z747" s="13"/>
      <c r="AA747"/>
    </row>
    <row r="748" spans="1:27" x14ac:dyDescent="0.2">
      <c r="A748" s="12" t="s">
        <v>2396</v>
      </c>
      <c r="B748" t="s">
        <v>2397</v>
      </c>
      <c r="C748" t="s">
        <v>2398</v>
      </c>
      <c r="D748" t="s">
        <v>12</v>
      </c>
      <c r="E748" t="s">
        <v>13</v>
      </c>
      <c r="F748">
        <v>2620</v>
      </c>
      <c r="G748">
        <v>3041</v>
      </c>
      <c r="H748" s="5" t="s">
        <v>14</v>
      </c>
      <c r="I748" s="5">
        <v>0</v>
      </c>
      <c r="J748" s="5">
        <v>0</v>
      </c>
      <c r="K748" t="s">
        <v>10363</v>
      </c>
      <c r="L748" cm="1">
        <f t="array" ref="L748">wordCount(K748)</f>
        <v>6</v>
      </c>
      <c r="M748">
        <f t="shared" si="22"/>
        <v>25</v>
      </c>
      <c r="N748">
        <v>0.86363636363636365</v>
      </c>
      <c r="O748" s="23" cm="1">
        <f t="array" ref="O748">WordListCount(K748,keywords!$A$2:$A$31)-WordListCount(K748,keywords!$B$2:$B$31)</f>
        <v>0</v>
      </c>
      <c r="P748" s="25">
        <f t="shared" si="23"/>
        <v>0.59712962962962968</v>
      </c>
      <c r="Q748" s="23">
        <f>SUM($O$2:O748)</f>
        <v>29</v>
      </c>
      <c r="Y748" s="14"/>
      <c r="Z748" s="13"/>
      <c r="AA748"/>
    </row>
    <row r="749" spans="1:27" x14ac:dyDescent="0.2">
      <c r="A749" s="12" t="s">
        <v>2399</v>
      </c>
      <c r="B749" t="s">
        <v>2400</v>
      </c>
      <c r="C749" t="s">
        <v>862</v>
      </c>
      <c r="D749" t="s">
        <v>597</v>
      </c>
      <c r="E749" t="s">
        <v>13</v>
      </c>
      <c r="F749">
        <v>1032</v>
      </c>
      <c r="G749">
        <v>189</v>
      </c>
      <c r="H749" s="5" t="s">
        <v>22</v>
      </c>
      <c r="I749" s="5">
        <v>0</v>
      </c>
      <c r="J749" s="5">
        <v>0</v>
      </c>
      <c r="K749" t="s">
        <v>9262</v>
      </c>
      <c r="L749" cm="1">
        <f t="array" ref="L749">wordCount(K749)</f>
        <v>8</v>
      </c>
      <c r="M749">
        <f t="shared" si="22"/>
        <v>53</v>
      </c>
      <c r="N749">
        <v>0.53333333333333333</v>
      </c>
      <c r="O749" s="23" cm="1">
        <f t="array" ref="O749">WordListCount(K749,keywords!$A$2:$A$31)-WordListCount(K749,keywords!$B$2:$B$31)</f>
        <v>0</v>
      </c>
      <c r="P749" s="25">
        <f t="shared" si="23"/>
        <v>0.59723379629629625</v>
      </c>
      <c r="Q749" s="23">
        <f>SUM($O$2:O749)</f>
        <v>29</v>
      </c>
      <c r="Y749" s="14"/>
      <c r="Z749" s="13"/>
      <c r="AA749"/>
    </row>
    <row r="750" spans="1:27" x14ac:dyDescent="0.2">
      <c r="A750" s="12" t="s">
        <v>2399</v>
      </c>
      <c r="B750" t="s">
        <v>2401</v>
      </c>
      <c r="C750" t="s">
        <v>2402</v>
      </c>
      <c r="D750" t="s">
        <v>12</v>
      </c>
      <c r="E750" t="s">
        <v>13</v>
      </c>
      <c r="F750">
        <v>338</v>
      </c>
      <c r="G750">
        <v>139</v>
      </c>
      <c r="H750" s="5" t="s">
        <v>22</v>
      </c>
      <c r="I750" s="5">
        <v>0</v>
      </c>
      <c r="J750" s="5">
        <v>0</v>
      </c>
      <c r="K750" t="s">
        <v>9263</v>
      </c>
      <c r="L750" cm="1">
        <f t="array" ref="L750">wordCount(K750)</f>
        <v>4</v>
      </c>
      <c r="M750">
        <f t="shared" si="22"/>
        <v>19</v>
      </c>
      <c r="N750">
        <v>0.7</v>
      </c>
      <c r="O750" s="23" cm="1">
        <f t="array" ref="O750">WordListCount(K750,keywords!$A$2:$A$31)-WordListCount(K750,keywords!$B$2:$B$31)</f>
        <v>0</v>
      </c>
      <c r="P750" s="25">
        <f t="shared" si="23"/>
        <v>0.59723379629629625</v>
      </c>
      <c r="Q750" s="23">
        <f>SUM($O$2:O750)</f>
        <v>29</v>
      </c>
      <c r="Y750" s="14"/>
      <c r="Z750" s="13"/>
      <c r="AA750"/>
    </row>
    <row r="751" spans="1:27" x14ac:dyDescent="0.2">
      <c r="A751" s="12" t="s">
        <v>2403</v>
      </c>
      <c r="B751" t="s">
        <v>2404</v>
      </c>
      <c r="C751" t="s">
        <v>2405</v>
      </c>
      <c r="D751" t="s">
        <v>186</v>
      </c>
      <c r="E751" t="s">
        <v>13</v>
      </c>
      <c r="F751">
        <v>596</v>
      </c>
      <c r="G751">
        <v>1244</v>
      </c>
      <c r="H751" s="5" t="s">
        <v>22</v>
      </c>
      <c r="I751" s="5">
        <v>0</v>
      </c>
      <c r="J751" s="5">
        <v>0</v>
      </c>
      <c r="K751" t="s">
        <v>9264</v>
      </c>
      <c r="L751" cm="1">
        <f t="array" ref="L751">wordCount(K751)</f>
        <v>7</v>
      </c>
      <c r="M751">
        <f t="shared" si="22"/>
        <v>26</v>
      </c>
      <c r="N751">
        <v>0.82352941176470584</v>
      </c>
      <c r="O751" s="23" cm="1">
        <f t="array" ref="O751">WordListCount(K751,keywords!$A$2:$A$31)-WordListCount(K751,keywords!$B$2:$B$31)</f>
        <v>0</v>
      </c>
      <c r="P751" s="25">
        <f t="shared" si="23"/>
        <v>0.5975462962962963</v>
      </c>
      <c r="Q751" s="23">
        <f>SUM($O$2:O751)</f>
        <v>29</v>
      </c>
      <c r="Y751" s="14"/>
      <c r="Z751" s="13"/>
      <c r="AA751"/>
    </row>
    <row r="752" spans="1:27" x14ac:dyDescent="0.2">
      <c r="A752" s="12" t="s">
        <v>2406</v>
      </c>
      <c r="B752" t="s">
        <v>2407</v>
      </c>
      <c r="C752" t="s">
        <v>2408</v>
      </c>
      <c r="D752" t="s">
        <v>2409</v>
      </c>
      <c r="E752" t="s">
        <v>13</v>
      </c>
      <c r="F752">
        <v>134</v>
      </c>
      <c r="G752">
        <v>61</v>
      </c>
      <c r="H752" s="5" t="s">
        <v>22</v>
      </c>
      <c r="I752" s="5">
        <v>0</v>
      </c>
      <c r="J752" s="5">
        <v>0</v>
      </c>
      <c r="K752" t="s">
        <v>9265</v>
      </c>
      <c r="L752" cm="1">
        <f t="array" ref="L752">wordCount(K752)</f>
        <v>4</v>
      </c>
      <c r="M752">
        <f t="shared" si="22"/>
        <v>21</v>
      </c>
      <c r="N752">
        <v>0.8666666666666667</v>
      </c>
      <c r="O752" s="23" cm="1">
        <f t="array" ref="O752">WordListCount(K752,keywords!$A$2:$A$31)-WordListCount(K752,keywords!$B$2:$B$31)</f>
        <v>1</v>
      </c>
      <c r="P752" s="25">
        <f t="shared" si="23"/>
        <v>0.59765046296296298</v>
      </c>
      <c r="Q752" s="23">
        <f>SUM($O$2:O752)</f>
        <v>30</v>
      </c>
      <c r="Y752" s="14"/>
      <c r="Z752" s="13"/>
      <c r="AA752"/>
    </row>
    <row r="753" spans="1:27" x14ac:dyDescent="0.2">
      <c r="A753" s="12" t="s">
        <v>2410</v>
      </c>
      <c r="B753" t="s">
        <v>2411</v>
      </c>
      <c r="C753" t="s">
        <v>2412</v>
      </c>
      <c r="D753" t="s">
        <v>2413</v>
      </c>
      <c r="E753" t="s">
        <v>13</v>
      </c>
      <c r="F753">
        <v>90</v>
      </c>
      <c r="G753">
        <v>295</v>
      </c>
      <c r="H753" s="5" t="s">
        <v>22</v>
      </c>
      <c r="I753" s="5">
        <v>0</v>
      </c>
      <c r="J753" s="5">
        <v>0</v>
      </c>
      <c r="K753" t="s">
        <v>10364</v>
      </c>
      <c r="L753" cm="1">
        <f t="array" ref="L753">wordCount(K753)</f>
        <v>15</v>
      </c>
      <c r="M753">
        <f t="shared" si="22"/>
        <v>79</v>
      </c>
      <c r="N753">
        <v>0.5</v>
      </c>
      <c r="O753" s="23" cm="1">
        <f t="array" ref="O753">WordListCount(K753,keywords!$A$2:$A$31)-WordListCount(K753,keywords!$B$2:$B$31)</f>
        <v>0</v>
      </c>
      <c r="P753" s="25">
        <f t="shared" si="23"/>
        <v>0.5979282407407408</v>
      </c>
      <c r="Q753" s="23">
        <f>SUM($O$2:O753)</f>
        <v>30</v>
      </c>
      <c r="Y753" s="14"/>
      <c r="Z753" s="13"/>
      <c r="AA753"/>
    </row>
    <row r="754" spans="1:27" x14ac:dyDescent="0.2">
      <c r="A754" s="12" t="s">
        <v>2414</v>
      </c>
      <c r="B754" t="s">
        <v>2415</v>
      </c>
      <c r="C754" t="s">
        <v>2416</v>
      </c>
      <c r="D754" t="s">
        <v>790</v>
      </c>
      <c r="E754" t="s">
        <v>13</v>
      </c>
      <c r="F754">
        <v>9</v>
      </c>
      <c r="G754">
        <v>58</v>
      </c>
      <c r="H754" s="5" t="s">
        <v>1823</v>
      </c>
      <c r="I754" s="5">
        <v>0</v>
      </c>
      <c r="J754" s="5">
        <v>0</v>
      </c>
      <c r="K754" t="s">
        <v>10365</v>
      </c>
      <c r="L754" cm="1">
        <f t="array" ref="L754">wordCount(K754)</f>
        <v>6</v>
      </c>
      <c r="M754">
        <f t="shared" si="22"/>
        <v>23</v>
      </c>
      <c r="N754">
        <v>0.75</v>
      </c>
      <c r="O754" s="23" cm="1">
        <f t="array" ref="O754">WordListCount(K754,keywords!$A$2:$A$31)-WordListCount(K754,keywords!$B$2:$B$31)</f>
        <v>0</v>
      </c>
      <c r="P754" s="25">
        <f t="shared" si="23"/>
        <v>0.59824074074074074</v>
      </c>
      <c r="Q754" s="23">
        <f>SUM($O$2:O754)</f>
        <v>30</v>
      </c>
      <c r="Y754" s="14"/>
      <c r="Z754" s="13"/>
      <c r="AA754"/>
    </row>
    <row r="755" spans="1:27" x14ac:dyDescent="0.2">
      <c r="A755" s="12" t="s">
        <v>2417</v>
      </c>
      <c r="B755" t="s">
        <v>2418</v>
      </c>
      <c r="C755" t="s">
        <v>2419</v>
      </c>
      <c r="D755" t="s">
        <v>2420</v>
      </c>
      <c r="E755" t="s">
        <v>13</v>
      </c>
      <c r="F755">
        <v>253</v>
      </c>
      <c r="G755">
        <v>410</v>
      </c>
      <c r="H755" s="5" t="s">
        <v>22</v>
      </c>
      <c r="I755" s="5">
        <v>0</v>
      </c>
      <c r="J755" s="5">
        <v>0</v>
      </c>
      <c r="K755" t="s">
        <v>10366</v>
      </c>
      <c r="L755" cm="1">
        <f t="array" ref="L755">wordCount(K755)</f>
        <v>14</v>
      </c>
      <c r="M755">
        <f t="shared" si="22"/>
        <v>88</v>
      </c>
      <c r="N755">
        <v>0.68571428571428572</v>
      </c>
      <c r="O755" s="23" cm="1">
        <f t="array" ref="O755">WordListCount(K755,keywords!$A$2:$A$31)-WordListCount(K755,keywords!$B$2:$B$31)</f>
        <v>0</v>
      </c>
      <c r="P755" s="25">
        <f t="shared" si="23"/>
        <v>0.59833333333333327</v>
      </c>
      <c r="Q755" s="23">
        <f>SUM($O$2:O755)</f>
        <v>30</v>
      </c>
      <c r="Y755" s="14"/>
      <c r="Z755" s="13"/>
      <c r="AA755"/>
    </row>
    <row r="756" spans="1:27" x14ac:dyDescent="0.2">
      <c r="A756" s="12" t="s">
        <v>2421</v>
      </c>
      <c r="B756" t="s">
        <v>2422</v>
      </c>
      <c r="C756" t="s">
        <v>2423</v>
      </c>
      <c r="D756" t="s">
        <v>12</v>
      </c>
      <c r="E756" t="s">
        <v>13</v>
      </c>
      <c r="F756">
        <v>622</v>
      </c>
      <c r="G756">
        <v>621</v>
      </c>
      <c r="H756" s="5" t="s">
        <v>22</v>
      </c>
      <c r="I756" s="5">
        <v>0</v>
      </c>
      <c r="J756" s="5">
        <v>0</v>
      </c>
      <c r="K756" t="s">
        <v>10367</v>
      </c>
      <c r="L756" cm="1">
        <f t="array" ref="L756">wordCount(K756)</f>
        <v>21</v>
      </c>
      <c r="M756">
        <f t="shared" si="22"/>
        <v>99</v>
      </c>
      <c r="N756">
        <v>0.43478260869565216</v>
      </c>
      <c r="O756" s="23" cm="1">
        <f t="array" ref="O756">WordListCount(K756,keywords!$A$2:$A$31)-WordListCount(K756,keywords!$B$2:$B$31)</f>
        <v>0</v>
      </c>
      <c r="P756" s="25">
        <f t="shared" si="23"/>
        <v>0.59859953703703705</v>
      </c>
      <c r="Q756" s="23">
        <f>SUM($O$2:O756)</f>
        <v>30</v>
      </c>
      <c r="Y756" s="14"/>
      <c r="Z756" s="13"/>
      <c r="AA756"/>
    </row>
    <row r="757" spans="1:27" x14ac:dyDescent="0.2">
      <c r="A757" s="12" t="s">
        <v>2424</v>
      </c>
      <c r="B757" t="s">
        <v>2425</v>
      </c>
      <c r="C757" t="s">
        <v>610</v>
      </c>
      <c r="D757" t="s">
        <v>611</v>
      </c>
      <c r="E757" t="s">
        <v>13</v>
      </c>
      <c r="F757">
        <v>11598</v>
      </c>
      <c r="G757">
        <v>1532</v>
      </c>
      <c r="H757" s="5" t="s">
        <v>59</v>
      </c>
      <c r="I757" s="5">
        <v>0</v>
      </c>
      <c r="J757" s="5">
        <v>0</v>
      </c>
      <c r="K757" t="s">
        <v>9266</v>
      </c>
      <c r="L757" cm="1">
        <f t="array" ref="L757">wordCount(K757)</f>
        <v>5</v>
      </c>
      <c r="M757">
        <f t="shared" si="22"/>
        <v>21</v>
      </c>
      <c r="N757">
        <v>0.7142857142857143</v>
      </c>
      <c r="O757" s="23" cm="1">
        <f t="array" ref="O757">WordListCount(K757,keywords!$A$2:$A$31)-WordListCount(K757,keywords!$B$2:$B$31)</f>
        <v>0</v>
      </c>
      <c r="P757" s="25">
        <f t="shared" si="23"/>
        <v>0.59873842592592597</v>
      </c>
      <c r="Q757" s="23">
        <f>SUM($O$2:O757)</f>
        <v>30</v>
      </c>
      <c r="Y757" s="14"/>
      <c r="Z757" s="13"/>
      <c r="AA757"/>
    </row>
    <row r="758" spans="1:27" x14ac:dyDescent="0.2">
      <c r="A758" s="12" t="s">
        <v>2426</v>
      </c>
      <c r="B758" t="s">
        <v>2427</v>
      </c>
      <c r="C758" t="s">
        <v>2428</v>
      </c>
      <c r="D758" t="s">
        <v>12</v>
      </c>
      <c r="E758" t="s">
        <v>13</v>
      </c>
      <c r="F758">
        <v>80</v>
      </c>
      <c r="G758">
        <v>242</v>
      </c>
      <c r="H758" s="5" t="s">
        <v>22</v>
      </c>
      <c r="I758" s="5">
        <v>0</v>
      </c>
      <c r="J758" s="5">
        <v>0</v>
      </c>
      <c r="K758" t="s">
        <v>9267</v>
      </c>
      <c r="L758" cm="1">
        <f t="array" ref="L758">wordCount(K758)</f>
        <v>15</v>
      </c>
      <c r="M758">
        <f t="shared" si="22"/>
        <v>72</v>
      </c>
      <c r="N758">
        <v>0.7</v>
      </c>
      <c r="O758" s="23" cm="1">
        <f t="array" ref="O758">WordListCount(K758,keywords!$A$2:$A$31)-WordListCount(K758,keywords!$B$2:$B$31)</f>
        <v>0</v>
      </c>
      <c r="P758" s="25">
        <f t="shared" si="23"/>
        <v>0.59879629629629627</v>
      </c>
      <c r="Q758" s="23">
        <f>SUM($O$2:O758)</f>
        <v>30</v>
      </c>
      <c r="Y758" s="14"/>
      <c r="Z758" s="13"/>
      <c r="AA758"/>
    </row>
    <row r="759" spans="1:27" x14ac:dyDescent="0.2">
      <c r="A759" s="12" t="s">
        <v>2429</v>
      </c>
      <c r="B759" t="s">
        <v>2430</v>
      </c>
      <c r="C759" t="s">
        <v>2431</v>
      </c>
      <c r="D759">
        <v>904</v>
      </c>
      <c r="E759" t="s">
        <v>13</v>
      </c>
      <c r="F759">
        <v>635</v>
      </c>
      <c r="G759">
        <v>70</v>
      </c>
      <c r="H759" s="5" t="s">
        <v>22</v>
      </c>
      <c r="I759" s="5">
        <v>0</v>
      </c>
      <c r="J759" s="5">
        <v>0</v>
      </c>
      <c r="K759" t="s">
        <v>9268</v>
      </c>
      <c r="L759" cm="1">
        <f t="array" ref="L759">wordCount(K759)</f>
        <v>7</v>
      </c>
      <c r="M759">
        <f t="shared" si="22"/>
        <v>29</v>
      </c>
      <c r="N759">
        <v>0.7142857142857143</v>
      </c>
      <c r="O759" s="23" cm="1">
        <f t="array" ref="O759">WordListCount(K759,keywords!$A$2:$A$31)-WordListCount(K759,keywords!$B$2:$B$31)</f>
        <v>0</v>
      </c>
      <c r="P759" s="25">
        <f t="shared" si="23"/>
        <v>0.59884259259259254</v>
      </c>
      <c r="Q759" s="23">
        <f>SUM($O$2:O759)</f>
        <v>30</v>
      </c>
      <c r="Y759" s="14"/>
      <c r="Z759" s="13"/>
      <c r="AA759"/>
    </row>
    <row r="760" spans="1:27" x14ac:dyDescent="0.2">
      <c r="A760" s="12" t="s">
        <v>2432</v>
      </c>
      <c r="B760" t="s">
        <v>2433</v>
      </c>
      <c r="C760" t="s">
        <v>2434</v>
      </c>
      <c r="D760" t="s">
        <v>2435</v>
      </c>
      <c r="E760" t="s">
        <v>13</v>
      </c>
      <c r="F760">
        <v>2326</v>
      </c>
      <c r="G760">
        <v>3091</v>
      </c>
      <c r="H760" s="5" t="s">
        <v>22</v>
      </c>
      <c r="I760" s="5">
        <v>0</v>
      </c>
      <c r="J760" s="5">
        <v>0</v>
      </c>
      <c r="K760" t="s">
        <v>10368</v>
      </c>
      <c r="L760" cm="1">
        <f t="array" ref="L760">wordCount(K760)</f>
        <v>26</v>
      </c>
      <c r="M760">
        <f t="shared" si="22"/>
        <v>130</v>
      </c>
      <c r="N760">
        <v>0.12</v>
      </c>
      <c r="O760" s="23" cm="1">
        <f t="array" ref="O760">WordListCount(K760,keywords!$A$2:$A$31)-WordListCount(K760,keywords!$B$2:$B$31)</f>
        <v>0</v>
      </c>
      <c r="P760" s="25">
        <f t="shared" si="23"/>
        <v>0.59887731481481488</v>
      </c>
      <c r="Q760" s="23">
        <f>SUM($O$2:O760)</f>
        <v>30</v>
      </c>
      <c r="Y760" s="14"/>
      <c r="Z760" s="13"/>
      <c r="AA760"/>
    </row>
    <row r="761" spans="1:27" x14ac:dyDescent="0.2">
      <c r="A761" s="12" t="s">
        <v>2436</v>
      </c>
      <c r="B761" t="s">
        <v>2437</v>
      </c>
      <c r="C761" t="s">
        <v>2438</v>
      </c>
      <c r="D761" t="s">
        <v>2439</v>
      </c>
      <c r="E761" t="s">
        <v>13</v>
      </c>
      <c r="F761">
        <v>511</v>
      </c>
      <c r="G761">
        <v>342</v>
      </c>
      <c r="H761" s="5" t="s">
        <v>22</v>
      </c>
      <c r="I761" s="5">
        <v>0</v>
      </c>
      <c r="J761" s="5">
        <v>0</v>
      </c>
      <c r="K761" t="s">
        <v>9269</v>
      </c>
      <c r="L761" cm="1">
        <f t="array" ref="L761">wordCount(K761)</f>
        <v>19</v>
      </c>
      <c r="M761">
        <f t="shared" si="22"/>
        <v>93</v>
      </c>
      <c r="N761">
        <v>0.36</v>
      </c>
      <c r="O761" s="23" cm="1">
        <f t="array" ref="O761">WordListCount(K761,keywords!$A$2:$A$31)-WordListCount(K761,keywords!$B$2:$B$31)</f>
        <v>0</v>
      </c>
      <c r="P761" s="25">
        <f t="shared" si="23"/>
        <v>0.59924768518518523</v>
      </c>
      <c r="Q761" s="23">
        <f>SUM($O$2:O761)</f>
        <v>30</v>
      </c>
      <c r="Y761" s="14"/>
      <c r="Z761" s="13"/>
      <c r="AA761"/>
    </row>
    <row r="762" spans="1:27" x14ac:dyDescent="0.2">
      <c r="A762" s="12" t="s">
        <v>2440</v>
      </c>
      <c r="B762" t="s">
        <v>2441</v>
      </c>
      <c r="C762" t="s">
        <v>2442</v>
      </c>
      <c r="D762" t="s">
        <v>2443</v>
      </c>
      <c r="E762" t="s">
        <v>13</v>
      </c>
      <c r="F762">
        <v>941</v>
      </c>
      <c r="G762">
        <v>2072</v>
      </c>
      <c r="H762" s="5" t="s">
        <v>96</v>
      </c>
      <c r="I762" s="5">
        <v>0</v>
      </c>
      <c r="J762" s="5">
        <v>0</v>
      </c>
      <c r="K762" t="s">
        <v>10369</v>
      </c>
      <c r="L762" cm="1">
        <f t="array" ref="L762">wordCount(K762)</f>
        <v>14</v>
      </c>
      <c r="M762">
        <f t="shared" si="22"/>
        <v>83</v>
      </c>
      <c r="N762">
        <v>0.25</v>
      </c>
      <c r="O762" s="23" cm="1">
        <f t="array" ref="O762">WordListCount(K762,keywords!$A$2:$A$31)-WordListCount(K762,keywords!$B$2:$B$31)</f>
        <v>0</v>
      </c>
      <c r="P762" s="25">
        <f t="shared" si="23"/>
        <v>0.5997569444444445</v>
      </c>
      <c r="Q762" s="23">
        <f>SUM($O$2:O762)</f>
        <v>30</v>
      </c>
      <c r="Y762" s="14"/>
      <c r="Z762" s="13"/>
      <c r="AA762"/>
    </row>
    <row r="763" spans="1:27" x14ac:dyDescent="0.2">
      <c r="A763" s="12" t="s">
        <v>2444</v>
      </c>
      <c r="B763" t="s">
        <v>2445</v>
      </c>
      <c r="C763" t="s">
        <v>1978</v>
      </c>
      <c r="D763" t="s">
        <v>74</v>
      </c>
      <c r="E763" t="s">
        <v>13</v>
      </c>
      <c r="F763">
        <v>141</v>
      </c>
      <c r="G763">
        <v>313</v>
      </c>
      <c r="H763" s="5" t="s">
        <v>22</v>
      </c>
      <c r="I763" s="5">
        <v>0</v>
      </c>
      <c r="J763" s="5">
        <v>0</v>
      </c>
      <c r="K763" t="s">
        <v>9270</v>
      </c>
      <c r="L763" cm="1">
        <f t="array" ref="L763">wordCount(K763)</f>
        <v>7</v>
      </c>
      <c r="M763">
        <f t="shared" si="22"/>
        <v>28</v>
      </c>
      <c r="N763">
        <v>0.5</v>
      </c>
      <c r="O763" s="23" cm="1">
        <f t="array" ref="O763">WordListCount(K763,keywords!$A$2:$A$31)-WordListCount(K763,keywords!$B$2:$B$31)</f>
        <v>0</v>
      </c>
      <c r="P763" s="25">
        <f t="shared" si="23"/>
        <v>0.59987268518518522</v>
      </c>
      <c r="Q763" s="23">
        <f>SUM($O$2:O763)</f>
        <v>30</v>
      </c>
      <c r="Y763" s="14"/>
      <c r="Z763" s="13"/>
      <c r="AA763"/>
    </row>
    <row r="764" spans="1:27" x14ac:dyDescent="0.2">
      <c r="A764" s="12" t="s">
        <v>2446</v>
      </c>
      <c r="B764" t="s">
        <v>2447</v>
      </c>
      <c r="C764" t="s">
        <v>2448</v>
      </c>
      <c r="D764" t="s">
        <v>12</v>
      </c>
      <c r="E764" t="s">
        <v>13</v>
      </c>
      <c r="F764">
        <v>37</v>
      </c>
      <c r="G764">
        <v>78</v>
      </c>
      <c r="H764" s="5" t="s">
        <v>22</v>
      </c>
      <c r="I764" s="5">
        <v>0</v>
      </c>
      <c r="J764" s="5">
        <v>0</v>
      </c>
      <c r="K764" t="s">
        <v>10370</v>
      </c>
      <c r="L764" cm="1">
        <f t="array" ref="L764">wordCount(K764)</f>
        <v>11</v>
      </c>
      <c r="M764">
        <f t="shared" si="22"/>
        <v>46</v>
      </c>
      <c r="N764">
        <v>0.625</v>
      </c>
      <c r="O764" s="23" cm="1">
        <f t="array" ref="O764">WordListCount(K764,keywords!$A$2:$A$31)-WordListCount(K764,keywords!$B$2:$B$31)</f>
        <v>0</v>
      </c>
      <c r="P764" s="25">
        <f t="shared" si="23"/>
        <v>0.5999768518518519</v>
      </c>
      <c r="Q764" s="23">
        <f>SUM($O$2:O764)</f>
        <v>30</v>
      </c>
      <c r="Y764" s="14"/>
      <c r="Z764" s="13"/>
      <c r="AA764"/>
    </row>
    <row r="765" spans="1:27" x14ac:dyDescent="0.2">
      <c r="A765" s="12" t="s">
        <v>2449</v>
      </c>
      <c r="B765" t="s">
        <v>2450</v>
      </c>
      <c r="C765" t="s">
        <v>2451</v>
      </c>
      <c r="D765" t="s">
        <v>2452</v>
      </c>
      <c r="E765" t="s">
        <v>13</v>
      </c>
      <c r="F765">
        <v>58</v>
      </c>
      <c r="G765">
        <v>257</v>
      </c>
      <c r="H765" s="5" t="s">
        <v>22</v>
      </c>
      <c r="I765" s="5">
        <v>0</v>
      </c>
      <c r="J765" s="5">
        <v>0</v>
      </c>
      <c r="K765" t="s">
        <v>10371</v>
      </c>
      <c r="L765" cm="1">
        <f t="array" ref="L765">wordCount(K765)</f>
        <v>5</v>
      </c>
      <c r="M765">
        <f t="shared" si="22"/>
        <v>28</v>
      </c>
      <c r="N765">
        <v>0.66666666666666663</v>
      </c>
      <c r="O765" s="23" cm="1">
        <f t="array" ref="O765">WordListCount(K765,keywords!$A$2:$A$31)-WordListCount(K765,keywords!$B$2:$B$31)</f>
        <v>0</v>
      </c>
      <c r="P765" s="25">
        <f t="shared" si="23"/>
        <v>0.60002314814814817</v>
      </c>
      <c r="Q765" s="23">
        <f>SUM($O$2:O765)</f>
        <v>30</v>
      </c>
      <c r="Y765" s="14"/>
      <c r="Z765" s="13"/>
      <c r="AA765"/>
    </row>
    <row r="766" spans="1:27" x14ac:dyDescent="0.2">
      <c r="A766" s="12" t="s">
        <v>2453</v>
      </c>
      <c r="B766" t="s">
        <v>2454</v>
      </c>
      <c r="C766" t="s">
        <v>2455</v>
      </c>
      <c r="D766" t="s">
        <v>2456</v>
      </c>
      <c r="E766" t="s">
        <v>13</v>
      </c>
      <c r="F766">
        <v>175</v>
      </c>
      <c r="G766">
        <v>189</v>
      </c>
      <c r="H766" s="5" t="s">
        <v>22</v>
      </c>
      <c r="I766" s="5">
        <v>0</v>
      </c>
      <c r="J766" s="5">
        <v>0</v>
      </c>
      <c r="K766" t="s">
        <v>10372</v>
      </c>
      <c r="L766" cm="1">
        <f t="array" ref="L766">wordCount(K766)</f>
        <v>13</v>
      </c>
      <c r="M766">
        <f t="shared" si="22"/>
        <v>51</v>
      </c>
      <c r="N766">
        <v>0.46666666666666667</v>
      </c>
      <c r="O766" s="23" cm="1">
        <f t="array" ref="O766">WordListCount(K766,keywords!$A$2:$A$31)-WordListCount(K766,keywords!$B$2:$B$31)</f>
        <v>0</v>
      </c>
      <c r="P766" s="25">
        <f t="shared" si="23"/>
        <v>0.60039351851851852</v>
      </c>
      <c r="Q766" s="23">
        <f>SUM($O$2:O766)</f>
        <v>30</v>
      </c>
      <c r="Y766" s="14"/>
      <c r="Z766" s="13"/>
      <c r="AA766"/>
    </row>
    <row r="767" spans="1:27" x14ac:dyDescent="0.2">
      <c r="A767" s="12" t="s">
        <v>2457</v>
      </c>
      <c r="B767" t="s">
        <v>2458</v>
      </c>
      <c r="C767" t="s">
        <v>2459</v>
      </c>
      <c r="D767" t="s">
        <v>2460</v>
      </c>
      <c r="E767" t="s">
        <v>13</v>
      </c>
      <c r="F767">
        <v>397</v>
      </c>
      <c r="G767">
        <v>369</v>
      </c>
      <c r="H767" s="5" t="s">
        <v>22</v>
      </c>
      <c r="I767" s="5">
        <v>0</v>
      </c>
      <c r="J767" s="5">
        <v>0</v>
      </c>
      <c r="K767" t="s">
        <v>10373</v>
      </c>
      <c r="L767" cm="1">
        <f t="array" ref="L767">wordCount(K767)</f>
        <v>11</v>
      </c>
      <c r="M767">
        <f t="shared" si="22"/>
        <v>79</v>
      </c>
      <c r="N767">
        <v>0.62962962962962965</v>
      </c>
      <c r="O767" s="23" cm="1">
        <f t="array" ref="O767">WordListCount(K767,keywords!$A$2:$A$31)-WordListCount(K767,keywords!$B$2:$B$31)</f>
        <v>0</v>
      </c>
      <c r="P767" s="25">
        <f t="shared" si="23"/>
        <v>0.60062499999999996</v>
      </c>
      <c r="Q767" s="23">
        <f>SUM($O$2:O767)</f>
        <v>30</v>
      </c>
      <c r="Y767" s="14"/>
      <c r="Z767" s="13"/>
      <c r="AA767"/>
    </row>
    <row r="768" spans="1:27" x14ac:dyDescent="0.2">
      <c r="A768" s="12" t="s">
        <v>2461</v>
      </c>
      <c r="B768" t="s">
        <v>2462</v>
      </c>
      <c r="C768" t="s">
        <v>2463</v>
      </c>
      <c r="D768" t="s">
        <v>74</v>
      </c>
      <c r="E768" t="s">
        <v>13</v>
      </c>
      <c r="F768">
        <v>16</v>
      </c>
      <c r="G768">
        <v>64</v>
      </c>
      <c r="H768" s="5" t="s">
        <v>22</v>
      </c>
      <c r="I768" s="5">
        <v>0</v>
      </c>
      <c r="J768" s="5">
        <v>0</v>
      </c>
      <c r="K768" t="s">
        <v>10374</v>
      </c>
      <c r="L768" cm="1">
        <f t="array" ref="L768">wordCount(K768)</f>
        <v>22</v>
      </c>
      <c r="M768">
        <f t="shared" si="22"/>
        <v>93</v>
      </c>
      <c r="N768">
        <v>0.5625</v>
      </c>
      <c r="O768" s="23" cm="1">
        <f t="array" ref="O768">WordListCount(K768,keywords!$A$2:$A$31)-WordListCount(K768,keywords!$B$2:$B$31)</f>
        <v>0</v>
      </c>
      <c r="P768" s="25">
        <f t="shared" si="23"/>
        <v>0.60074074074074069</v>
      </c>
      <c r="Q768" s="23">
        <f>SUM($O$2:O768)</f>
        <v>30</v>
      </c>
      <c r="Y768" s="14"/>
      <c r="Z768" s="13"/>
      <c r="AA768"/>
    </row>
    <row r="769" spans="1:27" x14ac:dyDescent="0.2">
      <c r="A769" s="12" t="s">
        <v>2464</v>
      </c>
      <c r="B769" t="s">
        <v>2465</v>
      </c>
      <c r="C769" t="s">
        <v>1149</v>
      </c>
      <c r="D769" t="s">
        <v>597</v>
      </c>
      <c r="E769" t="s">
        <v>13</v>
      </c>
      <c r="F769">
        <v>299</v>
      </c>
      <c r="G769">
        <v>310</v>
      </c>
      <c r="H769" s="5" t="s">
        <v>22</v>
      </c>
      <c r="I769" s="5">
        <v>0</v>
      </c>
      <c r="J769" s="5">
        <v>0</v>
      </c>
      <c r="K769" t="s">
        <v>9271</v>
      </c>
      <c r="L769" cm="1">
        <f t="array" ref="L769">wordCount(K769)</f>
        <v>13</v>
      </c>
      <c r="M769">
        <f t="shared" si="22"/>
        <v>74</v>
      </c>
      <c r="N769">
        <v>0.54545454545454541</v>
      </c>
      <c r="O769" s="23" cm="1">
        <f t="array" ref="O769">WordListCount(K769,keywords!$A$2:$A$31)-WordListCount(K769,keywords!$B$2:$B$31)</f>
        <v>0</v>
      </c>
      <c r="P769" s="25">
        <f t="shared" si="23"/>
        <v>0.60093750000000001</v>
      </c>
      <c r="Q769" s="23">
        <f>SUM($O$2:O769)</f>
        <v>30</v>
      </c>
      <c r="Y769" s="14"/>
      <c r="Z769" s="13"/>
      <c r="AA769"/>
    </row>
    <row r="770" spans="1:27" x14ac:dyDescent="0.2">
      <c r="A770" s="12" t="s">
        <v>2466</v>
      </c>
      <c r="B770" t="s">
        <v>2467</v>
      </c>
      <c r="C770" t="s">
        <v>2365</v>
      </c>
      <c r="D770" t="s">
        <v>2366</v>
      </c>
      <c r="E770" t="s">
        <v>13</v>
      </c>
      <c r="F770">
        <v>62084</v>
      </c>
      <c r="G770">
        <v>346</v>
      </c>
      <c r="H770" s="5" t="s">
        <v>96</v>
      </c>
      <c r="I770" s="5">
        <v>0</v>
      </c>
      <c r="J770" s="5">
        <v>0</v>
      </c>
      <c r="K770" t="s">
        <v>10375</v>
      </c>
      <c r="L770" cm="1">
        <f t="array" ref="L770">wordCount(K770)</f>
        <v>17</v>
      </c>
      <c r="M770">
        <f t="shared" ref="M770:M833" si="24">LEN(K770)</f>
        <v>94</v>
      </c>
      <c r="N770">
        <v>0.88235294117647056</v>
      </c>
      <c r="O770" s="23" cm="1">
        <f t="array" ref="O770">WordListCount(K770,keywords!$A$2:$A$31)-WordListCount(K770,keywords!$B$2:$B$31)</f>
        <v>0</v>
      </c>
      <c r="P770" s="25">
        <f t="shared" ref="P770:P833" si="25">TIMEVALUE(RIGHT(A770,8))</f>
        <v>0.60119212962962965</v>
      </c>
      <c r="Q770" s="23">
        <f>SUM($O$2:O770)</f>
        <v>30</v>
      </c>
      <c r="Y770" s="14"/>
      <c r="Z770" s="13"/>
      <c r="AA770"/>
    </row>
    <row r="771" spans="1:27" x14ac:dyDescent="0.2">
      <c r="A771" s="12" t="s">
        <v>2468</v>
      </c>
      <c r="B771" t="s">
        <v>2471</v>
      </c>
      <c r="C771" t="s">
        <v>2472</v>
      </c>
      <c r="D771" t="s">
        <v>12</v>
      </c>
      <c r="E771" t="s">
        <v>13</v>
      </c>
      <c r="F771">
        <v>4</v>
      </c>
      <c r="G771">
        <v>12</v>
      </c>
      <c r="H771" s="5" t="s">
        <v>22</v>
      </c>
      <c r="I771" s="5">
        <v>0</v>
      </c>
      <c r="J771" s="5">
        <v>0</v>
      </c>
      <c r="K771" t="s">
        <v>10377</v>
      </c>
      <c r="L771" cm="1">
        <f t="array" ref="L771">wordCount(K771)</f>
        <v>8</v>
      </c>
      <c r="M771">
        <f t="shared" si="24"/>
        <v>41</v>
      </c>
      <c r="N771">
        <v>0.75</v>
      </c>
      <c r="O771" s="23" cm="1">
        <f t="array" ref="O771">WordListCount(K771,keywords!$A$2:$A$31)-WordListCount(K771,keywords!$B$2:$B$31)</f>
        <v>0</v>
      </c>
      <c r="P771" s="25">
        <f t="shared" si="25"/>
        <v>0.60121527777777783</v>
      </c>
      <c r="Q771" s="23">
        <f>SUM($O$2:O771)</f>
        <v>30</v>
      </c>
      <c r="Y771" s="14"/>
      <c r="Z771" s="13"/>
      <c r="AA771"/>
    </row>
    <row r="772" spans="1:27" x14ac:dyDescent="0.2">
      <c r="A772" s="12" t="s">
        <v>2468</v>
      </c>
      <c r="B772" t="s">
        <v>2469</v>
      </c>
      <c r="C772" t="s">
        <v>2470</v>
      </c>
      <c r="D772" t="s">
        <v>12</v>
      </c>
      <c r="E772" t="s">
        <v>13</v>
      </c>
      <c r="F772">
        <v>24</v>
      </c>
      <c r="G772">
        <v>16</v>
      </c>
      <c r="H772" s="5" t="s">
        <v>22</v>
      </c>
      <c r="I772" s="5">
        <v>0</v>
      </c>
      <c r="J772" s="5">
        <v>0</v>
      </c>
      <c r="K772" t="s">
        <v>10376</v>
      </c>
      <c r="L772" cm="1">
        <f t="array" ref="L772">wordCount(K772)</f>
        <v>17</v>
      </c>
      <c r="M772">
        <f t="shared" si="24"/>
        <v>69</v>
      </c>
      <c r="N772">
        <v>0.38095238095238093</v>
      </c>
      <c r="O772" s="23" cm="1">
        <f t="array" ref="O772">WordListCount(K772,keywords!$A$2:$A$31)-WordListCount(K772,keywords!$B$2:$B$31)</f>
        <v>2</v>
      </c>
      <c r="P772" s="25">
        <f t="shared" si="25"/>
        <v>0.60121527777777783</v>
      </c>
      <c r="Q772" s="23">
        <f>SUM($O$2:O772)</f>
        <v>32</v>
      </c>
      <c r="Y772" s="14"/>
      <c r="Z772" s="13"/>
      <c r="AA772"/>
    </row>
    <row r="773" spans="1:27" x14ac:dyDescent="0.2">
      <c r="A773" s="12" t="s">
        <v>2473</v>
      </c>
      <c r="B773" t="s">
        <v>2474</v>
      </c>
      <c r="C773" t="s">
        <v>2475</v>
      </c>
      <c r="D773" t="s">
        <v>1254</v>
      </c>
      <c r="E773" t="s">
        <v>13</v>
      </c>
      <c r="F773">
        <v>264</v>
      </c>
      <c r="G773">
        <v>494</v>
      </c>
      <c r="H773" s="5" t="s">
        <v>22</v>
      </c>
      <c r="I773" s="5">
        <v>0</v>
      </c>
      <c r="J773" s="5">
        <v>0</v>
      </c>
      <c r="K773" t="s">
        <v>10378</v>
      </c>
      <c r="L773" cm="1">
        <f t="array" ref="L773">wordCount(K773)</f>
        <v>22</v>
      </c>
      <c r="M773">
        <f t="shared" si="24"/>
        <v>125</v>
      </c>
      <c r="N773">
        <v>0.53846153846153844</v>
      </c>
      <c r="O773" s="23" cm="1">
        <f t="array" ref="O773">WordListCount(K773,keywords!$A$2:$A$31)-WordListCount(K773,keywords!$B$2:$B$31)</f>
        <v>0</v>
      </c>
      <c r="P773" s="25">
        <f t="shared" si="25"/>
        <v>0.60122685185185187</v>
      </c>
      <c r="Q773" s="23">
        <f>SUM($O$2:O773)</f>
        <v>32</v>
      </c>
      <c r="Y773" s="14"/>
      <c r="Z773" s="13"/>
      <c r="AA773"/>
    </row>
    <row r="774" spans="1:27" x14ac:dyDescent="0.2">
      <c r="A774" s="12" t="s">
        <v>2476</v>
      </c>
      <c r="B774" t="s">
        <v>2477</v>
      </c>
      <c r="C774" t="s">
        <v>2478</v>
      </c>
      <c r="D774" t="s">
        <v>2479</v>
      </c>
      <c r="E774" t="s">
        <v>13</v>
      </c>
      <c r="F774">
        <v>307</v>
      </c>
      <c r="G774">
        <v>79</v>
      </c>
      <c r="H774" s="5" t="s">
        <v>22</v>
      </c>
      <c r="I774" s="5">
        <v>0</v>
      </c>
      <c r="J774" s="5">
        <v>0</v>
      </c>
      <c r="K774" t="s">
        <v>10379</v>
      </c>
      <c r="L774" cm="1">
        <f t="array" ref="L774">wordCount(K774)</f>
        <v>7</v>
      </c>
      <c r="M774">
        <f t="shared" si="24"/>
        <v>26</v>
      </c>
      <c r="N774">
        <v>0.89473684210526316</v>
      </c>
      <c r="O774" s="23" cm="1">
        <f t="array" ref="O774">WordListCount(K774,keywords!$A$2:$A$31)-WordListCount(K774,keywords!$B$2:$B$31)</f>
        <v>0</v>
      </c>
      <c r="P774" s="25">
        <f t="shared" si="25"/>
        <v>0.60129629629629633</v>
      </c>
      <c r="Q774" s="23">
        <f>SUM($O$2:O774)</f>
        <v>32</v>
      </c>
      <c r="Y774" s="14"/>
      <c r="Z774" s="13"/>
      <c r="AA774"/>
    </row>
    <row r="775" spans="1:27" x14ac:dyDescent="0.2">
      <c r="A775" s="12" t="s">
        <v>2480</v>
      </c>
      <c r="B775" t="s">
        <v>2481</v>
      </c>
      <c r="C775" t="s">
        <v>2482</v>
      </c>
      <c r="D775" t="s">
        <v>2483</v>
      </c>
      <c r="E775" t="s">
        <v>13</v>
      </c>
      <c r="F775">
        <v>265</v>
      </c>
      <c r="G775">
        <v>262</v>
      </c>
      <c r="H775" s="5" t="s">
        <v>22</v>
      </c>
      <c r="I775" s="5">
        <v>0</v>
      </c>
      <c r="J775" s="5">
        <v>0</v>
      </c>
      <c r="K775" t="s">
        <v>10380</v>
      </c>
      <c r="L775" cm="1">
        <f t="array" ref="L775">wordCount(K775)</f>
        <v>24</v>
      </c>
      <c r="M775">
        <f t="shared" si="24"/>
        <v>126</v>
      </c>
      <c r="N775">
        <v>0.34375</v>
      </c>
      <c r="O775" s="23" cm="1">
        <f t="array" ref="O775">WordListCount(K775,keywords!$A$2:$A$31)-WordListCount(K775,keywords!$B$2:$B$31)</f>
        <v>0</v>
      </c>
      <c r="P775" s="25">
        <f t="shared" si="25"/>
        <v>0.60145833333333332</v>
      </c>
      <c r="Q775" s="23">
        <f>SUM($O$2:O775)</f>
        <v>32</v>
      </c>
      <c r="Y775" s="14"/>
      <c r="Z775" s="13"/>
      <c r="AA775"/>
    </row>
    <row r="776" spans="1:27" x14ac:dyDescent="0.2">
      <c r="A776" s="12" t="s">
        <v>2484</v>
      </c>
      <c r="B776" t="s">
        <v>2485</v>
      </c>
      <c r="C776" t="s">
        <v>2486</v>
      </c>
      <c r="D776" t="s">
        <v>74</v>
      </c>
      <c r="E776" t="s">
        <v>13</v>
      </c>
      <c r="F776">
        <v>168</v>
      </c>
      <c r="G776">
        <v>52</v>
      </c>
      <c r="H776" s="5" t="s">
        <v>22</v>
      </c>
      <c r="I776" s="5">
        <v>0</v>
      </c>
      <c r="J776" s="5">
        <v>0</v>
      </c>
      <c r="K776" t="s">
        <v>10381</v>
      </c>
      <c r="L776" cm="1">
        <f t="array" ref="L776">wordCount(K776)</f>
        <v>5</v>
      </c>
      <c r="M776">
        <f t="shared" si="24"/>
        <v>23</v>
      </c>
      <c r="N776">
        <v>0.66666666666666663</v>
      </c>
      <c r="O776" s="23" cm="1">
        <f t="array" ref="O776">WordListCount(K776,keywords!$A$2:$A$31)-WordListCount(K776,keywords!$B$2:$B$31)</f>
        <v>0</v>
      </c>
      <c r="P776" s="25">
        <f t="shared" si="25"/>
        <v>0.60155092592592596</v>
      </c>
      <c r="Q776" s="23">
        <f>SUM($O$2:O776)</f>
        <v>32</v>
      </c>
      <c r="Y776" s="14"/>
      <c r="Z776" s="13"/>
      <c r="AA776"/>
    </row>
    <row r="777" spans="1:27" x14ac:dyDescent="0.2">
      <c r="A777" s="12" t="s">
        <v>2487</v>
      </c>
      <c r="B777" t="s">
        <v>2488</v>
      </c>
      <c r="C777" t="s">
        <v>2489</v>
      </c>
      <c r="D777" t="s">
        <v>12</v>
      </c>
      <c r="E777" t="s">
        <v>13</v>
      </c>
      <c r="F777">
        <v>9</v>
      </c>
      <c r="G777">
        <v>113</v>
      </c>
      <c r="H777" s="5" t="s">
        <v>22</v>
      </c>
      <c r="I777" s="5">
        <v>0</v>
      </c>
      <c r="J777" s="5">
        <v>0</v>
      </c>
      <c r="K777" t="s">
        <v>10382</v>
      </c>
      <c r="L777" cm="1">
        <f t="array" ref="L777">wordCount(K777)</f>
        <v>9</v>
      </c>
      <c r="M777">
        <f t="shared" si="24"/>
        <v>48</v>
      </c>
      <c r="N777">
        <v>0.4</v>
      </c>
      <c r="O777" s="23" cm="1">
        <f t="array" ref="O777">WordListCount(K777,keywords!$A$2:$A$31)-WordListCount(K777,keywords!$B$2:$B$31)</f>
        <v>0</v>
      </c>
      <c r="P777" s="25">
        <f t="shared" si="25"/>
        <v>0.60209490740740745</v>
      </c>
      <c r="Q777" s="23">
        <f>SUM($O$2:O777)</f>
        <v>32</v>
      </c>
      <c r="Y777" s="14"/>
      <c r="Z777" s="13"/>
      <c r="AA777"/>
    </row>
    <row r="778" spans="1:27" x14ac:dyDescent="0.2">
      <c r="A778" s="12" t="s">
        <v>2490</v>
      </c>
      <c r="B778" t="s">
        <v>2491</v>
      </c>
      <c r="C778" t="s">
        <v>2492</v>
      </c>
      <c r="D778" t="s">
        <v>2493</v>
      </c>
      <c r="E778" t="s">
        <v>13</v>
      </c>
      <c r="F778">
        <v>8</v>
      </c>
      <c r="G778">
        <v>20</v>
      </c>
      <c r="H778" s="5" t="s">
        <v>360</v>
      </c>
      <c r="I778" s="5">
        <v>0</v>
      </c>
      <c r="J778" s="5">
        <v>0</v>
      </c>
      <c r="K778" t="s">
        <v>9272</v>
      </c>
      <c r="L778" cm="1">
        <f t="array" ref="L778">wordCount(K778)</f>
        <v>16</v>
      </c>
      <c r="M778">
        <f t="shared" si="24"/>
        <v>75</v>
      </c>
      <c r="N778">
        <v>0.63636363636363635</v>
      </c>
      <c r="O778" s="23" cm="1">
        <f t="array" ref="O778">WordListCount(K778,keywords!$A$2:$A$31)-WordListCount(K778,keywords!$B$2:$B$31)</f>
        <v>0</v>
      </c>
      <c r="P778" s="25">
        <f t="shared" si="25"/>
        <v>0.60219907407407403</v>
      </c>
      <c r="Q778" s="23">
        <f>SUM($O$2:O778)</f>
        <v>32</v>
      </c>
      <c r="Y778" s="14"/>
      <c r="Z778" s="13"/>
      <c r="AA778"/>
    </row>
    <row r="779" spans="1:27" x14ac:dyDescent="0.2">
      <c r="A779" s="12" t="s">
        <v>2494</v>
      </c>
      <c r="B779" t="s">
        <v>2495</v>
      </c>
      <c r="C779" t="s">
        <v>2496</v>
      </c>
      <c r="D779" t="s">
        <v>12</v>
      </c>
      <c r="E779" t="s">
        <v>13</v>
      </c>
      <c r="F779">
        <v>1014</v>
      </c>
      <c r="G779">
        <v>1404</v>
      </c>
      <c r="H779" s="5" t="s">
        <v>22</v>
      </c>
      <c r="I779" s="5">
        <v>0</v>
      </c>
      <c r="J779" s="5">
        <v>0</v>
      </c>
      <c r="K779" t="s">
        <v>9273</v>
      </c>
      <c r="L779" cm="1">
        <f t="array" ref="L779">wordCount(K779)</f>
        <v>4</v>
      </c>
      <c r="M779">
        <f t="shared" si="24"/>
        <v>19</v>
      </c>
      <c r="N779">
        <v>0.8</v>
      </c>
      <c r="O779" s="23" cm="1">
        <f t="array" ref="O779">WordListCount(K779,keywords!$A$2:$A$31)-WordListCount(K779,keywords!$B$2:$B$31)</f>
        <v>0</v>
      </c>
      <c r="P779" s="25">
        <f t="shared" si="25"/>
        <v>0.60231481481481486</v>
      </c>
      <c r="Q779" s="23">
        <f>SUM($O$2:O779)</f>
        <v>32</v>
      </c>
      <c r="Y779" s="14"/>
      <c r="Z779" s="13"/>
      <c r="AA779"/>
    </row>
    <row r="780" spans="1:27" x14ac:dyDescent="0.2">
      <c r="A780" s="12" t="s">
        <v>2497</v>
      </c>
      <c r="B780" t="s">
        <v>2498</v>
      </c>
      <c r="C780" t="s">
        <v>2499</v>
      </c>
      <c r="D780" t="s">
        <v>12</v>
      </c>
      <c r="E780" t="s">
        <v>13</v>
      </c>
      <c r="F780">
        <v>0</v>
      </c>
      <c r="G780">
        <v>2</v>
      </c>
      <c r="H780" s="5" t="s">
        <v>22</v>
      </c>
      <c r="I780" s="5">
        <v>0</v>
      </c>
      <c r="J780" s="5">
        <v>0</v>
      </c>
      <c r="K780" t="s">
        <v>10383</v>
      </c>
      <c r="L780" cm="1">
        <f t="array" ref="L780">wordCount(K780)</f>
        <v>4</v>
      </c>
      <c r="M780">
        <f t="shared" si="24"/>
        <v>20</v>
      </c>
      <c r="N780">
        <v>0.8125</v>
      </c>
      <c r="O780" s="23" cm="1">
        <f t="array" ref="O780">WordListCount(K780,keywords!$A$2:$A$31)-WordListCount(K780,keywords!$B$2:$B$31)</f>
        <v>0</v>
      </c>
      <c r="P780" s="25">
        <f t="shared" si="25"/>
        <v>0.60261574074074076</v>
      </c>
      <c r="Q780" s="23">
        <f>SUM($O$2:O780)</f>
        <v>32</v>
      </c>
      <c r="Y780" s="14"/>
      <c r="Z780" s="13"/>
      <c r="AA780"/>
    </row>
    <row r="781" spans="1:27" x14ac:dyDescent="0.2">
      <c r="A781" s="12" t="s">
        <v>2500</v>
      </c>
      <c r="B781" t="s">
        <v>2501</v>
      </c>
      <c r="C781" t="s">
        <v>1099</v>
      </c>
      <c r="D781" t="s">
        <v>790</v>
      </c>
      <c r="E781" t="s">
        <v>13</v>
      </c>
      <c r="F781">
        <v>987</v>
      </c>
      <c r="G781">
        <v>273</v>
      </c>
      <c r="H781" s="5" t="s">
        <v>139</v>
      </c>
      <c r="I781" s="5">
        <v>0</v>
      </c>
      <c r="J781" s="5">
        <v>0</v>
      </c>
      <c r="K781" t="s">
        <v>10384</v>
      </c>
      <c r="L781" cm="1">
        <f t="array" ref="L781">wordCount(K781)</f>
        <v>13</v>
      </c>
      <c r="M781">
        <f t="shared" si="24"/>
        <v>54</v>
      </c>
      <c r="N781">
        <v>0.55000000000000004</v>
      </c>
      <c r="O781" s="23" cm="1">
        <f t="array" ref="O781">WordListCount(K781,keywords!$A$2:$A$31)-WordListCount(K781,keywords!$B$2:$B$31)</f>
        <v>1</v>
      </c>
      <c r="P781" s="25">
        <f t="shared" si="25"/>
        <v>0.60270833333333329</v>
      </c>
      <c r="Q781" s="23">
        <f>SUM($O$2:O781)</f>
        <v>33</v>
      </c>
      <c r="Y781" s="14"/>
      <c r="Z781" s="13"/>
      <c r="AA781"/>
    </row>
    <row r="782" spans="1:27" x14ac:dyDescent="0.2">
      <c r="A782" s="12" t="s">
        <v>2502</v>
      </c>
      <c r="B782" t="s">
        <v>2503</v>
      </c>
      <c r="C782" t="s">
        <v>2504</v>
      </c>
      <c r="D782" t="s">
        <v>2505</v>
      </c>
      <c r="E782" t="s">
        <v>13</v>
      </c>
      <c r="F782">
        <v>5041</v>
      </c>
      <c r="G782">
        <v>1690</v>
      </c>
      <c r="H782" s="5" t="s">
        <v>22</v>
      </c>
      <c r="I782" s="5">
        <v>0</v>
      </c>
      <c r="J782" s="5">
        <v>0</v>
      </c>
      <c r="K782" t="s">
        <v>10385</v>
      </c>
      <c r="L782" cm="1">
        <f t="array" ref="L782">wordCount(K782)</f>
        <v>16</v>
      </c>
      <c r="M782">
        <f t="shared" si="24"/>
        <v>78</v>
      </c>
      <c r="N782">
        <v>0.44</v>
      </c>
      <c r="O782" s="23" cm="1">
        <f t="array" ref="O782">WordListCount(K782,keywords!$A$2:$A$31)-WordListCount(K782,keywords!$B$2:$B$31)</f>
        <v>0</v>
      </c>
      <c r="P782" s="25">
        <f t="shared" si="25"/>
        <v>0.60290509259259262</v>
      </c>
      <c r="Q782" s="23">
        <f>SUM($O$2:O782)</f>
        <v>33</v>
      </c>
      <c r="Y782" s="14"/>
      <c r="Z782" s="13"/>
      <c r="AA782"/>
    </row>
    <row r="783" spans="1:27" x14ac:dyDescent="0.2">
      <c r="A783" s="12" t="s">
        <v>2506</v>
      </c>
      <c r="B783" t="s">
        <v>2507</v>
      </c>
      <c r="C783" t="s">
        <v>2365</v>
      </c>
      <c r="D783" t="s">
        <v>2366</v>
      </c>
      <c r="E783" t="s">
        <v>13</v>
      </c>
      <c r="F783">
        <v>62083</v>
      </c>
      <c r="G783">
        <v>346</v>
      </c>
      <c r="H783" s="5" t="s">
        <v>96</v>
      </c>
      <c r="I783" s="5">
        <v>0</v>
      </c>
      <c r="J783" s="5">
        <v>0</v>
      </c>
      <c r="K783" t="s">
        <v>10386</v>
      </c>
      <c r="L783" cm="1">
        <f t="array" ref="L783">wordCount(K783)</f>
        <v>17</v>
      </c>
      <c r="M783">
        <f t="shared" si="24"/>
        <v>91</v>
      </c>
      <c r="N783">
        <v>0.5</v>
      </c>
      <c r="O783" s="23" cm="1">
        <f t="array" ref="O783">WordListCount(K783,keywords!$A$2:$A$31)-WordListCount(K783,keywords!$B$2:$B$31)</f>
        <v>0</v>
      </c>
      <c r="P783" s="25">
        <f t="shared" si="25"/>
        <v>0.60309027777777779</v>
      </c>
      <c r="Q783" s="23">
        <f>SUM($O$2:O783)</f>
        <v>33</v>
      </c>
      <c r="Y783" s="14"/>
      <c r="Z783" s="13"/>
      <c r="AA783"/>
    </row>
    <row r="784" spans="1:27" x14ac:dyDescent="0.2">
      <c r="A784" s="12" t="s">
        <v>2508</v>
      </c>
      <c r="B784" t="s">
        <v>2509</v>
      </c>
      <c r="C784" t="s">
        <v>2510</v>
      </c>
      <c r="D784" t="s">
        <v>2511</v>
      </c>
      <c r="E784" t="s">
        <v>13</v>
      </c>
      <c r="F784">
        <v>253</v>
      </c>
      <c r="G784">
        <v>542</v>
      </c>
      <c r="H784" s="5" t="s">
        <v>22</v>
      </c>
      <c r="I784" s="5">
        <v>0</v>
      </c>
      <c r="J784" s="5">
        <v>0</v>
      </c>
      <c r="K784" t="s">
        <v>10387</v>
      </c>
      <c r="L784" cm="1">
        <f t="array" ref="L784">wordCount(K784)</f>
        <v>23</v>
      </c>
      <c r="M784">
        <f t="shared" si="24"/>
        <v>113</v>
      </c>
      <c r="N784">
        <v>0.45454545454545453</v>
      </c>
      <c r="O784" s="23" cm="1">
        <f t="array" ref="O784">WordListCount(K784,keywords!$A$2:$A$31)-WordListCount(K784,keywords!$B$2:$B$31)</f>
        <v>0</v>
      </c>
      <c r="P784" s="25">
        <f t="shared" si="25"/>
        <v>0.60365740740740736</v>
      </c>
      <c r="Q784" s="23">
        <f>SUM($O$2:O784)</f>
        <v>33</v>
      </c>
      <c r="Y784" s="14"/>
      <c r="Z784" s="13"/>
      <c r="AA784"/>
    </row>
    <row r="785" spans="1:27" x14ac:dyDescent="0.2">
      <c r="A785" s="12" t="s">
        <v>2512</v>
      </c>
      <c r="B785" t="s">
        <v>2513</v>
      </c>
      <c r="C785" t="s">
        <v>2514</v>
      </c>
      <c r="D785" t="s">
        <v>12</v>
      </c>
      <c r="E785" t="s">
        <v>13</v>
      </c>
      <c r="F785">
        <v>4610</v>
      </c>
      <c r="G785">
        <v>449</v>
      </c>
      <c r="H785" s="5" t="s">
        <v>22</v>
      </c>
      <c r="I785" s="5">
        <v>0</v>
      </c>
      <c r="J785" s="5">
        <v>0</v>
      </c>
      <c r="K785" t="s">
        <v>10388</v>
      </c>
      <c r="L785" cm="1">
        <f t="array" ref="L785">wordCount(K785)</f>
        <v>14</v>
      </c>
      <c r="M785">
        <f t="shared" si="24"/>
        <v>103</v>
      </c>
      <c r="N785">
        <v>0.5</v>
      </c>
      <c r="O785" s="23" cm="1">
        <f t="array" ref="O785">WordListCount(K785,keywords!$A$2:$A$31)-WordListCount(K785,keywords!$B$2:$B$31)</f>
        <v>0</v>
      </c>
      <c r="P785" s="25">
        <f t="shared" si="25"/>
        <v>0.60388888888888892</v>
      </c>
      <c r="Q785" s="23">
        <f>SUM($O$2:O785)</f>
        <v>33</v>
      </c>
      <c r="Y785" s="14"/>
      <c r="Z785" s="13"/>
      <c r="AA785"/>
    </row>
    <row r="786" spans="1:27" x14ac:dyDescent="0.2">
      <c r="A786" s="12" t="s">
        <v>2515</v>
      </c>
      <c r="B786" t="s">
        <v>2516</v>
      </c>
      <c r="C786" t="s">
        <v>2517</v>
      </c>
      <c r="D786" t="s">
        <v>2518</v>
      </c>
      <c r="E786" t="s">
        <v>13</v>
      </c>
      <c r="F786">
        <v>683</v>
      </c>
      <c r="G786">
        <v>149</v>
      </c>
      <c r="H786" s="5" t="s">
        <v>22</v>
      </c>
      <c r="I786" s="5">
        <v>0</v>
      </c>
      <c r="J786" s="5">
        <v>0</v>
      </c>
      <c r="K786" t="s">
        <v>9274</v>
      </c>
      <c r="L786" cm="1">
        <f t="array" ref="L786">wordCount(K786)</f>
        <v>7</v>
      </c>
      <c r="M786">
        <f t="shared" si="24"/>
        <v>33</v>
      </c>
      <c r="N786">
        <v>0.66666666666666663</v>
      </c>
      <c r="O786" s="23" cm="1">
        <f t="array" ref="O786">WordListCount(K786,keywords!$A$2:$A$31)-WordListCount(K786,keywords!$B$2:$B$31)</f>
        <v>0</v>
      </c>
      <c r="P786" s="25">
        <f t="shared" si="25"/>
        <v>0.60403935185185187</v>
      </c>
      <c r="Q786" s="23">
        <f>SUM($O$2:O786)</f>
        <v>33</v>
      </c>
      <c r="Y786" s="14"/>
      <c r="Z786" s="13"/>
      <c r="AA786"/>
    </row>
    <row r="787" spans="1:27" x14ac:dyDescent="0.2">
      <c r="A787" s="12" t="s">
        <v>2515</v>
      </c>
      <c r="B787" t="s">
        <v>2519</v>
      </c>
      <c r="C787" t="s">
        <v>1557</v>
      </c>
      <c r="D787" t="s">
        <v>12</v>
      </c>
      <c r="E787" t="s">
        <v>13</v>
      </c>
      <c r="F787">
        <v>118</v>
      </c>
      <c r="G787">
        <v>110</v>
      </c>
      <c r="H787" s="5" t="s">
        <v>86</v>
      </c>
      <c r="I787" s="5">
        <v>0</v>
      </c>
      <c r="J787" s="5">
        <v>0</v>
      </c>
      <c r="K787" t="s">
        <v>9275</v>
      </c>
      <c r="L787" cm="1">
        <f t="array" ref="L787">wordCount(K787)</f>
        <v>10</v>
      </c>
      <c r="M787">
        <f t="shared" si="24"/>
        <v>57</v>
      </c>
      <c r="N787">
        <v>0.47058823529411764</v>
      </c>
      <c r="O787" s="23" cm="1">
        <f t="array" ref="O787">WordListCount(K787,keywords!$A$2:$A$31)-WordListCount(K787,keywords!$B$2:$B$31)</f>
        <v>-1</v>
      </c>
      <c r="P787" s="25">
        <f t="shared" si="25"/>
        <v>0.60403935185185187</v>
      </c>
      <c r="Q787" s="23">
        <f>SUM($O$2:O787)</f>
        <v>32</v>
      </c>
      <c r="Y787" s="14"/>
      <c r="Z787" s="13"/>
      <c r="AA787"/>
    </row>
    <row r="788" spans="1:27" x14ac:dyDescent="0.2">
      <c r="A788" s="12" t="s">
        <v>2520</v>
      </c>
      <c r="B788" t="s">
        <v>2521</v>
      </c>
      <c r="C788" t="s">
        <v>2522</v>
      </c>
      <c r="D788" t="s">
        <v>2523</v>
      </c>
      <c r="E788" t="s">
        <v>13</v>
      </c>
      <c r="F788">
        <v>157</v>
      </c>
      <c r="G788">
        <v>83</v>
      </c>
      <c r="H788" s="5" t="s">
        <v>22</v>
      </c>
      <c r="I788" s="5">
        <v>0</v>
      </c>
      <c r="J788" s="5">
        <v>0</v>
      </c>
      <c r="K788" t="s">
        <v>10389</v>
      </c>
      <c r="L788" cm="1">
        <f t="array" ref="L788">wordCount(K788)</f>
        <v>18</v>
      </c>
      <c r="M788">
        <f t="shared" si="24"/>
        <v>86</v>
      </c>
      <c r="N788">
        <v>0.52173913043478259</v>
      </c>
      <c r="O788" s="23" cm="1">
        <f t="array" ref="O788">WordListCount(K788,keywords!$A$2:$A$31)-WordListCount(K788,keywords!$B$2:$B$31)</f>
        <v>1</v>
      </c>
      <c r="P788" s="25">
        <f t="shared" si="25"/>
        <v>0.60417824074074067</v>
      </c>
      <c r="Q788" s="23">
        <f>SUM($O$2:O788)</f>
        <v>33</v>
      </c>
      <c r="Y788" s="14"/>
      <c r="Z788" s="13"/>
      <c r="AA788"/>
    </row>
    <row r="789" spans="1:27" x14ac:dyDescent="0.2">
      <c r="A789" s="12" t="s">
        <v>2524</v>
      </c>
      <c r="B789" t="s">
        <v>2525</v>
      </c>
      <c r="C789" t="s">
        <v>306</v>
      </c>
      <c r="D789" t="s">
        <v>307</v>
      </c>
      <c r="E789" t="s">
        <v>13</v>
      </c>
      <c r="F789">
        <v>228</v>
      </c>
      <c r="G789">
        <v>1</v>
      </c>
      <c r="H789" s="5" t="s">
        <v>22</v>
      </c>
      <c r="I789" s="5">
        <v>0</v>
      </c>
      <c r="J789" s="5">
        <v>0</v>
      </c>
      <c r="K789" t="s">
        <v>9276</v>
      </c>
      <c r="L789" cm="1">
        <f t="array" ref="L789">wordCount(K789)</f>
        <v>7</v>
      </c>
      <c r="M789">
        <f t="shared" si="24"/>
        <v>104</v>
      </c>
      <c r="N789">
        <v>0.53846153846153844</v>
      </c>
      <c r="O789" s="23" cm="1">
        <f t="array" ref="O789">WordListCount(K789,keywords!$A$2:$A$31)-WordListCount(K789,keywords!$B$2:$B$31)</f>
        <v>0</v>
      </c>
      <c r="P789" s="25">
        <f t="shared" si="25"/>
        <v>0.60418981481481482</v>
      </c>
      <c r="Q789" s="23">
        <f>SUM($O$2:O789)</f>
        <v>33</v>
      </c>
      <c r="Y789" s="14"/>
      <c r="Z789" s="13"/>
      <c r="AA789"/>
    </row>
    <row r="790" spans="1:27" x14ac:dyDescent="0.2">
      <c r="A790" s="12" t="s">
        <v>2526</v>
      </c>
      <c r="B790" t="s">
        <v>2527</v>
      </c>
      <c r="C790" t="s">
        <v>1277</v>
      </c>
      <c r="D790" t="s">
        <v>1278</v>
      </c>
      <c r="E790" t="s">
        <v>13</v>
      </c>
      <c r="F790">
        <v>7994</v>
      </c>
      <c r="G790">
        <v>410</v>
      </c>
      <c r="H790" s="5" t="s">
        <v>22</v>
      </c>
      <c r="I790" s="5">
        <v>0</v>
      </c>
      <c r="J790" s="5">
        <v>0</v>
      </c>
      <c r="K790" t="s">
        <v>10390</v>
      </c>
      <c r="L790" cm="1">
        <f t="array" ref="L790">wordCount(K790)</f>
        <v>21</v>
      </c>
      <c r="M790">
        <f t="shared" si="24"/>
        <v>107</v>
      </c>
      <c r="N790">
        <v>0.30769230769230771</v>
      </c>
      <c r="O790" s="23" cm="1">
        <f t="array" ref="O790">WordListCount(K790,keywords!$A$2:$A$31)-WordListCount(K790,keywords!$B$2:$B$31)</f>
        <v>0</v>
      </c>
      <c r="P790" s="25">
        <f t="shared" si="25"/>
        <v>0.60422453703703705</v>
      </c>
      <c r="Q790" s="23">
        <f>SUM($O$2:O790)</f>
        <v>33</v>
      </c>
      <c r="Y790" s="14"/>
      <c r="Z790" s="13"/>
      <c r="AA790"/>
    </row>
    <row r="791" spans="1:27" x14ac:dyDescent="0.2">
      <c r="A791" s="12" t="s">
        <v>2528</v>
      </c>
      <c r="B791" t="s">
        <v>2529</v>
      </c>
      <c r="C791" t="s">
        <v>2530</v>
      </c>
      <c r="D791" t="s">
        <v>12</v>
      </c>
      <c r="E791" t="s">
        <v>13</v>
      </c>
      <c r="F791">
        <v>392</v>
      </c>
      <c r="G791">
        <v>494</v>
      </c>
      <c r="H791" s="5" t="s">
        <v>22</v>
      </c>
      <c r="I791" s="5">
        <v>0</v>
      </c>
      <c r="J791" s="5">
        <v>0</v>
      </c>
      <c r="K791" t="s">
        <v>10391</v>
      </c>
      <c r="L791" cm="1">
        <f t="array" ref="L791">wordCount(K791)</f>
        <v>21</v>
      </c>
      <c r="M791">
        <f t="shared" si="24"/>
        <v>137</v>
      </c>
      <c r="N791">
        <v>0.55555555555555558</v>
      </c>
      <c r="O791" s="23" cm="1">
        <f t="array" ref="O791">WordListCount(K791,keywords!$A$2:$A$31)-WordListCount(K791,keywords!$B$2:$B$31)</f>
        <v>0</v>
      </c>
      <c r="P791" s="25">
        <f t="shared" si="25"/>
        <v>0.60423611111111108</v>
      </c>
      <c r="Q791" s="23">
        <f>SUM($O$2:O791)</f>
        <v>33</v>
      </c>
      <c r="Y791" s="14"/>
      <c r="Z791" s="13"/>
      <c r="AA791"/>
    </row>
    <row r="792" spans="1:27" x14ac:dyDescent="0.2">
      <c r="A792" s="12" t="s">
        <v>2531</v>
      </c>
      <c r="B792" t="s">
        <v>2532</v>
      </c>
      <c r="C792" t="s">
        <v>2533</v>
      </c>
      <c r="D792" t="s">
        <v>2363</v>
      </c>
      <c r="E792" t="s">
        <v>13</v>
      </c>
      <c r="F792">
        <v>135</v>
      </c>
      <c r="G792">
        <v>391</v>
      </c>
      <c r="H792" s="5" t="s">
        <v>22</v>
      </c>
      <c r="I792" s="5">
        <v>0</v>
      </c>
      <c r="J792" s="5">
        <v>0</v>
      </c>
      <c r="K792" t="s">
        <v>10392</v>
      </c>
      <c r="L792" cm="1">
        <f t="array" ref="L792">wordCount(K792)</f>
        <v>9</v>
      </c>
      <c r="M792">
        <f t="shared" si="24"/>
        <v>49</v>
      </c>
      <c r="N792">
        <v>0.2</v>
      </c>
      <c r="O792" s="23" cm="1">
        <f t="array" ref="O792">WordListCount(K792,keywords!$A$2:$A$31)-WordListCount(K792,keywords!$B$2:$B$31)</f>
        <v>0</v>
      </c>
      <c r="P792" s="25">
        <f t="shared" si="25"/>
        <v>0.60424768518518512</v>
      </c>
      <c r="Q792" s="23">
        <f>SUM($O$2:O792)</f>
        <v>33</v>
      </c>
      <c r="Y792" s="14"/>
      <c r="Z792" s="13"/>
      <c r="AA792"/>
    </row>
    <row r="793" spans="1:27" x14ac:dyDescent="0.2">
      <c r="A793" s="12" t="s">
        <v>2534</v>
      </c>
      <c r="B793" t="s">
        <v>2535</v>
      </c>
      <c r="C793" t="s">
        <v>2536</v>
      </c>
      <c r="D793" t="s">
        <v>875</v>
      </c>
      <c r="E793" t="s">
        <v>13</v>
      </c>
      <c r="F793">
        <v>768</v>
      </c>
      <c r="G793">
        <v>491</v>
      </c>
      <c r="H793" s="5" t="s">
        <v>393</v>
      </c>
      <c r="I793" s="5">
        <v>0</v>
      </c>
      <c r="J793" s="5">
        <v>0</v>
      </c>
      <c r="K793" t="s">
        <v>9047</v>
      </c>
      <c r="L793" cm="1">
        <f t="array" ref="L793">wordCount(K793)</f>
        <v>1</v>
      </c>
      <c r="M793">
        <f t="shared" si="24"/>
        <v>7</v>
      </c>
      <c r="N793">
        <v>0.5</v>
      </c>
      <c r="O793" s="23" cm="1">
        <f t="array" ref="O793">WordListCount(K793,keywords!$A$2:$A$31)-WordListCount(K793,keywords!$B$2:$B$31)</f>
        <v>0</v>
      </c>
      <c r="P793" s="25">
        <f t="shared" si="25"/>
        <v>0.60443287037037041</v>
      </c>
      <c r="Q793" s="23">
        <f>SUM($O$2:O793)</f>
        <v>33</v>
      </c>
      <c r="Y793" s="14"/>
      <c r="Z793" s="13"/>
      <c r="AA793"/>
    </row>
    <row r="794" spans="1:27" x14ac:dyDescent="0.2">
      <c r="A794" s="12" t="s">
        <v>2537</v>
      </c>
      <c r="B794" t="s">
        <v>2538</v>
      </c>
      <c r="C794" t="s">
        <v>2539</v>
      </c>
      <c r="D794" t="s">
        <v>2540</v>
      </c>
      <c r="E794" t="s">
        <v>13</v>
      </c>
      <c r="F794">
        <v>5933</v>
      </c>
      <c r="G794">
        <v>6027</v>
      </c>
      <c r="H794" s="5" t="s">
        <v>22</v>
      </c>
      <c r="I794" s="5">
        <v>0</v>
      </c>
      <c r="J794" s="5">
        <v>0</v>
      </c>
      <c r="K794" t="s">
        <v>10393</v>
      </c>
      <c r="L794" cm="1">
        <f t="array" ref="L794">wordCount(K794)</f>
        <v>15</v>
      </c>
      <c r="M794">
        <f t="shared" si="24"/>
        <v>78</v>
      </c>
      <c r="N794">
        <v>0.36363636363636365</v>
      </c>
      <c r="O794" s="23" cm="1">
        <f t="array" ref="O794">WordListCount(K794,keywords!$A$2:$A$31)-WordListCount(K794,keywords!$B$2:$B$31)</f>
        <v>0</v>
      </c>
      <c r="P794" s="25">
        <f t="shared" si="25"/>
        <v>0.60447916666666668</v>
      </c>
      <c r="Q794" s="23">
        <f>SUM($O$2:O794)</f>
        <v>33</v>
      </c>
      <c r="Y794" s="14"/>
      <c r="Z794" s="13"/>
      <c r="AA794"/>
    </row>
    <row r="795" spans="1:27" x14ac:dyDescent="0.2">
      <c r="A795" s="12" t="s">
        <v>2541</v>
      </c>
      <c r="B795" t="s">
        <v>2542</v>
      </c>
      <c r="C795" t="s">
        <v>418</v>
      </c>
      <c r="D795" t="s">
        <v>419</v>
      </c>
      <c r="E795" t="s">
        <v>13</v>
      </c>
      <c r="F795">
        <v>53</v>
      </c>
      <c r="G795">
        <v>242</v>
      </c>
      <c r="H795" s="5" t="s">
        <v>22</v>
      </c>
      <c r="I795" s="5">
        <v>0</v>
      </c>
      <c r="J795" s="5">
        <v>0</v>
      </c>
      <c r="K795" t="s">
        <v>10394</v>
      </c>
      <c r="L795" cm="1">
        <f t="array" ref="L795">wordCount(K795)</f>
        <v>25</v>
      </c>
      <c r="M795">
        <f t="shared" si="24"/>
        <v>107</v>
      </c>
      <c r="N795">
        <v>0.41379310344827586</v>
      </c>
      <c r="O795" s="23" cm="1">
        <f t="array" ref="O795">WordListCount(K795,keywords!$A$2:$A$31)-WordListCount(K795,keywords!$B$2:$B$31)</f>
        <v>0</v>
      </c>
      <c r="P795" s="25">
        <f t="shared" si="25"/>
        <v>0.60484953703703703</v>
      </c>
      <c r="Q795" s="23">
        <f>SUM($O$2:O795)</f>
        <v>33</v>
      </c>
      <c r="Y795" s="14"/>
      <c r="Z795" s="13"/>
      <c r="AA795"/>
    </row>
    <row r="796" spans="1:27" x14ac:dyDescent="0.2">
      <c r="A796" s="12" t="s">
        <v>2543</v>
      </c>
      <c r="B796" t="s">
        <v>2544</v>
      </c>
      <c r="C796" t="s">
        <v>2545</v>
      </c>
      <c r="D796" t="s">
        <v>2546</v>
      </c>
      <c r="E796" t="s">
        <v>13</v>
      </c>
      <c r="F796">
        <v>120</v>
      </c>
      <c r="G796">
        <v>140</v>
      </c>
      <c r="H796" s="5" t="s">
        <v>22</v>
      </c>
      <c r="I796" s="5">
        <v>0</v>
      </c>
      <c r="J796" s="5">
        <v>0</v>
      </c>
      <c r="K796" t="s">
        <v>10395</v>
      </c>
      <c r="L796" cm="1">
        <f t="array" ref="L796">wordCount(K796)</f>
        <v>16</v>
      </c>
      <c r="M796">
        <f t="shared" si="24"/>
        <v>89</v>
      </c>
      <c r="N796">
        <v>0.42857142857142855</v>
      </c>
      <c r="O796" s="23" cm="1">
        <f t="array" ref="O796">WordListCount(K796,keywords!$A$2:$A$31)-WordListCount(K796,keywords!$B$2:$B$31)</f>
        <v>1</v>
      </c>
      <c r="P796" s="25">
        <f t="shared" si="25"/>
        <v>0.60499999999999998</v>
      </c>
      <c r="Q796" s="23">
        <f>SUM($O$2:O796)</f>
        <v>34</v>
      </c>
      <c r="Y796" s="14"/>
      <c r="Z796" s="13"/>
      <c r="AA796"/>
    </row>
    <row r="797" spans="1:27" x14ac:dyDescent="0.2">
      <c r="A797" s="12" t="s">
        <v>2547</v>
      </c>
      <c r="B797" t="s">
        <v>2548</v>
      </c>
      <c r="C797" t="s">
        <v>318</v>
      </c>
      <c r="D797" t="s">
        <v>319</v>
      </c>
      <c r="E797" t="s">
        <v>13</v>
      </c>
      <c r="F797">
        <v>51</v>
      </c>
      <c r="G797">
        <v>62</v>
      </c>
      <c r="H797" s="5" t="s">
        <v>22</v>
      </c>
      <c r="I797" s="5">
        <v>0</v>
      </c>
      <c r="J797" s="5">
        <v>0</v>
      </c>
      <c r="K797" t="s">
        <v>10396</v>
      </c>
      <c r="L797" cm="1">
        <f t="array" ref="L797">wordCount(K797)</f>
        <v>14</v>
      </c>
      <c r="M797">
        <f t="shared" si="24"/>
        <v>75</v>
      </c>
      <c r="N797">
        <v>0.82352941176470584</v>
      </c>
      <c r="O797" s="23" cm="1">
        <f t="array" ref="O797">WordListCount(K797,keywords!$A$2:$A$31)-WordListCount(K797,keywords!$B$2:$B$31)</f>
        <v>0</v>
      </c>
      <c r="P797" s="25">
        <f t="shared" si="25"/>
        <v>0.60501157407407413</v>
      </c>
      <c r="Q797" s="23">
        <f>SUM($O$2:O797)</f>
        <v>34</v>
      </c>
      <c r="Y797" s="14"/>
      <c r="Z797" s="13"/>
      <c r="AA797"/>
    </row>
    <row r="798" spans="1:27" x14ac:dyDescent="0.2">
      <c r="A798" s="12" t="s">
        <v>2549</v>
      </c>
      <c r="B798" t="s">
        <v>2550</v>
      </c>
      <c r="C798" t="s">
        <v>2551</v>
      </c>
      <c r="D798" t="s">
        <v>594</v>
      </c>
      <c r="E798" t="s">
        <v>13</v>
      </c>
      <c r="F798">
        <v>1883</v>
      </c>
      <c r="G798">
        <v>4861</v>
      </c>
      <c r="H798" s="5" t="s">
        <v>22</v>
      </c>
      <c r="I798" s="5">
        <v>0</v>
      </c>
      <c r="J798" s="5">
        <v>0</v>
      </c>
      <c r="K798" t="s">
        <v>9277</v>
      </c>
      <c r="L798" cm="1">
        <f t="array" ref="L798">wordCount(K798)</f>
        <v>8</v>
      </c>
      <c r="M798">
        <f t="shared" si="24"/>
        <v>29</v>
      </c>
      <c r="N798">
        <v>0.73076923076923073</v>
      </c>
      <c r="O798" s="23" cm="1">
        <f t="array" ref="O798">WordListCount(K798,keywords!$A$2:$A$31)-WordListCount(K798,keywords!$B$2:$B$31)</f>
        <v>0</v>
      </c>
      <c r="P798" s="25">
        <f t="shared" si="25"/>
        <v>0.6051157407407407</v>
      </c>
      <c r="Q798" s="23">
        <f>SUM($O$2:O798)</f>
        <v>34</v>
      </c>
      <c r="Y798" s="14"/>
      <c r="Z798" s="13"/>
      <c r="AA798"/>
    </row>
    <row r="799" spans="1:27" x14ac:dyDescent="0.2">
      <c r="A799" s="12" t="s">
        <v>2552</v>
      </c>
      <c r="B799" t="s">
        <v>2553</v>
      </c>
      <c r="C799" t="s">
        <v>2554</v>
      </c>
      <c r="D799" t="s">
        <v>2555</v>
      </c>
      <c r="E799" t="s">
        <v>13</v>
      </c>
      <c r="F799">
        <v>98</v>
      </c>
      <c r="G799">
        <v>134</v>
      </c>
      <c r="H799" s="5" t="s">
        <v>22</v>
      </c>
      <c r="I799" s="5">
        <v>0</v>
      </c>
      <c r="J799" s="5">
        <v>0</v>
      </c>
      <c r="K799" t="s">
        <v>9278</v>
      </c>
      <c r="L799" cm="1">
        <f t="array" ref="L799">wordCount(K799)</f>
        <v>6</v>
      </c>
      <c r="M799">
        <f t="shared" si="24"/>
        <v>24</v>
      </c>
      <c r="N799">
        <v>0.88888888888888884</v>
      </c>
      <c r="O799" s="23" cm="1">
        <f t="array" ref="O799">WordListCount(K799,keywords!$A$2:$A$31)-WordListCount(K799,keywords!$B$2:$B$31)</f>
        <v>1</v>
      </c>
      <c r="P799" s="25">
        <f t="shared" si="25"/>
        <v>0.60517361111111112</v>
      </c>
      <c r="Q799" s="23">
        <f>SUM($O$2:O799)</f>
        <v>35</v>
      </c>
      <c r="Y799" s="14"/>
      <c r="Z799" s="13"/>
      <c r="AA799"/>
    </row>
    <row r="800" spans="1:27" x14ac:dyDescent="0.2">
      <c r="A800" s="12" t="s">
        <v>2556</v>
      </c>
      <c r="B800" t="s">
        <v>2557</v>
      </c>
      <c r="C800" t="s">
        <v>2558</v>
      </c>
      <c r="D800" t="s">
        <v>2559</v>
      </c>
      <c r="E800" t="s">
        <v>13</v>
      </c>
      <c r="F800">
        <v>48</v>
      </c>
      <c r="G800">
        <v>108</v>
      </c>
      <c r="H800" s="5" t="s">
        <v>22</v>
      </c>
      <c r="I800" s="5">
        <v>0</v>
      </c>
      <c r="J800" s="5">
        <v>0</v>
      </c>
      <c r="K800" t="s">
        <v>10397</v>
      </c>
      <c r="L800" cm="1">
        <f t="array" ref="L800">wordCount(K800)</f>
        <v>20</v>
      </c>
      <c r="M800">
        <f t="shared" si="24"/>
        <v>84</v>
      </c>
      <c r="N800">
        <v>0.66666666666666663</v>
      </c>
      <c r="O800" s="23" cm="1">
        <f t="array" ref="O800">WordListCount(K800,keywords!$A$2:$A$31)-WordListCount(K800,keywords!$B$2:$B$31)</f>
        <v>0</v>
      </c>
      <c r="P800" s="25">
        <f t="shared" si="25"/>
        <v>0.60540509259259256</v>
      </c>
      <c r="Q800" s="23">
        <f>SUM($O$2:O800)</f>
        <v>35</v>
      </c>
      <c r="Y800" s="14"/>
      <c r="Z800" s="13"/>
      <c r="AA800"/>
    </row>
    <row r="801" spans="1:27" x14ac:dyDescent="0.2">
      <c r="A801" s="12" t="s">
        <v>2560</v>
      </c>
      <c r="B801" t="s">
        <v>2561</v>
      </c>
      <c r="C801" t="s">
        <v>2562</v>
      </c>
      <c r="D801" t="s">
        <v>12</v>
      </c>
      <c r="E801" t="s">
        <v>13</v>
      </c>
      <c r="F801">
        <v>18</v>
      </c>
      <c r="G801">
        <v>166</v>
      </c>
      <c r="H801" s="5" t="s">
        <v>22</v>
      </c>
      <c r="I801" s="5">
        <v>0</v>
      </c>
      <c r="J801" s="5">
        <v>0</v>
      </c>
      <c r="K801" t="s">
        <v>10398</v>
      </c>
      <c r="L801" cm="1">
        <f t="array" ref="L801">wordCount(K801)</f>
        <v>18</v>
      </c>
      <c r="M801">
        <f t="shared" si="24"/>
        <v>91</v>
      </c>
      <c r="N801">
        <v>0.58064516129032262</v>
      </c>
      <c r="O801" s="23" cm="1">
        <f t="array" ref="O801">WordListCount(K801,keywords!$A$2:$A$31)-WordListCount(K801,keywords!$B$2:$B$31)</f>
        <v>0</v>
      </c>
      <c r="P801" s="25">
        <f t="shared" si="25"/>
        <v>0.6056597222222222</v>
      </c>
      <c r="Q801" s="23">
        <f>SUM($O$2:O801)</f>
        <v>35</v>
      </c>
      <c r="Y801" s="14"/>
      <c r="Z801" s="13"/>
      <c r="AA801"/>
    </row>
    <row r="802" spans="1:27" x14ac:dyDescent="0.2">
      <c r="A802" s="12" t="s">
        <v>2563</v>
      </c>
      <c r="B802" t="s">
        <v>2564</v>
      </c>
      <c r="C802" t="s">
        <v>2565</v>
      </c>
      <c r="D802" t="s">
        <v>12</v>
      </c>
      <c r="E802" t="s">
        <v>13</v>
      </c>
      <c r="F802">
        <v>7</v>
      </c>
      <c r="G802">
        <v>155</v>
      </c>
      <c r="H802" s="5" t="s">
        <v>22</v>
      </c>
      <c r="I802" s="5">
        <v>0</v>
      </c>
      <c r="J802" s="5">
        <v>0</v>
      </c>
      <c r="K802" t="s">
        <v>9279</v>
      </c>
      <c r="L802" cm="1">
        <f t="array" ref="L802">wordCount(K802)</f>
        <v>7</v>
      </c>
      <c r="M802">
        <f t="shared" si="24"/>
        <v>36</v>
      </c>
      <c r="N802">
        <v>0.2857142857142857</v>
      </c>
      <c r="O802" s="23" cm="1">
        <f t="array" ref="O802">WordListCount(K802,keywords!$A$2:$A$31)-WordListCount(K802,keywords!$B$2:$B$31)</f>
        <v>0</v>
      </c>
      <c r="P802" s="25">
        <f t="shared" si="25"/>
        <v>0.60568287037037039</v>
      </c>
      <c r="Q802" s="23">
        <f>SUM($O$2:O802)</f>
        <v>35</v>
      </c>
      <c r="Y802" s="14"/>
      <c r="Z802" s="13"/>
      <c r="AA802"/>
    </row>
    <row r="803" spans="1:27" x14ac:dyDescent="0.2">
      <c r="A803" s="12" t="s">
        <v>2566</v>
      </c>
      <c r="B803" t="s">
        <v>2567</v>
      </c>
      <c r="C803" t="s">
        <v>2554</v>
      </c>
      <c r="D803" t="s">
        <v>2555</v>
      </c>
      <c r="E803" t="s">
        <v>13</v>
      </c>
      <c r="F803">
        <v>98</v>
      </c>
      <c r="G803">
        <v>134</v>
      </c>
      <c r="H803" s="5" t="s">
        <v>22</v>
      </c>
      <c r="I803" s="5">
        <v>0</v>
      </c>
      <c r="J803" s="5">
        <v>0</v>
      </c>
      <c r="K803" t="s">
        <v>9280</v>
      </c>
      <c r="L803" cm="1">
        <f t="array" ref="L803">wordCount(K803)</f>
        <v>6</v>
      </c>
      <c r="M803">
        <f t="shared" si="24"/>
        <v>27</v>
      </c>
      <c r="N803">
        <v>0.625</v>
      </c>
      <c r="O803" s="23" cm="1">
        <f t="array" ref="O803">WordListCount(K803,keywords!$A$2:$A$31)-WordListCount(K803,keywords!$B$2:$B$31)</f>
        <v>0</v>
      </c>
      <c r="P803" s="25">
        <f t="shared" si="25"/>
        <v>0.60571759259259261</v>
      </c>
      <c r="Q803" s="23">
        <f>SUM($O$2:O803)</f>
        <v>35</v>
      </c>
      <c r="Y803" s="14"/>
      <c r="Z803" s="13"/>
      <c r="AA803"/>
    </row>
    <row r="804" spans="1:27" x14ac:dyDescent="0.2">
      <c r="A804" s="12" t="s">
        <v>2568</v>
      </c>
      <c r="B804" t="s">
        <v>2569</v>
      </c>
      <c r="C804" t="s">
        <v>2570</v>
      </c>
      <c r="D804" t="s">
        <v>2571</v>
      </c>
      <c r="E804" t="s">
        <v>13</v>
      </c>
      <c r="F804">
        <v>11</v>
      </c>
      <c r="G804">
        <v>84</v>
      </c>
      <c r="H804" s="5" t="s">
        <v>22</v>
      </c>
      <c r="I804" s="5">
        <v>0</v>
      </c>
      <c r="J804" s="5">
        <v>0</v>
      </c>
      <c r="K804" t="s">
        <v>9281</v>
      </c>
      <c r="L804" cm="1">
        <f t="array" ref="L804">wordCount(K804)</f>
        <v>12</v>
      </c>
      <c r="M804">
        <f t="shared" si="24"/>
        <v>54</v>
      </c>
      <c r="N804">
        <v>0.21428571428571427</v>
      </c>
      <c r="O804" s="23" cm="1">
        <f t="array" ref="O804">WordListCount(K804,keywords!$A$2:$A$31)-WordListCount(K804,keywords!$B$2:$B$31)</f>
        <v>0</v>
      </c>
      <c r="P804" s="25">
        <f t="shared" si="25"/>
        <v>0.6057407407407408</v>
      </c>
      <c r="Q804" s="23">
        <f>SUM($O$2:O804)</f>
        <v>35</v>
      </c>
      <c r="Y804" s="14"/>
      <c r="Z804" s="13"/>
      <c r="AA804"/>
    </row>
    <row r="805" spans="1:27" x14ac:dyDescent="0.2">
      <c r="A805" s="12" t="s">
        <v>2572</v>
      </c>
      <c r="B805" t="s">
        <v>2573</v>
      </c>
      <c r="C805" t="s">
        <v>2486</v>
      </c>
      <c r="D805" t="s">
        <v>74</v>
      </c>
      <c r="E805" t="s">
        <v>13</v>
      </c>
      <c r="F805">
        <v>168</v>
      </c>
      <c r="G805">
        <v>52</v>
      </c>
      <c r="H805" s="5" t="s">
        <v>22</v>
      </c>
      <c r="I805" s="5">
        <v>0</v>
      </c>
      <c r="J805" s="5">
        <v>0</v>
      </c>
      <c r="K805" t="s">
        <v>10399</v>
      </c>
      <c r="L805" cm="1">
        <f t="array" ref="L805">wordCount(K805)</f>
        <v>12</v>
      </c>
      <c r="M805">
        <f t="shared" si="24"/>
        <v>59</v>
      </c>
      <c r="N805">
        <v>0.18181818181818182</v>
      </c>
      <c r="O805" s="23" cm="1">
        <f t="array" ref="O805">WordListCount(K805,keywords!$A$2:$A$31)-WordListCount(K805,keywords!$B$2:$B$31)</f>
        <v>0</v>
      </c>
      <c r="P805" s="25">
        <f t="shared" si="25"/>
        <v>0.60575231481481484</v>
      </c>
      <c r="Q805" s="23">
        <f>SUM($O$2:O805)</f>
        <v>35</v>
      </c>
      <c r="Y805" s="14"/>
      <c r="Z805" s="13"/>
      <c r="AA805"/>
    </row>
    <row r="806" spans="1:27" x14ac:dyDescent="0.2">
      <c r="A806" s="12" t="s">
        <v>2574</v>
      </c>
      <c r="B806" t="s">
        <v>2575</v>
      </c>
      <c r="C806" t="s">
        <v>2576</v>
      </c>
      <c r="D806" t="s">
        <v>2577</v>
      </c>
      <c r="E806" t="s">
        <v>13</v>
      </c>
      <c r="F806">
        <v>126</v>
      </c>
      <c r="G806">
        <v>657</v>
      </c>
      <c r="H806" s="5" t="s">
        <v>22</v>
      </c>
      <c r="I806" s="5">
        <v>0</v>
      </c>
      <c r="J806" s="5">
        <v>0</v>
      </c>
      <c r="K806" t="s">
        <v>10400</v>
      </c>
      <c r="L806" cm="1">
        <f t="array" ref="L806">wordCount(K806)</f>
        <v>20</v>
      </c>
      <c r="M806">
        <f t="shared" si="24"/>
        <v>103</v>
      </c>
      <c r="N806">
        <v>0.29166666666666669</v>
      </c>
      <c r="O806" s="23" cm="1">
        <f t="array" ref="O806">WordListCount(K806,keywords!$A$2:$A$31)-WordListCount(K806,keywords!$B$2:$B$31)</f>
        <v>0</v>
      </c>
      <c r="P806" s="25">
        <f t="shared" si="25"/>
        <v>0.60589120370370375</v>
      </c>
      <c r="Q806" s="23">
        <f>SUM($O$2:O806)</f>
        <v>35</v>
      </c>
      <c r="Y806" s="14"/>
      <c r="Z806" s="13"/>
      <c r="AA806"/>
    </row>
    <row r="807" spans="1:27" x14ac:dyDescent="0.2">
      <c r="A807" s="12" t="s">
        <v>2578</v>
      </c>
      <c r="B807" t="s">
        <v>2579</v>
      </c>
      <c r="C807" t="s">
        <v>1557</v>
      </c>
      <c r="D807" t="s">
        <v>12</v>
      </c>
      <c r="E807" t="s">
        <v>13</v>
      </c>
      <c r="F807">
        <v>118</v>
      </c>
      <c r="G807">
        <v>110</v>
      </c>
      <c r="H807" s="5" t="s">
        <v>86</v>
      </c>
      <c r="I807" s="5">
        <v>0</v>
      </c>
      <c r="J807" s="5">
        <v>0</v>
      </c>
      <c r="K807" t="s">
        <v>9282</v>
      </c>
      <c r="L807" cm="1">
        <f t="array" ref="L807">wordCount(K807)</f>
        <v>7</v>
      </c>
      <c r="M807">
        <f t="shared" si="24"/>
        <v>33</v>
      </c>
      <c r="N807">
        <v>0.5625</v>
      </c>
      <c r="O807" s="23" cm="1">
        <f t="array" ref="O807">WordListCount(K807,keywords!$A$2:$A$31)-WordListCount(K807,keywords!$B$2:$B$31)</f>
        <v>0</v>
      </c>
      <c r="P807" s="25">
        <f t="shared" si="25"/>
        <v>0.60633101851851856</v>
      </c>
      <c r="Q807" s="23">
        <f>SUM($O$2:O807)</f>
        <v>35</v>
      </c>
      <c r="Y807" s="14"/>
      <c r="Z807" s="13"/>
      <c r="AA807"/>
    </row>
    <row r="808" spans="1:27" x14ac:dyDescent="0.2">
      <c r="A808" s="12" t="s">
        <v>2580</v>
      </c>
      <c r="B808" t="s">
        <v>2581</v>
      </c>
      <c r="C808" t="s">
        <v>2582</v>
      </c>
      <c r="D808" t="s">
        <v>12</v>
      </c>
      <c r="E808" t="s">
        <v>13</v>
      </c>
      <c r="F808">
        <v>222</v>
      </c>
      <c r="G808">
        <v>224</v>
      </c>
      <c r="H808" s="5" t="s">
        <v>22</v>
      </c>
      <c r="I808" s="5">
        <v>0</v>
      </c>
      <c r="J808" s="5">
        <v>0</v>
      </c>
      <c r="K808" t="s">
        <v>9283</v>
      </c>
      <c r="L808" cm="1">
        <f t="array" ref="L808">wordCount(K808)</f>
        <v>5</v>
      </c>
      <c r="M808">
        <f t="shared" si="24"/>
        <v>17</v>
      </c>
      <c r="N808">
        <v>0.7</v>
      </c>
      <c r="O808" s="23" cm="1">
        <f t="array" ref="O808">WordListCount(K808,keywords!$A$2:$A$31)-WordListCount(K808,keywords!$B$2:$B$31)</f>
        <v>0</v>
      </c>
      <c r="P808" s="25">
        <f t="shared" si="25"/>
        <v>0.60659722222222223</v>
      </c>
      <c r="Q808" s="23">
        <f>SUM($O$2:O808)</f>
        <v>35</v>
      </c>
      <c r="Y808" s="14"/>
      <c r="Z808" s="13"/>
      <c r="AA808"/>
    </row>
    <row r="809" spans="1:27" x14ac:dyDescent="0.2">
      <c r="A809" s="12" t="s">
        <v>2583</v>
      </c>
      <c r="B809" t="s">
        <v>2584</v>
      </c>
      <c r="C809" t="s">
        <v>2585</v>
      </c>
      <c r="D809" t="s">
        <v>1045</v>
      </c>
      <c r="E809" t="s">
        <v>13</v>
      </c>
      <c r="F809">
        <v>940</v>
      </c>
      <c r="G809">
        <v>718</v>
      </c>
      <c r="H809" s="5" t="s">
        <v>22</v>
      </c>
      <c r="I809" s="5">
        <v>0</v>
      </c>
      <c r="J809" s="5">
        <v>0</v>
      </c>
      <c r="K809" t="s">
        <v>9047</v>
      </c>
      <c r="L809" cm="1">
        <f t="array" ref="L809">wordCount(K809)</f>
        <v>1</v>
      </c>
      <c r="M809">
        <f t="shared" si="24"/>
        <v>7</v>
      </c>
      <c r="N809">
        <v>0.5</v>
      </c>
      <c r="O809" s="23" cm="1">
        <f t="array" ref="O809">WordListCount(K809,keywords!$A$2:$A$31)-WordListCount(K809,keywords!$B$2:$B$31)</f>
        <v>0</v>
      </c>
      <c r="P809" s="25">
        <f t="shared" si="25"/>
        <v>0.60685185185185186</v>
      </c>
      <c r="Q809" s="23">
        <f>SUM($O$2:O809)</f>
        <v>35</v>
      </c>
      <c r="Y809" s="14"/>
      <c r="Z809" s="13"/>
      <c r="AA809"/>
    </row>
    <row r="810" spans="1:27" x14ac:dyDescent="0.2">
      <c r="A810" s="12" t="s">
        <v>2586</v>
      </c>
      <c r="B810" t="s">
        <v>2587</v>
      </c>
      <c r="C810" t="s">
        <v>2588</v>
      </c>
      <c r="D810" t="s">
        <v>2589</v>
      </c>
      <c r="E810" t="s">
        <v>13</v>
      </c>
      <c r="F810">
        <v>838</v>
      </c>
      <c r="G810">
        <v>1484</v>
      </c>
      <c r="H810" s="5" t="s">
        <v>22</v>
      </c>
      <c r="I810" s="5">
        <v>0</v>
      </c>
      <c r="J810" s="5">
        <v>0</v>
      </c>
      <c r="K810" t="s">
        <v>9284</v>
      </c>
      <c r="L810" cm="1">
        <f t="array" ref="L810">wordCount(K810)</f>
        <v>2</v>
      </c>
      <c r="M810">
        <f t="shared" si="24"/>
        <v>11</v>
      </c>
      <c r="N810">
        <v>0.9375</v>
      </c>
      <c r="O810" s="23" cm="1">
        <f t="array" ref="O810">WordListCount(K810,keywords!$A$2:$A$31)-WordListCount(K810,keywords!$B$2:$B$31)</f>
        <v>0</v>
      </c>
      <c r="P810" s="25">
        <f t="shared" si="25"/>
        <v>0.60692129629629632</v>
      </c>
      <c r="Q810" s="23">
        <f>SUM($O$2:O810)</f>
        <v>35</v>
      </c>
      <c r="Y810" s="14"/>
      <c r="Z810" s="13"/>
      <c r="AA810"/>
    </row>
    <row r="811" spans="1:27" x14ac:dyDescent="0.2">
      <c r="A811" s="12" t="s">
        <v>2590</v>
      </c>
      <c r="B811" t="s">
        <v>2591</v>
      </c>
      <c r="C811" t="s">
        <v>2592</v>
      </c>
      <c r="D811" t="s">
        <v>2593</v>
      </c>
      <c r="E811" t="s">
        <v>13</v>
      </c>
      <c r="F811">
        <v>73</v>
      </c>
      <c r="G811">
        <v>113</v>
      </c>
      <c r="H811" s="5" t="s">
        <v>22</v>
      </c>
      <c r="I811" s="5">
        <v>0</v>
      </c>
      <c r="J811" s="5">
        <v>0</v>
      </c>
      <c r="K811" t="s">
        <v>10401</v>
      </c>
      <c r="L811" cm="1">
        <f t="array" ref="L811">wordCount(K811)</f>
        <v>6</v>
      </c>
      <c r="M811">
        <f t="shared" si="24"/>
        <v>31</v>
      </c>
      <c r="N811">
        <v>0.73913043478260865</v>
      </c>
      <c r="O811" s="23" cm="1">
        <f t="array" ref="O811">WordListCount(K811,keywords!$A$2:$A$31)-WordListCount(K811,keywords!$B$2:$B$31)</f>
        <v>0</v>
      </c>
      <c r="P811" s="25">
        <f t="shared" si="25"/>
        <v>0.60708333333333331</v>
      </c>
      <c r="Q811" s="23">
        <f>SUM($O$2:O811)</f>
        <v>35</v>
      </c>
      <c r="Y811" s="14"/>
      <c r="Z811" s="13"/>
      <c r="AA811"/>
    </row>
    <row r="812" spans="1:27" x14ac:dyDescent="0.2">
      <c r="A812" s="12" t="s">
        <v>2594</v>
      </c>
      <c r="B812" t="s">
        <v>2595</v>
      </c>
      <c r="C812" t="s">
        <v>2596</v>
      </c>
      <c r="D812" t="s">
        <v>12</v>
      </c>
      <c r="E812" t="s">
        <v>13</v>
      </c>
      <c r="F812">
        <v>33252</v>
      </c>
      <c r="G812">
        <v>505</v>
      </c>
      <c r="H812" s="5" t="s">
        <v>22</v>
      </c>
      <c r="I812" s="5">
        <v>0</v>
      </c>
      <c r="J812" s="5">
        <v>0</v>
      </c>
      <c r="K812" t="s">
        <v>10402</v>
      </c>
      <c r="L812" cm="1">
        <f t="array" ref="L812">wordCount(K812)</f>
        <v>18</v>
      </c>
      <c r="M812">
        <f t="shared" si="24"/>
        <v>81</v>
      </c>
      <c r="N812">
        <v>0.5357142857142857</v>
      </c>
      <c r="O812" s="23" cm="1">
        <f t="array" ref="O812">WordListCount(K812,keywords!$A$2:$A$31)-WordListCount(K812,keywords!$B$2:$B$31)</f>
        <v>0</v>
      </c>
      <c r="P812" s="25">
        <f t="shared" si="25"/>
        <v>0.60711805555555554</v>
      </c>
      <c r="Q812" s="23">
        <f>SUM($O$2:O812)</f>
        <v>35</v>
      </c>
      <c r="Y812" s="14"/>
      <c r="Z812" s="13"/>
      <c r="AA812"/>
    </row>
    <row r="813" spans="1:27" x14ac:dyDescent="0.2">
      <c r="A813" s="12" t="s">
        <v>2597</v>
      </c>
      <c r="B813" t="s">
        <v>2598</v>
      </c>
      <c r="C813" t="s">
        <v>687</v>
      </c>
      <c r="D813" t="s">
        <v>12</v>
      </c>
      <c r="E813" t="s">
        <v>13</v>
      </c>
      <c r="F813">
        <v>38</v>
      </c>
      <c r="G813">
        <v>14</v>
      </c>
      <c r="H813" s="5" t="s">
        <v>42</v>
      </c>
      <c r="I813" s="5">
        <v>0</v>
      </c>
      <c r="J813" s="5">
        <v>0</v>
      </c>
      <c r="K813" t="s">
        <v>9906</v>
      </c>
      <c r="L813" cm="1">
        <f t="array" ref="L813">wordCount(K813)</f>
        <v>12</v>
      </c>
      <c r="M813">
        <f t="shared" si="24"/>
        <v>74</v>
      </c>
      <c r="N813">
        <v>0.92307692307692313</v>
      </c>
      <c r="O813" s="23" cm="1">
        <f t="array" ref="O813">WordListCount(K813,keywords!$A$2:$A$31)-WordListCount(K813,keywords!$B$2:$B$31)</f>
        <v>0</v>
      </c>
      <c r="P813" s="25">
        <f t="shared" si="25"/>
        <v>0.60768518518518522</v>
      </c>
      <c r="Q813" s="23">
        <f>SUM($O$2:O813)</f>
        <v>35</v>
      </c>
      <c r="Y813" s="14"/>
      <c r="Z813" s="13"/>
      <c r="AA813"/>
    </row>
    <row r="814" spans="1:27" x14ac:dyDescent="0.2">
      <c r="A814" s="12" t="s">
        <v>2599</v>
      </c>
      <c r="B814" t="s">
        <v>2600</v>
      </c>
      <c r="C814" t="s">
        <v>2601</v>
      </c>
      <c r="D814" t="s">
        <v>12</v>
      </c>
      <c r="E814" t="s">
        <v>13</v>
      </c>
      <c r="F814">
        <v>13924</v>
      </c>
      <c r="G814">
        <v>598</v>
      </c>
      <c r="H814" s="5" t="s">
        <v>22</v>
      </c>
      <c r="I814" s="5">
        <v>0</v>
      </c>
      <c r="J814" s="5">
        <v>0</v>
      </c>
      <c r="K814" t="s">
        <v>9285</v>
      </c>
      <c r="L814" cm="1">
        <f t="array" ref="L814">wordCount(K814)</f>
        <v>10</v>
      </c>
      <c r="M814">
        <f t="shared" si="24"/>
        <v>48</v>
      </c>
      <c r="N814">
        <v>0.65217391304347827</v>
      </c>
      <c r="O814" s="23" cm="1">
        <f t="array" ref="O814">WordListCount(K814,keywords!$A$2:$A$31)-WordListCount(K814,keywords!$B$2:$B$31)</f>
        <v>0</v>
      </c>
      <c r="P814" s="25">
        <f t="shared" si="25"/>
        <v>0.60775462962962956</v>
      </c>
      <c r="Q814" s="23">
        <f>SUM($O$2:O814)</f>
        <v>35</v>
      </c>
      <c r="Y814" s="14"/>
      <c r="Z814" s="13"/>
      <c r="AA814"/>
    </row>
    <row r="815" spans="1:27" x14ac:dyDescent="0.2">
      <c r="A815" s="12" t="s">
        <v>2602</v>
      </c>
      <c r="B815" t="s">
        <v>2603</v>
      </c>
      <c r="C815" t="s">
        <v>2604</v>
      </c>
      <c r="D815" t="s">
        <v>12</v>
      </c>
      <c r="E815" t="s">
        <v>13</v>
      </c>
      <c r="F815">
        <v>51</v>
      </c>
      <c r="G815">
        <v>331</v>
      </c>
      <c r="H815" s="5" t="s">
        <v>22</v>
      </c>
      <c r="I815" s="5">
        <v>0</v>
      </c>
      <c r="J815" s="5">
        <v>0</v>
      </c>
      <c r="K815" t="s">
        <v>10403</v>
      </c>
      <c r="L815" cm="1">
        <f t="array" ref="L815">wordCount(K815)</f>
        <v>22</v>
      </c>
      <c r="M815">
        <f t="shared" si="24"/>
        <v>114</v>
      </c>
      <c r="N815">
        <v>0.3</v>
      </c>
      <c r="O815" s="23" cm="1">
        <f t="array" ref="O815">WordListCount(K815,keywords!$A$2:$A$31)-WordListCount(K815,keywords!$B$2:$B$31)</f>
        <v>0</v>
      </c>
      <c r="P815" s="25">
        <f t="shared" si="25"/>
        <v>0.60777777777777775</v>
      </c>
      <c r="Q815" s="23">
        <f>SUM($O$2:O815)</f>
        <v>35</v>
      </c>
      <c r="Y815" s="14"/>
      <c r="Z815" s="13"/>
      <c r="AA815"/>
    </row>
    <row r="816" spans="1:27" x14ac:dyDescent="0.2">
      <c r="A816" s="12" t="s">
        <v>2605</v>
      </c>
      <c r="B816" t="s">
        <v>2606</v>
      </c>
      <c r="C816" t="s">
        <v>2607</v>
      </c>
      <c r="D816" t="s">
        <v>12</v>
      </c>
      <c r="E816" t="s">
        <v>13</v>
      </c>
      <c r="F816">
        <v>157</v>
      </c>
      <c r="G816">
        <v>12</v>
      </c>
      <c r="H816" s="5" t="s">
        <v>22</v>
      </c>
      <c r="I816" s="5">
        <v>0</v>
      </c>
      <c r="J816" s="5">
        <v>0</v>
      </c>
      <c r="K816" t="s">
        <v>9286</v>
      </c>
      <c r="L816" cm="1">
        <f t="array" ref="L816">wordCount(K816)</f>
        <v>9</v>
      </c>
      <c r="M816">
        <f t="shared" si="24"/>
        <v>51</v>
      </c>
      <c r="N816">
        <v>0.33333333333333331</v>
      </c>
      <c r="O816" s="23" cm="1">
        <f t="array" ref="O816">WordListCount(K816,keywords!$A$2:$A$31)-WordListCount(K816,keywords!$B$2:$B$31)</f>
        <v>0</v>
      </c>
      <c r="P816" s="25">
        <f t="shared" si="25"/>
        <v>0.60780092592592594</v>
      </c>
      <c r="Q816" s="23">
        <f>SUM($O$2:O816)</f>
        <v>35</v>
      </c>
      <c r="Y816" s="14"/>
      <c r="Z816" s="13"/>
      <c r="AA816"/>
    </row>
    <row r="817" spans="1:27" x14ac:dyDescent="0.2">
      <c r="A817" s="12" t="s">
        <v>2608</v>
      </c>
      <c r="B817" t="s">
        <v>2609</v>
      </c>
      <c r="C817" t="s">
        <v>2610</v>
      </c>
      <c r="D817" t="s">
        <v>2611</v>
      </c>
      <c r="E817" t="s">
        <v>13</v>
      </c>
      <c r="F817">
        <v>76</v>
      </c>
      <c r="G817">
        <v>272</v>
      </c>
      <c r="H817" s="5" t="s">
        <v>1162</v>
      </c>
      <c r="I817" s="5">
        <v>0</v>
      </c>
      <c r="J817" s="5">
        <v>0</v>
      </c>
      <c r="K817" t="s">
        <v>9287</v>
      </c>
      <c r="L817" cm="1">
        <f t="array" ref="L817">wordCount(K817)</f>
        <v>11</v>
      </c>
      <c r="M817">
        <f t="shared" si="24"/>
        <v>53</v>
      </c>
      <c r="N817">
        <v>0.56521739130434778</v>
      </c>
      <c r="O817" s="23" cm="1">
        <f t="array" ref="O817">WordListCount(K817,keywords!$A$2:$A$31)-WordListCount(K817,keywords!$B$2:$B$31)</f>
        <v>0</v>
      </c>
      <c r="P817" s="25">
        <f t="shared" si="25"/>
        <v>0.60827546296296298</v>
      </c>
      <c r="Q817" s="23">
        <f>SUM($O$2:O817)</f>
        <v>35</v>
      </c>
      <c r="Y817" s="14"/>
      <c r="Z817" s="13"/>
      <c r="AA817"/>
    </row>
    <row r="818" spans="1:27" x14ac:dyDescent="0.2">
      <c r="A818" s="12" t="s">
        <v>2612</v>
      </c>
      <c r="B818" t="s">
        <v>2613</v>
      </c>
      <c r="C818" t="s">
        <v>2614</v>
      </c>
      <c r="D818" t="s">
        <v>2615</v>
      </c>
      <c r="E818" t="s">
        <v>47</v>
      </c>
      <c r="F818">
        <v>27785</v>
      </c>
      <c r="G818">
        <v>147</v>
      </c>
      <c r="H818" s="5" t="s">
        <v>22</v>
      </c>
      <c r="I818" s="5">
        <v>0</v>
      </c>
      <c r="J818" s="5">
        <v>0</v>
      </c>
      <c r="K818" t="s">
        <v>10404</v>
      </c>
      <c r="L818" cm="1">
        <f t="array" ref="L818">wordCount(K818)</f>
        <v>6</v>
      </c>
      <c r="M818">
        <f t="shared" si="24"/>
        <v>32</v>
      </c>
      <c r="N818">
        <v>0.75</v>
      </c>
      <c r="O818" s="23" cm="1">
        <f t="array" ref="O818">WordListCount(K818,keywords!$A$2:$A$31)-WordListCount(K818,keywords!$B$2:$B$31)</f>
        <v>0</v>
      </c>
      <c r="P818" s="25">
        <f t="shared" si="25"/>
        <v>0.6083101851851852</v>
      </c>
      <c r="Q818" s="23">
        <f>SUM($O$2:O818)</f>
        <v>35</v>
      </c>
      <c r="Y818" s="14"/>
      <c r="Z818" s="13"/>
      <c r="AA818"/>
    </row>
    <row r="819" spans="1:27" x14ac:dyDescent="0.2">
      <c r="A819" s="12" t="s">
        <v>2616</v>
      </c>
      <c r="B819" t="s">
        <v>2617</v>
      </c>
      <c r="C819" t="s">
        <v>2618</v>
      </c>
      <c r="D819" t="s">
        <v>2619</v>
      </c>
      <c r="E819" t="s">
        <v>13</v>
      </c>
      <c r="F819">
        <v>190</v>
      </c>
      <c r="G819">
        <v>441</v>
      </c>
      <c r="H819" s="5" t="s">
        <v>22</v>
      </c>
      <c r="I819" s="5">
        <v>0</v>
      </c>
      <c r="J819" s="5">
        <v>0</v>
      </c>
      <c r="K819" t="s">
        <v>9288</v>
      </c>
      <c r="L819" cm="1">
        <f t="array" ref="L819">wordCount(K819)</f>
        <v>4</v>
      </c>
      <c r="M819">
        <f t="shared" si="24"/>
        <v>28</v>
      </c>
      <c r="N819">
        <v>0.5714285714285714</v>
      </c>
      <c r="O819" s="23" cm="1">
        <f t="array" ref="O819">WordListCount(K819,keywords!$A$2:$A$31)-WordListCount(K819,keywords!$B$2:$B$31)</f>
        <v>0</v>
      </c>
      <c r="P819" s="25">
        <f t="shared" si="25"/>
        <v>0.60832175925925924</v>
      </c>
      <c r="Q819" s="23">
        <f>SUM($O$2:O819)</f>
        <v>35</v>
      </c>
      <c r="Y819" s="14"/>
      <c r="Z819" s="13"/>
      <c r="AA819"/>
    </row>
    <row r="820" spans="1:27" x14ac:dyDescent="0.2">
      <c r="A820" s="12" t="s">
        <v>2620</v>
      </c>
      <c r="B820" t="s">
        <v>2621</v>
      </c>
      <c r="C820" t="s">
        <v>2622</v>
      </c>
      <c r="D820" t="s">
        <v>2623</v>
      </c>
      <c r="E820" t="s">
        <v>13</v>
      </c>
      <c r="F820">
        <v>66</v>
      </c>
      <c r="G820">
        <v>92</v>
      </c>
      <c r="H820" s="5" t="s">
        <v>22</v>
      </c>
      <c r="I820" s="5">
        <v>0</v>
      </c>
      <c r="J820" s="5">
        <v>0</v>
      </c>
      <c r="K820" t="s">
        <v>10405</v>
      </c>
      <c r="L820" cm="1">
        <f t="array" ref="L820">wordCount(K820)</f>
        <v>15</v>
      </c>
      <c r="M820">
        <f t="shared" si="24"/>
        <v>70</v>
      </c>
      <c r="N820">
        <v>0.625</v>
      </c>
      <c r="O820" s="23" cm="1">
        <f t="array" ref="O820">WordListCount(K820,keywords!$A$2:$A$31)-WordListCount(K820,keywords!$B$2:$B$31)</f>
        <v>0</v>
      </c>
      <c r="P820" s="25">
        <f t="shared" si="25"/>
        <v>0.60853009259259261</v>
      </c>
      <c r="Q820" s="23">
        <f>SUM($O$2:O820)</f>
        <v>35</v>
      </c>
      <c r="Y820" s="14"/>
      <c r="Z820" s="13"/>
      <c r="AA820"/>
    </row>
    <row r="821" spans="1:27" x14ac:dyDescent="0.2">
      <c r="A821" s="12" t="s">
        <v>2624</v>
      </c>
      <c r="B821" t="s">
        <v>2625</v>
      </c>
      <c r="C821" t="s">
        <v>2626</v>
      </c>
      <c r="D821" t="s">
        <v>12</v>
      </c>
      <c r="E821" t="s">
        <v>13</v>
      </c>
      <c r="F821">
        <v>31</v>
      </c>
      <c r="G821">
        <v>113</v>
      </c>
      <c r="H821" s="5" t="s">
        <v>22</v>
      </c>
      <c r="I821" s="5">
        <v>0</v>
      </c>
      <c r="J821" s="5">
        <v>0</v>
      </c>
      <c r="K821" t="s">
        <v>9289</v>
      </c>
      <c r="L821" cm="1">
        <f t="array" ref="L821">wordCount(K821)</f>
        <v>8</v>
      </c>
      <c r="M821">
        <f t="shared" si="24"/>
        <v>39</v>
      </c>
      <c r="N821">
        <v>0.68181818181818177</v>
      </c>
      <c r="O821" s="23" cm="1">
        <f t="array" ref="O821">WordListCount(K821,keywords!$A$2:$A$31)-WordListCount(K821,keywords!$B$2:$B$31)</f>
        <v>0</v>
      </c>
      <c r="P821" s="25">
        <f t="shared" si="25"/>
        <v>0.60870370370370364</v>
      </c>
      <c r="Q821" s="23">
        <f>SUM($O$2:O821)</f>
        <v>35</v>
      </c>
      <c r="Y821" s="14"/>
      <c r="Z821" s="13"/>
      <c r="AA821"/>
    </row>
    <row r="822" spans="1:27" x14ac:dyDescent="0.2">
      <c r="A822" s="12" t="s">
        <v>2627</v>
      </c>
      <c r="B822" t="s">
        <v>2628</v>
      </c>
      <c r="C822" t="s">
        <v>2629</v>
      </c>
      <c r="D822" t="s">
        <v>2630</v>
      </c>
      <c r="E822" t="s">
        <v>13</v>
      </c>
      <c r="F822">
        <v>460</v>
      </c>
      <c r="G822">
        <v>277</v>
      </c>
      <c r="H822" s="5" t="s">
        <v>22</v>
      </c>
      <c r="I822" s="5">
        <v>0</v>
      </c>
      <c r="J822" s="5">
        <v>0</v>
      </c>
      <c r="K822" t="s">
        <v>10406</v>
      </c>
      <c r="L822" cm="1">
        <f t="array" ref="L822">wordCount(K822)</f>
        <v>17</v>
      </c>
      <c r="M822">
        <f t="shared" si="24"/>
        <v>86</v>
      </c>
      <c r="N822">
        <v>0.48148148148148145</v>
      </c>
      <c r="O822" s="23" cm="1">
        <f t="array" ref="O822">WordListCount(K822,keywords!$A$2:$A$31)-WordListCount(K822,keywords!$B$2:$B$31)</f>
        <v>0</v>
      </c>
      <c r="P822" s="25">
        <f t="shared" si="25"/>
        <v>0.60906249999999995</v>
      </c>
      <c r="Q822" s="23">
        <f>SUM($O$2:O822)</f>
        <v>35</v>
      </c>
      <c r="Y822" s="14"/>
      <c r="Z822" s="13"/>
      <c r="AA822"/>
    </row>
    <row r="823" spans="1:27" x14ac:dyDescent="0.2">
      <c r="A823" s="12" t="s">
        <v>2631</v>
      </c>
      <c r="B823" t="s">
        <v>2632</v>
      </c>
      <c r="C823" t="s">
        <v>511</v>
      </c>
      <c r="D823" t="s">
        <v>512</v>
      </c>
      <c r="E823" t="s">
        <v>13</v>
      </c>
      <c r="F823">
        <v>1899</v>
      </c>
      <c r="G823">
        <v>540</v>
      </c>
      <c r="H823" s="5" t="s">
        <v>22</v>
      </c>
      <c r="I823" s="5">
        <v>0</v>
      </c>
      <c r="J823" s="5">
        <v>0</v>
      </c>
      <c r="K823" t="s">
        <v>10407</v>
      </c>
      <c r="L823" cm="1">
        <f t="array" ref="L823">wordCount(K823)</f>
        <v>8</v>
      </c>
      <c r="M823">
        <f t="shared" si="24"/>
        <v>41</v>
      </c>
      <c r="N823">
        <v>0.875</v>
      </c>
      <c r="O823" s="23" cm="1">
        <f t="array" ref="O823">WordListCount(K823,keywords!$A$2:$A$31)-WordListCount(K823,keywords!$B$2:$B$31)</f>
        <v>0</v>
      </c>
      <c r="P823" s="25">
        <f t="shared" si="25"/>
        <v>0.60909722222222229</v>
      </c>
      <c r="Q823" s="23">
        <f>SUM($O$2:O823)</f>
        <v>35</v>
      </c>
      <c r="Y823" s="14"/>
      <c r="Z823" s="13"/>
      <c r="AA823"/>
    </row>
    <row r="824" spans="1:27" x14ac:dyDescent="0.2">
      <c r="A824" s="12" t="s">
        <v>2633</v>
      </c>
      <c r="B824" t="s">
        <v>2634</v>
      </c>
      <c r="C824" t="s">
        <v>2635</v>
      </c>
      <c r="D824" t="s">
        <v>2636</v>
      </c>
      <c r="E824" t="s">
        <v>13</v>
      </c>
      <c r="F824">
        <v>241</v>
      </c>
      <c r="G824">
        <v>301</v>
      </c>
      <c r="H824" s="5" t="s">
        <v>22</v>
      </c>
      <c r="I824" s="5">
        <v>0</v>
      </c>
      <c r="J824" s="5">
        <v>0</v>
      </c>
      <c r="K824" t="s">
        <v>9290</v>
      </c>
      <c r="L824" cm="1">
        <f t="array" ref="L824">wordCount(K824)</f>
        <v>7</v>
      </c>
      <c r="M824">
        <f t="shared" si="24"/>
        <v>36</v>
      </c>
      <c r="N824">
        <v>0.79166666666666663</v>
      </c>
      <c r="O824" s="23" cm="1">
        <f t="array" ref="O824">WordListCount(K824,keywords!$A$2:$A$31)-WordListCount(K824,keywords!$B$2:$B$31)</f>
        <v>0</v>
      </c>
      <c r="P824" s="25">
        <f t="shared" si="25"/>
        <v>0.60994212962962957</v>
      </c>
      <c r="Q824" s="23">
        <f>SUM($O$2:O824)</f>
        <v>35</v>
      </c>
      <c r="Y824" s="14"/>
      <c r="Z824" s="13"/>
      <c r="AA824"/>
    </row>
    <row r="825" spans="1:27" x14ac:dyDescent="0.2">
      <c r="A825" s="12" t="s">
        <v>2637</v>
      </c>
      <c r="B825" t="s">
        <v>2638</v>
      </c>
      <c r="C825" t="s">
        <v>2639</v>
      </c>
      <c r="D825" t="s">
        <v>12</v>
      </c>
      <c r="E825" t="s">
        <v>13</v>
      </c>
      <c r="F825">
        <v>48</v>
      </c>
      <c r="G825">
        <v>694</v>
      </c>
      <c r="H825" s="5" t="s">
        <v>22</v>
      </c>
      <c r="I825" s="5">
        <v>0</v>
      </c>
      <c r="J825" s="5">
        <v>0</v>
      </c>
      <c r="K825" t="s">
        <v>10408</v>
      </c>
      <c r="L825" cm="1">
        <f t="array" ref="L825">wordCount(K825)</f>
        <v>6</v>
      </c>
      <c r="M825">
        <f t="shared" si="24"/>
        <v>25</v>
      </c>
      <c r="N825">
        <v>0.2857142857142857</v>
      </c>
      <c r="O825" s="23" cm="1">
        <f t="array" ref="O825">WordListCount(K825,keywords!$A$2:$A$31)-WordListCount(K825,keywords!$B$2:$B$31)</f>
        <v>-1</v>
      </c>
      <c r="P825" s="25">
        <f t="shared" si="25"/>
        <v>0.60995370370370372</v>
      </c>
      <c r="Q825" s="23">
        <f>SUM($O$2:O825)</f>
        <v>34</v>
      </c>
      <c r="Y825" s="14"/>
      <c r="Z825" s="13"/>
      <c r="AA825"/>
    </row>
    <row r="826" spans="1:27" x14ac:dyDescent="0.2">
      <c r="A826" s="12" t="s">
        <v>2640</v>
      </c>
      <c r="B826" t="s">
        <v>2641</v>
      </c>
      <c r="C826" t="s">
        <v>2642</v>
      </c>
      <c r="D826" t="s">
        <v>74</v>
      </c>
      <c r="E826" t="s">
        <v>13</v>
      </c>
      <c r="F826">
        <v>357</v>
      </c>
      <c r="G826">
        <v>2284</v>
      </c>
      <c r="H826" s="5" t="s">
        <v>22</v>
      </c>
      <c r="I826" s="5">
        <v>0</v>
      </c>
      <c r="J826" s="5">
        <v>0</v>
      </c>
      <c r="K826" t="s">
        <v>10409</v>
      </c>
      <c r="L826" cm="1">
        <f t="array" ref="L826">wordCount(K826)</f>
        <v>16</v>
      </c>
      <c r="M826">
        <f t="shared" si="24"/>
        <v>71</v>
      </c>
      <c r="N826">
        <v>0.36363636363636365</v>
      </c>
      <c r="O826" s="23" cm="1">
        <f t="array" ref="O826">WordListCount(K826,keywords!$A$2:$A$31)-WordListCount(K826,keywords!$B$2:$B$31)</f>
        <v>0</v>
      </c>
      <c r="P826" s="25">
        <f t="shared" si="25"/>
        <v>0.61002314814814818</v>
      </c>
      <c r="Q826" s="23">
        <f>SUM($O$2:O826)</f>
        <v>34</v>
      </c>
      <c r="Y826" s="14"/>
      <c r="Z826" s="13"/>
      <c r="AA826"/>
    </row>
    <row r="827" spans="1:27" x14ac:dyDescent="0.2">
      <c r="A827" s="12" t="s">
        <v>2643</v>
      </c>
      <c r="B827" t="s">
        <v>2644</v>
      </c>
      <c r="C827" t="s">
        <v>2645</v>
      </c>
      <c r="D827" t="s">
        <v>2646</v>
      </c>
      <c r="E827" t="s">
        <v>13</v>
      </c>
      <c r="F827">
        <v>691</v>
      </c>
      <c r="G827">
        <v>221</v>
      </c>
      <c r="H827" s="5" t="s">
        <v>22</v>
      </c>
      <c r="I827" s="5">
        <v>0</v>
      </c>
      <c r="J827" s="5">
        <v>0</v>
      </c>
      <c r="K827" t="s">
        <v>10410</v>
      </c>
      <c r="L827" cm="1">
        <f t="array" ref="L827">wordCount(K827)</f>
        <v>14</v>
      </c>
      <c r="M827">
        <f t="shared" si="24"/>
        <v>68</v>
      </c>
      <c r="N827">
        <v>0.42105263157894735</v>
      </c>
      <c r="O827" s="23" cm="1">
        <f t="array" ref="O827">WordListCount(K827,keywords!$A$2:$A$31)-WordListCount(K827,keywords!$B$2:$B$31)</f>
        <v>-1</v>
      </c>
      <c r="P827" s="25">
        <f t="shared" si="25"/>
        <v>0.61031250000000004</v>
      </c>
      <c r="Q827" s="23">
        <f>SUM($O$2:O827)</f>
        <v>33</v>
      </c>
      <c r="Y827" s="14"/>
      <c r="Z827" s="13"/>
      <c r="AA827"/>
    </row>
    <row r="828" spans="1:27" x14ac:dyDescent="0.2">
      <c r="A828" s="12" t="s">
        <v>2647</v>
      </c>
      <c r="B828" t="s">
        <v>2648</v>
      </c>
      <c r="C828" t="s">
        <v>2649</v>
      </c>
      <c r="D828" t="s">
        <v>2650</v>
      </c>
      <c r="E828" t="s">
        <v>13</v>
      </c>
      <c r="F828">
        <v>109</v>
      </c>
      <c r="G828">
        <v>372</v>
      </c>
      <c r="H828" s="5" t="s">
        <v>22</v>
      </c>
      <c r="I828" s="5">
        <v>0</v>
      </c>
      <c r="J828" s="5">
        <v>0</v>
      </c>
      <c r="K828" t="s">
        <v>9291</v>
      </c>
      <c r="L828" cm="1">
        <f t="array" ref="L828">wordCount(K828)</f>
        <v>15</v>
      </c>
      <c r="M828">
        <f t="shared" si="24"/>
        <v>66</v>
      </c>
      <c r="N828">
        <v>0.61904761904761907</v>
      </c>
      <c r="O828" s="23" cm="1">
        <f t="array" ref="O828">WordListCount(K828,keywords!$A$2:$A$31)-WordListCount(K828,keywords!$B$2:$B$31)</f>
        <v>0</v>
      </c>
      <c r="P828" s="25">
        <f t="shared" si="25"/>
        <v>0.61048611111111117</v>
      </c>
      <c r="Q828" s="23">
        <f>SUM($O$2:O828)</f>
        <v>33</v>
      </c>
      <c r="Y828" s="14"/>
      <c r="Z828" s="13"/>
      <c r="AA828"/>
    </row>
    <row r="829" spans="1:27" x14ac:dyDescent="0.2">
      <c r="A829" s="12" t="s">
        <v>2651</v>
      </c>
      <c r="B829" t="s">
        <v>2652</v>
      </c>
      <c r="C829" t="s">
        <v>2653</v>
      </c>
      <c r="D829" t="s">
        <v>2654</v>
      </c>
      <c r="E829" t="s">
        <v>13</v>
      </c>
      <c r="F829">
        <v>16</v>
      </c>
      <c r="G829">
        <v>57</v>
      </c>
      <c r="H829" s="5" t="s">
        <v>22</v>
      </c>
      <c r="I829" s="5">
        <v>0</v>
      </c>
      <c r="J829" s="5">
        <v>0</v>
      </c>
      <c r="K829" t="s">
        <v>10411</v>
      </c>
      <c r="L829" cm="1">
        <f t="array" ref="L829">wordCount(K829)</f>
        <v>23</v>
      </c>
      <c r="M829">
        <f t="shared" si="24"/>
        <v>106</v>
      </c>
      <c r="N829">
        <v>0.36</v>
      </c>
      <c r="O829" s="23" cm="1">
        <f t="array" ref="O829">WordListCount(K829,keywords!$A$2:$A$31)-WordListCount(K829,keywords!$B$2:$B$31)</f>
        <v>0</v>
      </c>
      <c r="P829" s="25">
        <f t="shared" si="25"/>
        <v>0.61060185185185178</v>
      </c>
      <c r="Q829" s="23">
        <f>SUM($O$2:O829)</f>
        <v>33</v>
      </c>
      <c r="Y829" s="14"/>
      <c r="Z829" s="13"/>
      <c r="AA829"/>
    </row>
    <row r="830" spans="1:27" x14ac:dyDescent="0.2">
      <c r="A830" s="12" t="s">
        <v>2655</v>
      </c>
      <c r="B830" t="s">
        <v>2656</v>
      </c>
      <c r="C830" t="s">
        <v>2657</v>
      </c>
      <c r="D830" t="s">
        <v>2658</v>
      </c>
      <c r="E830" t="s">
        <v>13</v>
      </c>
      <c r="F830">
        <v>776</v>
      </c>
      <c r="G830">
        <v>517</v>
      </c>
      <c r="H830" s="5" t="s">
        <v>22</v>
      </c>
      <c r="I830" s="5">
        <v>0</v>
      </c>
      <c r="J830" s="5">
        <v>0</v>
      </c>
      <c r="K830" t="s">
        <v>10412</v>
      </c>
      <c r="L830" cm="1">
        <f t="array" ref="L830">wordCount(K830)</f>
        <v>16</v>
      </c>
      <c r="M830">
        <f t="shared" si="24"/>
        <v>74</v>
      </c>
      <c r="N830">
        <v>0.54838709677419351</v>
      </c>
      <c r="O830" s="23" cm="1">
        <f t="array" ref="O830">WordListCount(K830,keywords!$A$2:$A$31)-WordListCount(K830,keywords!$B$2:$B$31)</f>
        <v>0</v>
      </c>
      <c r="P830" s="25">
        <f t="shared" si="25"/>
        <v>0.61085648148148153</v>
      </c>
      <c r="Q830" s="23">
        <f>SUM($O$2:O830)</f>
        <v>33</v>
      </c>
      <c r="Y830" s="14"/>
      <c r="Z830" s="13"/>
      <c r="AA830"/>
    </row>
    <row r="831" spans="1:27" x14ac:dyDescent="0.2">
      <c r="A831" s="12" t="s">
        <v>2659</v>
      </c>
      <c r="B831" t="s">
        <v>2660</v>
      </c>
      <c r="C831" t="s">
        <v>2661</v>
      </c>
      <c r="D831" t="s">
        <v>12</v>
      </c>
      <c r="E831" t="s">
        <v>13</v>
      </c>
      <c r="F831">
        <v>47</v>
      </c>
      <c r="G831">
        <v>88</v>
      </c>
      <c r="H831" s="5" t="s">
        <v>22</v>
      </c>
      <c r="I831" s="5">
        <v>0</v>
      </c>
      <c r="J831" s="5">
        <v>0</v>
      </c>
      <c r="K831" t="s">
        <v>10413</v>
      </c>
      <c r="L831" cm="1">
        <f t="array" ref="L831">wordCount(K831)</f>
        <v>8</v>
      </c>
      <c r="M831">
        <f t="shared" si="24"/>
        <v>36</v>
      </c>
      <c r="N831">
        <v>0.7142857142857143</v>
      </c>
      <c r="O831" s="23" cm="1">
        <f t="array" ref="O831">WordListCount(K831,keywords!$A$2:$A$31)-WordListCount(K831,keywords!$B$2:$B$31)</f>
        <v>0</v>
      </c>
      <c r="P831" s="25">
        <f t="shared" si="25"/>
        <v>0.61090277777777779</v>
      </c>
      <c r="Q831" s="23">
        <f>SUM($O$2:O831)</f>
        <v>33</v>
      </c>
      <c r="Y831" s="14"/>
      <c r="Z831" s="13"/>
      <c r="AA831"/>
    </row>
    <row r="832" spans="1:27" x14ac:dyDescent="0.2">
      <c r="A832" s="12" t="s">
        <v>2662</v>
      </c>
      <c r="B832" t="s">
        <v>2663</v>
      </c>
      <c r="C832" t="s">
        <v>2664</v>
      </c>
      <c r="D832" t="s">
        <v>2665</v>
      </c>
      <c r="E832" t="s">
        <v>13</v>
      </c>
      <c r="F832">
        <v>753</v>
      </c>
      <c r="G832">
        <v>98</v>
      </c>
      <c r="H832" s="5" t="s">
        <v>677</v>
      </c>
      <c r="I832" s="5">
        <v>0</v>
      </c>
      <c r="J832" s="5">
        <v>0</v>
      </c>
      <c r="K832" t="s">
        <v>10414</v>
      </c>
      <c r="L832" cm="1">
        <f t="array" ref="L832">wordCount(K832)</f>
        <v>17</v>
      </c>
      <c r="M832">
        <f t="shared" si="24"/>
        <v>65</v>
      </c>
      <c r="N832">
        <v>0.5357142857142857</v>
      </c>
      <c r="O832" s="23" cm="1">
        <f t="array" ref="O832">WordListCount(K832,keywords!$A$2:$A$31)-WordListCount(K832,keywords!$B$2:$B$31)</f>
        <v>1</v>
      </c>
      <c r="P832" s="25">
        <f t="shared" si="25"/>
        <v>0.6109606481481481</v>
      </c>
      <c r="Q832" s="23">
        <f>SUM($O$2:O832)</f>
        <v>34</v>
      </c>
      <c r="Y832" s="14"/>
      <c r="Z832" s="13"/>
      <c r="AA832"/>
    </row>
    <row r="833" spans="1:27" x14ac:dyDescent="0.2">
      <c r="A833" s="12" t="s">
        <v>2666</v>
      </c>
      <c r="B833" t="s">
        <v>2667</v>
      </c>
      <c r="C833" t="s">
        <v>2668</v>
      </c>
      <c r="D833" t="s">
        <v>12</v>
      </c>
      <c r="E833" t="s">
        <v>13</v>
      </c>
      <c r="F833">
        <v>225</v>
      </c>
      <c r="G833">
        <v>56</v>
      </c>
      <c r="H833" s="5" t="s">
        <v>22</v>
      </c>
      <c r="I833" s="5">
        <v>0</v>
      </c>
      <c r="J833" s="5">
        <v>0</v>
      </c>
      <c r="K833" t="s">
        <v>9292</v>
      </c>
      <c r="L833" cm="1">
        <f t="array" ref="L833">wordCount(K833)</f>
        <v>7</v>
      </c>
      <c r="M833">
        <f t="shared" si="24"/>
        <v>45</v>
      </c>
      <c r="N833">
        <v>0.80769230769230771</v>
      </c>
      <c r="O833" s="23" cm="1">
        <f t="array" ref="O833">WordListCount(K833,keywords!$A$2:$A$31)-WordListCount(K833,keywords!$B$2:$B$31)</f>
        <v>0</v>
      </c>
      <c r="P833" s="25">
        <f t="shared" si="25"/>
        <v>0.61097222222222225</v>
      </c>
      <c r="Q833" s="23">
        <f>SUM($O$2:O833)</f>
        <v>34</v>
      </c>
      <c r="Y833" s="14"/>
      <c r="Z833" s="13"/>
      <c r="AA833"/>
    </row>
    <row r="834" spans="1:27" x14ac:dyDescent="0.2">
      <c r="A834" s="12" t="s">
        <v>2669</v>
      </c>
      <c r="B834" t="s">
        <v>2670</v>
      </c>
      <c r="C834" t="s">
        <v>2671</v>
      </c>
      <c r="D834" t="s">
        <v>235</v>
      </c>
      <c r="E834" t="s">
        <v>13</v>
      </c>
      <c r="F834">
        <v>580</v>
      </c>
      <c r="G834">
        <v>501</v>
      </c>
      <c r="H834" s="5" t="s">
        <v>22</v>
      </c>
      <c r="I834" s="5">
        <v>0</v>
      </c>
      <c r="J834" s="5">
        <v>0</v>
      </c>
      <c r="K834" t="s">
        <v>10415</v>
      </c>
      <c r="L834" cm="1">
        <f t="array" ref="L834">wordCount(K834)</f>
        <v>9</v>
      </c>
      <c r="M834">
        <f t="shared" ref="M834:M897" si="26">LEN(K834)</f>
        <v>43</v>
      </c>
      <c r="N834">
        <v>0.68421052631578949</v>
      </c>
      <c r="O834" s="23" cm="1">
        <f t="array" ref="O834">WordListCount(K834,keywords!$A$2:$A$31)-WordListCount(K834,keywords!$B$2:$B$31)</f>
        <v>-1</v>
      </c>
      <c r="P834" s="25">
        <f t="shared" ref="P834:P897" si="27">TIMEVALUE(RIGHT(A834,8))</f>
        <v>0.61107638888888893</v>
      </c>
      <c r="Q834" s="23">
        <f>SUM($O$2:O834)</f>
        <v>33</v>
      </c>
      <c r="Y834" s="14"/>
      <c r="Z834" s="13"/>
      <c r="AA834"/>
    </row>
    <row r="835" spans="1:27" x14ac:dyDescent="0.2">
      <c r="A835" s="12" t="s">
        <v>2672</v>
      </c>
      <c r="B835" t="s">
        <v>2673</v>
      </c>
      <c r="C835" t="s">
        <v>2674</v>
      </c>
      <c r="D835" t="s">
        <v>12</v>
      </c>
      <c r="E835" t="s">
        <v>13</v>
      </c>
      <c r="F835">
        <v>2</v>
      </c>
      <c r="G835">
        <v>21</v>
      </c>
      <c r="H835" s="5" t="s">
        <v>22</v>
      </c>
      <c r="I835" s="5">
        <v>0</v>
      </c>
      <c r="J835" s="5">
        <v>0</v>
      </c>
      <c r="K835" t="s">
        <v>9293</v>
      </c>
      <c r="L835" cm="1">
        <f t="array" ref="L835">wordCount(K835)</f>
        <v>10</v>
      </c>
      <c r="M835">
        <f t="shared" si="26"/>
        <v>51</v>
      </c>
      <c r="N835">
        <v>0.66666666666666663</v>
      </c>
      <c r="O835" s="23" cm="1">
        <f t="array" ref="O835">WordListCount(K835,keywords!$A$2:$A$31)-WordListCount(K835,keywords!$B$2:$B$31)</f>
        <v>1</v>
      </c>
      <c r="P835" s="25">
        <f t="shared" si="27"/>
        <v>0.61115740740740743</v>
      </c>
      <c r="Q835" s="23">
        <f>SUM($O$2:O835)</f>
        <v>34</v>
      </c>
      <c r="Y835" s="14"/>
      <c r="Z835" s="13"/>
      <c r="AA835"/>
    </row>
    <row r="836" spans="1:27" x14ac:dyDescent="0.2">
      <c r="A836" s="12" t="s">
        <v>2675</v>
      </c>
      <c r="B836" t="s">
        <v>2676</v>
      </c>
      <c r="C836" t="s">
        <v>130</v>
      </c>
      <c r="D836" t="s">
        <v>131</v>
      </c>
      <c r="E836" t="s">
        <v>13</v>
      </c>
      <c r="F836">
        <v>93</v>
      </c>
      <c r="G836">
        <v>202</v>
      </c>
      <c r="H836" s="5" t="s">
        <v>22</v>
      </c>
      <c r="I836" s="5">
        <v>0</v>
      </c>
      <c r="J836" s="5">
        <v>0</v>
      </c>
      <c r="K836" t="s">
        <v>10416</v>
      </c>
      <c r="L836" cm="1">
        <f t="array" ref="L836">wordCount(K836)</f>
        <v>23</v>
      </c>
      <c r="M836">
        <f t="shared" si="26"/>
        <v>108</v>
      </c>
      <c r="N836">
        <v>0.95454545454545459</v>
      </c>
      <c r="O836" s="23" cm="1">
        <f t="array" ref="O836">WordListCount(K836,keywords!$A$2:$A$31)-WordListCount(K836,keywords!$B$2:$B$31)</f>
        <v>0</v>
      </c>
      <c r="P836" s="25">
        <f t="shared" si="27"/>
        <v>0.61129629629629634</v>
      </c>
      <c r="Q836" s="23">
        <f>SUM($O$2:O836)</f>
        <v>34</v>
      </c>
      <c r="Y836" s="14"/>
      <c r="Z836" s="13"/>
      <c r="AA836"/>
    </row>
    <row r="837" spans="1:27" x14ac:dyDescent="0.2">
      <c r="A837" s="12" t="s">
        <v>2677</v>
      </c>
      <c r="B837" t="s">
        <v>2678</v>
      </c>
      <c r="C837" t="s">
        <v>2679</v>
      </c>
      <c r="D837" t="s">
        <v>990</v>
      </c>
      <c r="E837" t="s">
        <v>13</v>
      </c>
      <c r="F837">
        <v>26</v>
      </c>
      <c r="G837">
        <v>162</v>
      </c>
      <c r="H837" s="5" t="s">
        <v>59</v>
      </c>
      <c r="I837" s="5">
        <v>0</v>
      </c>
      <c r="J837" s="5">
        <v>0</v>
      </c>
      <c r="K837" t="s">
        <v>10417</v>
      </c>
      <c r="L837" cm="1">
        <f t="array" ref="L837">wordCount(K837)</f>
        <v>13</v>
      </c>
      <c r="M837">
        <f t="shared" si="26"/>
        <v>59</v>
      </c>
      <c r="N837">
        <v>0.6</v>
      </c>
      <c r="O837" s="23" cm="1">
        <f t="array" ref="O837">WordListCount(K837,keywords!$A$2:$A$31)-WordListCount(K837,keywords!$B$2:$B$31)</f>
        <v>0</v>
      </c>
      <c r="P837" s="25">
        <f t="shared" si="27"/>
        <v>0.61153935185185182</v>
      </c>
      <c r="Q837" s="23">
        <f>SUM($O$2:O837)</f>
        <v>34</v>
      </c>
      <c r="Y837" s="14"/>
      <c r="Z837" s="13"/>
      <c r="AA837"/>
    </row>
    <row r="838" spans="1:27" x14ac:dyDescent="0.2">
      <c r="A838" s="12" t="s">
        <v>2680</v>
      </c>
      <c r="B838" t="s">
        <v>2681</v>
      </c>
      <c r="C838" t="s">
        <v>2682</v>
      </c>
      <c r="D838" t="s">
        <v>12</v>
      </c>
      <c r="E838" t="s">
        <v>13</v>
      </c>
      <c r="F838">
        <v>1870</v>
      </c>
      <c r="G838">
        <v>988</v>
      </c>
      <c r="H838" s="5" t="s">
        <v>22</v>
      </c>
      <c r="I838" s="5">
        <v>0</v>
      </c>
      <c r="J838" s="5">
        <v>0</v>
      </c>
      <c r="K838" t="s">
        <v>10418</v>
      </c>
      <c r="L838" cm="1">
        <f t="array" ref="L838">wordCount(K838)</f>
        <v>18</v>
      </c>
      <c r="M838">
        <f t="shared" si="26"/>
        <v>70</v>
      </c>
      <c r="N838">
        <v>0.13333333333333333</v>
      </c>
      <c r="O838" s="23" cm="1">
        <f t="array" ref="O838">WordListCount(K838,keywords!$A$2:$A$31)-WordListCount(K838,keywords!$B$2:$B$31)</f>
        <v>0</v>
      </c>
      <c r="P838" s="25">
        <f t="shared" si="27"/>
        <v>0.61166666666666669</v>
      </c>
      <c r="Q838" s="23">
        <f>SUM($O$2:O838)</f>
        <v>34</v>
      </c>
      <c r="Y838" s="14"/>
      <c r="Z838" s="13"/>
      <c r="AA838"/>
    </row>
    <row r="839" spans="1:27" x14ac:dyDescent="0.2">
      <c r="A839" s="12" t="s">
        <v>2683</v>
      </c>
      <c r="B839" t="s">
        <v>2684</v>
      </c>
      <c r="C839" t="s">
        <v>2685</v>
      </c>
      <c r="D839" t="s">
        <v>2686</v>
      </c>
      <c r="E839" t="s">
        <v>13</v>
      </c>
      <c r="F839">
        <v>23</v>
      </c>
      <c r="G839">
        <v>150</v>
      </c>
      <c r="H839" s="5" t="s">
        <v>22</v>
      </c>
      <c r="I839" s="5">
        <v>0</v>
      </c>
      <c r="J839" s="5">
        <v>0</v>
      </c>
      <c r="K839" t="s">
        <v>10419</v>
      </c>
      <c r="L839" cm="1">
        <f t="array" ref="L839">wordCount(K839)</f>
        <v>8</v>
      </c>
      <c r="M839">
        <f t="shared" si="26"/>
        <v>35</v>
      </c>
      <c r="N839">
        <v>0.70588235294117652</v>
      </c>
      <c r="O839" s="23" cm="1">
        <f t="array" ref="O839">WordListCount(K839,keywords!$A$2:$A$31)-WordListCount(K839,keywords!$B$2:$B$31)</f>
        <v>0</v>
      </c>
      <c r="P839" s="25">
        <f t="shared" si="27"/>
        <v>0.61175925925925922</v>
      </c>
      <c r="Q839" s="23">
        <f>SUM($O$2:O839)</f>
        <v>34</v>
      </c>
      <c r="Y839" s="14"/>
      <c r="Z839" s="13"/>
      <c r="AA839"/>
    </row>
    <row r="840" spans="1:27" x14ac:dyDescent="0.2">
      <c r="A840" s="12" t="s">
        <v>2687</v>
      </c>
      <c r="B840" t="s">
        <v>2688</v>
      </c>
      <c r="C840" t="s">
        <v>2689</v>
      </c>
      <c r="D840" t="s">
        <v>344</v>
      </c>
      <c r="E840" t="s">
        <v>13</v>
      </c>
      <c r="F840">
        <v>2</v>
      </c>
      <c r="G840">
        <v>8</v>
      </c>
      <c r="H840" s="5" t="s">
        <v>22</v>
      </c>
      <c r="I840" s="5">
        <v>0</v>
      </c>
      <c r="J840" s="5">
        <v>0</v>
      </c>
      <c r="K840" t="s">
        <v>9294</v>
      </c>
      <c r="L840" cm="1">
        <f t="array" ref="L840">wordCount(K840)</f>
        <v>4</v>
      </c>
      <c r="M840">
        <f t="shared" si="26"/>
        <v>20</v>
      </c>
      <c r="N840">
        <v>0.8571428571428571</v>
      </c>
      <c r="O840" s="23" cm="1">
        <f t="array" ref="O840">WordListCount(K840,keywords!$A$2:$A$31)-WordListCount(K840,keywords!$B$2:$B$31)</f>
        <v>0</v>
      </c>
      <c r="P840" s="25">
        <f t="shared" si="27"/>
        <v>0.61200231481481482</v>
      </c>
      <c r="Q840" s="23">
        <f>SUM($O$2:O840)</f>
        <v>34</v>
      </c>
      <c r="Y840" s="14"/>
      <c r="Z840" s="13"/>
      <c r="AA840"/>
    </row>
    <row r="841" spans="1:27" x14ac:dyDescent="0.2">
      <c r="A841" s="12" t="s">
        <v>2690</v>
      </c>
      <c r="B841" t="s">
        <v>2691</v>
      </c>
      <c r="C841" t="s">
        <v>2692</v>
      </c>
      <c r="D841" t="s">
        <v>697</v>
      </c>
      <c r="E841" t="s">
        <v>13</v>
      </c>
      <c r="F841">
        <v>816</v>
      </c>
      <c r="G841">
        <v>1145</v>
      </c>
      <c r="H841" s="5" t="s">
        <v>22</v>
      </c>
      <c r="I841" s="5">
        <v>0</v>
      </c>
      <c r="J841" s="5">
        <v>0</v>
      </c>
      <c r="K841" t="s">
        <v>9295</v>
      </c>
      <c r="L841" cm="1">
        <f t="array" ref="L841">wordCount(K841)</f>
        <v>3</v>
      </c>
      <c r="M841">
        <f t="shared" si="26"/>
        <v>16</v>
      </c>
      <c r="N841">
        <v>0.83333333333333337</v>
      </c>
      <c r="O841" s="23" cm="1">
        <f t="array" ref="O841">WordListCount(K841,keywords!$A$2:$A$31)-WordListCount(K841,keywords!$B$2:$B$31)</f>
        <v>0</v>
      </c>
      <c r="P841" s="25">
        <f t="shared" si="27"/>
        <v>0.61202546296296301</v>
      </c>
      <c r="Q841" s="23">
        <f>SUM($O$2:O841)</f>
        <v>34</v>
      </c>
      <c r="Y841" s="14"/>
      <c r="Z841" s="13"/>
      <c r="AA841"/>
    </row>
    <row r="842" spans="1:27" x14ac:dyDescent="0.2">
      <c r="A842" s="12" t="s">
        <v>2693</v>
      </c>
      <c r="B842" t="s">
        <v>2694</v>
      </c>
      <c r="C842" t="s">
        <v>2695</v>
      </c>
      <c r="D842" t="s">
        <v>2696</v>
      </c>
      <c r="E842" t="s">
        <v>13</v>
      </c>
      <c r="F842">
        <v>15</v>
      </c>
      <c r="G842">
        <v>55</v>
      </c>
      <c r="H842" s="5" t="s">
        <v>22</v>
      </c>
      <c r="I842" s="5">
        <v>0</v>
      </c>
      <c r="J842" s="5">
        <v>0</v>
      </c>
      <c r="K842" t="s">
        <v>10420</v>
      </c>
      <c r="L842" cm="1">
        <f t="array" ref="L842">wordCount(K842)</f>
        <v>14</v>
      </c>
      <c r="M842">
        <f t="shared" si="26"/>
        <v>64</v>
      </c>
      <c r="N842">
        <v>0.57692307692307687</v>
      </c>
      <c r="O842" s="23" cm="1">
        <f t="array" ref="O842">WordListCount(K842,keywords!$A$2:$A$31)-WordListCount(K842,keywords!$B$2:$B$31)</f>
        <v>1</v>
      </c>
      <c r="P842" s="25">
        <f t="shared" si="27"/>
        <v>0.61223379629629626</v>
      </c>
      <c r="Q842" s="23">
        <f>SUM($O$2:O842)</f>
        <v>35</v>
      </c>
      <c r="Y842" s="14"/>
      <c r="Z842" s="13"/>
      <c r="AA842"/>
    </row>
    <row r="843" spans="1:27" x14ac:dyDescent="0.2">
      <c r="A843" s="12" t="s">
        <v>2697</v>
      </c>
      <c r="B843" t="s">
        <v>2698</v>
      </c>
      <c r="C843" t="s">
        <v>2699</v>
      </c>
      <c r="D843" t="s">
        <v>12</v>
      </c>
      <c r="E843" t="s">
        <v>13</v>
      </c>
      <c r="F843">
        <v>270</v>
      </c>
      <c r="G843">
        <v>96</v>
      </c>
      <c r="H843" s="5" t="s">
        <v>677</v>
      </c>
      <c r="I843" s="5">
        <v>0</v>
      </c>
      <c r="J843" s="5">
        <v>0</v>
      </c>
      <c r="K843" t="s">
        <v>9296</v>
      </c>
      <c r="L843" cm="1">
        <f t="array" ref="L843">wordCount(K843)</f>
        <v>13</v>
      </c>
      <c r="M843">
        <f t="shared" si="26"/>
        <v>60</v>
      </c>
      <c r="N843">
        <v>0.62068965517241381</v>
      </c>
      <c r="O843" s="23" cm="1">
        <f t="array" ref="O843">WordListCount(K843,keywords!$A$2:$A$31)-WordListCount(K843,keywords!$B$2:$B$31)</f>
        <v>0</v>
      </c>
      <c r="P843" s="25">
        <f t="shared" si="27"/>
        <v>0.61226851851851849</v>
      </c>
      <c r="Q843" s="23">
        <f>SUM($O$2:O843)</f>
        <v>35</v>
      </c>
      <c r="Y843" s="14"/>
      <c r="Z843" s="13"/>
      <c r="AA843"/>
    </row>
    <row r="844" spans="1:27" x14ac:dyDescent="0.2">
      <c r="A844" s="12" t="s">
        <v>2700</v>
      </c>
      <c r="B844" t="s">
        <v>2701</v>
      </c>
      <c r="C844" t="s">
        <v>2702</v>
      </c>
      <c r="D844" t="s">
        <v>12</v>
      </c>
      <c r="E844" t="s">
        <v>13</v>
      </c>
      <c r="F844">
        <v>144</v>
      </c>
      <c r="G844">
        <v>238</v>
      </c>
      <c r="H844" s="5" t="s">
        <v>22</v>
      </c>
      <c r="I844" s="5">
        <v>0</v>
      </c>
      <c r="J844" s="5">
        <v>0</v>
      </c>
      <c r="K844" t="s">
        <v>10421</v>
      </c>
      <c r="L844" cm="1">
        <f t="array" ref="L844">wordCount(K844)</f>
        <v>21</v>
      </c>
      <c r="M844">
        <f t="shared" si="26"/>
        <v>84</v>
      </c>
      <c r="N844">
        <v>0.36</v>
      </c>
      <c r="O844" s="23" cm="1">
        <f t="array" ref="O844">WordListCount(K844,keywords!$A$2:$A$31)-WordListCount(K844,keywords!$B$2:$B$31)</f>
        <v>0</v>
      </c>
      <c r="P844" s="25">
        <f t="shared" si="27"/>
        <v>0.61238425925925932</v>
      </c>
      <c r="Q844" s="23">
        <f>SUM($O$2:O844)</f>
        <v>35</v>
      </c>
      <c r="Y844" s="14"/>
      <c r="Z844" s="13"/>
      <c r="AA844"/>
    </row>
    <row r="845" spans="1:27" x14ac:dyDescent="0.2">
      <c r="A845" s="12" t="s">
        <v>2703</v>
      </c>
      <c r="B845" t="s">
        <v>2704</v>
      </c>
      <c r="C845" t="s">
        <v>1718</v>
      </c>
      <c r="D845" t="s">
        <v>1719</v>
      </c>
      <c r="E845" t="s">
        <v>13</v>
      </c>
      <c r="F845">
        <v>4</v>
      </c>
      <c r="G845">
        <v>0</v>
      </c>
      <c r="H845" s="5" t="s">
        <v>22</v>
      </c>
      <c r="I845" s="5">
        <v>0</v>
      </c>
      <c r="J845" s="5">
        <v>0</v>
      </c>
      <c r="K845" t="s">
        <v>10422</v>
      </c>
      <c r="L845" cm="1">
        <f t="array" ref="L845">wordCount(K845)</f>
        <v>18</v>
      </c>
      <c r="M845">
        <f t="shared" si="26"/>
        <v>109</v>
      </c>
      <c r="N845">
        <v>0.30434782608695654</v>
      </c>
      <c r="O845" s="23" cm="1">
        <f t="array" ref="O845">WordListCount(K845,keywords!$A$2:$A$31)-WordListCount(K845,keywords!$B$2:$B$31)</f>
        <v>0</v>
      </c>
      <c r="P845" s="25">
        <f t="shared" si="27"/>
        <v>0.61244212962962963</v>
      </c>
      <c r="Q845" s="23">
        <f>SUM($O$2:O845)</f>
        <v>35</v>
      </c>
      <c r="Y845" s="14"/>
      <c r="Z845" s="13"/>
      <c r="AA845"/>
    </row>
    <row r="846" spans="1:27" x14ac:dyDescent="0.2">
      <c r="A846" s="12" t="s">
        <v>2705</v>
      </c>
      <c r="B846" t="s">
        <v>2706</v>
      </c>
      <c r="C846" t="s">
        <v>2707</v>
      </c>
      <c r="D846" t="s">
        <v>2708</v>
      </c>
      <c r="E846" t="s">
        <v>13</v>
      </c>
      <c r="F846">
        <v>110</v>
      </c>
      <c r="G846">
        <v>382</v>
      </c>
      <c r="H846" s="5" t="s">
        <v>22</v>
      </c>
      <c r="I846" s="5">
        <v>0</v>
      </c>
      <c r="J846" s="5">
        <v>0</v>
      </c>
      <c r="K846" t="s">
        <v>10423</v>
      </c>
      <c r="L846" cm="1">
        <f t="array" ref="L846">wordCount(K846)</f>
        <v>17</v>
      </c>
      <c r="M846">
        <f t="shared" si="26"/>
        <v>77</v>
      </c>
      <c r="N846">
        <v>0.43478260869565216</v>
      </c>
      <c r="O846" s="23" cm="1">
        <f t="array" ref="O846">WordListCount(K846,keywords!$A$2:$A$31)-WordListCount(K846,keywords!$B$2:$B$31)</f>
        <v>0</v>
      </c>
      <c r="P846" s="25">
        <f t="shared" si="27"/>
        <v>0.61259259259259258</v>
      </c>
      <c r="Q846" s="23">
        <f>SUM($O$2:O846)</f>
        <v>35</v>
      </c>
      <c r="Y846" s="14"/>
      <c r="Z846" s="13"/>
      <c r="AA846"/>
    </row>
    <row r="847" spans="1:27" x14ac:dyDescent="0.2">
      <c r="A847" s="12" t="s">
        <v>2709</v>
      </c>
      <c r="B847" t="s">
        <v>2710</v>
      </c>
      <c r="C847" t="s">
        <v>2711</v>
      </c>
      <c r="D847" t="s">
        <v>12</v>
      </c>
      <c r="E847" t="s">
        <v>13</v>
      </c>
      <c r="F847">
        <v>131</v>
      </c>
      <c r="G847">
        <v>81</v>
      </c>
      <c r="H847" s="5" t="s">
        <v>59</v>
      </c>
      <c r="I847" s="5">
        <v>0</v>
      </c>
      <c r="J847" s="5">
        <v>0</v>
      </c>
      <c r="K847" t="s">
        <v>9297</v>
      </c>
      <c r="L847" cm="1">
        <f t="array" ref="L847">wordCount(K847)</f>
        <v>3</v>
      </c>
      <c r="M847">
        <f t="shared" si="26"/>
        <v>13</v>
      </c>
      <c r="N847">
        <v>0.9</v>
      </c>
      <c r="O847" s="23" cm="1">
        <f t="array" ref="O847">WordListCount(K847,keywords!$A$2:$A$31)-WordListCount(K847,keywords!$B$2:$B$31)</f>
        <v>1</v>
      </c>
      <c r="P847" s="25">
        <f t="shared" si="27"/>
        <v>0.61265046296296299</v>
      </c>
      <c r="Q847" s="23">
        <f>SUM($O$2:O847)</f>
        <v>36</v>
      </c>
      <c r="Y847" s="14"/>
      <c r="Z847" s="13"/>
      <c r="AA847"/>
    </row>
    <row r="848" spans="1:27" x14ac:dyDescent="0.2">
      <c r="A848" s="12" t="s">
        <v>2712</v>
      </c>
      <c r="B848" t="s">
        <v>2713</v>
      </c>
      <c r="C848" t="s">
        <v>1978</v>
      </c>
      <c r="D848" t="s">
        <v>74</v>
      </c>
      <c r="E848" t="s">
        <v>13</v>
      </c>
      <c r="F848">
        <v>142</v>
      </c>
      <c r="G848">
        <v>313</v>
      </c>
      <c r="H848" s="5" t="s">
        <v>22</v>
      </c>
      <c r="I848" s="5">
        <v>0</v>
      </c>
      <c r="J848" s="5">
        <v>0</v>
      </c>
      <c r="K848" t="s">
        <v>10424</v>
      </c>
      <c r="L848" cm="1">
        <f t="array" ref="L848">wordCount(K848)</f>
        <v>6</v>
      </c>
      <c r="M848">
        <f t="shared" si="26"/>
        <v>29</v>
      </c>
      <c r="N848">
        <v>0.76470588235294112</v>
      </c>
      <c r="O848" s="23" cm="1">
        <f t="array" ref="O848">WordListCount(K848,keywords!$A$2:$A$31)-WordListCount(K848,keywords!$B$2:$B$31)</f>
        <v>0</v>
      </c>
      <c r="P848" s="25">
        <f t="shared" si="27"/>
        <v>0.61267361111111118</v>
      </c>
      <c r="Q848" s="23">
        <f>SUM($O$2:O848)</f>
        <v>36</v>
      </c>
      <c r="Y848" s="14"/>
      <c r="Z848" s="13"/>
      <c r="AA848"/>
    </row>
    <row r="849" spans="1:27" x14ac:dyDescent="0.2">
      <c r="A849" s="12" t="s">
        <v>2714</v>
      </c>
      <c r="B849" t="s">
        <v>2715</v>
      </c>
      <c r="C849" t="s">
        <v>2716</v>
      </c>
      <c r="D849" t="s">
        <v>2717</v>
      </c>
      <c r="E849" t="s">
        <v>13</v>
      </c>
      <c r="F849">
        <v>427</v>
      </c>
      <c r="G849">
        <v>426</v>
      </c>
      <c r="H849" s="5" t="s">
        <v>22</v>
      </c>
      <c r="I849" s="5">
        <v>0</v>
      </c>
      <c r="J849" s="5">
        <v>0</v>
      </c>
      <c r="K849" t="s">
        <v>10425</v>
      </c>
      <c r="L849" cm="1">
        <f t="array" ref="L849">wordCount(K849)</f>
        <v>7</v>
      </c>
      <c r="M849">
        <f t="shared" si="26"/>
        <v>24</v>
      </c>
      <c r="N849">
        <v>0.76470588235294112</v>
      </c>
      <c r="O849" s="23" cm="1">
        <f t="array" ref="O849">WordListCount(K849,keywords!$A$2:$A$31)-WordListCount(K849,keywords!$B$2:$B$31)</f>
        <v>0</v>
      </c>
      <c r="P849" s="25">
        <f t="shared" si="27"/>
        <v>0.61297453703703708</v>
      </c>
      <c r="Q849" s="23">
        <f>SUM($O$2:O849)</f>
        <v>36</v>
      </c>
      <c r="Y849" s="14"/>
      <c r="Z849" s="13"/>
      <c r="AA849"/>
    </row>
    <row r="850" spans="1:27" x14ac:dyDescent="0.2">
      <c r="A850" s="12" t="s">
        <v>2718</v>
      </c>
      <c r="B850" t="s">
        <v>2719</v>
      </c>
      <c r="C850" t="s">
        <v>2720</v>
      </c>
      <c r="D850" t="s">
        <v>2721</v>
      </c>
      <c r="E850" t="s">
        <v>13</v>
      </c>
      <c r="F850">
        <v>894</v>
      </c>
      <c r="G850">
        <v>1968</v>
      </c>
      <c r="H850" s="5" t="s">
        <v>22</v>
      </c>
      <c r="I850" s="5">
        <v>0</v>
      </c>
      <c r="J850" s="5">
        <v>0</v>
      </c>
      <c r="K850" t="s">
        <v>10426</v>
      </c>
      <c r="L850" cm="1">
        <f t="array" ref="L850">wordCount(K850)</f>
        <v>17</v>
      </c>
      <c r="M850">
        <f t="shared" si="26"/>
        <v>74</v>
      </c>
      <c r="N850">
        <v>0.60606060606060608</v>
      </c>
      <c r="O850" s="23" cm="1">
        <f t="array" ref="O850">WordListCount(K850,keywords!$A$2:$A$31)-WordListCount(K850,keywords!$B$2:$B$31)</f>
        <v>0</v>
      </c>
      <c r="P850" s="25">
        <f t="shared" si="27"/>
        <v>0.6131712962962963</v>
      </c>
      <c r="Q850" s="23">
        <f>SUM($O$2:O850)</f>
        <v>36</v>
      </c>
      <c r="Y850" s="14"/>
      <c r="Z850" s="13"/>
      <c r="AA850"/>
    </row>
    <row r="851" spans="1:27" x14ac:dyDescent="0.2">
      <c r="A851" s="12" t="s">
        <v>2722</v>
      </c>
      <c r="B851" t="s">
        <v>2723</v>
      </c>
      <c r="C851" t="s">
        <v>2724</v>
      </c>
      <c r="D851" t="s">
        <v>2725</v>
      </c>
      <c r="E851" t="s">
        <v>13</v>
      </c>
      <c r="F851">
        <v>162</v>
      </c>
      <c r="G851">
        <v>418</v>
      </c>
      <c r="H851" s="5" t="s">
        <v>22</v>
      </c>
      <c r="I851" s="5">
        <v>0</v>
      </c>
      <c r="J851" s="5">
        <v>0</v>
      </c>
      <c r="K851" t="s">
        <v>10427</v>
      </c>
      <c r="L851" cm="1">
        <f t="array" ref="L851">wordCount(K851)</f>
        <v>15</v>
      </c>
      <c r="M851">
        <f t="shared" si="26"/>
        <v>80</v>
      </c>
      <c r="N851">
        <v>0.65517241379310343</v>
      </c>
      <c r="O851" s="23" cm="1">
        <f t="array" ref="O851">WordListCount(K851,keywords!$A$2:$A$31)-WordListCount(K851,keywords!$B$2:$B$31)</f>
        <v>0</v>
      </c>
      <c r="P851" s="25">
        <f t="shared" si="27"/>
        <v>0.6132291666666666</v>
      </c>
      <c r="Q851" s="23">
        <f>SUM($O$2:O851)</f>
        <v>36</v>
      </c>
      <c r="Y851" s="14"/>
      <c r="Z851" s="13"/>
      <c r="AA851"/>
    </row>
    <row r="852" spans="1:27" x14ac:dyDescent="0.2">
      <c r="A852" s="12" t="s">
        <v>2726</v>
      </c>
      <c r="B852" t="s">
        <v>2727</v>
      </c>
      <c r="C852" t="s">
        <v>2728</v>
      </c>
      <c r="D852" t="s">
        <v>12</v>
      </c>
      <c r="E852" t="s">
        <v>13</v>
      </c>
      <c r="F852">
        <v>6</v>
      </c>
      <c r="G852">
        <v>24</v>
      </c>
      <c r="H852" s="5" t="s">
        <v>677</v>
      </c>
      <c r="I852" s="5">
        <v>0</v>
      </c>
      <c r="J852" s="5">
        <v>0</v>
      </c>
      <c r="K852" t="s">
        <v>10428</v>
      </c>
      <c r="L852" cm="1">
        <f t="array" ref="L852">wordCount(K852)</f>
        <v>10</v>
      </c>
      <c r="M852">
        <f t="shared" si="26"/>
        <v>58</v>
      </c>
      <c r="N852">
        <v>0.72727272727272729</v>
      </c>
      <c r="O852" s="23" cm="1">
        <f t="array" ref="O852">WordListCount(K852,keywords!$A$2:$A$31)-WordListCount(K852,keywords!$B$2:$B$31)</f>
        <v>0</v>
      </c>
      <c r="P852" s="25">
        <f t="shared" si="27"/>
        <v>0.6136342592592593</v>
      </c>
      <c r="Q852" s="23">
        <f>SUM($O$2:O852)</f>
        <v>36</v>
      </c>
      <c r="Y852" s="14"/>
      <c r="Z852" s="13"/>
      <c r="AA852"/>
    </row>
    <row r="853" spans="1:27" x14ac:dyDescent="0.2">
      <c r="A853" s="12" t="s">
        <v>2729</v>
      </c>
      <c r="B853" t="s">
        <v>2730</v>
      </c>
      <c r="C853" t="s">
        <v>2720</v>
      </c>
      <c r="D853" t="s">
        <v>2721</v>
      </c>
      <c r="E853" t="s">
        <v>13</v>
      </c>
      <c r="F853">
        <v>894</v>
      </c>
      <c r="G853">
        <v>1968</v>
      </c>
      <c r="H853" s="5" t="s">
        <v>22</v>
      </c>
      <c r="I853" s="5">
        <v>0</v>
      </c>
      <c r="J853" s="5">
        <v>0</v>
      </c>
      <c r="K853" t="s">
        <v>10429</v>
      </c>
      <c r="L853" cm="1">
        <f t="array" ref="L853">wordCount(K853)</f>
        <v>6</v>
      </c>
      <c r="M853">
        <f t="shared" si="26"/>
        <v>35</v>
      </c>
      <c r="N853">
        <v>0.77777777777777779</v>
      </c>
      <c r="O853" s="23" cm="1">
        <f t="array" ref="O853">WordListCount(K853,keywords!$A$2:$A$31)-WordListCount(K853,keywords!$B$2:$B$31)</f>
        <v>0</v>
      </c>
      <c r="P853" s="25">
        <f t="shared" si="27"/>
        <v>0.61391203703703701</v>
      </c>
      <c r="Q853" s="23">
        <f>SUM($O$2:O853)</f>
        <v>36</v>
      </c>
      <c r="Y853" s="14"/>
      <c r="Z853" s="13"/>
      <c r="AA853"/>
    </row>
    <row r="854" spans="1:27" x14ac:dyDescent="0.2">
      <c r="A854" s="12" t="s">
        <v>2731</v>
      </c>
      <c r="B854" t="s">
        <v>2732</v>
      </c>
      <c r="C854" t="s">
        <v>2733</v>
      </c>
      <c r="D854" t="s">
        <v>2734</v>
      </c>
      <c r="E854" t="s">
        <v>13</v>
      </c>
      <c r="F854">
        <v>1258</v>
      </c>
      <c r="G854">
        <v>401</v>
      </c>
      <c r="H854" s="5" t="s">
        <v>22</v>
      </c>
      <c r="I854" s="5">
        <v>0</v>
      </c>
      <c r="J854" s="5">
        <v>0</v>
      </c>
      <c r="K854" t="s">
        <v>10430</v>
      </c>
      <c r="L854" cm="1">
        <f t="array" ref="L854">wordCount(K854)</f>
        <v>24</v>
      </c>
      <c r="M854">
        <f t="shared" si="26"/>
        <v>116</v>
      </c>
      <c r="N854">
        <v>0.52777777777777779</v>
      </c>
      <c r="O854" s="23" cm="1">
        <f t="array" ref="O854">WordListCount(K854,keywords!$A$2:$A$31)-WordListCount(K854,keywords!$B$2:$B$31)</f>
        <v>-1</v>
      </c>
      <c r="P854" s="25">
        <f t="shared" si="27"/>
        <v>0.61403935185185188</v>
      </c>
      <c r="Q854" s="23">
        <f>SUM($O$2:O854)</f>
        <v>35</v>
      </c>
      <c r="Y854" s="14"/>
      <c r="Z854" s="13"/>
      <c r="AA854"/>
    </row>
    <row r="855" spans="1:27" x14ac:dyDescent="0.2">
      <c r="A855" s="12" t="s">
        <v>2735</v>
      </c>
      <c r="B855" t="s">
        <v>2736</v>
      </c>
      <c r="C855" t="s">
        <v>2737</v>
      </c>
      <c r="D855" t="s">
        <v>2738</v>
      </c>
      <c r="E855" t="s">
        <v>13</v>
      </c>
      <c r="F855">
        <v>25</v>
      </c>
      <c r="G855">
        <v>73</v>
      </c>
      <c r="H855" s="5" t="s">
        <v>22</v>
      </c>
      <c r="I855" s="5">
        <v>0</v>
      </c>
      <c r="J855" s="5">
        <v>0</v>
      </c>
      <c r="K855" t="s">
        <v>10431</v>
      </c>
      <c r="L855" cm="1">
        <f t="array" ref="L855">wordCount(K855)</f>
        <v>24</v>
      </c>
      <c r="M855">
        <f t="shared" si="26"/>
        <v>101</v>
      </c>
      <c r="N855">
        <v>0.45161290322580644</v>
      </c>
      <c r="O855" s="23" cm="1">
        <f t="array" ref="O855">WordListCount(K855,keywords!$A$2:$A$31)-WordListCount(K855,keywords!$B$2:$B$31)</f>
        <v>0</v>
      </c>
      <c r="P855" s="25">
        <f t="shared" si="27"/>
        <v>0.61413194444444441</v>
      </c>
      <c r="Q855" s="23">
        <f>SUM($O$2:O855)</f>
        <v>35</v>
      </c>
      <c r="Y855" s="14"/>
      <c r="Z855" s="13"/>
      <c r="AA855"/>
    </row>
    <row r="856" spans="1:27" x14ac:dyDescent="0.2">
      <c r="A856" s="12" t="s">
        <v>2739</v>
      </c>
      <c r="B856" t="s">
        <v>2740</v>
      </c>
      <c r="C856" t="s">
        <v>2741</v>
      </c>
      <c r="D856" t="s">
        <v>2742</v>
      </c>
      <c r="E856" t="s">
        <v>13</v>
      </c>
      <c r="F856">
        <v>1425</v>
      </c>
      <c r="G856">
        <v>1265</v>
      </c>
      <c r="H856" s="5" t="s">
        <v>2377</v>
      </c>
      <c r="I856" s="5">
        <v>0</v>
      </c>
      <c r="J856" s="5">
        <v>0</v>
      </c>
      <c r="K856" t="s">
        <v>9298</v>
      </c>
      <c r="L856" cm="1">
        <f t="array" ref="L856">wordCount(K856)</f>
        <v>5</v>
      </c>
      <c r="M856">
        <f t="shared" si="26"/>
        <v>36</v>
      </c>
      <c r="N856">
        <v>0.2857142857142857</v>
      </c>
      <c r="O856" s="23" cm="1">
        <f t="array" ref="O856">WordListCount(K856,keywords!$A$2:$A$31)-WordListCount(K856,keywords!$B$2:$B$31)</f>
        <v>0</v>
      </c>
      <c r="P856" s="25">
        <f t="shared" si="27"/>
        <v>0.61422453703703705</v>
      </c>
      <c r="Q856" s="23">
        <f>SUM($O$2:O856)</f>
        <v>35</v>
      </c>
      <c r="Y856" s="14"/>
      <c r="Z856" s="13"/>
      <c r="AA856"/>
    </row>
    <row r="857" spans="1:27" x14ac:dyDescent="0.2">
      <c r="A857" s="12" t="s">
        <v>2743</v>
      </c>
      <c r="B857" t="s">
        <v>2744</v>
      </c>
      <c r="C857" t="s">
        <v>429</v>
      </c>
      <c r="D857" t="s">
        <v>430</v>
      </c>
      <c r="E857" t="s">
        <v>13</v>
      </c>
      <c r="F857">
        <v>1663</v>
      </c>
      <c r="G857">
        <v>1479</v>
      </c>
      <c r="H857" s="5" t="s">
        <v>22</v>
      </c>
      <c r="I857" s="5">
        <v>0</v>
      </c>
      <c r="J857" s="5">
        <v>0</v>
      </c>
      <c r="K857" t="s">
        <v>10432</v>
      </c>
      <c r="L857" cm="1">
        <f t="array" ref="L857">wordCount(K857)</f>
        <v>9</v>
      </c>
      <c r="M857">
        <f t="shared" si="26"/>
        <v>64</v>
      </c>
      <c r="N857">
        <v>0.8</v>
      </c>
      <c r="O857" s="23" cm="1">
        <f t="array" ref="O857">WordListCount(K857,keywords!$A$2:$A$31)-WordListCount(K857,keywords!$B$2:$B$31)</f>
        <v>0</v>
      </c>
      <c r="P857" s="25">
        <f t="shared" si="27"/>
        <v>0.61460648148148145</v>
      </c>
      <c r="Q857" s="23">
        <f>SUM($O$2:O857)</f>
        <v>35</v>
      </c>
      <c r="Y857" s="14"/>
      <c r="Z857" s="13"/>
      <c r="AA857"/>
    </row>
    <row r="858" spans="1:27" x14ac:dyDescent="0.2">
      <c r="A858" s="12" t="s">
        <v>2745</v>
      </c>
      <c r="B858" t="s">
        <v>2746</v>
      </c>
      <c r="C858" t="s">
        <v>657</v>
      </c>
      <c r="D858" t="s">
        <v>658</v>
      </c>
      <c r="E858" t="s">
        <v>13</v>
      </c>
      <c r="F858">
        <v>3565</v>
      </c>
      <c r="G858">
        <v>88</v>
      </c>
      <c r="H858" s="5" t="s">
        <v>22</v>
      </c>
      <c r="I858" s="5">
        <v>0</v>
      </c>
      <c r="J858" s="5">
        <v>0</v>
      </c>
      <c r="K858" t="s">
        <v>9299</v>
      </c>
      <c r="L858" cm="1">
        <f t="array" ref="L858">wordCount(K858)</f>
        <v>12</v>
      </c>
      <c r="M858">
        <f t="shared" si="26"/>
        <v>70</v>
      </c>
      <c r="N858">
        <v>0.42105263157894735</v>
      </c>
      <c r="O858" s="23" cm="1">
        <f t="array" ref="O858">WordListCount(K858,keywords!$A$2:$A$31)-WordListCount(K858,keywords!$B$2:$B$31)</f>
        <v>0</v>
      </c>
      <c r="P858" s="25">
        <f t="shared" si="27"/>
        <v>0.61468749999999994</v>
      </c>
      <c r="Q858" s="23">
        <f>SUM($O$2:O858)</f>
        <v>35</v>
      </c>
      <c r="Y858" s="14"/>
      <c r="Z858" s="13"/>
      <c r="AA858"/>
    </row>
    <row r="859" spans="1:27" x14ac:dyDescent="0.2">
      <c r="A859" s="12" t="s">
        <v>2747</v>
      </c>
      <c r="B859" t="s">
        <v>2748</v>
      </c>
      <c r="C859" t="s">
        <v>2749</v>
      </c>
      <c r="D859" t="s">
        <v>2750</v>
      </c>
      <c r="E859" t="s">
        <v>13</v>
      </c>
      <c r="F859">
        <v>191</v>
      </c>
      <c r="G859">
        <v>648</v>
      </c>
      <c r="H859" s="5" t="s">
        <v>22</v>
      </c>
      <c r="I859" s="5">
        <v>0</v>
      </c>
      <c r="J859" s="5">
        <v>0</v>
      </c>
      <c r="K859" t="s">
        <v>10433</v>
      </c>
      <c r="L859" cm="1">
        <f t="array" ref="L859">wordCount(K859)</f>
        <v>15</v>
      </c>
      <c r="M859">
        <f t="shared" si="26"/>
        <v>76</v>
      </c>
      <c r="N859">
        <v>0.33333333333333331</v>
      </c>
      <c r="O859" s="23" cm="1">
        <f t="array" ref="O859">WordListCount(K859,keywords!$A$2:$A$31)-WordListCount(K859,keywords!$B$2:$B$31)</f>
        <v>0</v>
      </c>
      <c r="P859" s="25">
        <f t="shared" si="27"/>
        <v>0.61539351851851853</v>
      </c>
      <c r="Q859" s="23">
        <f>SUM($O$2:O859)</f>
        <v>35</v>
      </c>
      <c r="Y859" s="14"/>
      <c r="Z859" s="13"/>
      <c r="AA859"/>
    </row>
    <row r="860" spans="1:27" x14ac:dyDescent="0.2">
      <c r="A860" s="12" t="s">
        <v>2751</v>
      </c>
      <c r="B860" t="s">
        <v>2752</v>
      </c>
      <c r="C860" t="s">
        <v>73</v>
      </c>
      <c r="D860" t="s">
        <v>74</v>
      </c>
      <c r="E860" t="s">
        <v>13</v>
      </c>
      <c r="F860">
        <v>87</v>
      </c>
      <c r="G860">
        <v>237</v>
      </c>
      <c r="H860" s="5" t="s">
        <v>22</v>
      </c>
      <c r="I860" s="5">
        <v>0</v>
      </c>
      <c r="J860" s="5">
        <v>0</v>
      </c>
      <c r="K860" t="s">
        <v>9135</v>
      </c>
      <c r="L860" cm="1">
        <f t="array" ref="L860">wordCount(K860)</f>
        <v>7</v>
      </c>
      <c r="M860">
        <f t="shared" si="26"/>
        <v>37</v>
      </c>
      <c r="N860">
        <v>1</v>
      </c>
      <c r="O860" s="23" cm="1">
        <f t="array" ref="O860">WordListCount(K860,keywords!$A$2:$A$31)-WordListCount(K860,keywords!$B$2:$B$31)</f>
        <v>0</v>
      </c>
      <c r="P860" s="25">
        <f t="shared" si="27"/>
        <v>0.61540509259259257</v>
      </c>
      <c r="Q860" s="23">
        <f>SUM($O$2:O860)</f>
        <v>35</v>
      </c>
      <c r="Y860" s="14"/>
      <c r="Z860" s="13"/>
      <c r="AA860"/>
    </row>
    <row r="861" spans="1:27" x14ac:dyDescent="0.2">
      <c r="A861" s="12" t="s">
        <v>2753</v>
      </c>
      <c r="B861" t="s">
        <v>2754</v>
      </c>
      <c r="C861" t="s">
        <v>2755</v>
      </c>
      <c r="D861" t="s">
        <v>12</v>
      </c>
      <c r="E861" t="s">
        <v>13</v>
      </c>
      <c r="F861">
        <v>430</v>
      </c>
      <c r="G861">
        <v>263</v>
      </c>
      <c r="H861" s="5" t="s">
        <v>22</v>
      </c>
      <c r="I861" s="5">
        <v>0</v>
      </c>
      <c r="J861" s="5">
        <v>0</v>
      </c>
      <c r="K861" t="s">
        <v>10434</v>
      </c>
      <c r="L861" cm="1">
        <f t="array" ref="L861">wordCount(K861)</f>
        <v>18</v>
      </c>
      <c r="M861">
        <f t="shared" si="26"/>
        <v>109</v>
      </c>
      <c r="N861">
        <v>0.46666666666666667</v>
      </c>
      <c r="O861" s="23" cm="1">
        <f t="array" ref="O861">WordListCount(K861,keywords!$A$2:$A$31)-WordListCount(K861,keywords!$B$2:$B$31)</f>
        <v>0</v>
      </c>
      <c r="P861" s="25">
        <f t="shared" si="27"/>
        <v>0.6154398148148148</v>
      </c>
      <c r="Q861" s="23">
        <f>SUM($O$2:O861)</f>
        <v>35</v>
      </c>
      <c r="Y861" s="14"/>
      <c r="Z861" s="13"/>
      <c r="AA861"/>
    </row>
    <row r="862" spans="1:27" x14ac:dyDescent="0.2">
      <c r="A862" s="12" t="s">
        <v>2756</v>
      </c>
      <c r="B862" t="s">
        <v>2757</v>
      </c>
      <c r="C862" t="s">
        <v>2758</v>
      </c>
      <c r="D862" t="s">
        <v>12</v>
      </c>
      <c r="E862" t="s">
        <v>13</v>
      </c>
      <c r="F862">
        <v>1666</v>
      </c>
      <c r="G862">
        <v>4978</v>
      </c>
      <c r="H862" s="5" t="s">
        <v>14</v>
      </c>
      <c r="I862" s="5">
        <v>0</v>
      </c>
      <c r="J862" s="5">
        <v>0</v>
      </c>
      <c r="K862" t="s">
        <v>10435</v>
      </c>
      <c r="L862" cm="1">
        <f t="array" ref="L862">wordCount(K862)</f>
        <v>14</v>
      </c>
      <c r="M862">
        <f t="shared" si="26"/>
        <v>74</v>
      </c>
      <c r="N862">
        <v>0.5</v>
      </c>
      <c r="O862" s="23" cm="1">
        <f t="array" ref="O862">WordListCount(K862,keywords!$A$2:$A$31)-WordListCount(K862,keywords!$B$2:$B$31)</f>
        <v>2</v>
      </c>
      <c r="P862" s="25">
        <f t="shared" si="27"/>
        <v>0.61556712962962956</v>
      </c>
      <c r="Q862" s="23">
        <f>SUM($O$2:O862)</f>
        <v>37</v>
      </c>
      <c r="Y862" s="14"/>
      <c r="Z862" s="13"/>
      <c r="AA862"/>
    </row>
    <row r="863" spans="1:27" x14ac:dyDescent="0.2">
      <c r="A863" s="12" t="s">
        <v>2759</v>
      </c>
      <c r="B863" t="s">
        <v>2760</v>
      </c>
      <c r="C863" t="s">
        <v>2761</v>
      </c>
      <c r="D863" t="s">
        <v>12</v>
      </c>
      <c r="E863" t="s">
        <v>13</v>
      </c>
      <c r="F863">
        <v>15</v>
      </c>
      <c r="G863">
        <v>53</v>
      </c>
      <c r="H863" s="5" t="s">
        <v>22</v>
      </c>
      <c r="I863" s="5">
        <v>0</v>
      </c>
      <c r="J863" s="5">
        <v>0</v>
      </c>
      <c r="K863" t="s">
        <v>10436</v>
      </c>
      <c r="L863" cm="1">
        <f t="array" ref="L863">wordCount(K863)</f>
        <v>14</v>
      </c>
      <c r="M863">
        <f t="shared" si="26"/>
        <v>71</v>
      </c>
      <c r="N863">
        <v>0.66666666666666663</v>
      </c>
      <c r="O863" s="23" cm="1">
        <f t="array" ref="O863">WordListCount(K863,keywords!$A$2:$A$31)-WordListCount(K863,keywords!$B$2:$B$31)</f>
        <v>0</v>
      </c>
      <c r="P863" s="25">
        <f t="shared" si="27"/>
        <v>0.61565972222222221</v>
      </c>
      <c r="Q863" s="23">
        <f>SUM($O$2:O863)</f>
        <v>37</v>
      </c>
      <c r="Y863" s="14"/>
      <c r="Z863" s="13"/>
      <c r="AA863"/>
    </row>
    <row r="864" spans="1:27" x14ac:dyDescent="0.2">
      <c r="A864" s="12" t="s">
        <v>2762</v>
      </c>
      <c r="B864" t="s">
        <v>2763</v>
      </c>
      <c r="C864" t="s">
        <v>138</v>
      </c>
      <c r="D864" t="s">
        <v>12</v>
      </c>
      <c r="E864" t="s">
        <v>13</v>
      </c>
      <c r="F864">
        <v>218</v>
      </c>
      <c r="G864">
        <v>126</v>
      </c>
      <c r="H864" s="5" t="s">
        <v>139</v>
      </c>
      <c r="I864" s="5">
        <v>0</v>
      </c>
      <c r="J864" s="5">
        <v>0</v>
      </c>
      <c r="K864" t="s">
        <v>10437</v>
      </c>
      <c r="L864" cm="1">
        <f t="array" ref="L864">wordCount(K864)</f>
        <v>12</v>
      </c>
      <c r="M864">
        <f t="shared" si="26"/>
        <v>67</v>
      </c>
      <c r="N864">
        <v>1</v>
      </c>
      <c r="O864" s="23" cm="1">
        <f t="array" ref="O864">WordListCount(K864,keywords!$A$2:$A$31)-WordListCount(K864,keywords!$B$2:$B$31)</f>
        <v>0</v>
      </c>
      <c r="P864" s="25">
        <f t="shared" si="27"/>
        <v>0.61579861111111112</v>
      </c>
      <c r="Q864" s="23">
        <f>SUM($O$2:O864)</f>
        <v>37</v>
      </c>
      <c r="Y864" s="14"/>
      <c r="Z864" s="13"/>
      <c r="AA864"/>
    </row>
    <row r="865" spans="1:27" x14ac:dyDescent="0.2">
      <c r="A865" s="12" t="s">
        <v>2764</v>
      </c>
      <c r="B865" t="s">
        <v>2765</v>
      </c>
      <c r="C865" t="s">
        <v>496</v>
      </c>
      <c r="D865" t="s">
        <v>497</v>
      </c>
      <c r="E865" t="s">
        <v>13</v>
      </c>
      <c r="F865">
        <v>366</v>
      </c>
      <c r="G865">
        <v>225</v>
      </c>
      <c r="H865" s="5" t="s">
        <v>22</v>
      </c>
      <c r="I865" s="5">
        <v>0</v>
      </c>
      <c r="J865" s="5">
        <v>0</v>
      </c>
      <c r="K865" t="s">
        <v>10438</v>
      </c>
      <c r="L865" cm="1">
        <f t="array" ref="L865">wordCount(K865)</f>
        <v>24</v>
      </c>
      <c r="M865">
        <f t="shared" si="26"/>
        <v>103</v>
      </c>
      <c r="N865">
        <v>0.76</v>
      </c>
      <c r="O865" s="23" cm="1">
        <f t="array" ref="O865">WordListCount(K865,keywords!$A$2:$A$31)-WordListCount(K865,keywords!$B$2:$B$31)</f>
        <v>0</v>
      </c>
      <c r="P865" s="25">
        <f t="shared" si="27"/>
        <v>0.61581018518518515</v>
      </c>
      <c r="Q865" s="23">
        <f>SUM($O$2:O865)</f>
        <v>37</v>
      </c>
      <c r="Y865" s="14"/>
      <c r="Z865" s="13"/>
      <c r="AA865"/>
    </row>
    <row r="866" spans="1:27" x14ac:dyDescent="0.2">
      <c r="A866" s="12" t="s">
        <v>2766</v>
      </c>
      <c r="B866" t="s">
        <v>2767</v>
      </c>
      <c r="C866" t="s">
        <v>2768</v>
      </c>
      <c r="D866" t="s">
        <v>2769</v>
      </c>
      <c r="E866" t="s">
        <v>13</v>
      </c>
      <c r="F866">
        <v>966</v>
      </c>
      <c r="G866">
        <v>534</v>
      </c>
      <c r="H866" s="5" t="s">
        <v>22</v>
      </c>
      <c r="I866" s="5">
        <v>0</v>
      </c>
      <c r="J866" s="5">
        <v>0</v>
      </c>
      <c r="K866" t="s">
        <v>10439</v>
      </c>
      <c r="L866" cm="1">
        <f t="array" ref="L866">wordCount(K866)</f>
        <v>18</v>
      </c>
      <c r="M866">
        <f t="shared" si="26"/>
        <v>93</v>
      </c>
      <c r="N866">
        <v>0.36363636363636365</v>
      </c>
      <c r="O866" s="23" cm="1">
        <f t="array" ref="O866">WordListCount(K866,keywords!$A$2:$A$31)-WordListCount(K866,keywords!$B$2:$B$31)</f>
        <v>0</v>
      </c>
      <c r="P866" s="25">
        <f t="shared" si="27"/>
        <v>0.61587962962962961</v>
      </c>
      <c r="Q866" s="23">
        <f>SUM($O$2:O866)</f>
        <v>37</v>
      </c>
      <c r="Y866" s="14"/>
      <c r="Z866" s="13"/>
      <c r="AA866"/>
    </row>
    <row r="867" spans="1:27" x14ac:dyDescent="0.2">
      <c r="A867" s="12" t="s">
        <v>2770</v>
      </c>
      <c r="B867" t="s">
        <v>2771</v>
      </c>
      <c r="C867" t="s">
        <v>2772</v>
      </c>
      <c r="D867" t="s">
        <v>2773</v>
      </c>
      <c r="E867" t="s">
        <v>13</v>
      </c>
      <c r="F867">
        <v>10</v>
      </c>
      <c r="G867">
        <v>57</v>
      </c>
      <c r="H867" s="5" t="s">
        <v>283</v>
      </c>
      <c r="I867" s="5">
        <v>0</v>
      </c>
      <c r="J867" s="5">
        <v>0</v>
      </c>
      <c r="K867" t="s">
        <v>10440</v>
      </c>
      <c r="L867" cm="1">
        <f t="array" ref="L867">wordCount(K867)</f>
        <v>13</v>
      </c>
      <c r="M867">
        <f t="shared" si="26"/>
        <v>54</v>
      </c>
      <c r="N867">
        <v>0.58333333333333337</v>
      </c>
      <c r="O867" s="23" cm="1">
        <f t="array" ref="O867">WordListCount(K867,keywords!$A$2:$A$31)-WordListCount(K867,keywords!$B$2:$B$31)</f>
        <v>0</v>
      </c>
      <c r="P867" s="25">
        <f t="shared" si="27"/>
        <v>0.61591435185185184</v>
      </c>
      <c r="Q867" s="23">
        <f>SUM($O$2:O867)</f>
        <v>37</v>
      </c>
      <c r="Y867" s="14"/>
      <c r="Z867" s="13"/>
      <c r="AA867"/>
    </row>
    <row r="868" spans="1:27" x14ac:dyDescent="0.2">
      <c r="A868" s="12" t="s">
        <v>2774</v>
      </c>
      <c r="B868" t="s">
        <v>2775</v>
      </c>
      <c r="C868" t="s">
        <v>2776</v>
      </c>
      <c r="D868" t="s">
        <v>12</v>
      </c>
      <c r="E868" t="s">
        <v>13</v>
      </c>
      <c r="F868">
        <v>79</v>
      </c>
      <c r="G868">
        <v>100</v>
      </c>
      <c r="H868" s="5" t="s">
        <v>22</v>
      </c>
      <c r="I868" s="5">
        <v>0</v>
      </c>
      <c r="J868" s="5">
        <v>0</v>
      </c>
      <c r="K868" t="s">
        <v>9300</v>
      </c>
      <c r="L868" cm="1">
        <f t="array" ref="L868">wordCount(K868)</f>
        <v>7</v>
      </c>
      <c r="M868">
        <f t="shared" si="26"/>
        <v>44</v>
      </c>
      <c r="N868">
        <v>0.6875</v>
      </c>
      <c r="O868" s="23" cm="1">
        <f t="array" ref="O868">WordListCount(K868,keywords!$A$2:$A$31)-WordListCount(K868,keywords!$B$2:$B$31)</f>
        <v>0</v>
      </c>
      <c r="P868" s="25">
        <f t="shared" si="27"/>
        <v>0.61593750000000003</v>
      </c>
      <c r="Q868" s="23">
        <f>SUM($O$2:O868)</f>
        <v>37</v>
      </c>
      <c r="Y868" s="14"/>
      <c r="Z868" s="13"/>
      <c r="AA868"/>
    </row>
    <row r="869" spans="1:27" x14ac:dyDescent="0.2">
      <c r="A869" s="12" t="s">
        <v>2777</v>
      </c>
      <c r="B869" t="s">
        <v>2778</v>
      </c>
      <c r="C869" t="s">
        <v>2779</v>
      </c>
      <c r="D869" t="s">
        <v>1448</v>
      </c>
      <c r="E869" t="s">
        <v>13</v>
      </c>
      <c r="F869">
        <v>9</v>
      </c>
      <c r="G869">
        <v>30</v>
      </c>
      <c r="H869" s="5" t="s">
        <v>22</v>
      </c>
      <c r="I869" s="5">
        <v>0</v>
      </c>
      <c r="J869" s="5">
        <v>0</v>
      </c>
      <c r="K869" t="s">
        <v>10441</v>
      </c>
      <c r="L869" cm="1">
        <f t="array" ref="L869">wordCount(K869)</f>
        <v>16</v>
      </c>
      <c r="M869">
        <f t="shared" si="26"/>
        <v>68</v>
      </c>
      <c r="N869">
        <v>0.3</v>
      </c>
      <c r="O869" s="23" cm="1">
        <f t="array" ref="O869">WordListCount(K869,keywords!$A$2:$A$31)-WordListCount(K869,keywords!$B$2:$B$31)</f>
        <v>0</v>
      </c>
      <c r="P869" s="25">
        <f t="shared" si="27"/>
        <v>0.61634259259259261</v>
      </c>
      <c r="Q869" s="23">
        <f>SUM($O$2:O869)</f>
        <v>37</v>
      </c>
      <c r="Y869" s="14"/>
      <c r="Z869" s="13"/>
      <c r="AA869"/>
    </row>
    <row r="870" spans="1:27" x14ac:dyDescent="0.2">
      <c r="A870" s="12" t="s">
        <v>2780</v>
      </c>
      <c r="B870" t="s">
        <v>2781</v>
      </c>
      <c r="C870" t="s">
        <v>2782</v>
      </c>
      <c r="D870" t="s">
        <v>2783</v>
      </c>
      <c r="E870" t="s">
        <v>13</v>
      </c>
      <c r="F870">
        <v>3247</v>
      </c>
      <c r="G870">
        <v>196</v>
      </c>
      <c r="H870" s="5" t="s">
        <v>22</v>
      </c>
      <c r="I870" s="5">
        <v>0</v>
      </c>
      <c r="J870" s="5">
        <v>0</v>
      </c>
      <c r="K870" t="s">
        <v>10442</v>
      </c>
      <c r="L870" cm="1">
        <f t="array" ref="L870">wordCount(K870)</f>
        <v>14</v>
      </c>
      <c r="M870">
        <f t="shared" si="26"/>
        <v>66</v>
      </c>
      <c r="N870">
        <v>0.26666666666666666</v>
      </c>
      <c r="O870" s="23" cm="1">
        <f t="array" ref="O870">WordListCount(K870,keywords!$A$2:$A$31)-WordListCount(K870,keywords!$B$2:$B$31)</f>
        <v>0</v>
      </c>
      <c r="P870" s="25">
        <f t="shared" si="27"/>
        <v>0.61635416666666665</v>
      </c>
      <c r="Q870" s="23">
        <f>SUM($O$2:O870)</f>
        <v>37</v>
      </c>
      <c r="Y870" s="14"/>
      <c r="Z870" s="13"/>
      <c r="AA870"/>
    </row>
    <row r="871" spans="1:27" x14ac:dyDescent="0.2">
      <c r="A871" s="12" t="s">
        <v>2784</v>
      </c>
      <c r="B871" t="s">
        <v>2785</v>
      </c>
      <c r="C871" t="s">
        <v>2786</v>
      </c>
      <c r="D871" t="s">
        <v>12</v>
      </c>
      <c r="E871" t="s">
        <v>13</v>
      </c>
      <c r="F871">
        <v>19</v>
      </c>
      <c r="G871">
        <v>43</v>
      </c>
      <c r="H871" s="5" t="s">
        <v>22</v>
      </c>
      <c r="I871" s="5">
        <v>0</v>
      </c>
      <c r="J871" s="5">
        <v>0</v>
      </c>
      <c r="K871" t="s">
        <v>10443</v>
      </c>
      <c r="L871" cm="1">
        <f t="array" ref="L871">wordCount(K871)</f>
        <v>8</v>
      </c>
      <c r="M871">
        <f t="shared" si="26"/>
        <v>47</v>
      </c>
      <c r="N871">
        <v>0.6</v>
      </c>
      <c r="O871" s="23" cm="1">
        <f t="array" ref="O871">WordListCount(K871,keywords!$A$2:$A$31)-WordListCount(K871,keywords!$B$2:$B$31)</f>
        <v>0</v>
      </c>
      <c r="P871" s="25">
        <f t="shared" si="27"/>
        <v>0.61645833333333333</v>
      </c>
      <c r="Q871" s="23">
        <f>SUM($O$2:O871)</f>
        <v>37</v>
      </c>
      <c r="Y871" s="14"/>
      <c r="Z871" s="13"/>
      <c r="AA871"/>
    </row>
    <row r="872" spans="1:27" x14ac:dyDescent="0.2">
      <c r="A872" s="12" t="s">
        <v>2787</v>
      </c>
      <c r="B872" t="s">
        <v>2788</v>
      </c>
      <c r="C872" t="s">
        <v>2789</v>
      </c>
      <c r="D872" t="s">
        <v>2790</v>
      </c>
      <c r="E872" t="s">
        <v>13</v>
      </c>
      <c r="F872">
        <v>24</v>
      </c>
      <c r="G872">
        <v>62</v>
      </c>
      <c r="H872" s="5" t="s">
        <v>22</v>
      </c>
      <c r="I872" s="5">
        <v>0</v>
      </c>
      <c r="J872" s="5">
        <v>0</v>
      </c>
      <c r="K872" t="s">
        <v>10444</v>
      </c>
      <c r="L872" cm="1">
        <f t="array" ref="L872">wordCount(K872)</f>
        <v>16</v>
      </c>
      <c r="M872">
        <f t="shared" si="26"/>
        <v>82</v>
      </c>
      <c r="N872">
        <v>0.61290322580645162</v>
      </c>
      <c r="O872" s="23" cm="1">
        <f t="array" ref="O872">WordListCount(K872,keywords!$A$2:$A$31)-WordListCount(K872,keywords!$B$2:$B$31)</f>
        <v>-1</v>
      </c>
      <c r="P872" s="25">
        <f t="shared" si="27"/>
        <v>0.61649305555555556</v>
      </c>
      <c r="Q872" s="23">
        <f>SUM($O$2:O872)</f>
        <v>36</v>
      </c>
      <c r="Y872" s="14"/>
      <c r="Z872" s="13"/>
      <c r="AA872"/>
    </row>
    <row r="873" spans="1:27" x14ac:dyDescent="0.2">
      <c r="A873" s="12" t="s">
        <v>2791</v>
      </c>
      <c r="B873" t="s">
        <v>2792</v>
      </c>
      <c r="C873" t="s">
        <v>2793</v>
      </c>
      <c r="D873" t="s">
        <v>2794</v>
      </c>
      <c r="E873" t="s">
        <v>13</v>
      </c>
      <c r="F873">
        <v>34</v>
      </c>
      <c r="G873">
        <v>70</v>
      </c>
      <c r="H873" s="5" t="s">
        <v>22</v>
      </c>
      <c r="I873" s="5">
        <v>0</v>
      </c>
      <c r="J873" s="5">
        <v>0</v>
      </c>
      <c r="K873" t="s">
        <v>10445</v>
      </c>
      <c r="L873" cm="1">
        <f t="array" ref="L873">wordCount(K873)</f>
        <v>11</v>
      </c>
      <c r="M873">
        <f t="shared" si="26"/>
        <v>43</v>
      </c>
      <c r="N873">
        <v>0.70588235294117652</v>
      </c>
      <c r="O873" s="23" cm="1">
        <f t="array" ref="O873">WordListCount(K873,keywords!$A$2:$A$31)-WordListCount(K873,keywords!$B$2:$B$31)</f>
        <v>0</v>
      </c>
      <c r="P873" s="25">
        <f t="shared" si="27"/>
        <v>0.61716435185185181</v>
      </c>
      <c r="Q873" s="23">
        <f>SUM($O$2:O873)</f>
        <v>36</v>
      </c>
      <c r="Y873" s="14"/>
      <c r="Z873" s="13"/>
      <c r="AA873"/>
    </row>
    <row r="874" spans="1:27" x14ac:dyDescent="0.2">
      <c r="A874" s="12" t="s">
        <v>2795</v>
      </c>
      <c r="B874" t="s">
        <v>2796</v>
      </c>
      <c r="C874" t="s">
        <v>2797</v>
      </c>
      <c r="D874" t="s">
        <v>2798</v>
      </c>
      <c r="E874" t="s">
        <v>13</v>
      </c>
      <c r="F874">
        <v>230</v>
      </c>
      <c r="G874">
        <v>122</v>
      </c>
      <c r="H874" s="5" t="s">
        <v>22</v>
      </c>
      <c r="I874" s="5">
        <v>0</v>
      </c>
      <c r="J874" s="5">
        <v>0</v>
      </c>
      <c r="K874" t="s">
        <v>9301</v>
      </c>
      <c r="L874" cm="1">
        <f t="array" ref="L874">wordCount(K874)</f>
        <v>11</v>
      </c>
      <c r="M874">
        <f t="shared" si="26"/>
        <v>73</v>
      </c>
      <c r="N874">
        <v>0.6</v>
      </c>
      <c r="O874" s="23" cm="1">
        <f t="array" ref="O874">WordListCount(K874,keywords!$A$2:$A$31)-WordListCount(K874,keywords!$B$2:$B$31)</f>
        <v>0</v>
      </c>
      <c r="P874" s="25">
        <f t="shared" si="27"/>
        <v>0.61721064814814819</v>
      </c>
      <c r="Q874" s="23">
        <f>SUM($O$2:O874)</f>
        <v>36</v>
      </c>
      <c r="Y874" s="14"/>
      <c r="Z874" s="13"/>
      <c r="AA874"/>
    </row>
    <row r="875" spans="1:27" x14ac:dyDescent="0.2">
      <c r="A875" s="12" t="s">
        <v>2799</v>
      </c>
      <c r="B875" t="s">
        <v>2800</v>
      </c>
      <c r="C875" t="s">
        <v>2801</v>
      </c>
      <c r="D875" t="s">
        <v>12</v>
      </c>
      <c r="E875" t="s">
        <v>13</v>
      </c>
      <c r="F875">
        <v>3543</v>
      </c>
      <c r="G875">
        <v>964</v>
      </c>
      <c r="H875" s="5" t="s">
        <v>22</v>
      </c>
      <c r="I875" s="5">
        <v>0</v>
      </c>
      <c r="J875" s="5">
        <v>0</v>
      </c>
      <c r="K875" t="s">
        <v>9302</v>
      </c>
      <c r="L875" cm="1">
        <f t="array" ref="L875">wordCount(K875)</f>
        <v>13</v>
      </c>
      <c r="M875">
        <f t="shared" si="26"/>
        <v>59</v>
      </c>
      <c r="N875">
        <v>0.23076923076923078</v>
      </c>
      <c r="O875" s="23" cm="1">
        <f t="array" ref="O875">WordListCount(K875,keywords!$A$2:$A$31)-WordListCount(K875,keywords!$B$2:$B$31)</f>
        <v>0</v>
      </c>
      <c r="P875" s="25">
        <f t="shared" si="27"/>
        <v>0.61804398148148143</v>
      </c>
      <c r="Q875" s="23">
        <f>SUM($O$2:O875)</f>
        <v>36</v>
      </c>
      <c r="Y875" s="14"/>
      <c r="Z875" s="13"/>
      <c r="AA875"/>
    </row>
    <row r="876" spans="1:27" x14ac:dyDescent="0.2">
      <c r="A876" s="12" t="s">
        <v>2802</v>
      </c>
      <c r="B876" t="s">
        <v>2803</v>
      </c>
      <c r="C876" t="s">
        <v>2804</v>
      </c>
      <c r="D876" t="s">
        <v>12</v>
      </c>
      <c r="E876" t="s">
        <v>13</v>
      </c>
      <c r="F876">
        <v>36</v>
      </c>
      <c r="G876">
        <v>274</v>
      </c>
      <c r="H876" s="5" t="s">
        <v>918</v>
      </c>
      <c r="I876" s="5">
        <v>0</v>
      </c>
      <c r="J876" s="5">
        <v>0</v>
      </c>
      <c r="K876" t="s">
        <v>9303</v>
      </c>
      <c r="L876" cm="1">
        <f t="array" ref="L876">wordCount(K876)</f>
        <v>2</v>
      </c>
      <c r="M876">
        <f t="shared" si="26"/>
        <v>12</v>
      </c>
      <c r="N876">
        <v>0.75</v>
      </c>
      <c r="O876" s="23" cm="1">
        <f t="array" ref="O876">WordListCount(K876,keywords!$A$2:$A$31)-WordListCount(K876,keywords!$B$2:$B$31)</f>
        <v>0</v>
      </c>
      <c r="P876" s="25">
        <f t="shared" si="27"/>
        <v>0.61806712962962962</v>
      </c>
      <c r="Q876" s="23">
        <f>SUM($O$2:O876)</f>
        <v>36</v>
      </c>
      <c r="Y876" s="14"/>
      <c r="Z876" s="13"/>
      <c r="AA876"/>
    </row>
    <row r="877" spans="1:27" x14ac:dyDescent="0.2">
      <c r="A877" s="12" t="s">
        <v>2805</v>
      </c>
      <c r="B877" t="s">
        <v>2806</v>
      </c>
      <c r="C877" t="s">
        <v>2807</v>
      </c>
      <c r="D877" t="s">
        <v>12</v>
      </c>
      <c r="E877" t="s">
        <v>13</v>
      </c>
      <c r="F877">
        <v>1</v>
      </c>
      <c r="G877">
        <v>24</v>
      </c>
      <c r="H877" s="5" t="s">
        <v>22</v>
      </c>
      <c r="I877" s="5">
        <v>0</v>
      </c>
      <c r="J877" s="5">
        <v>0</v>
      </c>
      <c r="K877" t="s">
        <v>10446</v>
      </c>
      <c r="L877" cm="1">
        <f t="array" ref="L877">wordCount(K877)</f>
        <v>17</v>
      </c>
      <c r="M877">
        <f t="shared" si="26"/>
        <v>85</v>
      </c>
      <c r="N877">
        <v>0.53846153846153844</v>
      </c>
      <c r="O877" s="23" cm="1">
        <f t="array" ref="O877">WordListCount(K877,keywords!$A$2:$A$31)-WordListCount(K877,keywords!$B$2:$B$31)</f>
        <v>0</v>
      </c>
      <c r="P877" s="25">
        <f t="shared" si="27"/>
        <v>0.61824074074074076</v>
      </c>
      <c r="Q877" s="23">
        <f>SUM($O$2:O877)</f>
        <v>36</v>
      </c>
      <c r="Y877" s="14"/>
      <c r="Z877" s="13"/>
      <c r="AA877"/>
    </row>
    <row r="878" spans="1:27" x14ac:dyDescent="0.2">
      <c r="A878" s="12" t="s">
        <v>2808</v>
      </c>
      <c r="B878" t="s">
        <v>2809</v>
      </c>
      <c r="C878" t="s">
        <v>2810</v>
      </c>
      <c r="D878" t="s">
        <v>12</v>
      </c>
      <c r="E878" t="s">
        <v>13</v>
      </c>
      <c r="F878">
        <v>818</v>
      </c>
      <c r="G878">
        <v>160</v>
      </c>
      <c r="H878" s="5" t="s">
        <v>22</v>
      </c>
      <c r="I878" s="5">
        <v>0</v>
      </c>
      <c r="J878" s="5">
        <v>0</v>
      </c>
      <c r="K878" t="s">
        <v>10447</v>
      </c>
      <c r="L878" cm="1">
        <f t="array" ref="L878">wordCount(K878)</f>
        <v>15</v>
      </c>
      <c r="M878">
        <f t="shared" si="26"/>
        <v>77</v>
      </c>
      <c r="N878">
        <v>0.52380952380952384</v>
      </c>
      <c r="O878" s="23" cm="1">
        <f t="array" ref="O878">WordListCount(K878,keywords!$A$2:$A$31)-WordListCount(K878,keywords!$B$2:$B$31)</f>
        <v>0</v>
      </c>
      <c r="P878" s="25">
        <f t="shared" si="27"/>
        <v>0.61870370370370364</v>
      </c>
      <c r="Q878" s="23">
        <f>SUM($O$2:O878)</f>
        <v>36</v>
      </c>
      <c r="Y878" s="14"/>
      <c r="Z878" s="13"/>
      <c r="AA878"/>
    </row>
    <row r="879" spans="1:27" x14ac:dyDescent="0.2">
      <c r="A879" s="12" t="s">
        <v>2811</v>
      </c>
      <c r="B879" t="s">
        <v>2812</v>
      </c>
      <c r="C879" t="s">
        <v>2813</v>
      </c>
      <c r="D879" t="s">
        <v>2814</v>
      </c>
      <c r="E879" t="s">
        <v>13</v>
      </c>
      <c r="F879">
        <v>1984</v>
      </c>
      <c r="G879">
        <v>2599</v>
      </c>
      <c r="H879" s="5" t="s">
        <v>22</v>
      </c>
      <c r="I879" s="5">
        <v>0</v>
      </c>
      <c r="J879" s="5">
        <v>0</v>
      </c>
      <c r="K879" t="s">
        <v>10448</v>
      </c>
      <c r="L879" cm="1">
        <f t="array" ref="L879">wordCount(K879)</f>
        <v>9</v>
      </c>
      <c r="M879">
        <f t="shared" si="26"/>
        <v>41</v>
      </c>
      <c r="N879">
        <v>0.41666666666666669</v>
      </c>
      <c r="O879" s="23" cm="1">
        <f t="array" ref="O879">WordListCount(K879,keywords!$A$2:$A$31)-WordListCount(K879,keywords!$B$2:$B$31)</f>
        <v>0</v>
      </c>
      <c r="P879" s="25">
        <f t="shared" si="27"/>
        <v>0.61906249999999996</v>
      </c>
      <c r="Q879" s="23">
        <f>SUM($O$2:O879)</f>
        <v>36</v>
      </c>
      <c r="Y879" s="14"/>
      <c r="Z879" s="13"/>
      <c r="AA879"/>
    </row>
    <row r="880" spans="1:27" x14ac:dyDescent="0.2">
      <c r="A880" s="12" t="s">
        <v>2815</v>
      </c>
      <c r="B880" t="s">
        <v>2816</v>
      </c>
      <c r="C880" t="s">
        <v>2817</v>
      </c>
      <c r="D880" t="s">
        <v>12</v>
      </c>
      <c r="E880" t="s">
        <v>13</v>
      </c>
      <c r="F880">
        <v>74</v>
      </c>
      <c r="G880">
        <v>161</v>
      </c>
      <c r="H880" s="5" t="s">
        <v>283</v>
      </c>
      <c r="I880" s="5">
        <v>0</v>
      </c>
      <c r="J880" s="5">
        <v>0</v>
      </c>
      <c r="K880" t="s">
        <v>10449</v>
      </c>
      <c r="L880" cm="1">
        <f t="array" ref="L880">wordCount(K880)</f>
        <v>6</v>
      </c>
      <c r="M880">
        <f t="shared" si="26"/>
        <v>33</v>
      </c>
      <c r="N880">
        <v>0.58333333333333337</v>
      </c>
      <c r="O880" s="23" cm="1">
        <f t="array" ref="O880">WordListCount(K880,keywords!$A$2:$A$31)-WordListCount(K880,keywords!$B$2:$B$31)</f>
        <v>0</v>
      </c>
      <c r="P880" s="25">
        <f t="shared" si="27"/>
        <v>0.61920138888888887</v>
      </c>
      <c r="Q880" s="23">
        <f>SUM($O$2:O880)</f>
        <v>36</v>
      </c>
      <c r="Y880" s="14"/>
      <c r="Z880" s="13"/>
      <c r="AA880"/>
    </row>
    <row r="881" spans="1:27" x14ac:dyDescent="0.2">
      <c r="A881" s="12" t="s">
        <v>2818</v>
      </c>
      <c r="B881" t="s">
        <v>2819</v>
      </c>
      <c r="C881" t="s">
        <v>2820</v>
      </c>
      <c r="D881" t="s">
        <v>2623</v>
      </c>
      <c r="E881" t="s">
        <v>13</v>
      </c>
      <c r="F881">
        <v>7728</v>
      </c>
      <c r="G881">
        <v>328</v>
      </c>
      <c r="H881" s="5" t="s">
        <v>22</v>
      </c>
      <c r="I881" s="5">
        <v>0</v>
      </c>
      <c r="J881" s="5">
        <v>0</v>
      </c>
      <c r="K881" t="s">
        <v>11709</v>
      </c>
      <c r="L881" cm="1">
        <f t="array" ref="L881">wordCount(K881)</f>
        <v>15</v>
      </c>
      <c r="M881">
        <f t="shared" si="26"/>
        <v>69</v>
      </c>
      <c r="N881">
        <v>0.59090909090909094</v>
      </c>
      <c r="O881" s="23" cm="1">
        <f t="array" ref="O881">WordListCount(K881,keywords!$A$2:$A$31)-WordListCount(K881,keywords!$B$2:$B$31)</f>
        <v>0</v>
      </c>
      <c r="P881" s="25">
        <f t="shared" si="27"/>
        <v>0.61942129629629628</v>
      </c>
      <c r="Q881" s="23">
        <f>SUM($O$2:O881)</f>
        <v>36</v>
      </c>
      <c r="Y881" s="14"/>
      <c r="Z881" s="13"/>
      <c r="AA881"/>
    </row>
    <row r="882" spans="1:27" x14ac:dyDescent="0.2">
      <c r="A882" s="12" t="s">
        <v>2821</v>
      </c>
      <c r="B882" t="s">
        <v>2822</v>
      </c>
      <c r="C882" t="s">
        <v>1285</v>
      </c>
      <c r="D882" t="s">
        <v>1286</v>
      </c>
      <c r="E882" t="s">
        <v>13</v>
      </c>
      <c r="F882">
        <v>1123</v>
      </c>
      <c r="G882">
        <v>316</v>
      </c>
      <c r="H882" s="5" t="s">
        <v>22</v>
      </c>
      <c r="I882" s="5">
        <v>0</v>
      </c>
      <c r="J882" s="5">
        <v>0</v>
      </c>
      <c r="K882" t="s">
        <v>10450</v>
      </c>
      <c r="L882" cm="1">
        <f t="array" ref="L882">wordCount(K882)</f>
        <v>4</v>
      </c>
      <c r="M882">
        <f t="shared" si="26"/>
        <v>20</v>
      </c>
      <c r="N882">
        <v>0.4</v>
      </c>
      <c r="O882" s="23" cm="1">
        <f t="array" ref="O882">WordListCount(K882,keywords!$A$2:$A$31)-WordListCount(K882,keywords!$B$2:$B$31)</f>
        <v>0</v>
      </c>
      <c r="P882" s="25">
        <f t="shared" si="27"/>
        <v>0.6196180555555556</v>
      </c>
      <c r="Q882" s="23">
        <f>SUM($O$2:O882)</f>
        <v>36</v>
      </c>
      <c r="Y882" s="14"/>
      <c r="Z882" s="13"/>
      <c r="AA882"/>
    </row>
    <row r="883" spans="1:27" x14ac:dyDescent="0.2">
      <c r="A883" s="12" t="s">
        <v>2823</v>
      </c>
      <c r="B883" t="s">
        <v>2824</v>
      </c>
      <c r="C883" t="s">
        <v>2825</v>
      </c>
      <c r="D883" t="s">
        <v>12</v>
      </c>
      <c r="E883" t="s">
        <v>13</v>
      </c>
      <c r="F883">
        <v>6</v>
      </c>
      <c r="G883">
        <v>73</v>
      </c>
      <c r="H883" s="5" t="s">
        <v>59</v>
      </c>
      <c r="I883" s="5">
        <v>0</v>
      </c>
      <c r="J883" s="5">
        <v>0</v>
      </c>
      <c r="K883" t="s">
        <v>10451</v>
      </c>
      <c r="L883" cm="1">
        <f t="array" ref="L883">wordCount(K883)</f>
        <v>19</v>
      </c>
      <c r="M883">
        <f t="shared" si="26"/>
        <v>103</v>
      </c>
      <c r="N883">
        <v>0.45</v>
      </c>
      <c r="O883" s="23" cm="1">
        <f t="array" ref="O883">WordListCount(K883,keywords!$A$2:$A$31)-WordListCount(K883,keywords!$B$2:$B$31)</f>
        <v>1</v>
      </c>
      <c r="P883" s="25">
        <f t="shared" si="27"/>
        <v>0.61975694444444451</v>
      </c>
      <c r="Q883" s="23">
        <f>SUM($O$2:O883)</f>
        <v>37</v>
      </c>
      <c r="Y883" s="14"/>
      <c r="Z883" s="13"/>
      <c r="AA883"/>
    </row>
    <row r="884" spans="1:27" x14ac:dyDescent="0.2">
      <c r="A884" s="12" t="s">
        <v>2826</v>
      </c>
      <c r="B884" t="s">
        <v>2827</v>
      </c>
      <c r="C884" t="s">
        <v>2828</v>
      </c>
      <c r="D884" t="s">
        <v>2829</v>
      </c>
      <c r="E884" t="s">
        <v>13</v>
      </c>
      <c r="F884">
        <v>67</v>
      </c>
      <c r="G884">
        <v>152</v>
      </c>
      <c r="H884" s="5" t="s">
        <v>22</v>
      </c>
      <c r="I884" s="5">
        <v>0</v>
      </c>
      <c r="J884" s="5">
        <v>0</v>
      </c>
      <c r="K884" t="s">
        <v>10452</v>
      </c>
      <c r="L884" cm="1">
        <f t="array" ref="L884">wordCount(K884)</f>
        <v>3</v>
      </c>
      <c r="M884">
        <f t="shared" si="26"/>
        <v>21</v>
      </c>
      <c r="N884">
        <v>0.9</v>
      </c>
      <c r="O884" s="23" cm="1">
        <f t="array" ref="O884">WordListCount(K884,keywords!$A$2:$A$31)-WordListCount(K884,keywords!$B$2:$B$31)</f>
        <v>0</v>
      </c>
      <c r="P884" s="25">
        <f t="shared" si="27"/>
        <v>0.61984953703703705</v>
      </c>
      <c r="Q884" s="23">
        <f>SUM($O$2:O884)</f>
        <v>37</v>
      </c>
      <c r="Y884" s="14"/>
      <c r="Z884" s="13"/>
      <c r="AA884"/>
    </row>
    <row r="885" spans="1:27" x14ac:dyDescent="0.2">
      <c r="A885" s="12" t="s">
        <v>2830</v>
      </c>
      <c r="B885" t="s">
        <v>2831</v>
      </c>
      <c r="C885" t="s">
        <v>2832</v>
      </c>
      <c r="D885" t="s">
        <v>337</v>
      </c>
      <c r="E885" t="s">
        <v>13</v>
      </c>
      <c r="F885">
        <v>159</v>
      </c>
      <c r="G885">
        <v>122</v>
      </c>
      <c r="H885" s="5" t="s">
        <v>22</v>
      </c>
      <c r="I885" s="5">
        <v>0</v>
      </c>
      <c r="J885" s="5">
        <v>0</v>
      </c>
      <c r="K885" t="s">
        <v>10453</v>
      </c>
      <c r="L885" cm="1">
        <f t="array" ref="L885">wordCount(K885)</f>
        <v>5</v>
      </c>
      <c r="M885">
        <f t="shared" si="26"/>
        <v>24</v>
      </c>
      <c r="N885">
        <v>0.7857142857142857</v>
      </c>
      <c r="O885" s="23" cm="1">
        <f t="array" ref="O885">WordListCount(K885,keywords!$A$2:$A$31)-WordListCount(K885,keywords!$B$2:$B$31)</f>
        <v>0</v>
      </c>
      <c r="P885" s="25">
        <f t="shared" si="27"/>
        <v>0.62005787037037041</v>
      </c>
      <c r="Q885" s="23">
        <f>SUM($O$2:O885)</f>
        <v>37</v>
      </c>
      <c r="Y885" s="14"/>
      <c r="Z885" s="13"/>
      <c r="AA885"/>
    </row>
    <row r="886" spans="1:27" x14ac:dyDescent="0.2">
      <c r="A886" s="12" t="s">
        <v>2833</v>
      </c>
      <c r="B886" t="s">
        <v>2834</v>
      </c>
      <c r="C886" t="s">
        <v>2835</v>
      </c>
      <c r="D886" t="s">
        <v>2836</v>
      </c>
      <c r="E886" t="s">
        <v>13</v>
      </c>
      <c r="F886">
        <v>336</v>
      </c>
      <c r="G886">
        <v>413</v>
      </c>
      <c r="H886" s="5" t="s">
        <v>22</v>
      </c>
      <c r="I886" s="5">
        <v>0</v>
      </c>
      <c r="J886" s="5">
        <v>0</v>
      </c>
      <c r="K886" t="s">
        <v>10454</v>
      </c>
      <c r="L886" cm="1">
        <f t="array" ref="L886">wordCount(K886)</f>
        <v>13</v>
      </c>
      <c r="M886">
        <f t="shared" si="26"/>
        <v>63</v>
      </c>
      <c r="N886">
        <v>0.54166666666666663</v>
      </c>
      <c r="O886" s="23" cm="1">
        <f t="array" ref="O886">WordListCount(K886,keywords!$A$2:$A$31)-WordListCount(K886,keywords!$B$2:$B$31)</f>
        <v>0</v>
      </c>
      <c r="P886" s="25">
        <f t="shared" si="27"/>
        <v>0.62018518518518517</v>
      </c>
      <c r="Q886" s="23">
        <f>SUM($O$2:O886)</f>
        <v>37</v>
      </c>
      <c r="Y886" s="14"/>
      <c r="Z886" s="13"/>
      <c r="AA886"/>
    </row>
    <row r="887" spans="1:27" x14ac:dyDescent="0.2">
      <c r="A887" s="12" t="s">
        <v>2837</v>
      </c>
      <c r="B887" t="s">
        <v>2838</v>
      </c>
      <c r="C887" t="s">
        <v>2839</v>
      </c>
      <c r="D887" t="s">
        <v>2840</v>
      </c>
      <c r="E887" t="s">
        <v>13</v>
      </c>
      <c r="F887">
        <v>7</v>
      </c>
      <c r="G887">
        <v>44</v>
      </c>
      <c r="H887" s="5" t="s">
        <v>22</v>
      </c>
      <c r="I887" s="5">
        <v>0</v>
      </c>
      <c r="J887" s="5">
        <v>0</v>
      </c>
      <c r="K887" t="s">
        <v>10455</v>
      </c>
      <c r="L887" cm="1">
        <f t="array" ref="L887">wordCount(K887)</f>
        <v>18</v>
      </c>
      <c r="M887">
        <f t="shared" si="26"/>
        <v>77</v>
      </c>
      <c r="N887">
        <v>0.51724137931034486</v>
      </c>
      <c r="O887" s="23" cm="1">
        <f t="array" ref="O887">WordListCount(K887,keywords!$A$2:$A$31)-WordListCount(K887,keywords!$B$2:$B$31)</f>
        <v>0</v>
      </c>
      <c r="P887" s="25">
        <f t="shared" si="27"/>
        <v>0.62033564814814812</v>
      </c>
      <c r="Q887" s="23">
        <f>SUM($O$2:O887)</f>
        <v>37</v>
      </c>
      <c r="Y887" s="14"/>
      <c r="Z887" s="13"/>
      <c r="AA887"/>
    </row>
    <row r="888" spans="1:27" x14ac:dyDescent="0.2">
      <c r="A888" s="12" t="s">
        <v>2841</v>
      </c>
      <c r="B888" t="s">
        <v>2842</v>
      </c>
      <c r="C888" t="s">
        <v>2843</v>
      </c>
      <c r="D888" t="s">
        <v>2479</v>
      </c>
      <c r="E888" t="s">
        <v>13</v>
      </c>
      <c r="F888">
        <v>54</v>
      </c>
      <c r="G888">
        <v>150</v>
      </c>
      <c r="H888" s="5" t="s">
        <v>22</v>
      </c>
      <c r="I888" s="5">
        <v>0</v>
      </c>
      <c r="J888" s="5">
        <v>0</v>
      </c>
      <c r="K888" t="s">
        <v>9304</v>
      </c>
      <c r="L888" cm="1">
        <f t="array" ref="L888">wordCount(K888)</f>
        <v>11</v>
      </c>
      <c r="M888">
        <f t="shared" si="26"/>
        <v>45</v>
      </c>
      <c r="N888">
        <v>0.77777777777777779</v>
      </c>
      <c r="O888" s="23" cm="1">
        <f t="array" ref="O888">WordListCount(K888,keywords!$A$2:$A$31)-WordListCount(K888,keywords!$B$2:$B$31)</f>
        <v>-1</v>
      </c>
      <c r="P888" s="25">
        <f t="shared" si="27"/>
        <v>0.62039351851851854</v>
      </c>
      <c r="Q888" s="23">
        <f>SUM($O$2:O888)</f>
        <v>36</v>
      </c>
      <c r="Y888" s="14"/>
      <c r="Z888" s="13"/>
      <c r="AA888"/>
    </row>
    <row r="889" spans="1:27" x14ac:dyDescent="0.2">
      <c r="A889" s="12" t="s">
        <v>2844</v>
      </c>
      <c r="B889" t="s">
        <v>2845</v>
      </c>
      <c r="C889" t="s">
        <v>2846</v>
      </c>
      <c r="D889" t="s">
        <v>12</v>
      </c>
      <c r="E889" t="s">
        <v>13</v>
      </c>
      <c r="F889">
        <v>134</v>
      </c>
      <c r="G889">
        <v>179</v>
      </c>
      <c r="H889" s="5" t="s">
        <v>22</v>
      </c>
      <c r="I889" s="5">
        <v>0</v>
      </c>
      <c r="J889" s="5">
        <v>0</v>
      </c>
      <c r="K889" t="s">
        <v>10456</v>
      </c>
      <c r="L889" cm="1">
        <f t="array" ref="L889">wordCount(K889)</f>
        <v>13</v>
      </c>
      <c r="M889">
        <f t="shared" si="26"/>
        <v>88</v>
      </c>
      <c r="N889">
        <v>0.33333333333333331</v>
      </c>
      <c r="O889" s="23" cm="1">
        <f t="array" ref="O889">WordListCount(K889,keywords!$A$2:$A$31)-WordListCount(K889,keywords!$B$2:$B$31)</f>
        <v>0</v>
      </c>
      <c r="P889" s="25">
        <f t="shared" si="27"/>
        <v>0.62047453703703703</v>
      </c>
      <c r="Q889" s="23">
        <f>SUM($O$2:O889)</f>
        <v>36</v>
      </c>
      <c r="Y889" s="14"/>
      <c r="Z889" s="13"/>
      <c r="AA889"/>
    </row>
    <row r="890" spans="1:27" x14ac:dyDescent="0.2">
      <c r="A890" s="12" t="s">
        <v>2847</v>
      </c>
      <c r="B890" t="s">
        <v>2848</v>
      </c>
      <c r="C890" t="s">
        <v>2849</v>
      </c>
      <c r="D890" t="s">
        <v>426</v>
      </c>
      <c r="E890" t="s">
        <v>13</v>
      </c>
      <c r="F890">
        <v>2450</v>
      </c>
      <c r="G890">
        <v>2099</v>
      </c>
      <c r="H890" s="5" t="s">
        <v>22</v>
      </c>
      <c r="I890" s="5">
        <v>0</v>
      </c>
      <c r="J890" s="5">
        <v>0</v>
      </c>
      <c r="K890" t="s">
        <v>10457</v>
      </c>
      <c r="L890" cm="1">
        <f t="array" ref="L890">wordCount(K890)</f>
        <v>11</v>
      </c>
      <c r="M890">
        <f t="shared" si="26"/>
        <v>52</v>
      </c>
      <c r="N890">
        <v>0.68181818181818177</v>
      </c>
      <c r="O890" s="23" cm="1">
        <f t="array" ref="O890">WordListCount(K890,keywords!$A$2:$A$31)-WordListCount(K890,keywords!$B$2:$B$31)</f>
        <v>0</v>
      </c>
      <c r="P890" s="25">
        <f t="shared" si="27"/>
        <v>0.62112268518518521</v>
      </c>
      <c r="Q890" s="23">
        <f>SUM($O$2:O890)</f>
        <v>36</v>
      </c>
      <c r="Y890" s="14"/>
      <c r="Z890" s="13"/>
      <c r="AA890"/>
    </row>
    <row r="891" spans="1:27" x14ac:dyDescent="0.2">
      <c r="A891" s="12" t="s">
        <v>2850</v>
      </c>
      <c r="B891" t="s">
        <v>2851</v>
      </c>
      <c r="C891" t="s">
        <v>2852</v>
      </c>
      <c r="D891" t="s">
        <v>803</v>
      </c>
      <c r="E891" t="s">
        <v>13</v>
      </c>
      <c r="F891">
        <v>27</v>
      </c>
      <c r="G891">
        <v>28</v>
      </c>
      <c r="H891" s="5" t="s">
        <v>22</v>
      </c>
      <c r="I891" s="5">
        <v>0</v>
      </c>
      <c r="J891" s="5">
        <v>0</v>
      </c>
      <c r="K891" t="s">
        <v>9305</v>
      </c>
      <c r="L891" cm="1">
        <f t="array" ref="L891">wordCount(K891)</f>
        <v>7</v>
      </c>
      <c r="M891">
        <f t="shared" si="26"/>
        <v>40</v>
      </c>
      <c r="N891">
        <v>0.4</v>
      </c>
      <c r="O891" s="23" cm="1">
        <f t="array" ref="O891">WordListCount(K891,keywords!$A$2:$A$31)-WordListCount(K891,keywords!$B$2:$B$31)</f>
        <v>0</v>
      </c>
      <c r="P891" s="25">
        <f t="shared" si="27"/>
        <v>0.62131944444444442</v>
      </c>
      <c r="Q891" s="23">
        <f>SUM($O$2:O891)</f>
        <v>36</v>
      </c>
      <c r="Y891" s="14"/>
      <c r="Z891" s="13"/>
      <c r="AA891"/>
    </row>
    <row r="892" spans="1:27" x14ac:dyDescent="0.2">
      <c r="A892" s="12" t="s">
        <v>2853</v>
      </c>
      <c r="B892" t="s">
        <v>2856</v>
      </c>
      <c r="C892" t="s">
        <v>2857</v>
      </c>
      <c r="D892" t="s">
        <v>2858</v>
      </c>
      <c r="E892" t="s">
        <v>13</v>
      </c>
      <c r="F892">
        <v>503</v>
      </c>
      <c r="G892">
        <v>673</v>
      </c>
      <c r="H892" s="5" t="s">
        <v>59</v>
      </c>
      <c r="I892" s="5">
        <v>0</v>
      </c>
      <c r="J892" s="5">
        <v>0</v>
      </c>
      <c r="K892" t="s">
        <v>9306</v>
      </c>
      <c r="L892" cm="1">
        <f t="array" ref="L892">wordCount(K892)</f>
        <v>8</v>
      </c>
      <c r="M892">
        <f t="shared" si="26"/>
        <v>46</v>
      </c>
      <c r="N892">
        <v>0.66666666666666663</v>
      </c>
      <c r="O892" s="23" cm="1">
        <f t="array" ref="O892">WordListCount(K892,keywords!$A$2:$A$31)-WordListCount(K892,keywords!$B$2:$B$31)</f>
        <v>0</v>
      </c>
      <c r="P892" s="25">
        <f t="shared" si="27"/>
        <v>0.62140046296296292</v>
      </c>
      <c r="Q892" s="23">
        <f>SUM($O$2:O892)</f>
        <v>36</v>
      </c>
      <c r="Y892" s="14"/>
      <c r="Z892" s="13"/>
      <c r="AA892"/>
    </row>
    <row r="893" spans="1:27" x14ac:dyDescent="0.2">
      <c r="A893" s="12" t="s">
        <v>2853</v>
      </c>
      <c r="B893" t="s">
        <v>2854</v>
      </c>
      <c r="C893" t="s">
        <v>2855</v>
      </c>
      <c r="D893" t="s">
        <v>12</v>
      </c>
      <c r="E893" t="s">
        <v>13</v>
      </c>
      <c r="F893">
        <v>24</v>
      </c>
      <c r="G893">
        <v>95</v>
      </c>
      <c r="H893" s="5" t="s">
        <v>22</v>
      </c>
      <c r="I893" s="5">
        <v>0</v>
      </c>
      <c r="J893" s="5">
        <v>0</v>
      </c>
      <c r="K893" t="s">
        <v>10458</v>
      </c>
      <c r="L893" cm="1">
        <f t="array" ref="L893">wordCount(K893)</f>
        <v>18</v>
      </c>
      <c r="M893">
        <f t="shared" si="26"/>
        <v>98</v>
      </c>
      <c r="N893">
        <v>0.4</v>
      </c>
      <c r="O893" s="23" cm="1">
        <f t="array" ref="O893">WordListCount(K893,keywords!$A$2:$A$31)-WordListCount(K893,keywords!$B$2:$B$31)</f>
        <v>0</v>
      </c>
      <c r="P893" s="25">
        <f t="shared" si="27"/>
        <v>0.62140046296296292</v>
      </c>
      <c r="Q893" s="23">
        <f>SUM($O$2:O893)</f>
        <v>36</v>
      </c>
      <c r="Y893" s="14"/>
      <c r="Z893" s="13"/>
      <c r="AA893"/>
    </row>
    <row r="894" spans="1:27" x14ac:dyDescent="0.2">
      <c r="A894" s="12" t="s">
        <v>2859</v>
      </c>
      <c r="B894" t="s">
        <v>2860</v>
      </c>
      <c r="C894" t="s">
        <v>2861</v>
      </c>
      <c r="D894" t="s">
        <v>1479</v>
      </c>
      <c r="E894" t="s">
        <v>13</v>
      </c>
      <c r="F894">
        <v>207</v>
      </c>
      <c r="G894">
        <v>468</v>
      </c>
      <c r="H894" s="5" t="s">
        <v>22</v>
      </c>
      <c r="I894" s="5">
        <v>0</v>
      </c>
      <c r="J894" s="5">
        <v>0</v>
      </c>
      <c r="K894" t="s">
        <v>10459</v>
      </c>
      <c r="L894" cm="1">
        <f t="array" ref="L894">wordCount(K894)</f>
        <v>13</v>
      </c>
      <c r="M894">
        <f t="shared" si="26"/>
        <v>82</v>
      </c>
      <c r="N894">
        <v>0.63888888888888884</v>
      </c>
      <c r="O894" s="23" cm="1">
        <f t="array" ref="O894">WordListCount(K894,keywords!$A$2:$A$31)-WordListCount(K894,keywords!$B$2:$B$31)</f>
        <v>0</v>
      </c>
      <c r="P894" s="25">
        <f t="shared" si="27"/>
        <v>0.62163194444444447</v>
      </c>
      <c r="Q894" s="23">
        <f>SUM($O$2:O894)</f>
        <v>36</v>
      </c>
      <c r="Y894" s="14"/>
      <c r="Z894" s="13"/>
      <c r="AA894"/>
    </row>
    <row r="895" spans="1:27" x14ac:dyDescent="0.2">
      <c r="A895" s="12" t="s">
        <v>2862</v>
      </c>
      <c r="B895" t="s">
        <v>2863</v>
      </c>
      <c r="C895" t="s">
        <v>2864</v>
      </c>
      <c r="D895" t="s">
        <v>12</v>
      </c>
      <c r="E895" t="s">
        <v>13</v>
      </c>
      <c r="F895">
        <v>9646</v>
      </c>
      <c r="G895">
        <v>45</v>
      </c>
      <c r="H895" s="5" t="s">
        <v>22</v>
      </c>
      <c r="I895" s="5">
        <v>0</v>
      </c>
      <c r="J895" s="5">
        <v>0</v>
      </c>
      <c r="K895" t="s">
        <v>10460</v>
      </c>
      <c r="L895" cm="1">
        <f t="array" ref="L895">wordCount(K895)</f>
        <v>20</v>
      </c>
      <c r="M895">
        <f t="shared" si="26"/>
        <v>102</v>
      </c>
      <c r="N895">
        <v>0.19047619047619047</v>
      </c>
      <c r="O895" s="23" cm="1">
        <f t="array" ref="O895">WordListCount(K895,keywords!$A$2:$A$31)-WordListCount(K895,keywords!$B$2:$B$31)</f>
        <v>0</v>
      </c>
      <c r="P895" s="25">
        <f t="shared" si="27"/>
        <v>0.6216666666666667</v>
      </c>
      <c r="Q895" s="23">
        <f>SUM($O$2:O895)</f>
        <v>36</v>
      </c>
      <c r="Y895" s="14"/>
      <c r="Z895" s="13"/>
      <c r="AA895"/>
    </row>
    <row r="896" spans="1:27" x14ac:dyDescent="0.2">
      <c r="A896" s="12" t="s">
        <v>2865</v>
      </c>
      <c r="B896" t="s">
        <v>2866</v>
      </c>
      <c r="C896" t="s">
        <v>459</v>
      </c>
      <c r="D896" t="s">
        <v>12</v>
      </c>
      <c r="E896" t="s">
        <v>13</v>
      </c>
      <c r="F896">
        <v>12</v>
      </c>
      <c r="G896">
        <v>1</v>
      </c>
      <c r="H896" s="5" t="s">
        <v>22</v>
      </c>
      <c r="I896" s="5">
        <v>0</v>
      </c>
      <c r="J896" s="5">
        <v>0</v>
      </c>
      <c r="K896" t="s">
        <v>9307</v>
      </c>
      <c r="L896" cm="1">
        <f t="array" ref="L896">wordCount(K896)</f>
        <v>15</v>
      </c>
      <c r="M896">
        <f t="shared" si="26"/>
        <v>103</v>
      </c>
      <c r="N896">
        <v>0.8125</v>
      </c>
      <c r="O896" s="23" cm="1">
        <f t="array" ref="O896">WordListCount(K896,keywords!$A$2:$A$31)-WordListCount(K896,keywords!$B$2:$B$31)</f>
        <v>0</v>
      </c>
      <c r="P896" s="25">
        <f t="shared" si="27"/>
        <v>0.62167824074074074</v>
      </c>
      <c r="Q896" s="23">
        <f>SUM($O$2:O896)</f>
        <v>36</v>
      </c>
      <c r="Y896" s="14"/>
      <c r="Z896" s="13"/>
      <c r="AA896"/>
    </row>
    <row r="897" spans="1:27" x14ac:dyDescent="0.2">
      <c r="A897" s="12" t="s">
        <v>2867</v>
      </c>
      <c r="B897" t="s">
        <v>2868</v>
      </c>
      <c r="C897" t="s">
        <v>2869</v>
      </c>
      <c r="D897" t="s">
        <v>12</v>
      </c>
      <c r="E897" t="s">
        <v>13</v>
      </c>
      <c r="F897">
        <v>625</v>
      </c>
      <c r="G897">
        <v>478</v>
      </c>
      <c r="H897" s="5" t="s">
        <v>22</v>
      </c>
      <c r="I897" s="5">
        <v>0</v>
      </c>
      <c r="J897" s="5">
        <v>0</v>
      </c>
      <c r="K897" t="s">
        <v>9308</v>
      </c>
      <c r="L897" cm="1">
        <f t="array" ref="L897">wordCount(K897)</f>
        <v>12</v>
      </c>
      <c r="M897">
        <f t="shared" si="26"/>
        <v>56</v>
      </c>
      <c r="N897">
        <v>0.71875</v>
      </c>
      <c r="O897" s="23" cm="1">
        <f t="array" ref="O897">WordListCount(K897,keywords!$A$2:$A$31)-WordListCount(K897,keywords!$B$2:$B$31)</f>
        <v>0</v>
      </c>
      <c r="P897" s="25">
        <f t="shared" si="27"/>
        <v>0.62216435185185182</v>
      </c>
      <c r="Q897" s="23">
        <f>SUM($O$2:O897)</f>
        <v>36</v>
      </c>
      <c r="Y897" s="14"/>
      <c r="Z897" s="13"/>
      <c r="AA897"/>
    </row>
    <row r="898" spans="1:27" x14ac:dyDescent="0.2">
      <c r="A898" s="12" t="s">
        <v>2870</v>
      </c>
      <c r="B898" t="s">
        <v>2871</v>
      </c>
      <c r="C898" t="s">
        <v>2857</v>
      </c>
      <c r="D898" t="s">
        <v>2858</v>
      </c>
      <c r="E898" t="s">
        <v>13</v>
      </c>
      <c r="F898">
        <v>503</v>
      </c>
      <c r="G898">
        <v>673</v>
      </c>
      <c r="H898" s="5" t="s">
        <v>59</v>
      </c>
      <c r="I898" s="5">
        <v>0</v>
      </c>
      <c r="J898" s="5">
        <v>0</v>
      </c>
      <c r="K898" t="s">
        <v>9309</v>
      </c>
      <c r="L898" cm="1">
        <f t="array" ref="L898">wordCount(K898)</f>
        <v>20</v>
      </c>
      <c r="M898">
        <f t="shared" ref="M898:M961" si="28">LEN(K898)</f>
        <v>101</v>
      </c>
      <c r="N898">
        <v>0.39285714285714285</v>
      </c>
      <c r="O898" s="23" cm="1">
        <f t="array" ref="O898">WordListCount(K898,keywords!$A$2:$A$31)-WordListCount(K898,keywords!$B$2:$B$31)</f>
        <v>0</v>
      </c>
      <c r="P898" s="25">
        <f t="shared" ref="P898:P961" si="29">TIMEVALUE(RIGHT(A898,8))</f>
        <v>0.6221875</v>
      </c>
      <c r="Q898" s="23">
        <f>SUM($O$2:O898)</f>
        <v>36</v>
      </c>
      <c r="Y898" s="14"/>
      <c r="Z898" s="13"/>
      <c r="AA898"/>
    </row>
    <row r="899" spans="1:27" x14ac:dyDescent="0.2">
      <c r="A899" s="12" t="s">
        <v>2872</v>
      </c>
      <c r="B899" t="s">
        <v>2873</v>
      </c>
      <c r="C899" t="s">
        <v>2874</v>
      </c>
      <c r="D899" t="s">
        <v>12</v>
      </c>
      <c r="E899" t="s">
        <v>13</v>
      </c>
      <c r="F899">
        <v>0</v>
      </c>
      <c r="G899">
        <v>0</v>
      </c>
      <c r="H899" s="5" t="s">
        <v>382</v>
      </c>
      <c r="I899" s="5">
        <v>0</v>
      </c>
      <c r="J899" s="5">
        <v>0</v>
      </c>
      <c r="K899" t="s">
        <v>9310</v>
      </c>
      <c r="L899" cm="1">
        <f t="array" ref="L899">wordCount(K899)</f>
        <v>10</v>
      </c>
      <c r="M899">
        <f t="shared" si="28"/>
        <v>51</v>
      </c>
      <c r="N899">
        <v>0.63636363636363635</v>
      </c>
      <c r="O899" s="23" cm="1">
        <f t="array" ref="O899">WordListCount(K899,keywords!$A$2:$A$31)-WordListCount(K899,keywords!$B$2:$B$31)</f>
        <v>0</v>
      </c>
      <c r="P899" s="25">
        <f t="shared" si="29"/>
        <v>0.62234953703703699</v>
      </c>
      <c r="Q899" s="23">
        <f>SUM($O$2:O899)</f>
        <v>36</v>
      </c>
      <c r="Y899" s="14"/>
      <c r="Z899" s="13"/>
      <c r="AA899"/>
    </row>
    <row r="900" spans="1:27" x14ac:dyDescent="0.2">
      <c r="A900" s="12" t="s">
        <v>2875</v>
      </c>
      <c r="B900" t="s">
        <v>2876</v>
      </c>
      <c r="C900" t="s">
        <v>2877</v>
      </c>
      <c r="D900" t="s">
        <v>2878</v>
      </c>
      <c r="E900" t="s">
        <v>13</v>
      </c>
      <c r="F900">
        <v>3032</v>
      </c>
      <c r="G900">
        <v>939</v>
      </c>
      <c r="H900" s="5" t="s">
        <v>22</v>
      </c>
      <c r="I900" s="5">
        <v>0</v>
      </c>
      <c r="J900" s="5">
        <v>0</v>
      </c>
      <c r="K900" t="s">
        <v>10461</v>
      </c>
      <c r="L900" cm="1">
        <f t="array" ref="L900">wordCount(K900)</f>
        <v>17</v>
      </c>
      <c r="M900">
        <f t="shared" si="28"/>
        <v>84</v>
      </c>
      <c r="N900">
        <v>0.4642857142857143</v>
      </c>
      <c r="O900" s="23" cm="1">
        <f t="array" ref="O900">WordListCount(K900,keywords!$A$2:$A$31)-WordListCount(K900,keywords!$B$2:$B$31)</f>
        <v>0</v>
      </c>
      <c r="P900" s="25">
        <f t="shared" si="29"/>
        <v>0.62251157407407409</v>
      </c>
      <c r="Q900" s="23">
        <f>SUM($O$2:O900)</f>
        <v>36</v>
      </c>
      <c r="Y900" s="14"/>
      <c r="Z900" s="13"/>
      <c r="AA900"/>
    </row>
    <row r="901" spans="1:27" x14ac:dyDescent="0.2">
      <c r="A901" s="12" t="s">
        <v>2879</v>
      </c>
      <c r="B901" t="s">
        <v>2880</v>
      </c>
      <c r="C901" t="s">
        <v>2881</v>
      </c>
      <c r="D901" t="s">
        <v>2882</v>
      </c>
      <c r="E901" t="s">
        <v>13</v>
      </c>
      <c r="F901">
        <v>310</v>
      </c>
      <c r="G901">
        <v>273</v>
      </c>
      <c r="H901" s="5" t="s">
        <v>22</v>
      </c>
      <c r="I901" s="5">
        <v>0</v>
      </c>
      <c r="J901" s="5">
        <v>0</v>
      </c>
      <c r="K901" t="s">
        <v>10462</v>
      </c>
      <c r="L901" cm="1">
        <f t="array" ref="L901">wordCount(K901)</f>
        <v>12</v>
      </c>
      <c r="M901">
        <f t="shared" si="28"/>
        <v>75</v>
      </c>
      <c r="N901">
        <v>0.65384615384615385</v>
      </c>
      <c r="O901" s="23" cm="1">
        <f t="array" ref="O901">WordListCount(K901,keywords!$A$2:$A$31)-WordListCount(K901,keywords!$B$2:$B$31)</f>
        <v>0</v>
      </c>
      <c r="P901" s="25">
        <f t="shared" si="29"/>
        <v>0.62262731481481481</v>
      </c>
      <c r="Q901" s="23">
        <f>SUM($O$2:O901)</f>
        <v>36</v>
      </c>
      <c r="Y901" s="14"/>
      <c r="Z901" s="13"/>
      <c r="AA901"/>
    </row>
    <row r="902" spans="1:27" x14ac:dyDescent="0.2">
      <c r="A902" s="12" t="s">
        <v>2883</v>
      </c>
      <c r="B902" t="s">
        <v>2884</v>
      </c>
      <c r="C902" t="s">
        <v>2885</v>
      </c>
      <c r="D902" t="s">
        <v>12</v>
      </c>
      <c r="E902" t="s">
        <v>13</v>
      </c>
      <c r="F902">
        <v>14552</v>
      </c>
      <c r="G902">
        <v>552</v>
      </c>
      <c r="H902" s="5" t="s">
        <v>22</v>
      </c>
      <c r="I902" s="5">
        <v>0</v>
      </c>
      <c r="J902" s="5">
        <v>0</v>
      </c>
      <c r="K902" t="s">
        <v>9311</v>
      </c>
      <c r="L902" cm="1">
        <f t="array" ref="L902">wordCount(K902)</f>
        <v>6</v>
      </c>
      <c r="M902">
        <f t="shared" si="28"/>
        <v>33</v>
      </c>
      <c r="N902">
        <v>0.6428571428571429</v>
      </c>
      <c r="O902" s="23" cm="1">
        <f t="array" ref="O902">WordListCount(K902,keywords!$A$2:$A$31)-WordListCount(K902,keywords!$B$2:$B$31)</f>
        <v>0</v>
      </c>
      <c r="P902" s="25">
        <f t="shared" si="29"/>
        <v>0.6227893518518518</v>
      </c>
      <c r="Q902" s="23">
        <f>SUM($O$2:O902)</f>
        <v>36</v>
      </c>
      <c r="Y902" s="14"/>
      <c r="Z902" s="13"/>
      <c r="AA902"/>
    </row>
    <row r="903" spans="1:27" x14ac:dyDescent="0.2">
      <c r="A903" s="12" t="s">
        <v>2886</v>
      </c>
      <c r="B903" t="s">
        <v>2887</v>
      </c>
      <c r="C903" t="s">
        <v>2888</v>
      </c>
      <c r="D903" t="s">
        <v>112</v>
      </c>
      <c r="E903" t="s">
        <v>13</v>
      </c>
      <c r="F903">
        <v>84</v>
      </c>
      <c r="G903">
        <v>57</v>
      </c>
      <c r="H903" s="5" t="s">
        <v>22</v>
      </c>
      <c r="I903" s="5">
        <v>0</v>
      </c>
      <c r="J903" s="5">
        <v>0</v>
      </c>
      <c r="K903" t="s">
        <v>10463</v>
      </c>
      <c r="L903" cm="1">
        <f t="array" ref="L903">wordCount(K903)</f>
        <v>9</v>
      </c>
      <c r="M903">
        <f t="shared" si="28"/>
        <v>43</v>
      </c>
      <c r="N903">
        <v>0.70588235294117652</v>
      </c>
      <c r="O903" s="23" cm="1">
        <f t="array" ref="O903">WordListCount(K903,keywords!$A$2:$A$31)-WordListCount(K903,keywords!$B$2:$B$31)</f>
        <v>0</v>
      </c>
      <c r="P903" s="25">
        <f t="shared" si="29"/>
        <v>0.62280092592592595</v>
      </c>
      <c r="Q903" s="23">
        <f>SUM($O$2:O903)</f>
        <v>36</v>
      </c>
      <c r="Y903" s="14"/>
      <c r="Z903" s="13"/>
      <c r="AA903"/>
    </row>
    <row r="904" spans="1:27" x14ac:dyDescent="0.2">
      <c r="A904" s="12" t="s">
        <v>2889</v>
      </c>
      <c r="B904" t="s">
        <v>2890</v>
      </c>
      <c r="C904" t="s">
        <v>2891</v>
      </c>
      <c r="D904" t="s">
        <v>81</v>
      </c>
      <c r="E904" t="s">
        <v>13</v>
      </c>
      <c r="F904">
        <v>1010</v>
      </c>
      <c r="G904">
        <v>55</v>
      </c>
      <c r="H904" s="5" t="s">
        <v>22</v>
      </c>
      <c r="I904" s="5">
        <v>0</v>
      </c>
      <c r="J904" s="5">
        <v>0</v>
      </c>
      <c r="K904" t="s">
        <v>10464</v>
      </c>
      <c r="L904" cm="1">
        <f t="array" ref="L904">wordCount(K904)</f>
        <v>15</v>
      </c>
      <c r="M904">
        <f t="shared" si="28"/>
        <v>74</v>
      </c>
      <c r="N904">
        <v>0.61290322580645162</v>
      </c>
      <c r="O904" s="23" cm="1">
        <f t="array" ref="O904">WordListCount(K904,keywords!$A$2:$A$31)-WordListCount(K904,keywords!$B$2:$B$31)</f>
        <v>0</v>
      </c>
      <c r="P904" s="25">
        <f t="shared" si="29"/>
        <v>0.6229513888888889</v>
      </c>
      <c r="Q904" s="23">
        <f>SUM($O$2:O904)</f>
        <v>36</v>
      </c>
      <c r="Y904" s="14"/>
      <c r="Z904" s="13"/>
      <c r="AA904"/>
    </row>
    <row r="905" spans="1:27" x14ac:dyDescent="0.2">
      <c r="A905" s="12" t="s">
        <v>2892</v>
      </c>
      <c r="B905" t="s">
        <v>2893</v>
      </c>
      <c r="C905" t="s">
        <v>2894</v>
      </c>
      <c r="D905" t="s">
        <v>2895</v>
      </c>
      <c r="E905" t="s">
        <v>13</v>
      </c>
      <c r="F905">
        <v>1118</v>
      </c>
      <c r="G905">
        <v>1528</v>
      </c>
      <c r="H905" s="5" t="s">
        <v>14</v>
      </c>
      <c r="I905" s="5">
        <v>0</v>
      </c>
      <c r="J905" s="5">
        <v>0</v>
      </c>
      <c r="K905" t="s">
        <v>10465</v>
      </c>
      <c r="L905" cm="1">
        <f t="array" ref="L905">wordCount(K905)</f>
        <v>15</v>
      </c>
      <c r="M905">
        <f t="shared" si="28"/>
        <v>77</v>
      </c>
      <c r="N905">
        <v>0.52</v>
      </c>
      <c r="O905" s="23" cm="1">
        <f t="array" ref="O905">WordListCount(K905,keywords!$A$2:$A$31)-WordListCount(K905,keywords!$B$2:$B$31)</f>
        <v>0</v>
      </c>
      <c r="P905" s="25">
        <f t="shared" si="29"/>
        <v>0.62300925925925921</v>
      </c>
      <c r="Q905" s="23">
        <f>SUM($O$2:O905)</f>
        <v>36</v>
      </c>
      <c r="Y905" s="14"/>
      <c r="Z905" s="13"/>
      <c r="AA905"/>
    </row>
    <row r="906" spans="1:27" x14ac:dyDescent="0.2">
      <c r="A906" s="12" t="s">
        <v>2896</v>
      </c>
      <c r="B906" t="s">
        <v>2897</v>
      </c>
      <c r="C906" t="s">
        <v>2898</v>
      </c>
      <c r="D906" t="s">
        <v>12</v>
      </c>
      <c r="E906" t="s">
        <v>13</v>
      </c>
      <c r="F906">
        <v>9</v>
      </c>
      <c r="G906">
        <v>10</v>
      </c>
      <c r="H906" s="5" t="s">
        <v>59</v>
      </c>
      <c r="I906" s="5">
        <v>0</v>
      </c>
      <c r="J906" s="5">
        <v>0</v>
      </c>
      <c r="K906" t="s">
        <v>10466</v>
      </c>
      <c r="L906" cm="1">
        <f t="array" ref="L906">wordCount(K906)</f>
        <v>7</v>
      </c>
      <c r="M906">
        <f t="shared" si="28"/>
        <v>38</v>
      </c>
      <c r="N906">
        <v>0.6428571428571429</v>
      </c>
      <c r="O906" s="23" cm="1">
        <f t="array" ref="O906">WordListCount(K906,keywords!$A$2:$A$31)-WordListCount(K906,keywords!$B$2:$B$31)</f>
        <v>0</v>
      </c>
      <c r="P906" s="25">
        <f t="shared" si="29"/>
        <v>0.62306712962962962</v>
      </c>
      <c r="Q906" s="23">
        <f>SUM($O$2:O906)</f>
        <v>36</v>
      </c>
      <c r="Y906" s="14"/>
      <c r="Z906" s="13"/>
      <c r="AA906"/>
    </row>
    <row r="907" spans="1:27" x14ac:dyDescent="0.2">
      <c r="A907" s="12" t="s">
        <v>2899</v>
      </c>
      <c r="B907" t="s">
        <v>2900</v>
      </c>
      <c r="C907" t="s">
        <v>2901</v>
      </c>
      <c r="D907" t="s">
        <v>12</v>
      </c>
      <c r="E907" t="s">
        <v>13</v>
      </c>
      <c r="F907">
        <v>180</v>
      </c>
      <c r="G907">
        <v>366</v>
      </c>
      <c r="H907" s="5" t="s">
        <v>22</v>
      </c>
      <c r="I907" s="5">
        <v>0</v>
      </c>
      <c r="J907" s="5">
        <v>0</v>
      </c>
      <c r="K907" t="s">
        <v>9312</v>
      </c>
      <c r="L907" cm="1">
        <f t="array" ref="L907">wordCount(K907)</f>
        <v>16</v>
      </c>
      <c r="M907">
        <f t="shared" si="28"/>
        <v>83</v>
      </c>
      <c r="N907">
        <v>0.36363636363636365</v>
      </c>
      <c r="O907" s="23" cm="1">
        <f t="array" ref="O907">WordListCount(K907,keywords!$A$2:$A$31)-WordListCount(K907,keywords!$B$2:$B$31)</f>
        <v>0</v>
      </c>
      <c r="P907" s="25">
        <f t="shared" si="29"/>
        <v>0.62327546296296299</v>
      </c>
      <c r="Q907" s="23">
        <f>SUM($O$2:O907)</f>
        <v>36</v>
      </c>
      <c r="Y907" s="14"/>
      <c r="Z907" s="13"/>
      <c r="AA907"/>
    </row>
    <row r="908" spans="1:27" x14ac:dyDescent="0.2">
      <c r="A908" s="12" t="s">
        <v>2902</v>
      </c>
      <c r="B908" t="s">
        <v>2903</v>
      </c>
      <c r="C908" t="s">
        <v>2904</v>
      </c>
      <c r="D908" t="s">
        <v>2905</v>
      </c>
      <c r="E908" t="s">
        <v>13</v>
      </c>
      <c r="F908">
        <v>312</v>
      </c>
      <c r="G908">
        <v>182</v>
      </c>
      <c r="H908" s="5" t="s">
        <v>22</v>
      </c>
      <c r="I908" s="5">
        <v>0</v>
      </c>
      <c r="J908" s="5">
        <v>0</v>
      </c>
      <c r="K908" t="s">
        <v>10467</v>
      </c>
      <c r="L908" cm="1">
        <f t="array" ref="L908">wordCount(K908)</f>
        <v>17</v>
      </c>
      <c r="M908">
        <f t="shared" si="28"/>
        <v>36</v>
      </c>
      <c r="N908">
        <v>0.66666666666666663</v>
      </c>
      <c r="O908" s="23" cm="1">
        <f t="array" ref="O908">WordListCount(K908,keywords!$A$2:$A$31)-WordListCount(K908,keywords!$B$2:$B$31)</f>
        <v>0</v>
      </c>
      <c r="P908" s="25">
        <f t="shared" si="29"/>
        <v>0.6234143518518519</v>
      </c>
      <c r="Q908" s="23">
        <f>SUM($O$2:O908)</f>
        <v>36</v>
      </c>
      <c r="Y908" s="14"/>
      <c r="Z908" s="13"/>
      <c r="AA908"/>
    </row>
    <row r="909" spans="1:27" x14ac:dyDescent="0.2">
      <c r="A909" s="12" t="s">
        <v>2906</v>
      </c>
      <c r="B909" t="s">
        <v>2907</v>
      </c>
      <c r="C909" t="s">
        <v>2908</v>
      </c>
      <c r="D909" t="s">
        <v>12</v>
      </c>
      <c r="E909" t="s">
        <v>13</v>
      </c>
      <c r="F909">
        <v>12338</v>
      </c>
      <c r="G909">
        <v>138</v>
      </c>
      <c r="H909" s="5" t="s">
        <v>22</v>
      </c>
      <c r="I909" s="5">
        <v>0</v>
      </c>
      <c r="J909" s="5">
        <v>0</v>
      </c>
      <c r="K909" t="s">
        <v>10468</v>
      </c>
      <c r="L909" cm="1">
        <f t="array" ref="L909">wordCount(K909)</f>
        <v>14</v>
      </c>
      <c r="M909">
        <f t="shared" si="28"/>
        <v>76</v>
      </c>
      <c r="N909">
        <v>0.68965517241379315</v>
      </c>
      <c r="O909" s="23" cm="1">
        <f t="array" ref="O909">WordListCount(K909,keywords!$A$2:$A$31)-WordListCount(K909,keywords!$B$2:$B$31)</f>
        <v>-1</v>
      </c>
      <c r="P909" s="25">
        <f t="shared" si="29"/>
        <v>0.62422453703703706</v>
      </c>
      <c r="Q909" s="23">
        <f>SUM($O$2:O909)</f>
        <v>35</v>
      </c>
      <c r="Y909" s="14"/>
      <c r="Z909" s="13"/>
      <c r="AA909"/>
    </row>
    <row r="910" spans="1:27" x14ac:dyDescent="0.2">
      <c r="A910" s="12" t="s">
        <v>2909</v>
      </c>
      <c r="B910" t="s">
        <v>2910</v>
      </c>
      <c r="C910" t="s">
        <v>2911</v>
      </c>
      <c r="D910" t="s">
        <v>2912</v>
      </c>
      <c r="E910" t="s">
        <v>13</v>
      </c>
      <c r="F910">
        <v>8737</v>
      </c>
      <c r="G910">
        <v>784</v>
      </c>
      <c r="H910" s="5" t="s">
        <v>22</v>
      </c>
      <c r="I910" s="5">
        <v>0</v>
      </c>
      <c r="J910" s="5">
        <v>0</v>
      </c>
      <c r="K910" t="s">
        <v>10469</v>
      </c>
      <c r="L910" cm="1">
        <f t="array" ref="L910">wordCount(K910)</f>
        <v>29</v>
      </c>
      <c r="M910">
        <f t="shared" si="28"/>
        <v>131</v>
      </c>
      <c r="N910">
        <v>0.41379310344827586</v>
      </c>
      <c r="O910" s="23" cm="1">
        <f t="array" ref="O910">WordListCount(K910,keywords!$A$2:$A$31)-WordListCount(K910,keywords!$B$2:$B$31)</f>
        <v>-1</v>
      </c>
      <c r="P910" s="25">
        <f t="shared" si="29"/>
        <v>0.62428240740740748</v>
      </c>
      <c r="Q910" s="23">
        <f>SUM($O$2:O910)</f>
        <v>34</v>
      </c>
      <c r="Y910" s="14"/>
      <c r="Z910" s="13"/>
      <c r="AA910"/>
    </row>
    <row r="911" spans="1:27" x14ac:dyDescent="0.2">
      <c r="A911" s="22" t="s">
        <v>2913</v>
      </c>
      <c r="B911" s="23" t="s">
        <v>2914</v>
      </c>
      <c r="C911" s="23" t="s">
        <v>2915</v>
      </c>
      <c r="D911" s="23" t="s">
        <v>2916</v>
      </c>
      <c r="E911" s="23" t="s">
        <v>13</v>
      </c>
      <c r="F911" s="23">
        <v>2580</v>
      </c>
      <c r="G911" s="23">
        <v>4107</v>
      </c>
      <c r="H911" s="24" t="s">
        <v>22</v>
      </c>
      <c r="I911" s="24">
        <v>0</v>
      </c>
      <c r="J911" s="24">
        <v>0</v>
      </c>
      <c r="K911" s="23" t="s">
        <v>10470</v>
      </c>
      <c r="L911" s="23" cm="1">
        <f t="array" ref="L911">wordCount(K911)</f>
        <v>11</v>
      </c>
      <c r="M911" s="23">
        <f t="shared" si="28"/>
        <v>42</v>
      </c>
      <c r="N911" s="23"/>
      <c r="O911" s="23" cm="1">
        <f t="array" ref="O911">WordListCount(K911,keywords!$A$2:$A$31)-WordListCount(K911,keywords!$B$2:$B$31)</f>
        <v>0</v>
      </c>
      <c r="P911" s="25">
        <f t="shared" si="29"/>
        <v>0.62466435185185187</v>
      </c>
      <c r="Q911" s="23">
        <f>SUM($O$2:O911)</f>
        <v>34</v>
      </c>
      <c r="Y911" s="14"/>
      <c r="Z911" s="13"/>
      <c r="AA911"/>
    </row>
    <row r="912" spans="1:27" x14ac:dyDescent="0.2">
      <c r="A912" s="12" t="s">
        <v>2917</v>
      </c>
      <c r="B912" t="s">
        <v>2918</v>
      </c>
      <c r="C912" t="s">
        <v>2919</v>
      </c>
      <c r="D912" t="s">
        <v>12</v>
      </c>
      <c r="E912" t="s">
        <v>13</v>
      </c>
      <c r="F912">
        <v>9</v>
      </c>
      <c r="G912">
        <v>76</v>
      </c>
      <c r="H912" s="5" t="s">
        <v>22</v>
      </c>
      <c r="I912" s="5">
        <v>0</v>
      </c>
      <c r="J912" s="5">
        <v>0</v>
      </c>
      <c r="K912" t="s">
        <v>10471</v>
      </c>
      <c r="L912" cm="1">
        <f t="array" ref="L912">wordCount(K912)</f>
        <v>22</v>
      </c>
      <c r="M912">
        <f t="shared" si="28"/>
        <v>95</v>
      </c>
      <c r="N912">
        <v>0.37931034482758619</v>
      </c>
      <c r="O912" s="23" cm="1">
        <f t="array" ref="O912">WordListCount(K912,keywords!$A$2:$A$31)-WordListCount(K912,keywords!$B$2:$B$31)</f>
        <v>0</v>
      </c>
      <c r="P912" s="25">
        <f t="shared" si="29"/>
        <v>0.62475694444444441</v>
      </c>
      <c r="Q912" s="23">
        <f>SUM($O$2:O912)</f>
        <v>34</v>
      </c>
      <c r="Y912" s="14"/>
      <c r="Z912" s="13"/>
      <c r="AA912"/>
    </row>
    <row r="913" spans="1:27" x14ac:dyDescent="0.2">
      <c r="A913" s="12" t="s">
        <v>2920</v>
      </c>
      <c r="B913" t="s">
        <v>2921</v>
      </c>
      <c r="C913" t="s">
        <v>2922</v>
      </c>
      <c r="D913" t="s">
        <v>2923</v>
      </c>
      <c r="E913" t="s">
        <v>13</v>
      </c>
      <c r="F913">
        <v>2076</v>
      </c>
      <c r="G913">
        <v>300</v>
      </c>
      <c r="H913" s="5" t="s">
        <v>22</v>
      </c>
      <c r="I913" s="5">
        <v>0</v>
      </c>
      <c r="J913" s="5">
        <v>0</v>
      </c>
      <c r="K913" t="s">
        <v>10472</v>
      </c>
      <c r="L913" cm="1">
        <f t="array" ref="L913">wordCount(K913)</f>
        <v>16</v>
      </c>
      <c r="M913">
        <f t="shared" si="28"/>
        <v>72</v>
      </c>
      <c r="N913">
        <v>0.4642857142857143</v>
      </c>
      <c r="O913" s="23" cm="1">
        <f t="array" ref="O913">WordListCount(K913,keywords!$A$2:$A$31)-WordListCount(K913,keywords!$B$2:$B$31)</f>
        <v>0</v>
      </c>
      <c r="P913" s="25">
        <f t="shared" si="29"/>
        <v>0.62481481481481482</v>
      </c>
      <c r="Q913" s="23">
        <f>SUM($O$2:O913)</f>
        <v>34</v>
      </c>
      <c r="Y913" s="14"/>
      <c r="Z913" s="13"/>
      <c r="AA913"/>
    </row>
    <row r="914" spans="1:27" x14ac:dyDescent="0.2">
      <c r="A914" s="12" t="s">
        <v>2924</v>
      </c>
      <c r="B914" t="s">
        <v>2925</v>
      </c>
      <c r="C914" t="s">
        <v>2926</v>
      </c>
      <c r="D914" t="s">
        <v>2927</v>
      </c>
      <c r="E914" t="s">
        <v>13</v>
      </c>
      <c r="F914">
        <v>7</v>
      </c>
      <c r="G914">
        <v>282</v>
      </c>
      <c r="H914" s="5" t="s">
        <v>22</v>
      </c>
      <c r="I914" s="5">
        <v>0</v>
      </c>
      <c r="J914" s="5">
        <v>0</v>
      </c>
      <c r="K914" t="s">
        <v>10473</v>
      </c>
      <c r="L914" cm="1">
        <f t="array" ref="L914">wordCount(K914)</f>
        <v>11</v>
      </c>
      <c r="M914">
        <f t="shared" si="28"/>
        <v>57</v>
      </c>
      <c r="N914">
        <v>0.41176470588235292</v>
      </c>
      <c r="O914" s="23" cm="1">
        <f t="array" ref="O914">WordListCount(K914,keywords!$A$2:$A$31)-WordListCount(K914,keywords!$B$2:$B$31)</f>
        <v>0</v>
      </c>
      <c r="P914" s="25">
        <f t="shared" si="29"/>
        <v>0.62489583333333332</v>
      </c>
      <c r="Q914" s="23">
        <f>SUM($O$2:O914)</f>
        <v>34</v>
      </c>
      <c r="Y914" s="14"/>
      <c r="Z914" s="13"/>
      <c r="AA914"/>
    </row>
    <row r="915" spans="1:27" x14ac:dyDescent="0.2">
      <c r="A915" s="12" t="s">
        <v>2928</v>
      </c>
      <c r="B915" t="s">
        <v>2931</v>
      </c>
      <c r="C915" t="s">
        <v>586</v>
      </c>
      <c r="D915" t="s">
        <v>12</v>
      </c>
      <c r="E915" t="s">
        <v>13</v>
      </c>
      <c r="F915">
        <v>236</v>
      </c>
      <c r="G915">
        <v>2</v>
      </c>
      <c r="H915" s="5" t="s">
        <v>22</v>
      </c>
      <c r="I915" s="5">
        <v>0</v>
      </c>
      <c r="J915" s="5">
        <v>0</v>
      </c>
      <c r="K915" t="s">
        <v>10474</v>
      </c>
      <c r="L915" cm="1">
        <f t="array" ref="L915">wordCount(K915)</f>
        <v>19</v>
      </c>
      <c r="M915">
        <f t="shared" si="28"/>
        <v>107</v>
      </c>
      <c r="N915">
        <v>0.76190476190476186</v>
      </c>
      <c r="O915" s="23" cm="1">
        <f t="array" ref="O915">WordListCount(K915,keywords!$A$2:$A$31)-WordListCount(K915,keywords!$B$2:$B$31)</f>
        <v>0</v>
      </c>
      <c r="P915" s="25">
        <f t="shared" si="29"/>
        <v>0.625</v>
      </c>
      <c r="Q915" s="23">
        <f>SUM($O$2:O915)</f>
        <v>34</v>
      </c>
      <c r="Y915" s="14"/>
      <c r="Z915" s="13"/>
      <c r="AA915"/>
    </row>
    <row r="916" spans="1:27" x14ac:dyDescent="0.2">
      <c r="A916" s="12" t="s">
        <v>2928</v>
      </c>
      <c r="B916" t="s">
        <v>2929</v>
      </c>
      <c r="C916" t="s">
        <v>2930</v>
      </c>
      <c r="D916" t="s">
        <v>12</v>
      </c>
      <c r="E916" t="s">
        <v>13</v>
      </c>
      <c r="F916">
        <v>17</v>
      </c>
      <c r="G916">
        <v>0</v>
      </c>
      <c r="H916" s="5" t="s">
        <v>22</v>
      </c>
      <c r="I916" s="5">
        <v>0</v>
      </c>
      <c r="J916" s="5">
        <v>0</v>
      </c>
      <c r="K916" t="s">
        <v>9313</v>
      </c>
      <c r="L916" cm="1">
        <f t="array" ref="L916">wordCount(K916)</f>
        <v>10</v>
      </c>
      <c r="M916">
        <f t="shared" si="28"/>
        <v>41</v>
      </c>
      <c r="N916">
        <v>0.9</v>
      </c>
      <c r="O916" s="23" cm="1">
        <f t="array" ref="O916">WordListCount(K916,keywords!$A$2:$A$31)-WordListCount(K916,keywords!$B$2:$B$31)</f>
        <v>0</v>
      </c>
      <c r="P916" s="25">
        <f t="shared" si="29"/>
        <v>0.625</v>
      </c>
      <c r="Q916" s="23">
        <f>SUM($O$2:O916)</f>
        <v>34</v>
      </c>
      <c r="Y916" s="14"/>
      <c r="Z916" s="13"/>
      <c r="AA916"/>
    </row>
    <row r="917" spans="1:27" x14ac:dyDescent="0.2">
      <c r="A917" s="12" t="s">
        <v>2932</v>
      </c>
      <c r="B917" t="s">
        <v>2935</v>
      </c>
      <c r="C917" t="s">
        <v>589</v>
      </c>
      <c r="D917" t="s">
        <v>590</v>
      </c>
      <c r="E917" t="s">
        <v>13</v>
      </c>
      <c r="F917">
        <v>385</v>
      </c>
      <c r="G917">
        <v>72</v>
      </c>
      <c r="H917" s="5" t="s">
        <v>22</v>
      </c>
      <c r="I917" s="5">
        <v>0</v>
      </c>
      <c r="J917" s="5">
        <v>0</v>
      </c>
      <c r="K917" t="s">
        <v>10475</v>
      </c>
      <c r="L917" cm="1">
        <f t="array" ref="L917">wordCount(K917)</f>
        <v>9</v>
      </c>
      <c r="M917">
        <f t="shared" si="28"/>
        <v>56</v>
      </c>
      <c r="N917">
        <v>0.81818181818181823</v>
      </c>
      <c r="O917" s="23" cm="1">
        <f t="array" ref="O917">WordListCount(K917,keywords!$A$2:$A$31)-WordListCount(K917,keywords!$B$2:$B$31)</f>
        <v>0</v>
      </c>
      <c r="P917" s="25">
        <f t="shared" si="29"/>
        <v>0.62502314814814819</v>
      </c>
      <c r="Q917" s="23">
        <f>SUM($O$2:O917)</f>
        <v>34</v>
      </c>
      <c r="Y917" s="14"/>
      <c r="Z917" s="13"/>
      <c r="AA917"/>
    </row>
    <row r="918" spans="1:27" x14ac:dyDescent="0.2">
      <c r="A918" s="12" t="s">
        <v>2932</v>
      </c>
      <c r="B918" t="s">
        <v>2936</v>
      </c>
      <c r="C918" t="s">
        <v>599</v>
      </c>
      <c r="D918" t="s">
        <v>74</v>
      </c>
      <c r="E918" t="s">
        <v>13</v>
      </c>
      <c r="F918">
        <v>580</v>
      </c>
      <c r="G918">
        <v>0</v>
      </c>
      <c r="H918" s="5" t="s">
        <v>22</v>
      </c>
      <c r="I918" s="5">
        <v>0</v>
      </c>
      <c r="J918" s="5">
        <v>0</v>
      </c>
      <c r="K918" t="s">
        <v>10476</v>
      </c>
      <c r="L918" cm="1">
        <f t="array" ref="L918">wordCount(K918)</f>
        <v>11</v>
      </c>
      <c r="M918">
        <f t="shared" si="28"/>
        <v>64</v>
      </c>
      <c r="N918">
        <v>0.84615384615384615</v>
      </c>
      <c r="O918" s="23" cm="1">
        <f t="array" ref="O918">WordListCount(K918,keywords!$A$2:$A$31)-WordListCount(K918,keywords!$B$2:$B$31)</f>
        <v>0</v>
      </c>
      <c r="P918" s="25">
        <f t="shared" si="29"/>
        <v>0.62502314814814819</v>
      </c>
      <c r="Q918" s="23">
        <f>SUM($O$2:O918)</f>
        <v>34</v>
      </c>
      <c r="Y918" s="14"/>
      <c r="Z918" s="13"/>
      <c r="AA918"/>
    </row>
    <row r="919" spans="1:27" x14ac:dyDescent="0.2">
      <c r="A919" s="12" t="s">
        <v>2932</v>
      </c>
      <c r="B919" t="s">
        <v>2933</v>
      </c>
      <c r="C919" t="s">
        <v>596</v>
      </c>
      <c r="D919" t="s">
        <v>597</v>
      </c>
      <c r="E919" t="s">
        <v>13</v>
      </c>
      <c r="F919">
        <v>998</v>
      </c>
      <c r="G919">
        <v>1</v>
      </c>
      <c r="H919" s="5" t="s">
        <v>382</v>
      </c>
      <c r="I919" s="5">
        <v>0</v>
      </c>
      <c r="J919" s="5">
        <v>0</v>
      </c>
      <c r="K919" t="s">
        <v>9314</v>
      </c>
      <c r="L919" cm="1">
        <f t="array" ref="L919">wordCount(K919)</f>
        <v>5</v>
      </c>
      <c r="M919">
        <f t="shared" si="28"/>
        <v>30</v>
      </c>
      <c r="N919">
        <v>0.8</v>
      </c>
      <c r="O919" s="23" cm="1">
        <f t="array" ref="O919">WordListCount(K919,keywords!$A$2:$A$31)-WordListCount(K919,keywords!$B$2:$B$31)</f>
        <v>0</v>
      </c>
      <c r="P919" s="25">
        <f t="shared" si="29"/>
        <v>0.62502314814814819</v>
      </c>
      <c r="Q919" s="23">
        <f>SUM($O$2:O919)</f>
        <v>34</v>
      </c>
      <c r="Y919" s="14"/>
      <c r="Z919" s="13"/>
      <c r="AA919"/>
    </row>
    <row r="920" spans="1:27" x14ac:dyDescent="0.2">
      <c r="A920" s="12" t="s">
        <v>2932</v>
      </c>
      <c r="B920" t="s">
        <v>2934</v>
      </c>
      <c r="C920" t="s">
        <v>306</v>
      </c>
      <c r="D920" t="s">
        <v>307</v>
      </c>
      <c r="E920" t="s">
        <v>13</v>
      </c>
      <c r="F920">
        <v>227</v>
      </c>
      <c r="G920">
        <v>1</v>
      </c>
      <c r="H920" s="5" t="s">
        <v>22</v>
      </c>
      <c r="I920" s="5">
        <v>0</v>
      </c>
      <c r="J920" s="5">
        <v>0</v>
      </c>
      <c r="K920" t="s">
        <v>9315</v>
      </c>
      <c r="L920" cm="1">
        <f t="array" ref="L920">wordCount(K920)</f>
        <v>7</v>
      </c>
      <c r="M920">
        <f t="shared" si="28"/>
        <v>105</v>
      </c>
      <c r="N920">
        <v>0.53846153846153844</v>
      </c>
      <c r="O920" s="23" cm="1">
        <f t="array" ref="O920">WordListCount(K920,keywords!$A$2:$A$31)-WordListCount(K920,keywords!$B$2:$B$31)</f>
        <v>0</v>
      </c>
      <c r="P920" s="25">
        <f t="shared" si="29"/>
        <v>0.62502314814814819</v>
      </c>
      <c r="Q920" s="23">
        <f>SUM($O$2:O920)</f>
        <v>34</v>
      </c>
      <c r="Y920" s="14"/>
      <c r="Z920" s="13"/>
      <c r="AA920"/>
    </row>
    <row r="921" spans="1:27" x14ac:dyDescent="0.2">
      <c r="A921" s="12" t="s">
        <v>2937</v>
      </c>
      <c r="B921" t="s">
        <v>2938</v>
      </c>
      <c r="C921" t="s">
        <v>604</v>
      </c>
      <c r="D921" t="s">
        <v>605</v>
      </c>
      <c r="E921" t="s">
        <v>13</v>
      </c>
      <c r="F921">
        <v>168</v>
      </c>
      <c r="G921">
        <v>115</v>
      </c>
      <c r="H921" s="5" t="s">
        <v>22</v>
      </c>
      <c r="I921" s="5">
        <v>0</v>
      </c>
      <c r="J921" s="5">
        <v>0</v>
      </c>
      <c r="K921" t="s">
        <v>10477</v>
      </c>
      <c r="L921" cm="1">
        <f t="array" ref="L921">wordCount(K921)</f>
        <v>13</v>
      </c>
      <c r="M921">
        <f t="shared" si="28"/>
        <v>68</v>
      </c>
      <c r="N921">
        <v>0.75</v>
      </c>
      <c r="O921" s="23" cm="1">
        <f t="array" ref="O921">WordListCount(K921,keywords!$A$2:$A$31)-WordListCount(K921,keywords!$B$2:$B$31)</f>
        <v>0</v>
      </c>
      <c r="P921" s="25">
        <f t="shared" si="29"/>
        <v>0.62505787037037031</v>
      </c>
      <c r="Q921" s="23">
        <f>SUM($O$2:O921)</f>
        <v>34</v>
      </c>
      <c r="Y921" s="14"/>
      <c r="Z921" s="13"/>
      <c r="AA921"/>
    </row>
    <row r="922" spans="1:27" x14ac:dyDescent="0.2">
      <c r="A922" s="12" t="s">
        <v>2939</v>
      </c>
      <c r="B922" t="s">
        <v>2940</v>
      </c>
      <c r="C922" t="s">
        <v>2941</v>
      </c>
      <c r="D922" t="s">
        <v>12</v>
      </c>
      <c r="E922" t="s">
        <v>13</v>
      </c>
      <c r="F922">
        <v>275</v>
      </c>
      <c r="G922">
        <v>200</v>
      </c>
      <c r="H922" s="5" t="s">
        <v>393</v>
      </c>
      <c r="I922" s="5">
        <v>0</v>
      </c>
      <c r="J922" s="5">
        <v>0</v>
      </c>
      <c r="K922" t="s">
        <v>10478</v>
      </c>
      <c r="L922" cm="1">
        <f t="array" ref="L922">wordCount(K922)</f>
        <v>22</v>
      </c>
      <c r="M922">
        <f t="shared" si="28"/>
        <v>116</v>
      </c>
      <c r="N922">
        <v>0.55555555555555558</v>
      </c>
      <c r="O922" s="23" cm="1">
        <f t="array" ref="O922">WordListCount(K922,keywords!$A$2:$A$31)-WordListCount(K922,keywords!$B$2:$B$31)</f>
        <v>0</v>
      </c>
      <c r="P922" s="25">
        <f t="shared" si="29"/>
        <v>0.6251620370370371</v>
      </c>
      <c r="Q922" s="23">
        <f>SUM($O$2:O922)</f>
        <v>34</v>
      </c>
      <c r="Y922" s="14"/>
      <c r="Z922" s="13"/>
      <c r="AA922"/>
    </row>
    <row r="923" spans="1:27" x14ac:dyDescent="0.2">
      <c r="A923" s="12" t="s">
        <v>2942</v>
      </c>
      <c r="B923" t="s">
        <v>2943</v>
      </c>
      <c r="C923" t="s">
        <v>2944</v>
      </c>
      <c r="D923" t="s">
        <v>12</v>
      </c>
      <c r="E923" t="s">
        <v>13</v>
      </c>
      <c r="F923">
        <v>7208</v>
      </c>
      <c r="G923">
        <v>2811</v>
      </c>
      <c r="H923" s="5" t="s">
        <v>22</v>
      </c>
      <c r="I923" s="5">
        <v>0</v>
      </c>
      <c r="J923" s="5">
        <v>0</v>
      </c>
      <c r="K923" t="s">
        <v>10479</v>
      </c>
      <c r="L923" cm="1">
        <f t="array" ref="L923">wordCount(K923)</f>
        <v>7</v>
      </c>
      <c r="M923">
        <f t="shared" si="28"/>
        <v>25</v>
      </c>
      <c r="N923">
        <v>0.81818181818181823</v>
      </c>
      <c r="O923" s="23" cm="1">
        <f t="array" ref="O923">WordListCount(K923,keywords!$A$2:$A$31)-WordListCount(K923,keywords!$B$2:$B$31)</f>
        <v>0</v>
      </c>
      <c r="P923" s="25">
        <f t="shared" si="29"/>
        <v>0.62524305555555559</v>
      </c>
      <c r="Q923" s="23">
        <f>SUM($O$2:O923)</f>
        <v>34</v>
      </c>
      <c r="Y923" s="14"/>
      <c r="Z923" s="13"/>
      <c r="AA923"/>
    </row>
    <row r="924" spans="1:27" x14ac:dyDescent="0.2">
      <c r="A924" s="12" t="s">
        <v>2945</v>
      </c>
      <c r="B924" t="s">
        <v>2946</v>
      </c>
      <c r="C924" t="s">
        <v>2947</v>
      </c>
      <c r="D924" t="s">
        <v>81</v>
      </c>
      <c r="E924" t="s">
        <v>13</v>
      </c>
      <c r="F924">
        <v>395</v>
      </c>
      <c r="G924">
        <v>671</v>
      </c>
      <c r="H924" s="5" t="s">
        <v>22</v>
      </c>
      <c r="I924" s="5">
        <v>0</v>
      </c>
      <c r="J924" s="5">
        <v>0</v>
      </c>
      <c r="K924" t="s">
        <v>10480</v>
      </c>
      <c r="L924" cm="1">
        <f t="array" ref="L924">wordCount(K924)</f>
        <v>22</v>
      </c>
      <c r="M924">
        <f t="shared" si="28"/>
        <v>115</v>
      </c>
      <c r="N924">
        <v>0.32</v>
      </c>
      <c r="O924" s="23" cm="1">
        <f t="array" ref="O924">WordListCount(K924,keywords!$A$2:$A$31)-WordListCount(K924,keywords!$B$2:$B$31)</f>
        <v>0</v>
      </c>
      <c r="P924" s="25">
        <f t="shared" si="29"/>
        <v>0.62532407407407409</v>
      </c>
      <c r="Q924" s="23">
        <f>SUM($O$2:O924)</f>
        <v>34</v>
      </c>
      <c r="Y924" s="14"/>
      <c r="Z924" s="13"/>
      <c r="AA924"/>
    </row>
    <row r="925" spans="1:27" x14ac:dyDescent="0.2">
      <c r="A925" s="12" t="s">
        <v>2948</v>
      </c>
      <c r="B925" t="s">
        <v>2949</v>
      </c>
      <c r="C925" t="s">
        <v>631</v>
      </c>
      <c r="D925" t="s">
        <v>12</v>
      </c>
      <c r="E925" t="s">
        <v>13</v>
      </c>
      <c r="F925">
        <v>93</v>
      </c>
      <c r="G925">
        <v>2</v>
      </c>
      <c r="H925" s="5" t="s">
        <v>86</v>
      </c>
      <c r="I925" s="5">
        <v>0</v>
      </c>
      <c r="J925" s="5">
        <v>0</v>
      </c>
      <c r="K925" t="s">
        <v>9316</v>
      </c>
      <c r="L925" cm="1">
        <f t="array" ref="L925">wordCount(K925)</f>
        <v>8</v>
      </c>
      <c r="M925">
        <f t="shared" si="28"/>
        <v>43</v>
      </c>
      <c r="N925">
        <v>0.77777777777777779</v>
      </c>
      <c r="O925" s="23" cm="1">
        <f t="array" ref="O925">WordListCount(K925,keywords!$A$2:$A$31)-WordListCount(K925,keywords!$B$2:$B$31)</f>
        <v>0</v>
      </c>
      <c r="P925" s="25">
        <f t="shared" si="29"/>
        <v>0.62535879629629632</v>
      </c>
      <c r="Q925" s="23">
        <f>SUM($O$2:O925)</f>
        <v>34</v>
      </c>
      <c r="Y925" s="14"/>
      <c r="Z925" s="13"/>
      <c r="AA925"/>
    </row>
    <row r="926" spans="1:27" x14ac:dyDescent="0.2">
      <c r="A926" s="12" t="s">
        <v>2950</v>
      </c>
      <c r="B926" t="s">
        <v>2951</v>
      </c>
      <c r="C926" t="s">
        <v>713</v>
      </c>
      <c r="D926" t="s">
        <v>714</v>
      </c>
      <c r="E926" t="s">
        <v>13</v>
      </c>
      <c r="F926">
        <v>4758</v>
      </c>
      <c r="G926">
        <v>3442</v>
      </c>
      <c r="H926" s="5" t="s">
        <v>22</v>
      </c>
      <c r="I926" s="5">
        <v>0</v>
      </c>
      <c r="J926" s="5">
        <v>0</v>
      </c>
      <c r="K926" t="s">
        <v>9320</v>
      </c>
      <c r="L926" cm="1">
        <f t="array" ref="L926">wordCount(K926)</f>
        <v>6</v>
      </c>
      <c r="M926">
        <f t="shared" si="28"/>
        <v>36</v>
      </c>
      <c r="N926">
        <v>0.88888888888888884</v>
      </c>
      <c r="O926" s="23" cm="1">
        <f t="array" ref="O926">WordListCount(K926,keywords!$A$2:$A$31)-WordListCount(K926,keywords!$B$2:$B$31)</f>
        <v>0</v>
      </c>
      <c r="P926" s="25">
        <f t="shared" si="29"/>
        <v>0.62550925925925926</v>
      </c>
      <c r="Q926" s="23">
        <f>SUM($O$2:O926)</f>
        <v>34</v>
      </c>
      <c r="Y926" s="14"/>
      <c r="Z926" s="13"/>
      <c r="AA926"/>
    </row>
    <row r="927" spans="1:27" x14ac:dyDescent="0.2">
      <c r="A927" s="12" t="s">
        <v>2952</v>
      </c>
      <c r="B927" t="s">
        <v>2953</v>
      </c>
      <c r="C927" t="s">
        <v>2954</v>
      </c>
      <c r="D927" t="s">
        <v>2955</v>
      </c>
      <c r="E927" t="s">
        <v>13</v>
      </c>
      <c r="F927">
        <v>231</v>
      </c>
      <c r="G927">
        <v>1002</v>
      </c>
      <c r="H927" s="5" t="s">
        <v>22</v>
      </c>
      <c r="I927" s="5">
        <v>0</v>
      </c>
      <c r="J927" s="5">
        <v>0</v>
      </c>
      <c r="K927" t="s">
        <v>10481</v>
      </c>
      <c r="L927" cm="1">
        <f t="array" ref="L927">wordCount(K927)</f>
        <v>25</v>
      </c>
      <c r="M927">
        <f t="shared" si="28"/>
        <v>122</v>
      </c>
      <c r="N927">
        <v>0.39393939393939392</v>
      </c>
      <c r="O927" s="23" cm="1">
        <f t="array" ref="O927">WordListCount(K927,keywords!$A$2:$A$31)-WordListCount(K927,keywords!$B$2:$B$31)</f>
        <v>1</v>
      </c>
      <c r="P927" s="25">
        <f t="shared" si="29"/>
        <v>0.62560185185185191</v>
      </c>
      <c r="Q927" s="23">
        <f>SUM($O$2:O927)</f>
        <v>35</v>
      </c>
      <c r="Y927" s="14"/>
      <c r="Z927" s="13"/>
      <c r="AA927"/>
    </row>
    <row r="928" spans="1:27" x14ac:dyDescent="0.2">
      <c r="A928" s="12" t="s">
        <v>2956</v>
      </c>
      <c r="B928" t="s">
        <v>2957</v>
      </c>
      <c r="C928" t="s">
        <v>2958</v>
      </c>
      <c r="D928" t="s">
        <v>74</v>
      </c>
      <c r="E928" t="s">
        <v>13</v>
      </c>
      <c r="F928">
        <v>232</v>
      </c>
      <c r="G928">
        <v>109</v>
      </c>
      <c r="H928" s="5" t="s">
        <v>22</v>
      </c>
      <c r="I928" s="5">
        <v>0</v>
      </c>
      <c r="J928" s="5">
        <v>0</v>
      </c>
      <c r="K928" t="s">
        <v>9317</v>
      </c>
      <c r="L928" cm="1">
        <f t="array" ref="L928">wordCount(K928)</f>
        <v>8</v>
      </c>
      <c r="M928">
        <f t="shared" si="28"/>
        <v>42</v>
      </c>
      <c r="N928">
        <v>0.4</v>
      </c>
      <c r="O928" s="23" cm="1">
        <f t="array" ref="O928">WordListCount(K928,keywords!$A$2:$A$31)-WordListCount(K928,keywords!$B$2:$B$31)</f>
        <v>0</v>
      </c>
      <c r="P928" s="25">
        <f t="shared" si="29"/>
        <v>0.62565972222222221</v>
      </c>
      <c r="Q928" s="23">
        <f>SUM($O$2:O928)</f>
        <v>35</v>
      </c>
      <c r="Y928" s="14"/>
      <c r="Z928" s="13"/>
      <c r="AA928"/>
    </row>
    <row r="929" spans="1:27" x14ac:dyDescent="0.2">
      <c r="A929" s="12" t="s">
        <v>2959</v>
      </c>
      <c r="B929" t="s">
        <v>2960</v>
      </c>
      <c r="C929" t="s">
        <v>657</v>
      </c>
      <c r="D929" t="s">
        <v>658</v>
      </c>
      <c r="E929" t="s">
        <v>13</v>
      </c>
      <c r="F929">
        <v>3565</v>
      </c>
      <c r="G929">
        <v>88</v>
      </c>
      <c r="H929" s="5" t="s">
        <v>22</v>
      </c>
      <c r="I929" s="5">
        <v>0</v>
      </c>
      <c r="J929" s="5">
        <v>0</v>
      </c>
      <c r="K929" t="s">
        <v>9318</v>
      </c>
      <c r="L929" cm="1">
        <f t="array" ref="L929">wordCount(K929)</f>
        <v>8</v>
      </c>
      <c r="M929">
        <f t="shared" si="28"/>
        <v>42</v>
      </c>
      <c r="N929">
        <v>0.8571428571428571</v>
      </c>
      <c r="O929" s="23" cm="1">
        <f t="array" ref="O929">WordListCount(K929,keywords!$A$2:$A$31)-WordListCount(K929,keywords!$B$2:$B$31)</f>
        <v>0</v>
      </c>
      <c r="P929" s="25">
        <f t="shared" si="29"/>
        <v>0.62581018518518516</v>
      </c>
      <c r="Q929" s="23">
        <f>SUM($O$2:O929)</f>
        <v>35</v>
      </c>
      <c r="Y929" s="14"/>
      <c r="Z929" s="13"/>
      <c r="AA929"/>
    </row>
    <row r="930" spans="1:27" x14ac:dyDescent="0.2">
      <c r="A930" s="12" t="s">
        <v>2961</v>
      </c>
      <c r="B930" t="s">
        <v>2962</v>
      </c>
      <c r="C930" t="s">
        <v>2963</v>
      </c>
      <c r="D930" t="s">
        <v>12</v>
      </c>
      <c r="E930" t="s">
        <v>13</v>
      </c>
      <c r="F930">
        <v>0</v>
      </c>
      <c r="G930">
        <v>14</v>
      </c>
      <c r="H930" s="5" t="s">
        <v>96</v>
      </c>
      <c r="I930" s="5">
        <v>0</v>
      </c>
      <c r="J930" s="5">
        <v>0</v>
      </c>
      <c r="K930" t="s">
        <v>10482</v>
      </c>
      <c r="L930" cm="1">
        <f t="array" ref="L930">wordCount(K930)</f>
        <v>14</v>
      </c>
      <c r="M930">
        <f t="shared" si="28"/>
        <v>74</v>
      </c>
      <c r="N930">
        <v>0.55000000000000004</v>
      </c>
      <c r="O930" s="23" cm="1">
        <f t="array" ref="O930">WordListCount(K930,keywords!$A$2:$A$31)-WordListCount(K930,keywords!$B$2:$B$31)</f>
        <v>0</v>
      </c>
      <c r="P930" s="25">
        <f t="shared" si="29"/>
        <v>0.62590277777777781</v>
      </c>
      <c r="Q930" s="23">
        <f>SUM($O$2:O930)</f>
        <v>35</v>
      </c>
      <c r="Y930" s="14"/>
      <c r="Z930" s="13"/>
      <c r="AA930"/>
    </row>
    <row r="931" spans="1:27" x14ac:dyDescent="0.2">
      <c r="A931" s="12" t="s">
        <v>2964</v>
      </c>
      <c r="B931" t="s">
        <v>2968</v>
      </c>
      <c r="C931" t="s">
        <v>2969</v>
      </c>
      <c r="D931" t="s">
        <v>2970</v>
      </c>
      <c r="E931" t="s">
        <v>47</v>
      </c>
      <c r="F931">
        <v>20127</v>
      </c>
      <c r="G931">
        <v>14655</v>
      </c>
      <c r="H931" s="5" t="s">
        <v>22</v>
      </c>
      <c r="I931" s="5">
        <v>0</v>
      </c>
      <c r="J931" s="5">
        <v>0</v>
      </c>
      <c r="K931" t="s">
        <v>9319</v>
      </c>
      <c r="L931" cm="1">
        <f t="array" ref="L931">wordCount(K931)</f>
        <v>7</v>
      </c>
      <c r="M931">
        <f t="shared" si="28"/>
        <v>37</v>
      </c>
      <c r="N931">
        <v>1</v>
      </c>
      <c r="O931" s="23" cm="1">
        <f t="array" ref="O931">WordListCount(K931,keywords!$A$2:$A$31)-WordListCount(K931,keywords!$B$2:$B$31)</f>
        <v>0</v>
      </c>
      <c r="P931" s="25">
        <f t="shared" si="29"/>
        <v>0.62596064814814811</v>
      </c>
      <c r="Q931" s="23">
        <f>SUM($O$2:O931)</f>
        <v>35</v>
      </c>
      <c r="Y931" s="14"/>
      <c r="Z931" s="13"/>
      <c r="AA931"/>
    </row>
    <row r="932" spans="1:27" x14ac:dyDescent="0.2">
      <c r="A932" s="12" t="s">
        <v>2964</v>
      </c>
      <c r="B932" t="s">
        <v>2965</v>
      </c>
      <c r="C932" t="s">
        <v>2966</v>
      </c>
      <c r="D932" t="s">
        <v>2967</v>
      </c>
      <c r="E932" t="s">
        <v>13</v>
      </c>
      <c r="F932">
        <v>25</v>
      </c>
      <c r="G932">
        <v>7</v>
      </c>
      <c r="H932" s="5" t="s">
        <v>22</v>
      </c>
      <c r="I932" s="5">
        <v>0</v>
      </c>
      <c r="J932" s="5">
        <v>0</v>
      </c>
      <c r="K932" t="s">
        <v>10483</v>
      </c>
      <c r="L932" cm="1">
        <f t="array" ref="L932">wordCount(K932)</f>
        <v>9</v>
      </c>
      <c r="M932">
        <f t="shared" si="28"/>
        <v>46</v>
      </c>
      <c r="N932">
        <v>0.84615384615384615</v>
      </c>
      <c r="O932" s="23" cm="1">
        <f t="array" ref="O932">WordListCount(K932,keywords!$A$2:$A$31)-WordListCount(K932,keywords!$B$2:$B$31)</f>
        <v>0</v>
      </c>
      <c r="P932" s="25">
        <f t="shared" si="29"/>
        <v>0.62596064814814811</v>
      </c>
      <c r="Q932" s="23">
        <f>SUM($O$2:O932)</f>
        <v>35</v>
      </c>
      <c r="Y932" s="14"/>
      <c r="Z932" s="13"/>
      <c r="AA932"/>
    </row>
    <row r="933" spans="1:27" x14ac:dyDescent="0.2">
      <c r="A933" s="12" t="s">
        <v>2971</v>
      </c>
      <c r="B933" t="s">
        <v>2972</v>
      </c>
      <c r="C933" t="s">
        <v>2973</v>
      </c>
      <c r="D933" t="s">
        <v>12</v>
      </c>
      <c r="E933" t="s">
        <v>13</v>
      </c>
      <c r="F933">
        <v>15</v>
      </c>
      <c r="G933">
        <v>18</v>
      </c>
      <c r="H933" s="5" t="s">
        <v>677</v>
      </c>
      <c r="I933" s="5">
        <v>0</v>
      </c>
      <c r="J933" s="5">
        <v>0</v>
      </c>
      <c r="K933" t="s">
        <v>9320</v>
      </c>
      <c r="L933" cm="1">
        <f t="array" ref="L933">wordCount(K933)</f>
        <v>6</v>
      </c>
      <c r="M933">
        <f t="shared" si="28"/>
        <v>36</v>
      </c>
      <c r="N933">
        <v>0.8571428571428571</v>
      </c>
      <c r="O933" s="23" cm="1">
        <f t="array" ref="O933">WordListCount(K933,keywords!$A$2:$A$31)-WordListCount(K933,keywords!$B$2:$B$31)</f>
        <v>0</v>
      </c>
      <c r="P933" s="25">
        <f t="shared" si="29"/>
        <v>0.62597222222222226</v>
      </c>
      <c r="Q933" s="23">
        <f>SUM($O$2:O933)</f>
        <v>35</v>
      </c>
      <c r="Y933" s="14"/>
      <c r="Z933" s="13"/>
      <c r="AA933"/>
    </row>
    <row r="934" spans="1:27" x14ac:dyDescent="0.2">
      <c r="A934" s="12" t="s">
        <v>2974</v>
      </c>
      <c r="B934" t="s">
        <v>2968</v>
      </c>
      <c r="C934" t="s">
        <v>2975</v>
      </c>
      <c r="D934" t="s">
        <v>2976</v>
      </c>
      <c r="E934" t="s">
        <v>13</v>
      </c>
      <c r="F934">
        <v>97</v>
      </c>
      <c r="G934">
        <v>311</v>
      </c>
      <c r="H934" s="5" t="s">
        <v>125</v>
      </c>
      <c r="I934" s="5">
        <v>0</v>
      </c>
      <c r="J934" s="5">
        <v>0</v>
      </c>
      <c r="K934" t="s">
        <v>9319</v>
      </c>
      <c r="L934" cm="1">
        <f t="array" ref="L934">wordCount(K934)</f>
        <v>7</v>
      </c>
      <c r="M934">
        <f t="shared" si="28"/>
        <v>37</v>
      </c>
      <c r="N934">
        <v>1</v>
      </c>
      <c r="O934" s="23" cm="1">
        <f t="array" ref="O934">WordListCount(K934,keywords!$A$2:$A$31)-WordListCount(K934,keywords!$B$2:$B$31)</f>
        <v>0</v>
      </c>
      <c r="P934" s="25">
        <f t="shared" si="29"/>
        <v>0.6259837962962963</v>
      </c>
      <c r="Q934" s="23">
        <f>SUM($O$2:O934)</f>
        <v>35</v>
      </c>
      <c r="Y934" s="14"/>
      <c r="Z934" s="13"/>
      <c r="AA934"/>
    </row>
    <row r="935" spans="1:27" x14ac:dyDescent="0.2">
      <c r="A935" s="12" t="s">
        <v>2977</v>
      </c>
      <c r="B935" t="s">
        <v>2968</v>
      </c>
      <c r="C935" t="s">
        <v>2978</v>
      </c>
      <c r="D935" t="s">
        <v>2979</v>
      </c>
      <c r="E935" t="s">
        <v>13</v>
      </c>
      <c r="F935">
        <v>121</v>
      </c>
      <c r="G935">
        <v>323</v>
      </c>
      <c r="H935" s="5" t="s">
        <v>22</v>
      </c>
      <c r="I935" s="5">
        <v>0</v>
      </c>
      <c r="J935" s="5">
        <v>0</v>
      </c>
      <c r="K935" t="s">
        <v>9319</v>
      </c>
      <c r="L935" cm="1">
        <f t="array" ref="L935">wordCount(K935)</f>
        <v>7</v>
      </c>
      <c r="M935">
        <f t="shared" si="28"/>
        <v>37</v>
      </c>
      <c r="N935">
        <v>1</v>
      </c>
      <c r="O935" s="23" cm="1">
        <f t="array" ref="O935">WordListCount(K935,keywords!$A$2:$A$31)-WordListCount(K935,keywords!$B$2:$B$31)</f>
        <v>0</v>
      </c>
      <c r="P935" s="25">
        <f t="shared" si="29"/>
        <v>0.62604166666666672</v>
      </c>
      <c r="Q935" s="23">
        <f>SUM($O$2:O935)</f>
        <v>35</v>
      </c>
      <c r="Y935" s="14"/>
      <c r="Z935" s="13"/>
      <c r="AA935"/>
    </row>
    <row r="936" spans="1:27" x14ac:dyDescent="0.2">
      <c r="A936" s="12" t="s">
        <v>2980</v>
      </c>
      <c r="B936" t="s">
        <v>2972</v>
      </c>
      <c r="C936" t="s">
        <v>2981</v>
      </c>
      <c r="D936" t="s">
        <v>1830</v>
      </c>
      <c r="E936" t="s">
        <v>13</v>
      </c>
      <c r="F936">
        <v>2497</v>
      </c>
      <c r="G936">
        <v>2448</v>
      </c>
      <c r="H936" s="5" t="s">
        <v>22</v>
      </c>
      <c r="I936" s="5">
        <v>0</v>
      </c>
      <c r="J936" s="5">
        <v>0</v>
      </c>
      <c r="K936" t="s">
        <v>9320</v>
      </c>
      <c r="L936" cm="1">
        <f t="array" ref="L936">wordCount(K936)</f>
        <v>6</v>
      </c>
      <c r="M936">
        <f t="shared" si="28"/>
        <v>36</v>
      </c>
      <c r="N936">
        <v>0.8571428571428571</v>
      </c>
      <c r="O936" s="23" cm="1">
        <f t="array" ref="O936">WordListCount(K936,keywords!$A$2:$A$31)-WordListCount(K936,keywords!$B$2:$B$31)</f>
        <v>0</v>
      </c>
      <c r="P936" s="25">
        <f t="shared" si="29"/>
        <v>0.62608796296296299</v>
      </c>
      <c r="Q936" s="23">
        <f>SUM($O$2:O936)</f>
        <v>35</v>
      </c>
      <c r="Y936" s="14"/>
      <c r="Z936" s="13"/>
      <c r="AA936"/>
    </row>
    <row r="937" spans="1:27" x14ac:dyDescent="0.2">
      <c r="A937" s="12" t="s">
        <v>2982</v>
      </c>
      <c r="B937" t="s">
        <v>2983</v>
      </c>
      <c r="C937" t="s">
        <v>610</v>
      </c>
      <c r="D937" t="s">
        <v>611</v>
      </c>
      <c r="E937" t="s">
        <v>13</v>
      </c>
      <c r="F937">
        <v>11596</v>
      </c>
      <c r="G937">
        <v>1532</v>
      </c>
      <c r="H937" s="5" t="s">
        <v>59</v>
      </c>
      <c r="I937" s="5">
        <v>0</v>
      </c>
      <c r="J937" s="5">
        <v>0</v>
      </c>
      <c r="K937" t="s">
        <v>9321</v>
      </c>
      <c r="L937" cm="1">
        <f t="array" ref="L937">wordCount(K937)</f>
        <v>5</v>
      </c>
      <c r="M937">
        <f t="shared" si="28"/>
        <v>21</v>
      </c>
      <c r="N937">
        <v>0.7142857142857143</v>
      </c>
      <c r="O937" s="23" cm="1">
        <f t="array" ref="O937">WordListCount(K937,keywords!$A$2:$A$31)-WordListCount(K937,keywords!$B$2:$B$31)</f>
        <v>0</v>
      </c>
      <c r="P937" s="25">
        <f t="shared" si="29"/>
        <v>0.62621527777777775</v>
      </c>
      <c r="Q937" s="23">
        <f>SUM($O$2:O937)</f>
        <v>35</v>
      </c>
      <c r="Y937" s="14"/>
      <c r="Z937" s="13"/>
      <c r="AA937"/>
    </row>
    <row r="938" spans="1:27" x14ac:dyDescent="0.2">
      <c r="A938" s="12" t="s">
        <v>2984</v>
      </c>
      <c r="B938" t="s">
        <v>2985</v>
      </c>
      <c r="C938" t="s">
        <v>2986</v>
      </c>
      <c r="D938" t="s">
        <v>12</v>
      </c>
      <c r="E938" t="s">
        <v>13</v>
      </c>
      <c r="F938">
        <v>160</v>
      </c>
      <c r="G938">
        <v>980</v>
      </c>
      <c r="H938" s="5" t="s">
        <v>22</v>
      </c>
      <c r="I938" s="5">
        <v>0</v>
      </c>
      <c r="J938" s="5">
        <v>0</v>
      </c>
      <c r="K938" t="s">
        <v>10484</v>
      </c>
      <c r="L938" cm="1">
        <f t="array" ref="L938">wordCount(K938)</f>
        <v>23</v>
      </c>
      <c r="M938">
        <f t="shared" si="28"/>
        <v>120</v>
      </c>
      <c r="N938">
        <v>0.38461538461538464</v>
      </c>
      <c r="O938" s="23" cm="1">
        <f t="array" ref="O938">WordListCount(K938,keywords!$A$2:$A$31)-WordListCount(K938,keywords!$B$2:$B$31)</f>
        <v>0</v>
      </c>
      <c r="P938" s="25">
        <f t="shared" si="29"/>
        <v>0.62643518518518515</v>
      </c>
      <c r="Q938" s="23">
        <f>SUM($O$2:O938)</f>
        <v>35</v>
      </c>
      <c r="Y938" s="14"/>
      <c r="Z938" s="13"/>
      <c r="AA938"/>
    </row>
    <row r="939" spans="1:27" x14ac:dyDescent="0.2">
      <c r="A939" s="12" t="s">
        <v>2987</v>
      </c>
      <c r="B939" t="s">
        <v>2988</v>
      </c>
      <c r="C939" t="s">
        <v>2989</v>
      </c>
      <c r="D939" t="s">
        <v>2990</v>
      </c>
      <c r="E939" t="s">
        <v>13</v>
      </c>
      <c r="F939">
        <v>271</v>
      </c>
      <c r="G939">
        <v>39</v>
      </c>
      <c r="H939" s="5" t="s">
        <v>22</v>
      </c>
      <c r="I939" s="5">
        <v>0</v>
      </c>
      <c r="J939" s="5">
        <v>0</v>
      </c>
      <c r="K939" t="s">
        <v>10485</v>
      </c>
      <c r="L939" cm="1">
        <f t="array" ref="L939">wordCount(K939)</f>
        <v>14</v>
      </c>
      <c r="M939">
        <f t="shared" si="28"/>
        <v>66</v>
      </c>
      <c r="N939">
        <v>0.8125</v>
      </c>
      <c r="O939" s="23" cm="1">
        <f t="array" ref="O939">WordListCount(K939,keywords!$A$2:$A$31)-WordListCount(K939,keywords!$B$2:$B$31)</f>
        <v>1</v>
      </c>
      <c r="P939" s="25">
        <f t="shared" si="29"/>
        <v>0.62651620370370364</v>
      </c>
      <c r="Q939" s="23">
        <f>SUM($O$2:O939)</f>
        <v>36</v>
      </c>
      <c r="Y939" s="14"/>
      <c r="Z939" s="13"/>
      <c r="AA939"/>
    </row>
    <row r="940" spans="1:27" x14ac:dyDescent="0.2">
      <c r="A940" s="12" t="s">
        <v>2991</v>
      </c>
      <c r="B940" t="s">
        <v>2995</v>
      </c>
      <c r="C940" t="s">
        <v>2996</v>
      </c>
      <c r="D940" t="s">
        <v>445</v>
      </c>
      <c r="E940" t="s">
        <v>13</v>
      </c>
      <c r="F940">
        <v>22</v>
      </c>
      <c r="G940">
        <v>61</v>
      </c>
      <c r="H940" s="5" t="s">
        <v>22</v>
      </c>
      <c r="I940" s="5">
        <v>0</v>
      </c>
      <c r="J940" s="5">
        <v>0</v>
      </c>
      <c r="K940" t="s">
        <v>10486</v>
      </c>
      <c r="L940" cm="1">
        <f t="array" ref="L940">wordCount(K940)</f>
        <v>22</v>
      </c>
      <c r="M940">
        <f t="shared" si="28"/>
        <v>102</v>
      </c>
      <c r="N940">
        <v>0.51428571428571423</v>
      </c>
      <c r="O940" s="23" cm="1">
        <f t="array" ref="O940">WordListCount(K940,keywords!$A$2:$A$31)-WordListCount(K940,keywords!$B$2:$B$31)</f>
        <v>0</v>
      </c>
      <c r="P940" s="25">
        <f t="shared" si="29"/>
        <v>0.62656250000000002</v>
      </c>
      <c r="Q940" s="23">
        <f>SUM($O$2:O940)</f>
        <v>36</v>
      </c>
      <c r="Y940" s="14"/>
      <c r="Z940" s="13"/>
      <c r="AA940"/>
    </row>
    <row r="941" spans="1:27" x14ac:dyDescent="0.2">
      <c r="A941" s="12" t="s">
        <v>2991</v>
      </c>
      <c r="B941" t="s">
        <v>2992</v>
      </c>
      <c r="C941" t="s">
        <v>2993</v>
      </c>
      <c r="D941" t="s">
        <v>2994</v>
      </c>
      <c r="E941" t="s">
        <v>13</v>
      </c>
      <c r="F941">
        <v>87083</v>
      </c>
      <c r="G941">
        <v>386</v>
      </c>
      <c r="H941" s="5" t="s">
        <v>382</v>
      </c>
      <c r="I941" s="5">
        <v>0</v>
      </c>
      <c r="J941" s="5">
        <v>0</v>
      </c>
      <c r="K941" t="s">
        <v>9322</v>
      </c>
      <c r="L941" cm="1">
        <f t="array" ref="L941">wordCount(K941)</f>
        <v>5</v>
      </c>
      <c r="M941">
        <f t="shared" si="28"/>
        <v>25</v>
      </c>
      <c r="N941">
        <v>0.7142857142857143</v>
      </c>
      <c r="O941" s="23" cm="1">
        <f t="array" ref="O941">WordListCount(K941,keywords!$A$2:$A$31)-WordListCount(K941,keywords!$B$2:$B$31)</f>
        <v>0</v>
      </c>
      <c r="P941" s="25">
        <f t="shared" si="29"/>
        <v>0.62656250000000002</v>
      </c>
      <c r="Q941" s="23">
        <f>SUM($O$2:O941)</f>
        <v>36</v>
      </c>
      <c r="Y941" s="14"/>
      <c r="Z941" s="13"/>
      <c r="AA941"/>
    </row>
    <row r="942" spans="1:27" x14ac:dyDescent="0.2">
      <c r="A942" s="12" t="s">
        <v>2991</v>
      </c>
      <c r="B942" t="s">
        <v>2972</v>
      </c>
      <c r="C942" t="s">
        <v>2997</v>
      </c>
      <c r="D942" t="s">
        <v>12</v>
      </c>
      <c r="E942" t="s">
        <v>13</v>
      </c>
      <c r="F942">
        <v>2866</v>
      </c>
      <c r="G942">
        <v>876</v>
      </c>
      <c r="H942" s="5" t="s">
        <v>22</v>
      </c>
      <c r="I942" s="5">
        <v>0</v>
      </c>
      <c r="J942" s="5">
        <v>0</v>
      </c>
      <c r="K942" t="s">
        <v>9320</v>
      </c>
      <c r="L942" cm="1">
        <f t="array" ref="L942">wordCount(K942)</f>
        <v>6</v>
      </c>
      <c r="M942">
        <f t="shared" si="28"/>
        <v>36</v>
      </c>
      <c r="N942">
        <v>0.8571428571428571</v>
      </c>
      <c r="O942" s="23" cm="1">
        <f t="array" ref="O942">WordListCount(K942,keywords!$A$2:$A$31)-WordListCount(K942,keywords!$B$2:$B$31)</f>
        <v>0</v>
      </c>
      <c r="P942" s="25">
        <f t="shared" si="29"/>
        <v>0.62656250000000002</v>
      </c>
      <c r="Q942" s="23">
        <f>SUM($O$2:O942)</f>
        <v>36</v>
      </c>
      <c r="Y942" s="14"/>
      <c r="Z942" s="13"/>
      <c r="AA942"/>
    </row>
    <row r="943" spans="1:27" x14ac:dyDescent="0.2">
      <c r="A943" s="12" t="s">
        <v>2998</v>
      </c>
      <c r="B943" t="s">
        <v>2999</v>
      </c>
      <c r="C943" t="s">
        <v>205</v>
      </c>
      <c r="D943" t="s">
        <v>12</v>
      </c>
      <c r="E943" t="s">
        <v>13</v>
      </c>
      <c r="F943">
        <v>2868</v>
      </c>
      <c r="G943">
        <v>6</v>
      </c>
      <c r="H943" s="5" t="s">
        <v>22</v>
      </c>
      <c r="I943" s="5">
        <v>0</v>
      </c>
      <c r="J943" s="5">
        <v>0</v>
      </c>
      <c r="K943" t="s">
        <v>9323</v>
      </c>
      <c r="L943" cm="1">
        <f t="array" ref="L943">wordCount(K943)</f>
        <v>8</v>
      </c>
      <c r="M943">
        <f t="shared" si="28"/>
        <v>55</v>
      </c>
      <c r="N943">
        <v>0.875</v>
      </c>
      <c r="O943" s="23" cm="1">
        <f t="array" ref="O943">WordListCount(K943,keywords!$A$2:$A$31)-WordListCount(K943,keywords!$B$2:$B$31)</f>
        <v>0</v>
      </c>
      <c r="P943" s="25">
        <f t="shared" si="29"/>
        <v>0.62708333333333333</v>
      </c>
      <c r="Q943" s="23">
        <f>SUM($O$2:O943)</f>
        <v>36</v>
      </c>
      <c r="Y943" s="14"/>
      <c r="Z943" s="13"/>
      <c r="AA943"/>
    </row>
    <row r="944" spans="1:27" x14ac:dyDescent="0.2">
      <c r="A944" s="12" t="s">
        <v>3000</v>
      </c>
      <c r="B944" t="s">
        <v>2968</v>
      </c>
      <c r="C944" t="s">
        <v>3001</v>
      </c>
      <c r="D944" t="s">
        <v>2363</v>
      </c>
      <c r="E944" t="s">
        <v>13</v>
      </c>
      <c r="F944">
        <v>5241</v>
      </c>
      <c r="G944">
        <v>2629</v>
      </c>
      <c r="H944" s="5" t="s">
        <v>22</v>
      </c>
      <c r="I944" s="5">
        <v>0</v>
      </c>
      <c r="J944" s="5">
        <v>0</v>
      </c>
      <c r="K944" t="s">
        <v>9319</v>
      </c>
      <c r="L944" cm="1">
        <f t="array" ref="L944">wordCount(K944)</f>
        <v>7</v>
      </c>
      <c r="M944">
        <f t="shared" si="28"/>
        <v>37</v>
      </c>
      <c r="N944">
        <v>1</v>
      </c>
      <c r="O944" s="23" cm="1">
        <f t="array" ref="O944">WordListCount(K944,keywords!$A$2:$A$31)-WordListCount(K944,keywords!$B$2:$B$31)</f>
        <v>0</v>
      </c>
      <c r="P944" s="25">
        <f t="shared" si="29"/>
        <v>0.62716435185185182</v>
      </c>
      <c r="Q944" s="23">
        <f>SUM($O$2:O944)</f>
        <v>36</v>
      </c>
      <c r="Y944" s="14"/>
      <c r="Z944" s="13"/>
      <c r="AA944"/>
    </row>
    <row r="945" spans="1:27" x14ac:dyDescent="0.2">
      <c r="A945" s="12" t="s">
        <v>3002</v>
      </c>
      <c r="B945" t="s">
        <v>3003</v>
      </c>
      <c r="C945" t="s">
        <v>3004</v>
      </c>
      <c r="D945" t="s">
        <v>344</v>
      </c>
      <c r="E945" t="s">
        <v>13</v>
      </c>
      <c r="F945">
        <v>441</v>
      </c>
      <c r="G945">
        <v>416</v>
      </c>
      <c r="H945" s="5" t="s">
        <v>22</v>
      </c>
      <c r="I945" s="5">
        <v>0</v>
      </c>
      <c r="J945" s="5">
        <v>0</v>
      </c>
      <c r="K945" t="s">
        <v>9324</v>
      </c>
      <c r="L945" cm="1">
        <f t="array" ref="L945">wordCount(K945)</f>
        <v>8</v>
      </c>
      <c r="M945">
        <f t="shared" si="28"/>
        <v>46</v>
      </c>
      <c r="N945">
        <v>0.88235294117647056</v>
      </c>
      <c r="O945" s="23" cm="1">
        <f t="array" ref="O945">WordListCount(K945,keywords!$A$2:$A$31)-WordListCount(K945,keywords!$B$2:$B$31)</f>
        <v>0</v>
      </c>
      <c r="P945" s="25">
        <f t="shared" si="29"/>
        <v>0.62717592592592586</v>
      </c>
      <c r="Q945" s="23">
        <f>SUM($O$2:O945)</f>
        <v>36</v>
      </c>
      <c r="Y945" s="14"/>
      <c r="Z945" s="13"/>
      <c r="AA945"/>
    </row>
    <row r="946" spans="1:27" x14ac:dyDescent="0.2">
      <c r="A946" s="12" t="s">
        <v>3005</v>
      </c>
      <c r="B946" t="s">
        <v>3006</v>
      </c>
      <c r="C946" t="s">
        <v>3007</v>
      </c>
      <c r="D946" t="s">
        <v>3008</v>
      </c>
      <c r="E946" t="s">
        <v>13</v>
      </c>
      <c r="F946">
        <v>35</v>
      </c>
      <c r="G946">
        <v>274</v>
      </c>
      <c r="H946" s="5" t="s">
        <v>22</v>
      </c>
      <c r="I946" s="5">
        <v>0</v>
      </c>
      <c r="J946" s="5">
        <v>0</v>
      </c>
      <c r="K946" t="s">
        <v>10487</v>
      </c>
      <c r="L946" cm="1">
        <f t="array" ref="L946">wordCount(K946)</f>
        <v>23</v>
      </c>
      <c r="M946">
        <f t="shared" si="28"/>
        <v>88</v>
      </c>
      <c r="N946">
        <v>0.5714285714285714</v>
      </c>
      <c r="O946" s="23" cm="1">
        <f t="array" ref="O946">WordListCount(K946,keywords!$A$2:$A$31)-WordListCount(K946,keywords!$B$2:$B$31)</f>
        <v>-1</v>
      </c>
      <c r="P946" s="25">
        <f t="shared" si="29"/>
        <v>0.6272106481481482</v>
      </c>
      <c r="Q946" s="23">
        <f>SUM($O$2:O946)</f>
        <v>35</v>
      </c>
      <c r="Y946" s="14"/>
      <c r="Z946" s="13"/>
      <c r="AA946"/>
    </row>
    <row r="947" spans="1:27" x14ac:dyDescent="0.2">
      <c r="A947" s="12" t="s">
        <v>3009</v>
      </c>
      <c r="B947" t="s">
        <v>3010</v>
      </c>
      <c r="C947" t="s">
        <v>3011</v>
      </c>
      <c r="D947" t="s">
        <v>1618</v>
      </c>
      <c r="E947" t="s">
        <v>13</v>
      </c>
      <c r="F947">
        <v>627</v>
      </c>
      <c r="G947">
        <v>556</v>
      </c>
      <c r="H947" s="5" t="s">
        <v>22</v>
      </c>
      <c r="I947" s="5">
        <v>0</v>
      </c>
      <c r="J947" s="5">
        <v>0</v>
      </c>
      <c r="K947" t="s">
        <v>9319</v>
      </c>
      <c r="L947" cm="1">
        <f t="array" ref="L947">wordCount(K947)</f>
        <v>7</v>
      </c>
      <c r="M947">
        <f t="shared" si="28"/>
        <v>37</v>
      </c>
      <c r="N947">
        <v>1</v>
      </c>
      <c r="O947" s="23" cm="1">
        <f t="array" ref="O947">WordListCount(K947,keywords!$A$2:$A$31)-WordListCount(K947,keywords!$B$2:$B$31)</f>
        <v>0</v>
      </c>
      <c r="P947" s="25">
        <f t="shared" si="29"/>
        <v>0.62725694444444446</v>
      </c>
      <c r="Q947" s="23">
        <f>SUM($O$2:O947)</f>
        <v>35</v>
      </c>
      <c r="Y947" s="14"/>
      <c r="Z947" s="13"/>
      <c r="AA947"/>
    </row>
    <row r="948" spans="1:27" x14ac:dyDescent="0.2">
      <c r="A948" s="12" t="s">
        <v>3012</v>
      </c>
      <c r="B948" t="s">
        <v>3013</v>
      </c>
      <c r="C948" t="s">
        <v>371</v>
      </c>
      <c r="D948" t="s">
        <v>12</v>
      </c>
      <c r="E948" t="s">
        <v>13</v>
      </c>
      <c r="F948">
        <v>6</v>
      </c>
      <c r="G948">
        <v>77</v>
      </c>
      <c r="H948" s="5" t="s">
        <v>22</v>
      </c>
      <c r="I948" s="5">
        <v>0</v>
      </c>
      <c r="J948" s="5">
        <v>0</v>
      </c>
      <c r="K948" t="s">
        <v>10488</v>
      </c>
      <c r="L948" cm="1">
        <f t="array" ref="L948">wordCount(K948)</f>
        <v>18</v>
      </c>
      <c r="M948">
        <f t="shared" si="28"/>
        <v>103</v>
      </c>
      <c r="N948">
        <v>0.53333333333333333</v>
      </c>
      <c r="O948" s="23" cm="1">
        <f t="array" ref="O948">WordListCount(K948,keywords!$A$2:$A$31)-WordListCount(K948,keywords!$B$2:$B$31)</f>
        <v>-2</v>
      </c>
      <c r="P948" s="25">
        <f t="shared" si="29"/>
        <v>0.62728009259259265</v>
      </c>
      <c r="Q948" s="23">
        <f>SUM($O$2:O948)</f>
        <v>33</v>
      </c>
      <c r="Y948" s="14"/>
      <c r="Z948" s="13"/>
      <c r="AA948"/>
    </row>
    <row r="949" spans="1:27" x14ac:dyDescent="0.2">
      <c r="A949" s="12" t="s">
        <v>3014</v>
      </c>
      <c r="B949" t="s">
        <v>3003</v>
      </c>
      <c r="C949" t="s">
        <v>3015</v>
      </c>
      <c r="D949" t="s">
        <v>3016</v>
      </c>
      <c r="E949" t="s">
        <v>13</v>
      </c>
      <c r="F949">
        <v>151</v>
      </c>
      <c r="G949">
        <v>232</v>
      </c>
      <c r="H949" s="5" t="s">
        <v>22</v>
      </c>
      <c r="I949" s="5">
        <v>0</v>
      </c>
      <c r="J949" s="5">
        <v>0</v>
      </c>
      <c r="K949" t="s">
        <v>9324</v>
      </c>
      <c r="L949" cm="1">
        <f t="array" ref="L949">wordCount(K949)</f>
        <v>8</v>
      </c>
      <c r="M949">
        <f t="shared" si="28"/>
        <v>46</v>
      </c>
      <c r="N949">
        <v>0.88888888888888884</v>
      </c>
      <c r="O949" s="23" cm="1">
        <f t="array" ref="O949">WordListCount(K949,keywords!$A$2:$A$31)-WordListCount(K949,keywords!$B$2:$B$31)</f>
        <v>0</v>
      </c>
      <c r="P949" s="25">
        <f t="shared" si="29"/>
        <v>0.62731481481481477</v>
      </c>
      <c r="Q949" s="23">
        <f>SUM($O$2:O949)</f>
        <v>33</v>
      </c>
      <c r="Y949" s="14"/>
      <c r="Z949" s="13"/>
      <c r="AA949"/>
    </row>
    <row r="950" spans="1:27" x14ac:dyDescent="0.2">
      <c r="A950" s="12" t="s">
        <v>3017</v>
      </c>
      <c r="B950" t="s">
        <v>3018</v>
      </c>
      <c r="C950" t="s">
        <v>634</v>
      </c>
      <c r="D950" t="s">
        <v>635</v>
      </c>
      <c r="E950" t="s">
        <v>13</v>
      </c>
      <c r="F950">
        <v>2121</v>
      </c>
      <c r="G950">
        <v>4145</v>
      </c>
      <c r="H950" s="5" t="s">
        <v>22</v>
      </c>
      <c r="I950" s="5">
        <v>0</v>
      </c>
      <c r="J950" s="5">
        <v>0</v>
      </c>
      <c r="K950" t="s">
        <v>9325</v>
      </c>
      <c r="L950" cm="1">
        <f t="array" ref="L950">wordCount(K950)</f>
        <v>21</v>
      </c>
      <c r="M950">
        <f t="shared" si="28"/>
        <v>102</v>
      </c>
      <c r="N950">
        <v>0.55000000000000004</v>
      </c>
      <c r="O950" s="23" cm="1">
        <f t="array" ref="O950">WordListCount(K950,keywords!$A$2:$A$31)-WordListCount(K950,keywords!$B$2:$B$31)</f>
        <v>2</v>
      </c>
      <c r="P950" s="25">
        <f t="shared" si="29"/>
        <v>0.62736111111111115</v>
      </c>
      <c r="Q950" s="23">
        <f>SUM($O$2:O950)</f>
        <v>35</v>
      </c>
      <c r="Y950" s="14"/>
      <c r="Z950" s="13"/>
      <c r="AA950"/>
    </row>
    <row r="951" spans="1:27" x14ac:dyDescent="0.2">
      <c r="A951" s="12" t="s">
        <v>3019</v>
      </c>
      <c r="B951" t="s">
        <v>2968</v>
      </c>
      <c r="C951" t="s">
        <v>3020</v>
      </c>
      <c r="D951" t="s">
        <v>3021</v>
      </c>
      <c r="E951" t="s">
        <v>13</v>
      </c>
      <c r="F951">
        <v>1062</v>
      </c>
      <c r="G951">
        <v>4932</v>
      </c>
      <c r="H951" s="5" t="s">
        <v>22</v>
      </c>
      <c r="I951" s="5">
        <v>0</v>
      </c>
      <c r="J951" s="5">
        <v>0</v>
      </c>
      <c r="K951" t="s">
        <v>9319</v>
      </c>
      <c r="L951" cm="1">
        <f t="array" ref="L951">wordCount(K951)</f>
        <v>7</v>
      </c>
      <c r="M951">
        <f t="shared" si="28"/>
        <v>37</v>
      </c>
      <c r="N951">
        <v>1</v>
      </c>
      <c r="O951" s="23" cm="1">
        <f t="array" ref="O951">WordListCount(K951,keywords!$A$2:$A$31)-WordListCount(K951,keywords!$B$2:$B$31)</f>
        <v>0</v>
      </c>
      <c r="P951" s="25">
        <f t="shared" si="29"/>
        <v>0.62737268518518519</v>
      </c>
      <c r="Q951" s="23">
        <f>SUM($O$2:O951)</f>
        <v>35</v>
      </c>
      <c r="Y951" s="14"/>
      <c r="Z951" s="13"/>
      <c r="AA951"/>
    </row>
    <row r="952" spans="1:27" x14ac:dyDescent="0.2">
      <c r="A952" s="12" t="s">
        <v>3022</v>
      </c>
      <c r="B952" t="s">
        <v>3023</v>
      </c>
      <c r="C952" t="s">
        <v>3024</v>
      </c>
      <c r="D952" t="s">
        <v>12</v>
      </c>
      <c r="E952" t="s">
        <v>13</v>
      </c>
      <c r="F952">
        <v>16</v>
      </c>
      <c r="G952">
        <v>153</v>
      </c>
      <c r="H952" s="5" t="s">
        <v>22</v>
      </c>
      <c r="I952" s="5">
        <v>0</v>
      </c>
      <c r="J952" s="5">
        <v>0</v>
      </c>
      <c r="K952" t="s">
        <v>10489</v>
      </c>
      <c r="L952" cm="1">
        <f t="array" ref="L952">wordCount(K952)</f>
        <v>18</v>
      </c>
      <c r="M952">
        <f t="shared" si="28"/>
        <v>72</v>
      </c>
      <c r="N952">
        <v>0.55000000000000004</v>
      </c>
      <c r="O952" s="23" cm="1">
        <f t="array" ref="O952">WordListCount(K952,keywords!$A$2:$A$31)-WordListCount(K952,keywords!$B$2:$B$31)</f>
        <v>0</v>
      </c>
      <c r="P952" s="25">
        <f t="shared" si="29"/>
        <v>0.62740740740740741</v>
      </c>
      <c r="Q952" s="23">
        <f>SUM($O$2:O952)</f>
        <v>35</v>
      </c>
      <c r="Y952" s="14"/>
      <c r="Z952" s="13"/>
      <c r="AA952"/>
    </row>
    <row r="953" spans="1:27" x14ac:dyDescent="0.2">
      <c r="A953" s="12" t="s">
        <v>3025</v>
      </c>
      <c r="B953" t="s">
        <v>2972</v>
      </c>
      <c r="C953" t="s">
        <v>50</v>
      </c>
      <c r="D953" t="s">
        <v>51</v>
      </c>
      <c r="E953" t="s">
        <v>13</v>
      </c>
      <c r="F953">
        <v>2057</v>
      </c>
      <c r="G953">
        <v>453</v>
      </c>
      <c r="H953" s="5" t="s">
        <v>22</v>
      </c>
      <c r="I953" s="5">
        <v>0</v>
      </c>
      <c r="J953" s="5">
        <v>0</v>
      </c>
      <c r="K953" t="s">
        <v>9320</v>
      </c>
      <c r="L953" cm="1">
        <f t="array" ref="L953">wordCount(K953)</f>
        <v>6</v>
      </c>
      <c r="M953">
        <f t="shared" si="28"/>
        <v>36</v>
      </c>
      <c r="N953">
        <v>0.8571428571428571</v>
      </c>
      <c r="O953" s="23" cm="1">
        <f t="array" ref="O953">WordListCount(K953,keywords!$A$2:$A$31)-WordListCount(K953,keywords!$B$2:$B$31)</f>
        <v>0</v>
      </c>
      <c r="P953" s="25">
        <f t="shared" si="29"/>
        <v>0.62784722222222222</v>
      </c>
      <c r="Q953" s="23">
        <f>SUM($O$2:O953)</f>
        <v>35</v>
      </c>
      <c r="Y953" s="14"/>
      <c r="Z953" s="13"/>
      <c r="AA953"/>
    </row>
    <row r="954" spans="1:27" x14ac:dyDescent="0.2">
      <c r="A954" s="12" t="s">
        <v>3026</v>
      </c>
      <c r="B954" t="s">
        <v>3027</v>
      </c>
      <c r="C954" t="s">
        <v>3028</v>
      </c>
      <c r="D954" t="s">
        <v>3029</v>
      </c>
      <c r="E954" t="s">
        <v>13</v>
      </c>
      <c r="F954">
        <v>772</v>
      </c>
      <c r="G954">
        <v>606</v>
      </c>
      <c r="H954" s="5" t="s">
        <v>86</v>
      </c>
      <c r="I954" s="5">
        <v>0</v>
      </c>
      <c r="J954" s="5">
        <v>0</v>
      </c>
      <c r="K954" t="s">
        <v>9326</v>
      </c>
      <c r="L954" cm="1">
        <f t="array" ref="L954">wordCount(K954)</f>
        <v>6</v>
      </c>
      <c r="M954">
        <f t="shared" si="28"/>
        <v>29</v>
      </c>
      <c r="N954">
        <v>1</v>
      </c>
      <c r="O954" s="23" cm="1">
        <f t="array" ref="O954">WordListCount(K954,keywords!$A$2:$A$31)-WordListCount(K954,keywords!$B$2:$B$31)</f>
        <v>0</v>
      </c>
      <c r="P954" s="25">
        <f t="shared" si="29"/>
        <v>0.62787037037037041</v>
      </c>
      <c r="Q954" s="23">
        <f>SUM($O$2:O954)</f>
        <v>35</v>
      </c>
      <c r="Y954" s="14"/>
      <c r="Z954" s="13"/>
      <c r="AA954"/>
    </row>
    <row r="955" spans="1:27" x14ac:dyDescent="0.2">
      <c r="A955" s="12" t="s">
        <v>3030</v>
      </c>
      <c r="B955" t="s">
        <v>2968</v>
      </c>
      <c r="C955" t="s">
        <v>3031</v>
      </c>
      <c r="D955" t="s">
        <v>81</v>
      </c>
      <c r="E955" t="s">
        <v>13</v>
      </c>
      <c r="F955">
        <v>3340</v>
      </c>
      <c r="G955">
        <v>2184</v>
      </c>
      <c r="H955" s="5" t="s">
        <v>22</v>
      </c>
      <c r="I955" s="5">
        <v>0</v>
      </c>
      <c r="J955" s="5">
        <v>0</v>
      </c>
      <c r="K955" t="s">
        <v>9319</v>
      </c>
      <c r="L955" cm="1">
        <f t="array" ref="L955">wordCount(K955)</f>
        <v>7</v>
      </c>
      <c r="M955">
        <f t="shared" si="28"/>
        <v>37</v>
      </c>
      <c r="N955">
        <v>1</v>
      </c>
      <c r="O955" s="23" cm="1">
        <f t="array" ref="O955">WordListCount(K955,keywords!$A$2:$A$31)-WordListCount(K955,keywords!$B$2:$B$31)</f>
        <v>0</v>
      </c>
      <c r="P955" s="25">
        <f t="shared" si="29"/>
        <v>0.62790509259259253</v>
      </c>
      <c r="Q955" s="23">
        <f>SUM($O$2:O955)</f>
        <v>35</v>
      </c>
      <c r="Y955" s="14"/>
      <c r="Z955" s="13"/>
      <c r="AA955"/>
    </row>
    <row r="956" spans="1:27" x14ac:dyDescent="0.2">
      <c r="A956" s="12" t="s">
        <v>3032</v>
      </c>
      <c r="B956" t="s">
        <v>3033</v>
      </c>
      <c r="C956" t="s">
        <v>21</v>
      </c>
      <c r="D956" t="s">
        <v>12</v>
      </c>
      <c r="E956" t="s">
        <v>13</v>
      </c>
      <c r="F956">
        <v>44</v>
      </c>
      <c r="G956">
        <v>9</v>
      </c>
      <c r="H956" s="5" t="s">
        <v>22</v>
      </c>
      <c r="I956" s="5">
        <v>0</v>
      </c>
      <c r="J956" s="5">
        <v>0</v>
      </c>
      <c r="K956" t="s">
        <v>9327</v>
      </c>
      <c r="L956" cm="1">
        <f t="array" ref="L956">wordCount(K956)</f>
        <v>5</v>
      </c>
      <c r="M956">
        <f t="shared" si="28"/>
        <v>28</v>
      </c>
      <c r="N956">
        <v>0.92307692307692313</v>
      </c>
      <c r="O956" s="23" cm="1">
        <f t="array" ref="O956">WordListCount(K956,keywords!$A$2:$A$31)-WordListCount(K956,keywords!$B$2:$B$31)</f>
        <v>0</v>
      </c>
      <c r="P956" s="25">
        <f t="shared" si="29"/>
        <v>0.62793981481481487</v>
      </c>
      <c r="Q956" s="23">
        <f>SUM($O$2:O956)</f>
        <v>35</v>
      </c>
      <c r="Y956" s="14"/>
      <c r="Z956" s="13"/>
      <c r="AA956"/>
    </row>
    <row r="957" spans="1:27" x14ac:dyDescent="0.2">
      <c r="A957" s="12" t="s">
        <v>3034</v>
      </c>
      <c r="B957" t="s">
        <v>2968</v>
      </c>
      <c r="C957" t="s">
        <v>3036</v>
      </c>
      <c r="D957" t="s">
        <v>12</v>
      </c>
      <c r="E957" t="s">
        <v>13</v>
      </c>
      <c r="F957">
        <v>2505</v>
      </c>
      <c r="G957">
        <v>3798</v>
      </c>
      <c r="H957" s="5" t="s">
        <v>22</v>
      </c>
      <c r="I957" s="5">
        <v>0</v>
      </c>
      <c r="J957" s="5">
        <v>0</v>
      </c>
      <c r="K957" t="s">
        <v>9319</v>
      </c>
      <c r="L957" cm="1">
        <f t="array" ref="L957">wordCount(K957)</f>
        <v>7</v>
      </c>
      <c r="M957">
        <f t="shared" si="28"/>
        <v>37</v>
      </c>
      <c r="N957">
        <v>1</v>
      </c>
      <c r="O957" s="23" cm="1">
        <f t="array" ref="O957">WordListCount(K957,keywords!$A$2:$A$31)-WordListCount(K957,keywords!$B$2:$B$31)</f>
        <v>0</v>
      </c>
      <c r="P957" s="25">
        <f t="shared" si="29"/>
        <v>0.62795138888888891</v>
      </c>
      <c r="Q957" s="23">
        <f>SUM($O$2:O957)</f>
        <v>35</v>
      </c>
      <c r="Y957" s="14"/>
      <c r="Z957" s="13"/>
      <c r="AA957"/>
    </row>
    <row r="958" spans="1:27" x14ac:dyDescent="0.2">
      <c r="A958" s="12" t="s">
        <v>3034</v>
      </c>
      <c r="B958" t="s">
        <v>3035</v>
      </c>
      <c r="C958" t="s">
        <v>1307</v>
      </c>
      <c r="D958" t="s">
        <v>1308</v>
      </c>
      <c r="E958" t="s">
        <v>13</v>
      </c>
      <c r="F958">
        <v>1133</v>
      </c>
      <c r="G958">
        <v>1615</v>
      </c>
      <c r="H958" s="5" t="s">
        <v>22</v>
      </c>
      <c r="I958" s="5">
        <v>0</v>
      </c>
      <c r="J958" s="5">
        <v>0</v>
      </c>
      <c r="K958" t="s">
        <v>9328</v>
      </c>
      <c r="L958" cm="1">
        <f t="array" ref="L958">wordCount(K958)</f>
        <v>8</v>
      </c>
      <c r="M958">
        <f t="shared" si="28"/>
        <v>39</v>
      </c>
      <c r="N958">
        <v>0.7142857142857143</v>
      </c>
      <c r="O958" s="23" cm="1">
        <f t="array" ref="O958">WordListCount(K958,keywords!$A$2:$A$31)-WordListCount(K958,keywords!$B$2:$B$31)</f>
        <v>0</v>
      </c>
      <c r="P958" s="25">
        <f t="shared" si="29"/>
        <v>0.62795138888888891</v>
      </c>
      <c r="Q958" s="23">
        <f>SUM($O$2:O958)</f>
        <v>35</v>
      </c>
      <c r="Y958" s="14"/>
      <c r="Z958" s="13"/>
      <c r="AA958"/>
    </row>
    <row r="959" spans="1:27" x14ac:dyDescent="0.2">
      <c r="A959" s="12" t="s">
        <v>3037</v>
      </c>
      <c r="B959" t="s">
        <v>2968</v>
      </c>
      <c r="C959" t="s">
        <v>3038</v>
      </c>
      <c r="D959" t="s">
        <v>3039</v>
      </c>
      <c r="E959" t="s">
        <v>13</v>
      </c>
      <c r="F959">
        <v>3208</v>
      </c>
      <c r="G959">
        <v>2604</v>
      </c>
      <c r="H959" s="5" t="s">
        <v>22</v>
      </c>
      <c r="I959" s="5">
        <v>0</v>
      </c>
      <c r="J959" s="5">
        <v>0</v>
      </c>
      <c r="K959" t="s">
        <v>9319</v>
      </c>
      <c r="L959" cm="1">
        <f t="array" ref="L959">wordCount(K959)</f>
        <v>7</v>
      </c>
      <c r="M959">
        <f t="shared" si="28"/>
        <v>37</v>
      </c>
      <c r="N959">
        <v>1</v>
      </c>
      <c r="O959" s="23" cm="1">
        <f t="array" ref="O959">WordListCount(K959,keywords!$A$2:$A$31)-WordListCount(K959,keywords!$B$2:$B$31)</f>
        <v>0</v>
      </c>
      <c r="P959" s="25">
        <f t="shared" si="29"/>
        <v>0.62797453703703698</v>
      </c>
      <c r="Q959" s="23">
        <f>SUM($O$2:O959)</f>
        <v>35</v>
      </c>
      <c r="Y959" s="14"/>
      <c r="Z959" s="13"/>
      <c r="AA959"/>
    </row>
    <row r="960" spans="1:27" x14ac:dyDescent="0.2">
      <c r="A960" s="12" t="s">
        <v>3040</v>
      </c>
      <c r="B960" t="s">
        <v>3041</v>
      </c>
      <c r="C960" t="s">
        <v>3042</v>
      </c>
      <c r="D960" t="s">
        <v>12</v>
      </c>
      <c r="E960" t="s">
        <v>13</v>
      </c>
      <c r="F960">
        <v>344</v>
      </c>
      <c r="G960">
        <v>232</v>
      </c>
      <c r="H960" s="5" t="s">
        <v>22</v>
      </c>
      <c r="I960" s="5">
        <v>0</v>
      </c>
      <c r="J960" s="5">
        <v>0</v>
      </c>
      <c r="K960" t="s">
        <v>10490</v>
      </c>
      <c r="L960" cm="1">
        <f t="array" ref="L960">wordCount(K960)</f>
        <v>13</v>
      </c>
      <c r="M960">
        <f t="shared" si="28"/>
        <v>60</v>
      </c>
      <c r="N960">
        <v>0.44444444444444442</v>
      </c>
      <c r="O960" s="23" cm="1">
        <f t="array" ref="O960">WordListCount(K960,keywords!$A$2:$A$31)-WordListCount(K960,keywords!$B$2:$B$31)</f>
        <v>0</v>
      </c>
      <c r="P960" s="25">
        <f t="shared" si="29"/>
        <v>0.62800925925925932</v>
      </c>
      <c r="Q960" s="23">
        <f>SUM($O$2:O960)</f>
        <v>35</v>
      </c>
      <c r="Y960" s="14"/>
      <c r="Z960" s="13"/>
      <c r="AA960"/>
    </row>
    <row r="961" spans="1:27" x14ac:dyDescent="0.2">
      <c r="A961" s="12" t="s">
        <v>3043</v>
      </c>
      <c r="B961" t="s">
        <v>3044</v>
      </c>
      <c r="C961" t="s">
        <v>3045</v>
      </c>
      <c r="D961" t="s">
        <v>3046</v>
      </c>
      <c r="E961" t="s">
        <v>13</v>
      </c>
      <c r="F961">
        <v>381</v>
      </c>
      <c r="G961">
        <v>594</v>
      </c>
      <c r="H961" s="5" t="s">
        <v>22</v>
      </c>
      <c r="I961" s="5">
        <v>0</v>
      </c>
      <c r="J961" s="5">
        <v>0</v>
      </c>
      <c r="K961" t="s">
        <v>10491</v>
      </c>
      <c r="L961" cm="1">
        <f t="array" ref="L961">wordCount(K961)</f>
        <v>11</v>
      </c>
      <c r="M961">
        <f t="shared" si="28"/>
        <v>63</v>
      </c>
      <c r="N961">
        <v>0.58333333333333337</v>
      </c>
      <c r="O961" s="23" cm="1">
        <f t="array" ref="O961">WordListCount(K961,keywords!$A$2:$A$31)-WordListCount(K961,keywords!$B$2:$B$31)</f>
        <v>0</v>
      </c>
      <c r="P961" s="25">
        <f t="shared" si="29"/>
        <v>0.62812499999999993</v>
      </c>
      <c r="Q961" s="23">
        <f>SUM($O$2:O961)</f>
        <v>35</v>
      </c>
      <c r="Y961" s="14"/>
      <c r="Z961" s="13"/>
      <c r="AA961"/>
    </row>
    <row r="962" spans="1:27" x14ac:dyDescent="0.2">
      <c r="A962" s="12" t="s">
        <v>3047</v>
      </c>
      <c r="B962" t="s">
        <v>2972</v>
      </c>
      <c r="C962" t="s">
        <v>651</v>
      </c>
      <c r="D962" t="s">
        <v>652</v>
      </c>
      <c r="E962" t="s">
        <v>13</v>
      </c>
      <c r="F962">
        <v>13388</v>
      </c>
      <c r="G962">
        <v>13241</v>
      </c>
      <c r="H962" s="5" t="s">
        <v>22</v>
      </c>
      <c r="I962" s="5">
        <v>0</v>
      </c>
      <c r="J962" s="5">
        <v>0</v>
      </c>
      <c r="K962" t="s">
        <v>9320</v>
      </c>
      <c r="L962" cm="1">
        <f t="array" ref="L962">wordCount(K962)</f>
        <v>6</v>
      </c>
      <c r="M962">
        <f t="shared" ref="M962:M1025" si="30">LEN(K962)</f>
        <v>36</v>
      </c>
      <c r="N962">
        <v>0.8571428571428571</v>
      </c>
      <c r="O962" s="23" cm="1">
        <f t="array" ref="O962">WordListCount(K962,keywords!$A$2:$A$31)-WordListCount(K962,keywords!$B$2:$B$31)</f>
        <v>0</v>
      </c>
      <c r="P962" s="25">
        <f t="shared" ref="P962:P1025" si="31">TIMEVALUE(RIGHT(A962,8))</f>
        <v>0.62818287037037035</v>
      </c>
      <c r="Q962" s="23">
        <f>SUM($O$2:O962)</f>
        <v>35</v>
      </c>
      <c r="Y962" s="14"/>
      <c r="Z962" s="13"/>
      <c r="AA962"/>
    </row>
    <row r="963" spans="1:27" x14ac:dyDescent="0.2">
      <c r="A963" s="12" t="s">
        <v>3047</v>
      </c>
      <c r="B963" t="s">
        <v>3048</v>
      </c>
      <c r="C963" t="s">
        <v>3049</v>
      </c>
      <c r="D963" t="s">
        <v>883</v>
      </c>
      <c r="E963" t="s">
        <v>13</v>
      </c>
      <c r="F963">
        <v>585</v>
      </c>
      <c r="G963">
        <v>439</v>
      </c>
      <c r="H963" s="5" t="s">
        <v>22</v>
      </c>
      <c r="I963" s="5">
        <v>0</v>
      </c>
      <c r="J963" s="5">
        <v>0</v>
      </c>
      <c r="K963" t="s">
        <v>10492</v>
      </c>
      <c r="L963" cm="1">
        <f t="array" ref="L963">wordCount(K963)</f>
        <v>14</v>
      </c>
      <c r="M963">
        <f t="shared" si="30"/>
        <v>91</v>
      </c>
      <c r="N963">
        <v>0.62068965517241381</v>
      </c>
      <c r="O963" s="23" cm="1">
        <f t="array" ref="O963">WordListCount(K963,keywords!$A$2:$A$31)-WordListCount(K963,keywords!$B$2:$B$31)</f>
        <v>0</v>
      </c>
      <c r="P963" s="25">
        <f t="shared" si="31"/>
        <v>0.62818287037037035</v>
      </c>
      <c r="Q963" s="23">
        <f>SUM($O$2:O963)</f>
        <v>35</v>
      </c>
      <c r="Y963" s="14"/>
      <c r="Z963" s="13"/>
      <c r="AA963"/>
    </row>
    <row r="964" spans="1:27" x14ac:dyDescent="0.2">
      <c r="A964" s="12" t="s">
        <v>3050</v>
      </c>
      <c r="B964" t="s">
        <v>3051</v>
      </c>
      <c r="C964" t="s">
        <v>3052</v>
      </c>
      <c r="D964" t="s">
        <v>12</v>
      </c>
      <c r="E964" t="s">
        <v>13</v>
      </c>
      <c r="F964">
        <v>206</v>
      </c>
      <c r="G964">
        <v>340</v>
      </c>
      <c r="H964" s="5" t="s">
        <v>22</v>
      </c>
      <c r="I964" s="5">
        <v>0</v>
      </c>
      <c r="J964" s="5">
        <v>0</v>
      </c>
      <c r="K964" t="s">
        <v>10493</v>
      </c>
      <c r="L964" cm="1">
        <f t="array" ref="L964">wordCount(K964)</f>
        <v>6</v>
      </c>
      <c r="M964">
        <f t="shared" si="30"/>
        <v>37</v>
      </c>
      <c r="N964">
        <v>0.7142857142857143</v>
      </c>
      <c r="O964" s="23" cm="1">
        <f t="array" ref="O964">WordListCount(K964,keywords!$A$2:$A$31)-WordListCount(K964,keywords!$B$2:$B$31)</f>
        <v>0</v>
      </c>
      <c r="P964" s="25">
        <f t="shared" si="31"/>
        <v>0.62841435185185179</v>
      </c>
      <c r="Q964" s="23">
        <f>SUM($O$2:O964)</f>
        <v>35</v>
      </c>
      <c r="Y964" s="14"/>
      <c r="Z964" s="13"/>
      <c r="AA964"/>
    </row>
    <row r="965" spans="1:27" x14ac:dyDescent="0.2">
      <c r="A965" s="12" t="s">
        <v>3053</v>
      </c>
      <c r="B965" t="s">
        <v>3054</v>
      </c>
      <c r="C965" t="s">
        <v>3055</v>
      </c>
      <c r="D965" t="s">
        <v>12</v>
      </c>
      <c r="E965" t="s">
        <v>13</v>
      </c>
      <c r="F965">
        <v>4</v>
      </c>
      <c r="G965">
        <v>41</v>
      </c>
      <c r="H965" s="5" t="s">
        <v>22</v>
      </c>
      <c r="I965" s="5">
        <v>0</v>
      </c>
      <c r="J965" s="5">
        <v>0</v>
      </c>
      <c r="K965" t="s">
        <v>10494</v>
      </c>
      <c r="L965" cm="1">
        <f t="array" ref="L965">wordCount(K965)</f>
        <v>6</v>
      </c>
      <c r="M965">
        <f t="shared" si="30"/>
        <v>24</v>
      </c>
      <c r="N965">
        <v>0.42857142857142855</v>
      </c>
      <c r="O965" s="23" cm="1">
        <f t="array" ref="O965">WordListCount(K965,keywords!$A$2:$A$31)-WordListCount(K965,keywords!$B$2:$B$31)</f>
        <v>0</v>
      </c>
      <c r="P965" s="25">
        <f t="shared" si="31"/>
        <v>0.62844907407407413</v>
      </c>
      <c r="Q965" s="23">
        <f>SUM($O$2:O965)</f>
        <v>35</v>
      </c>
      <c r="Y965" s="14"/>
      <c r="Z965" s="13"/>
      <c r="AA965"/>
    </row>
    <row r="966" spans="1:27" x14ac:dyDescent="0.2">
      <c r="A966" s="12" t="s">
        <v>3056</v>
      </c>
      <c r="B966" t="s">
        <v>3057</v>
      </c>
      <c r="C966" t="s">
        <v>3058</v>
      </c>
      <c r="D966" t="s">
        <v>12</v>
      </c>
      <c r="E966" t="s">
        <v>13</v>
      </c>
      <c r="F966">
        <v>21</v>
      </c>
      <c r="G966">
        <v>106</v>
      </c>
      <c r="H966" s="5" t="s">
        <v>22</v>
      </c>
      <c r="I966" s="5">
        <v>0</v>
      </c>
      <c r="J966" s="5">
        <v>0</v>
      </c>
      <c r="K966" t="s">
        <v>10495</v>
      </c>
      <c r="L966" cm="1">
        <f t="array" ref="L966">wordCount(K966)</f>
        <v>17</v>
      </c>
      <c r="M966">
        <f t="shared" si="30"/>
        <v>105</v>
      </c>
      <c r="N966">
        <v>0.5161290322580645</v>
      </c>
      <c r="O966" s="23" cm="1">
        <f t="array" ref="O966">WordListCount(K966,keywords!$A$2:$A$31)-WordListCount(K966,keywords!$B$2:$B$31)</f>
        <v>0</v>
      </c>
      <c r="P966" s="25">
        <f t="shared" si="31"/>
        <v>0.62854166666666667</v>
      </c>
      <c r="Q966" s="23">
        <f>SUM($O$2:O966)</f>
        <v>35</v>
      </c>
      <c r="Y966" s="14"/>
      <c r="Z966" s="13"/>
      <c r="AA966"/>
    </row>
    <row r="967" spans="1:27" x14ac:dyDescent="0.2">
      <c r="A967" s="12" t="s">
        <v>3059</v>
      </c>
      <c r="B967" t="s">
        <v>3003</v>
      </c>
      <c r="C967" t="s">
        <v>3060</v>
      </c>
      <c r="D967" t="s">
        <v>3061</v>
      </c>
      <c r="E967" t="s">
        <v>13</v>
      </c>
      <c r="F967">
        <v>270</v>
      </c>
      <c r="G967">
        <v>1279</v>
      </c>
      <c r="H967" s="5" t="s">
        <v>22</v>
      </c>
      <c r="I967" s="5">
        <v>0</v>
      </c>
      <c r="J967" s="5">
        <v>0</v>
      </c>
      <c r="K967" t="s">
        <v>9324</v>
      </c>
      <c r="L967" cm="1">
        <f t="array" ref="L967">wordCount(K967)</f>
        <v>8</v>
      </c>
      <c r="M967">
        <f t="shared" si="30"/>
        <v>46</v>
      </c>
      <c r="N967">
        <v>0.88888888888888884</v>
      </c>
      <c r="O967" s="23" cm="1">
        <f t="array" ref="O967">WordListCount(K967,keywords!$A$2:$A$31)-WordListCount(K967,keywords!$B$2:$B$31)</f>
        <v>0</v>
      </c>
      <c r="P967" s="25">
        <f t="shared" si="31"/>
        <v>0.62862268518518516</v>
      </c>
      <c r="Q967" s="23">
        <f>SUM($O$2:O967)</f>
        <v>35</v>
      </c>
      <c r="Y967" s="14"/>
      <c r="Z967" s="13"/>
      <c r="AA967"/>
    </row>
    <row r="968" spans="1:27" x14ac:dyDescent="0.2">
      <c r="A968" s="12" t="s">
        <v>3062</v>
      </c>
      <c r="B968" t="s">
        <v>3063</v>
      </c>
      <c r="C968" t="s">
        <v>3064</v>
      </c>
      <c r="D968" t="s">
        <v>3065</v>
      </c>
      <c r="E968" t="s">
        <v>13</v>
      </c>
      <c r="F968">
        <v>744</v>
      </c>
      <c r="G968">
        <v>551</v>
      </c>
      <c r="H968" s="5" t="s">
        <v>22</v>
      </c>
      <c r="I968" s="5">
        <v>0</v>
      </c>
      <c r="J968" s="5">
        <v>0</v>
      </c>
      <c r="K968" t="s">
        <v>10496</v>
      </c>
      <c r="L968" cm="1">
        <f t="array" ref="L968">wordCount(K968)</f>
        <v>17</v>
      </c>
      <c r="M968">
        <f t="shared" si="30"/>
        <v>89</v>
      </c>
      <c r="N968">
        <v>0.51724137931034486</v>
      </c>
      <c r="O968" s="23" cm="1">
        <f t="array" ref="O968">WordListCount(K968,keywords!$A$2:$A$31)-WordListCount(K968,keywords!$B$2:$B$31)</f>
        <v>0</v>
      </c>
      <c r="P968" s="25">
        <f t="shared" si="31"/>
        <v>0.6286342592592592</v>
      </c>
      <c r="Q968" s="23">
        <f>SUM($O$2:O968)</f>
        <v>35</v>
      </c>
      <c r="Y968" s="14"/>
      <c r="Z968" s="13"/>
      <c r="AA968"/>
    </row>
    <row r="969" spans="1:27" x14ac:dyDescent="0.2">
      <c r="A969" s="12" t="s">
        <v>3066</v>
      </c>
      <c r="B969" t="s">
        <v>3068</v>
      </c>
      <c r="C969" t="s">
        <v>3069</v>
      </c>
      <c r="D969" t="s">
        <v>12</v>
      </c>
      <c r="E969" t="s">
        <v>13</v>
      </c>
      <c r="F969">
        <v>260</v>
      </c>
      <c r="G969">
        <v>261</v>
      </c>
      <c r="H969" s="5" t="s">
        <v>22</v>
      </c>
      <c r="I969" s="5">
        <v>0</v>
      </c>
      <c r="J969" s="5">
        <v>0</v>
      </c>
      <c r="K969" t="s">
        <v>10498</v>
      </c>
      <c r="L969" cm="1">
        <f t="array" ref="L969">wordCount(K969)</f>
        <v>25</v>
      </c>
      <c r="M969">
        <f t="shared" si="30"/>
        <v>110</v>
      </c>
      <c r="N969">
        <v>0.5161290322580645</v>
      </c>
      <c r="O969" s="23" cm="1">
        <f t="array" ref="O969">WordListCount(K969,keywords!$A$2:$A$31)-WordListCount(K969,keywords!$B$2:$B$31)</f>
        <v>1</v>
      </c>
      <c r="P969" s="25">
        <f t="shared" si="31"/>
        <v>0.6287962962962963</v>
      </c>
      <c r="Q969" s="23">
        <f>SUM($O$2:O969)</f>
        <v>36</v>
      </c>
      <c r="Y969" s="14"/>
      <c r="Z969" s="13"/>
      <c r="AA969"/>
    </row>
    <row r="970" spans="1:27" x14ac:dyDescent="0.2">
      <c r="A970" s="12" t="s">
        <v>3066</v>
      </c>
      <c r="B970" t="s">
        <v>3067</v>
      </c>
      <c r="C970" t="s">
        <v>2989</v>
      </c>
      <c r="D970" t="s">
        <v>2990</v>
      </c>
      <c r="E970" t="s">
        <v>13</v>
      </c>
      <c r="F970">
        <v>271</v>
      </c>
      <c r="G970">
        <v>39</v>
      </c>
      <c r="H970" s="5" t="s">
        <v>22</v>
      </c>
      <c r="I970" s="5">
        <v>0</v>
      </c>
      <c r="J970" s="5">
        <v>0</v>
      </c>
      <c r="K970" t="s">
        <v>10497</v>
      </c>
      <c r="L970" cm="1">
        <f t="array" ref="L970">wordCount(K970)</f>
        <v>14</v>
      </c>
      <c r="M970">
        <f t="shared" si="30"/>
        <v>72</v>
      </c>
      <c r="N970">
        <v>0.1875</v>
      </c>
      <c r="O970" s="23" cm="1">
        <f t="array" ref="O970">WordListCount(K970,keywords!$A$2:$A$31)-WordListCount(K970,keywords!$B$2:$B$31)</f>
        <v>1</v>
      </c>
      <c r="P970" s="25">
        <f t="shared" si="31"/>
        <v>0.6287962962962963</v>
      </c>
      <c r="Q970" s="23">
        <f>SUM($O$2:O970)</f>
        <v>37</v>
      </c>
      <c r="Y970" s="14"/>
      <c r="Z970" s="13"/>
      <c r="AA970"/>
    </row>
    <row r="971" spans="1:27" x14ac:dyDescent="0.2">
      <c r="A971" s="12" t="s">
        <v>3070</v>
      </c>
      <c r="B971" t="s">
        <v>1821</v>
      </c>
      <c r="C971" t="s">
        <v>3071</v>
      </c>
      <c r="D971" t="s">
        <v>3072</v>
      </c>
      <c r="E971" t="s">
        <v>13</v>
      </c>
      <c r="F971">
        <v>1608</v>
      </c>
      <c r="G971">
        <v>238</v>
      </c>
      <c r="H971" s="5" t="s">
        <v>22</v>
      </c>
      <c r="I971" s="5">
        <v>0</v>
      </c>
      <c r="J971" s="5">
        <v>0</v>
      </c>
      <c r="K971" t="s">
        <v>9191</v>
      </c>
      <c r="L971" cm="1">
        <f t="array" ref="L971">wordCount(K971)</f>
        <v>2</v>
      </c>
      <c r="M971">
        <f t="shared" si="30"/>
        <v>8</v>
      </c>
      <c r="N971">
        <v>1</v>
      </c>
      <c r="O971" s="23" cm="1">
        <f t="array" ref="O971">WordListCount(K971,keywords!$A$2:$A$31)-WordListCount(K971,keywords!$B$2:$B$31)</f>
        <v>0</v>
      </c>
      <c r="P971" s="25">
        <f t="shared" si="31"/>
        <v>0.62898148148148147</v>
      </c>
      <c r="Q971" s="23">
        <f>SUM($O$2:O971)</f>
        <v>37</v>
      </c>
      <c r="Y971" s="14"/>
      <c r="Z971" s="13"/>
      <c r="AA971"/>
    </row>
    <row r="972" spans="1:27" x14ac:dyDescent="0.2">
      <c r="A972" s="12" t="s">
        <v>3073</v>
      </c>
      <c r="B972" t="s">
        <v>3074</v>
      </c>
      <c r="C972" t="s">
        <v>3075</v>
      </c>
      <c r="D972" t="s">
        <v>3076</v>
      </c>
      <c r="E972" t="s">
        <v>13</v>
      </c>
      <c r="F972">
        <v>1322</v>
      </c>
      <c r="G972">
        <v>1009</v>
      </c>
      <c r="H972" s="5" t="s">
        <v>22</v>
      </c>
      <c r="I972" s="5">
        <v>0</v>
      </c>
      <c r="J972" s="5">
        <v>0</v>
      </c>
      <c r="K972" t="s">
        <v>10499</v>
      </c>
      <c r="L972" cm="1">
        <f t="array" ref="L972">wordCount(K972)</f>
        <v>14</v>
      </c>
      <c r="M972">
        <f t="shared" si="30"/>
        <v>72</v>
      </c>
      <c r="N972">
        <v>0.45454545454545453</v>
      </c>
      <c r="O972" s="23" cm="1">
        <f t="array" ref="O972">WordListCount(K972,keywords!$A$2:$A$31)-WordListCount(K972,keywords!$B$2:$B$31)</f>
        <v>0</v>
      </c>
      <c r="P972" s="25">
        <f t="shared" si="31"/>
        <v>0.62903935185185189</v>
      </c>
      <c r="Q972" s="23">
        <f>SUM($O$2:O972)</f>
        <v>37</v>
      </c>
      <c r="Y972" s="14"/>
      <c r="Z972" s="13"/>
      <c r="AA972"/>
    </row>
    <row r="973" spans="1:27" x14ac:dyDescent="0.2">
      <c r="A973" s="12" t="s">
        <v>3077</v>
      </c>
      <c r="B973" t="s">
        <v>3078</v>
      </c>
      <c r="C973" t="s">
        <v>3079</v>
      </c>
      <c r="D973" t="s">
        <v>3080</v>
      </c>
      <c r="E973" t="s">
        <v>13</v>
      </c>
      <c r="F973">
        <v>131</v>
      </c>
      <c r="G973">
        <v>317</v>
      </c>
      <c r="H973" s="5" t="s">
        <v>22</v>
      </c>
      <c r="I973" s="5">
        <v>0</v>
      </c>
      <c r="J973" s="5">
        <v>0</v>
      </c>
      <c r="K973" t="s">
        <v>10500</v>
      </c>
      <c r="L973" cm="1">
        <f t="array" ref="L973">wordCount(K973)</f>
        <v>21</v>
      </c>
      <c r="M973">
        <f t="shared" si="30"/>
        <v>94</v>
      </c>
      <c r="N973">
        <v>0.51515151515151514</v>
      </c>
      <c r="O973" s="23" cm="1">
        <f t="array" ref="O973">WordListCount(K973,keywords!$A$2:$A$31)-WordListCount(K973,keywords!$B$2:$B$31)</f>
        <v>0</v>
      </c>
      <c r="P973" s="25">
        <f t="shared" si="31"/>
        <v>0.62914351851851846</v>
      </c>
      <c r="Q973" s="23">
        <f>SUM($O$2:O973)</f>
        <v>37</v>
      </c>
      <c r="Y973" s="14"/>
      <c r="Z973" s="13"/>
      <c r="AA973"/>
    </row>
    <row r="974" spans="1:27" x14ac:dyDescent="0.2">
      <c r="A974" s="12" t="s">
        <v>3081</v>
      </c>
      <c r="B974" t="s">
        <v>3082</v>
      </c>
      <c r="C974" t="s">
        <v>3083</v>
      </c>
      <c r="D974" t="s">
        <v>12</v>
      </c>
      <c r="E974" t="s">
        <v>13</v>
      </c>
      <c r="F974">
        <v>256</v>
      </c>
      <c r="G974">
        <v>149</v>
      </c>
      <c r="H974" s="5" t="s">
        <v>59</v>
      </c>
      <c r="I974" s="5">
        <v>0</v>
      </c>
      <c r="J974" s="5">
        <v>0</v>
      </c>
      <c r="K974" t="s">
        <v>9329</v>
      </c>
      <c r="L974" cm="1">
        <f t="array" ref="L974">wordCount(K974)</f>
        <v>20</v>
      </c>
      <c r="M974">
        <f t="shared" si="30"/>
        <v>108</v>
      </c>
      <c r="N974">
        <v>0.35714285714285715</v>
      </c>
      <c r="O974" s="23" cm="1">
        <f t="array" ref="O974">WordListCount(K974,keywords!$A$2:$A$31)-WordListCount(K974,keywords!$B$2:$B$31)</f>
        <v>0</v>
      </c>
      <c r="P974" s="25">
        <f t="shared" si="31"/>
        <v>0.62924768518518526</v>
      </c>
      <c r="Q974" s="23">
        <f>SUM($O$2:O974)</f>
        <v>37</v>
      </c>
      <c r="Y974" s="14"/>
      <c r="Z974" s="13"/>
      <c r="AA974"/>
    </row>
    <row r="975" spans="1:27" x14ac:dyDescent="0.2">
      <c r="A975" s="12" t="s">
        <v>3084</v>
      </c>
      <c r="B975" t="s">
        <v>3085</v>
      </c>
      <c r="C975" t="s">
        <v>3086</v>
      </c>
      <c r="D975" t="s">
        <v>3087</v>
      </c>
      <c r="E975" t="s">
        <v>13</v>
      </c>
      <c r="F975">
        <v>1210</v>
      </c>
      <c r="G975">
        <v>2424</v>
      </c>
      <c r="H975" s="5" t="s">
        <v>22</v>
      </c>
      <c r="I975" s="5">
        <v>0</v>
      </c>
      <c r="J975" s="5">
        <v>0</v>
      </c>
      <c r="K975" t="s">
        <v>10501</v>
      </c>
      <c r="L975" cm="1">
        <f t="array" ref="L975">wordCount(K975)</f>
        <v>28</v>
      </c>
      <c r="M975">
        <f t="shared" si="30"/>
        <v>112</v>
      </c>
      <c r="N975">
        <v>0.57894736842105265</v>
      </c>
      <c r="O975" s="23" cm="1">
        <f t="array" ref="O975">WordListCount(K975,keywords!$A$2:$A$31)-WordListCount(K975,keywords!$B$2:$B$31)</f>
        <v>1</v>
      </c>
      <c r="P975" s="25">
        <f t="shared" si="31"/>
        <v>0.62938657407407406</v>
      </c>
      <c r="Q975" s="23">
        <f>SUM($O$2:O975)</f>
        <v>38</v>
      </c>
      <c r="Y975" s="14"/>
      <c r="Z975" s="13"/>
      <c r="AA975"/>
    </row>
    <row r="976" spans="1:27" x14ac:dyDescent="0.2">
      <c r="A976" s="12" t="s">
        <v>3088</v>
      </c>
      <c r="B976" t="s">
        <v>3089</v>
      </c>
      <c r="C976" t="s">
        <v>3090</v>
      </c>
      <c r="D976" t="s">
        <v>990</v>
      </c>
      <c r="E976" t="s">
        <v>13</v>
      </c>
      <c r="F976">
        <v>805</v>
      </c>
      <c r="G976">
        <v>577</v>
      </c>
      <c r="H976" s="5" t="s">
        <v>22</v>
      </c>
      <c r="I976" s="5">
        <v>0</v>
      </c>
      <c r="J976" s="5">
        <v>0</v>
      </c>
      <c r="K976" t="s">
        <v>10502</v>
      </c>
      <c r="L976" cm="1">
        <f t="array" ref="L976">wordCount(K976)</f>
        <v>14</v>
      </c>
      <c r="M976">
        <f t="shared" si="30"/>
        <v>60</v>
      </c>
      <c r="N976">
        <v>0.5</v>
      </c>
      <c r="O976" s="23" cm="1">
        <f t="array" ref="O976">WordListCount(K976,keywords!$A$2:$A$31)-WordListCount(K976,keywords!$B$2:$B$31)</f>
        <v>0</v>
      </c>
      <c r="P976" s="25">
        <f t="shared" si="31"/>
        <v>0.62949074074074074</v>
      </c>
      <c r="Q976" s="23">
        <f>SUM($O$2:O976)</f>
        <v>38</v>
      </c>
      <c r="Y976" s="14"/>
      <c r="Z976" s="13"/>
      <c r="AA976"/>
    </row>
    <row r="977" spans="1:27" x14ac:dyDescent="0.2">
      <c r="A977" s="12" t="s">
        <v>3091</v>
      </c>
      <c r="B977" t="s">
        <v>3092</v>
      </c>
      <c r="C977" t="s">
        <v>3093</v>
      </c>
      <c r="D977" t="s">
        <v>3094</v>
      </c>
      <c r="E977" t="s">
        <v>13</v>
      </c>
      <c r="F977">
        <v>160</v>
      </c>
      <c r="G977">
        <v>475</v>
      </c>
      <c r="H977" s="5" t="s">
        <v>22</v>
      </c>
      <c r="I977" s="5">
        <v>0</v>
      </c>
      <c r="J977" s="5">
        <v>0</v>
      </c>
      <c r="K977" t="s">
        <v>10503</v>
      </c>
      <c r="L977" cm="1">
        <f t="array" ref="L977">wordCount(K977)</f>
        <v>22</v>
      </c>
      <c r="M977">
        <f t="shared" si="30"/>
        <v>113</v>
      </c>
      <c r="N977">
        <v>0.34375</v>
      </c>
      <c r="O977" s="23" cm="1">
        <f t="array" ref="O977">WordListCount(K977,keywords!$A$2:$A$31)-WordListCount(K977,keywords!$B$2:$B$31)</f>
        <v>0</v>
      </c>
      <c r="P977" s="25">
        <f t="shared" si="31"/>
        <v>0.62953703703703701</v>
      </c>
      <c r="Q977" s="23">
        <f>SUM($O$2:O977)</f>
        <v>38</v>
      </c>
      <c r="Y977" s="14"/>
      <c r="Z977" s="13"/>
      <c r="AA977"/>
    </row>
    <row r="978" spans="1:27" x14ac:dyDescent="0.2">
      <c r="A978" s="12" t="s">
        <v>3095</v>
      </c>
      <c r="B978" t="s">
        <v>3096</v>
      </c>
      <c r="C978" t="s">
        <v>3097</v>
      </c>
      <c r="D978" t="s">
        <v>12</v>
      </c>
      <c r="E978" t="s">
        <v>13</v>
      </c>
      <c r="F978">
        <v>2</v>
      </c>
      <c r="G978">
        <v>137</v>
      </c>
      <c r="H978" s="5" t="s">
        <v>677</v>
      </c>
      <c r="I978" s="5">
        <v>0</v>
      </c>
      <c r="J978" s="5">
        <v>0</v>
      </c>
      <c r="K978" t="s">
        <v>10504</v>
      </c>
      <c r="L978" cm="1">
        <f t="array" ref="L978">wordCount(K978)</f>
        <v>7</v>
      </c>
      <c r="M978">
        <f t="shared" si="30"/>
        <v>61</v>
      </c>
      <c r="N978">
        <v>0.41666666666666669</v>
      </c>
      <c r="O978" s="23" cm="1">
        <f t="array" ref="O978">WordListCount(K978,keywords!$A$2:$A$31)-WordListCount(K978,keywords!$B$2:$B$31)</f>
        <v>0</v>
      </c>
      <c r="P978" s="25">
        <f t="shared" si="31"/>
        <v>0.62961805555555561</v>
      </c>
      <c r="Q978" s="23">
        <f>SUM($O$2:O978)</f>
        <v>38</v>
      </c>
      <c r="Y978" s="14"/>
      <c r="Z978" s="13"/>
      <c r="AA978"/>
    </row>
    <row r="979" spans="1:27" x14ac:dyDescent="0.2">
      <c r="A979" s="12" t="s">
        <v>3098</v>
      </c>
      <c r="B979" t="s">
        <v>3099</v>
      </c>
      <c r="C979" t="s">
        <v>3100</v>
      </c>
      <c r="D979" t="s">
        <v>2483</v>
      </c>
      <c r="E979" t="s">
        <v>13</v>
      </c>
      <c r="F979">
        <v>4817</v>
      </c>
      <c r="G979">
        <v>936</v>
      </c>
      <c r="H979" s="5" t="s">
        <v>22</v>
      </c>
      <c r="I979" s="5">
        <v>0</v>
      </c>
      <c r="J979" s="5">
        <v>0</v>
      </c>
      <c r="K979" t="s">
        <v>10505</v>
      </c>
      <c r="L979" cm="1">
        <f t="array" ref="L979">wordCount(K979)</f>
        <v>24</v>
      </c>
      <c r="M979">
        <f t="shared" si="30"/>
        <v>109</v>
      </c>
      <c r="N979">
        <v>0.48571428571428571</v>
      </c>
      <c r="O979" s="23" cm="1">
        <f t="array" ref="O979">WordListCount(K979,keywords!$A$2:$A$31)-WordListCount(K979,keywords!$B$2:$B$31)</f>
        <v>0</v>
      </c>
      <c r="P979" s="25">
        <f t="shared" si="31"/>
        <v>0.62964120370370369</v>
      </c>
      <c r="Q979" s="23">
        <f>SUM($O$2:O979)</f>
        <v>38</v>
      </c>
      <c r="Y979" s="14"/>
      <c r="Z979" s="13"/>
      <c r="AA979"/>
    </row>
    <row r="980" spans="1:27" x14ac:dyDescent="0.2">
      <c r="A980" s="12" t="s">
        <v>3101</v>
      </c>
      <c r="B980" t="s">
        <v>3102</v>
      </c>
      <c r="C980" t="s">
        <v>3103</v>
      </c>
      <c r="D980" t="s">
        <v>2130</v>
      </c>
      <c r="E980" t="s">
        <v>13</v>
      </c>
      <c r="F980">
        <v>137</v>
      </c>
      <c r="G980">
        <v>513</v>
      </c>
      <c r="H980" s="5" t="s">
        <v>22</v>
      </c>
      <c r="I980" s="5">
        <v>0</v>
      </c>
      <c r="J980" s="5">
        <v>0</v>
      </c>
      <c r="K980" t="s">
        <v>10506</v>
      </c>
      <c r="L980" cm="1">
        <f t="array" ref="L980">wordCount(K980)</f>
        <v>6</v>
      </c>
      <c r="M980">
        <f t="shared" si="30"/>
        <v>25</v>
      </c>
      <c r="N980">
        <v>0.42857142857142855</v>
      </c>
      <c r="O980" s="23" cm="1">
        <f t="array" ref="O980">WordListCount(K980,keywords!$A$2:$A$31)-WordListCount(K980,keywords!$B$2:$B$31)</f>
        <v>0</v>
      </c>
      <c r="P980" s="25">
        <f t="shared" si="31"/>
        <v>0.62993055555555555</v>
      </c>
      <c r="Q980" s="23">
        <f>SUM($O$2:O980)</f>
        <v>38</v>
      </c>
      <c r="Y980" s="14"/>
      <c r="Z980" s="13"/>
      <c r="AA980"/>
    </row>
    <row r="981" spans="1:27" x14ac:dyDescent="0.2">
      <c r="A981" s="12" t="s">
        <v>3104</v>
      </c>
      <c r="B981" t="s">
        <v>3105</v>
      </c>
      <c r="C981" t="s">
        <v>3106</v>
      </c>
      <c r="D981" t="s">
        <v>3107</v>
      </c>
      <c r="E981" t="s">
        <v>47</v>
      </c>
      <c r="F981">
        <v>6781</v>
      </c>
      <c r="G981">
        <v>3334</v>
      </c>
      <c r="H981" s="5" t="s">
        <v>22</v>
      </c>
      <c r="I981" s="5">
        <v>0</v>
      </c>
      <c r="J981" s="5">
        <v>0</v>
      </c>
      <c r="K981" t="s">
        <v>10507</v>
      </c>
      <c r="L981" cm="1">
        <f t="array" ref="L981">wordCount(K981)</f>
        <v>16</v>
      </c>
      <c r="M981">
        <f t="shared" si="30"/>
        <v>102</v>
      </c>
      <c r="N981">
        <v>0.42307692307692307</v>
      </c>
      <c r="O981" s="23" cm="1">
        <f t="array" ref="O981">WordListCount(K981,keywords!$A$2:$A$31)-WordListCount(K981,keywords!$B$2:$B$31)</f>
        <v>-1</v>
      </c>
      <c r="P981" s="25">
        <f t="shared" si="31"/>
        <v>0.62995370370370374</v>
      </c>
      <c r="Q981" s="23">
        <f>SUM($O$2:O981)</f>
        <v>37</v>
      </c>
      <c r="Y981" s="14"/>
      <c r="Z981" s="13"/>
      <c r="AA981"/>
    </row>
    <row r="982" spans="1:27" x14ac:dyDescent="0.2">
      <c r="A982" s="12" t="s">
        <v>3108</v>
      </c>
      <c r="B982" t="s">
        <v>3109</v>
      </c>
      <c r="C982" t="s">
        <v>3110</v>
      </c>
      <c r="D982" t="s">
        <v>12</v>
      </c>
      <c r="E982" t="s">
        <v>13</v>
      </c>
      <c r="F982">
        <v>1</v>
      </c>
      <c r="G982">
        <v>0</v>
      </c>
      <c r="H982" s="5" t="s">
        <v>22</v>
      </c>
      <c r="I982" s="5">
        <v>0</v>
      </c>
      <c r="J982" s="5">
        <v>0</v>
      </c>
      <c r="K982" t="s">
        <v>10508</v>
      </c>
      <c r="L982" cm="1">
        <f t="array" ref="L982">wordCount(K982)</f>
        <v>12</v>
      </c>
      <c r="M982">
        <f t="shared" si="30"/>
        <v>52</v>
      </c>
      <c r="N982">
        <v>0.42857142857142855</v>
      </c>
      <c r="O982" s="23" cm="1">
        <f t="array" ref="O982">WordListCount(K982,keywords!$A$2:$A$31)-WordListCount(K982,keywords!$B$2:$B$31)</f>
        <v>0</v>
      </c>
      <c r="P982" s="25">
        <f t="shared" si="31"/>
        <v>0.62998842592592597</v>
      </c>
      <c r="Q982" s="23">
        <f>SUM($O$2:O982)</f>
        <v>37</v>
      </c>
      <c r="Y982" s="14"/>
      <c r="Z982" s="13"/>
      <c r="AA982"/>
    </row>
    <row r="983" spans="1:27" x14ac:dyDescent="0.2">
      <c r="A983" s="12" t="s">
        <v>3111</v>
      </c>
      <c r="B983" t="s">
        <v>3112</v>
      </c>
      <c r="C983" t="s">
        <v>3113</v>
      </c>
      <c r="D983" t="s">
        <v>12</v>
      </c>
      <c r="E983" t="s">
        <v>13</v>
      </c>
      <c r="F983">
        <v>41</v>
      </c>
      <c r="G983">
        <v>34</v>
      </c>
      <c r="H983" s="5" t="s">
        <v>22</v>
      </c>
      <c r="I983" s="5">
        <v>0</v>
      </c>
      <c r="J983" s="5">
        <v>0</v>
      </c>
      <c r="K983" t="s">
        <v>10509</v>
      </c>
      <c r="L983" cm="1">
        <f t="array" ref="L983">wordCount(K983)</f>
        <v>23</v>
      </c>
      <c r="M983">
        <f t="shared" si="30"/>
        <v>106</v>
      </c>
      <c r="N983">
        <v>0.375</v>
      </c>
      <c r="O983" s="23" cm="1">
        <f t="array" ref="O983">WordListCount(K983,keywords!$A$2:$A$31)-WordListCount(K983,keywords!$B$2:$B$31)</f>
        <v>1</v>
      </c>
      <c r="P983" s="25">
        <f t="shared" si="31"/>
        <v>0.63013888888888892</v>
      </c>
      <c r="Q983" s="23">
        <f>SUM($O$2:O983)</f>
        <v>38</v>
      </c>
      <c r="Y983" s="14"/>
      <c r="Z983" s="13"/>
      <c r="AA983"/>
    </row>
    <row r="984" spans="1:27" x14ac:dyDescent="0.2">
      <c r="A984" s="12" t="s">
        <v>3114</v>
      </c>
      <c r="B984" t="s">
        <v>3115</v>
      </c>
      <c r="C984" t="s">
        <v>3116</v>
      </c>
      <c r="D984" t="s">
        <v>3117</v>
      </c>
      <c r="E984" t="s">
        <v>13</v>
      </c>
      <c r="F984">
        <v>2376</v>
      </c>
      <c r="G984">
        <v>449</v>
      </c>
      <c r="H984" s="5" t="s">
        <v>22</v>
      </c>
      <c r="I984" s="5">
        <v>0</v>
      </c>
      <c r="J984" s="5">
        <v>0</v>
      </c>
      <c r="K984" t="s">
        <v>10510</v>
      </c>
      <c r="L984" cm="1">
        <f t="array" ref="L984">wordCount(K984)</f>
        <v>11</v>
      </c>
      <c r="M984">
        <f t="shared" si="30"/>
        <v>43</v>
      </c>
      <c r="N984">
        <v>0.57894736842105265</v>
      </c>
      <c r="O984" s="23" cm="1">
        <f t="array" ref="O984">WordListCount(K984,keywords!$A$2:$A$31)-WordListCount(K984,keywords!$B$2:$B$31)</f>
        <v>0</v>
      </c>
      <c r="P984" s="25">
        <f t="shared" si="31"/>
        <v>0.63026620370370368</v>
      </c>
      <c r="Q984" s="23">
        <f>SUM($O$2:O984)</f>
        <v>38</v>
      </c>
      <c r="Y984" s="14"/>
      <c r="Z984" s="13"/>
      <c r="AA984"/>
    </row>
    <row r="985" spans="1:27" x14ac:dyDescent="0.2">
      <c r="A985" s="12" t="s">
        <v>3118</v>
      </c>
      <c r="B985" t="s">
        <v>3119</v>
      </c>
      <c r="C985" t="s">
        <v>3120</v>
      </c>
      <c r="D985" t="s">
        <v>12</v>
      </c>
      <c r="E985" t="s">
        <v>13</v>
      </c>
      <c r="F985">
        <v>17</v>
      </c>
      <c r="G985">
        <v>78</v>
      </c>
      <c r="H985" s="5" t="s">
        <v>22</v>
      </c>
      <c r="I985" s="5">
        <v>0</v>
      </c>
      <c r="J985" s="5">
        <v>0</v>
      </c>
      <c r="K985" t="s">
        <v>10511</v>
      </c>
      <c r="L985" cm="1">
        <f t="array" ref="L985">wordCount(K985)</f>
        <v>6</v>
      </c>
      <c r="M985">
        <f t="shared" si="30"/>
        <v>29</v>
      </c>
      <c r="N985">
        <v>0.6875</v>
      </c>
      <c r="O985" s="23" cm="1">
        <f t="array" ref="O985">WordListCount(K985,keywords!$A$2:$A$31)-WordListCount(K985,keywords!$B$2:$B$31)</f>
        <v>0</v>
      </c>
      <c r="P985" s="25">
        <f t="shared" si="31"/>
        <v>0.63031249999999994</v>
      </c>
      <c r="Q985" s="23">
        <f>SUM($O$2:O985)</f>
        <v>38</v>
      </c>
      <c r="Y985" s="14"/>
      <c r="Z985" s="13"/>
      <c r="AA985"/>
    </row>
    <row r="986" spans="1:27" x14ac:dyDescent="0.2">
      <c r="A986" s="12" t="s">
        <v>3121</v>
      </c>
      <c r="B986" t="s">
        <v>555</v>
      </c>
      <c r="C986" t="s">
        <v>77</v>
      </c>
      <c r="D986" t="s">
        <v>12</v>
      </c>
      <c r="E986" t="s">
        <v>13</v>
      </c>
      <c r="F986">
        <v>37</v>
      </c>
      <c r="G986">
        <v>7</v>
      </c>
      <c r="H986" s="5" t="s">
        <v>42</v>
      </c>
      <c r="I986" s="5">
        <v>0</v>
      </c>
      <c r="J986" s="5">
        <v>0</v>
      </c>
      <c r="K986" t="s">
        <v>9906</v>
      </c>
      <c r="L986" cm="1">
        <f t="array" ref="L986">wordCount(K986)</f>
        <v>12</v>
      </c>
      <c r="M986">
        <f t="shared" si="30"/>
        <v>74</v>
      </c>
      <c r="N986">
        <v>0.92307692307692313</v>
      </c>
      <c r="O986" s="23" cm="1">
        <f t="array" ref="O986">WordListCount(K986,keywords!$A$2:$A$31)-WordListCount(K986,keywords!$B$2:$B$31)</f>
        <v>0</v>
      </c>
      <c r="P986" s="25">
        <f t="shared" si="31"/>
        <v>0.63049768518518523</v>
      </c>
      <c r="Q986" s="23">
        <f>SUM($O$2:O986)</f>
        <v>38</v>
      </c>
      <c r="Y986" s="14"/>
      <c r="Z986" s="13"/>
      <c r="AA986"/>
    </row>
    <row r="987" spans="1:27" x14ac:dyDescent="0.2">
      <c r="A987" s="12" t="s">
        <v>3122</v>
      </c>
      <c r="B987" t="s">
        <v>3123</v>
      </c>
      <c r="C987" t="s">
        <v>3124</v>
      </c>
      <c r="D987" t="s">
        <v>3125</v>
      </c>
      <c r="E987" t="s">
        <v>13</v>
      </c>
      <c r="F987">
        <v>50913</v>
      </c>
      <c r="G987">
        <v>308</v>
      </c>
      <c r="H987" s="5" t="s">
        <v>22</v>
      </c>
      <c r="I987" s="5">
        <v>0</v>
      </c>
      <c r="J987" s="5">
        <v>0</v>
      </c>
      <c r="K987" t="s">
        <v>9330</v>
      </c>
      <c r="L987" cm="1">
        <f t="array" ref="L987">wordCount(K987)</f>
        <v>9</v>
      </c>
      <c r="M987">
        <f t="shared" si="30"/>
        <v>79</v>
      </c>
      <c r="N987">
        <v>0.75862068965517238</v>
      </c>
      <c r="O987" s="23" cm="1">
        <f t="array" ref="O987">WordListCount(K987,keywords!$A$2:$A$31)-WordListCount(K987,keywords!$B$2:$B$31)</f>
        <v>-1</v>
      </c>
      <c r="P987" s="25">
        <f t="shared" si="31"/>
        <v>0.63059027777777776</v>
      </c>
      <c r="Q987" s="23">
        <f>SUM($O$2:O987)</f>
        <v>37</v>
      </c>
      <c r="Y987" s="14"/>
      <c r="Z987" s="13"/>
      <c r="AA987"/>
    </row>
    <row r="988" spans="1:27" x14ac:dyDescent="0.2">
      <c r="A988" s="12" t="s">
        <v>3126</v>
      </c>
      <c r="B988" t="s">
        <v>3127</v>
      </c>
      <c r="C988" t="s">
        <v>3128</v>
      </c>
      <c r="D988" t="s">
        <v>12</v>
      </c>
      <c r="E988" t="s">
        <v>13</v>
      </c>
      <c r="F988">
        <v>191</v>
      </c>
      <c r="G988">
        <v>104</v>
      </c>
      <c r="H988" s="5" t="s">
        <v>22</v>
      </c>
      <c r="I988" s="5">
        <v>0</v>
      </c>
      <c r="J988" s="5">
        <v>0</v>
      </c>
      <c r="K988" t="s">
        <v>10512</v>
      </c>
      <c r="L988" cm="1">
        <f t="array" ref="L988">wordCount(K988)</f>
        <v>5</v>
      </c>
      <c r="M988">
        <f t="shared" si="30"/>
        <v>21</v>
      </c>
      <c r="N988">
        <v>0.8</v>
      </c>
      <c r="O988" s="23" cm="1">
        <f t="array" ref="O988">WordListCount(K988,keywords!$A$2:$A$31)-WordListCount(K988,keywords!$B$2:$B$31)</f>
        <v>1</v>
      </c>
      <c r="P988" s="25">
        <f t="shared" si="31"/>
        <v>0.63061342592592595</v>
      </c>
      <c r="Q988" s="23">
        <f>SUM($O$2:O988)</f>
        <v>38</v>
      </c>
      <c r="Y988" s="14"/>
      <c r="Z988" s="13"/>
      <c r="AA988"/>
    </row>
    <row r="989" spans="1:27" x14ac:dyDescent="0.2">
      <c r="A989" s="12" t="s">
        <v>3129</v>
      </c>
      <c r="B989" t="s">
        <v>3130</v>
      </c>
      <c r="C989" t="s">
        <v>241</v>
      </c>
      <c r="D989" t="s">
        <v>242</v>
      </c>
      <c r="E989" t="s">
        <v>13</v>
      </c>
      <c r="F989">
        <v>9227</v>
      </c>
      <c r="G989">
        <v>7170</v>
      </c>
      <c r="H989" s="5" t="s">
        <v>22</v>
      </c>
      <c r="I989" s="5">
        <v>0</v>
      </c>
      <c r="J989" s="5">
        <v>0</v>
      </c>
      <c r="K989" t="s">
        <v>10513</v>
      </c>
      <c r="L989" cm="1">
        <f t="array" ref="L989">wordCount(K989)</f>
        <v>19</v>
      </c>
      <c r="M989">
        <f t="shared" si="30"/>
        <v>114</v>
      </c>
      <c r="N989">
        <v>0.5757575757575758</v>
      </c>
      <c r="O989" s="23" cm="1">
        <f t="array" ref="O989">WordListCount(K989,keywords!$A$2:$A$31)-WordListCount(K989,keywords!$B$2:$B$31)</f>
        <v>0</v>
      </c>
      <c r="P989" s="25">
        <f t="shared" si="31"/>
        <v>0.63089120370370366</v>
      </c>
      <c r="Q989" s="23">
        <f>SUM($O$2:O989)</f>
        <v>38</v>
      </c>
      <c r="Y989" s="14"/>
      <c r="Z989" s="13"/>
      <c r="AA989"/>
    </row>
    <row r="990" spans="1:27" x14ac:dyDescent="0.2">
      <c r="A990" s="12" t="s">
        <v>3131</v>
      </c>
      <c r="B990" t="s">
        <v>3132</v>
      </c>
      <c r="C990" t="s">
        <v>3133</v>
      </c>
      <c r="D990" t="s">
        <v>12</v>
      </c>
      <c r="E990" t="s">
        <v>13</v>
      </c>
      <c r="F990">
        <v>281</v>
      </c>
      <c r="G990">
        <v>48</v>
      </c>
      <c r="H990" s="5" t="s">
        <v>22</v>
      </c>
      <c r="I990" s="5">
        <v>0</v>
      </c>
      <c r="J990" s="5">
        <v>0</v>
      </c>
      <c r="K990" t="s">
        <v>10514</v>
      </c>
      <c r="L990" cm="1">
        <f t="array" ref="L990">wordCount(K990)</f>
        <v>8</v>
      </c>
      <c r="M990">
        <f t="shared" si="30"/>
        <v>35</v>
      </c>
      <c r="N990">
        <v>0.5</v>
      </c>
      <c r="O990" s="23" cm="1">
        <f t="array" ref="O990">WordListCount(K990,keywords!$A$2:$A$31)-WordListCount(K990,keywords!$B$2:$B$31)</f>
        <v>-1</v>
      </c>
      <c r="P990" s="25">
        <f t="shared" si="31"/>
        <v>0.63091435185185185</v>
      </c>
      <c r="Q990" s="23">
        <f>SUM($O$2:O990)</f>
        <v>37</v>
      </c>
      <c r="Y990" s="14"/>
      <c r="Z990" s="13"/>
      <c r="AA990"/>
    </row>
    <row r="991" spans="1:27" x14ac:dyDescent="0.2">
      <c r="A991" s="12" t="s">
        <v>3134</v>
      </c>
      <c r="B991" t="s">
        <v>3135</v>
      </c>
      <c r="C991" t="s">
        <v>3136</v>
      </c>
      <c r="D991" t="s">
        <v>74</v>
      </c>
      <c r="E991" t="s">
        <v>13</v>
      </c>
      <c r="F991">
        <v>42</v>
      </c>
      <c r="G991">
        <v>209</v>
      </c>
      <c r="H991" s="5" t="s">
        <v>22</v>
      </c>
      <c r="I991" s="5">
        <v>0</v>
      </c>
      <c r="J991" s="5">
        <v>0</v>
      </c>
      <c r="K991" t="s">
        <v>10515</v>
      </c>
      <c r="L991" cm="1">
        <f t="array" ref="L991">wordCount(K991)</f>
        <v>9</v>
      </c>
      <c r="M991">
        <f t="shared" si="30"/>
        <v>42</v>
      </c>
      <c r="N991">
        <v>0.36363636363636365</v>
      </c>
      <c r="O991" s="23" cm="1">
        <f t="array" ref="O991">WordListCount(K991,keywords!$A$2:$A$31)-WordListCount(K991,keywords!$B$2:$B$31)</f>
        <v>1</v>
      </c>
      <c r="P991" s="25">
        <f t="shared" si="31"/>
        <v>0.63105324074074076</v>
      </c>
      <c r="Q991" s="23">
        <f>SUM($O$2:O991)</f>
        <v>38</v>
      </c>
      <c r="Y991" s="14"/>
      <c r="Z991" s="13"/>
      <c r="AA991"/>
    </row>
    <row r="992" spans="1:27" x14ac:dyDescent="0.2">
      <c r="A992" s="12" t="s">
        <v>3137</v>
      </c>
      <c r="B992" t="s">
        <v>3138</v>
      </c>
      <c r="C992" t="s">
        <v>374</v>
      </c>
      <c r="D992" t="s">
        <v>12</v>
      </c>
      <c r="E992" t="s">
        <v>13</v>
      </c>
      <c r="F992">
        <v>24</v>
      </c>
      <c r="G992">
        <v>242</v>
      </c>
      <c r="H992" s="5" t="s">
        <v>22</v>
      </c>
      <c r="I992" s="5">
        <v>0</v>
      </c>
      <c r="J992" s="5">
        <v>0</v>
      </c>
      <c r="K992" t="s">
        <v>10516</v>
      </c>
      <c r="L992" cm="1">
        <f t="array" ref="L992">wordCount(K992)</f>
        <v>23</v>
      </c>
      <c r="M992">
        <f t="shared" si="30"/>
        <v>117</v>
      </c>
      <c r="N992">
        <v>0.5</v>
      </c>
      <c r="O992" s="23" cm="1">
        <f t="array" ref="O992">WordListCount(K992,keywords!$A$2:$A$31)-WordListCount(K992,keywords!$B$2:$B$31)</f>
        <v>0</v>
      </c>
      <c r="P992" s="25">
        <f t="shared" si="31"/>
        <v>0.63112268518518522</v>
      </c>
      <c r="Q992" s="23">
        <f>SUM($O$2:O992)</f>
        <v>38</v>
      </c>
      <c r="Y992" s="14"/>
      <c r="Z992" s="13"/>
      <c r="AA992"/>
    </row>
    <row r="993" spans="1:27" x14ac:dyDescent="0.2">
      <c r="A993" s="12" t="s">
        <v>3139</v>
      </c>
      <c r="B993" t="s">
        <v>3140</v>
      </c>
      <c r="C993" t="s">
        <v>1145</v>
      </c>
      <c r="D993" t="s">
        <v>1146</v>
      </c>
      <c r="E993" t="s">
        <v>13</v>
      </c>
      <c r="F993">
        <v>4</v>
      </c>
      <c r="G993">
        <v>107</v>
      </c>
      <c r="H993" s="5" t="s">
        <v>677</v>
      </c>
      <c r="I993" s="5">
        <v>0</v>
      </c>
      <c r="J993" s="5">
        <v>0</v>
      </c>
      <c r="K993" t="s">
        <v>10517</v>
      </c>
      <c r="L993" cm="1">
        <f t="array" ref="L993">wordCount(K993)</f>
        <v>11</v>
      </c>
      <c r="M993">
        <f t="shared" si="30"/>
        <v>50</v>
      </c>
      <c r="N993">
        <v>0.4375</v>
      </c>
      <c r="O993" s="23" cm="1">
        <f t="array" ref="O993">WordListCount(K993,keywords!$A$2:$A$31)-WordListCount(K993,keywords!$B$2:$B$31)</f>
        <v>0</v>
      </c>
      <c r="P993" s="25">
        <f t="shared" si="31"/>
        <v>0.63143518518518515</v>
      </c>
      <c r="Q993" s="23">
        <f>SUM($O$2:O993)</f>
        <v>38</v>
      </c>
      <c r="Y993" s="14"/>
      <c r="Z993" s="13"/>
      <c r="AA993"/>
    </row>
    <row r="994" spans="1:27" x14ac:dyDescent="0.2">
      <c r="A994" s="12" t="s">
        <v>3141</v>
      </c>
      <c r="B994" t="s">
        <v>3143</v>
      </c>
      <c r="C994" t="s">
        <v>3144</v>
      </c>
      <c r="D994" t="s">
        <v>3145</v>
      </c>
      <c r="E994" t="s">
        <v>13</v>
      </c>
      <c r="F994">
        <v>391</v>
      </c>
      <c r="G994">
        <v>1925</v>
      </c>
      <c r="H994" s="5" t="s">
        <v>22</v>
      </c>
      <c r="I994" s="5">
        <v>0</v>
      </c>
      <c r="J994" s="5">
        <v>0</v>
      </c>
      <c r="K994" t="s">
        <v>10518</v>
      </c>
      <c r="L994" cm="1">
        <f t="array" ref="L994">wordCount(K994)</f>
        <v>15</v>
      </c>
      <c r="M994">
        <f t="shared" si="30"/>
        <v>90</v>
      </c>
      <c r="N994">
        <v>0.35</v>
      </c>
      <c r="O994" s="23" cm="1">
        <f t="array" ref="O994">WordListCount(K994,keywords!$A$2:$A$31)-WordListCount(K994,keywords!$B$2:$B$31)</f>
        <v>-1</v>
      </c>
      <c r="P994" s="25">
        <f t="shared" si="31"/>
        <v>0.63150462962962961</v>
      </c>
      <c r="Q994" s="23">
        <f>SUM($O$2:O994)</f>
        <v>37</v>
      </c>
      <c r="Y994" s="14"/>
      <c r="Z994" s="13"/>
      <c r="AA994"/>
    </row>
    <row r="995" spans="1:27" x14ac:dyDescent="0.2">
      <c r="A995" s="12" t="s">
        <v>3141</v>
      </c>
      <c r="B995" t="s">
        <v>3142</v>
      </c>
      <c r="C995" t="s">
        <v>381</v>
      </c>
      <c r="D995" t="s">
        <v>12</v>
      </c>
      <c r="E995" t="s">
        <v>13</v>
      </c>
      <c r="F995">
        <v>6</v>
      </c>
      <c r="G995">
        <v>91</v>
      </c>
      <c r="H995" s="5" t="s">
        <v>382</v>
      </c>
      <c r="I995" s="5">
        <v>0</v>
      </c>
      <c r="J995" s="5">
        <v>0</v>
      </c>
      <c r="K995" t="s">
        <v>9046</v>
      </c>
      <c r="L995" cm="1">
        <f t="array" ref="L995">wordCount(K995)</f>
        <v>2</v>
      </c>
      <c r="M995">
        <f t="shared" si="30"/>
        <v>12</v>
      </c>
      <c r="N995">
        <v>0.66666666666666663</v>
      </c>
      <c r="O995" s="23" cm="1">
        <f t="array" ref="O995">WordListCount(K995,keywords!$A$2:$A$31)-WordListCount(K995,keywords!$B$2:$B$31)</f>
        <v>0</v>
      </c>
      <c r="P995" s="25">
        <f t="shared" si="31"/>
        <v>0.63150462962962961</v>
      </c>
      <c r="Q995" s="23">
        <f>SUM($O$2:O995)</f>
        <v>37</v>
      </c>
      <c r="Y995" s="14"/>
      <c r="Z995" s="13"/>
      <c r="AA995"/>
    </row>
    <row r="996" spans="1:27" x14ac:dyDescent="0.2">
      <c r="A996" s="12" t="s">
        <v>3146</v>
      </c>
      <c r="B996" t="s">
        <v>3147</v>
      </c>
      <c r="C996" t="s">
        <v>1643</v>
      </c>
      <c r="D996" t="s">
        <v>12</v>
      </c>
      <c r="E996" t="s">
        <v>13</v>
      </c>
      <c r="F996">
        <v>9632</v>
      </c>
      <c r="G996">
        <v>27</v>
      </c>
      <c r="H996" s="5" t="s">
        <v>22</v>
      </c>
      <c r="I996" s="5">
        <v>0</v>
      </c>
      <c r="J996" s="5">
        <v>0</v>
      </c>
      <c r="K996" t="s">
        <v>10519</v>
      </c>
      <c r="L996" cm="1">
        <f t="array" ref="L996">wordCount(K996)</f>
        <v>6</v>
      </c>
      <c r="M996">
        <f t="shared" si="30"/>
        <v>30</v>
      </c>
      <c r="N996">
        <v>0.6428571428571429</v>
      </c>
      <c r="O996" s="23" cm="1">
        <f t="array" ref="O996">WordListCount(K996,keywords!$A$2:$A$31)-WordListCount(K996,keywords!$B$2:$B$31)</f>
        <v>0</v>
      </c>
      <c r="P996" s="25">
        <f t="shared" si="31"/>
        <v>0.63157407407407407</v>
      </c>
      <c r="Q996" s="23">
        <f>SUM($O$2:O996)</f>
        <v>37</v>
      </c>
      <c r="Y996" s="14"/>
      <c r="Z996" s="13"/>
      <c r="AA996"/>
    </row>
    <row r="997" spans="1:27" x14ac:dyDescent="0.2">
      <c r="A997" s="12" t="s">
        <v>3148</v>
      </c>
      <c r="B997" t="s">
        <v>3149</v>
      </c>
      <c r="C997" t="s">
        <v>3150</v>
      </c>
      <c r="D997" t="s">
        <v>3151</v>
      </c>
      <c r="E997" t="s">
        <v>13</v>
      </c>
      <c r="F997">
        <v>38</v>
      </c>
      <c r="G997">
        <v>262</v>
      </c>
      <c r="H997" s="5" t="s">
        <v>22</v>
      </c>
      <c r="I997" s="5">
        <v>0</v>
      </c>
      <c r="J997" s="5">
        <v>0</v>
      </c>
      <c r="K997" t="s">
        <v>10520</v>
      </c>
      <c r="L997" cm="1">
        <f t="array" ref="L997">wordCount(K997)</f>
        <v>17</v>
      </c>
      <c r="M997">
        <f t="shared" si="30"/>
        <v>98</v>
      </c>
      <c r="N997">
        <v>0.33333333333333331</v>
      </c>
      <c r="O997" s="23" cm="1">
        <f t="array" ref="O997">WordListCount(K997,keywords!$A$2:$A$31)-WordListCount(K997,keywords!$B$2:$B$31)</f>
        <v>0</v>
      </c>
      <c r="P997" s="25">
        <f t="shared" si="31"/>
        <v>0.63159722222222225</v>
      </c>
      <c r="Q997" s="23">
        <f>SUM($O$2:O997)</f>
        <v>37</v>
      </c>
      <c r="Y997" s="14"/>
      <c r="Z997" s="13"/>
      <c r="AA997"/>
    </row>
    <row r="998" spans="1:27" x14ac:dyDescent="0.2">
      <c r="A998" s="12" t="s">
        <v>3152</v>
      </c>
      <c r="B998" t="s">
        <v>3153</v>
      </c>
      <c r="C998" t="s">
        <v>3154</v>
      </c>
      <c r="D998" t="s">
        <v>3155</v>
      </c>
      <c r="E998" t="s">
        <v>13</v>
      </c>
      <c r="F998">
        <v>3116</v>
      </c>
      <c r="G998">
        <v>95</v>
      </c>
      <c r="H998" s="5" t="s">
        <v>22</v>
      </c>
      <c r="I998" s="5">
        <v>0</v>
      </c>
      <c r="J998" s="5">
        <v>0</v>
      </c>
      <c r="K998" t="s">
        <v>10521</v>
      </c>
      <c r="L998" cm="1">
        <f t="array" ref="L998">wordCount(K998)</f>
        <v>17</v>
      </c>
      <c r="M998">
        <f t="shared" si="30"/>
        <v>81</v>
      </c>
      <c r="N998">
        <v>0.5</v>
      </c>
      <c r="O998" s="23" cm="1">
        <f t="array" ref="O998">WordListCount(K998,keywords!$A$2:$A$31)-WordListCount(K998,keywords!$B$2:$B$31)</f>
        <v>0</v>
      </c>
      <c r="P998" s="25">
        <f t="shared" si="31"/>
        <v>0.63167824074074075</v>
      </c>
      <c r="Q998" s="23">
        <f>SUM($O$2:O998)</f>
        <v>37</v>
      </c>
      <c r="Y998" s="14"/>
      <c r="Z998" s="13"/>
      <c r="AA998"/>
    </row>
    <row r="999" spans="1:27" x14ac:dyDescent="0.2">
      <c r="A999" s="12" t="s">
        <v>3156</v>
      </c>
      <c r="B999" t="s">
        <v>3157</v>
      </c>
      <c r="C999" t="s">
        <v>3158</v>
      </c>
      <c r="D999" t="s">
        <v>3159</v>
      </c>
      <c r="E999" t="s">
        <v>13</v>
      </c>
      <c r="F999">
        <v>177</v>
      </c>
      <c r="G999">
        <v>179</v>
      </c>
      <c r="H999" s="5" t="s">
        <v>125</v>
      </c>
      <c r="I999" s="5">
        <v>0</v>
      </c>
      <c r="J999" s="5">
        <v>0</v>
      </c>
      <c r="K999" t="s">
        <v>10522</v>
      </c>
      <c r="L999" cm="1">
        <f t="array" ref="L999">wordCount(K999)</f>
        <v>18</v>
      </c>
      <c r="M999">
        <f t="shared" si="30"/>
        <v>106</v>
      </c>
      <c r="N999">
        <v>0.35</v>
      </c>
      <c r="O999" s="23" cm="1">
        <f t="array" ref="O999">WordListCount(K999,keywords!$A$2:$A$31)-WordListCount(K999,keywords!$B$2:$B$31)</f>
        <v>0</v>
      </c>
      <c r="P999" s="25">
        <f t="shared" si="31"/>
        <v>0.63193287037037038</v>
      </c>
      <c r="Q999" s="23">
        <f>SUM($O$2:O999)</f>
        <v>37</v>
      </c>
      <c r="Y999" s="14"/>
      <c r="Z999" s="13"/>
      <c r="AA999"/>
    </row>
    <row r="1000" spans="1:27" x14ac:dyDescent="0.2">
      <c r="A1000" s="12" t="s">
        <v>3160</v>
      </c>
      <c r="B1000" t="s">
        <v>3161</v>
      </c>
      <c r="C1000" t="s">
        <v>119</v>
      </c>
      <c r="D1000" t="s">
        <v>120</v>
      </c>
      <c r="E1000" t="s">
        <v>13</v>
      </c>
      <c r="F1000">
        <v>16</v>
      </c>
      <c r="G1000">
        <v>39</v>
      </c>
      <c r="H1000" s="5" t="s">
        <v>22</v>
      </c>
      <c r="I1000" s="5">
        <v>0</v>
      </c>
      <c r="J1000" s="5">
        <v>0</v>
      </c>
      <c r="K1000" t="s">
        <v>9914</v>
      </c>
      <c r="L1000" cm="1">
        <f t="array" ref="L1000">wordCount(K1000)</f>
        <v>10</v>
      </c>
      <c r="M1000">
        <f t="shared" si="30"/>
        <v>49</v>
      </c>
      <c r="N1000">
        <v>0.9</v>
      </c>
      <c r="O1000" s="23" cm="1">
        <f t="array" ref="O1000">WordListCount(K1000,keywords!$A$2:$A$31)-WordListCount(K1000,keywords!$B$2:$B$31)</f>
        <v>0</v>
      </c>
      <c r="P1000" s="25">
        <f t="shared" si="31"/>
        <v>0.63196759259259261</v>
      </c>
      <c r="Q1000" s="23">
        <f>SUM($O$2:O1000)</f>
        <v>37</v>
      </c>
      <c r="Y1000" s="14"/>
      <c r="Z1000" s="13"/>
      <c r="AA1000"/>
    </row>
    <row r="1001" spans="1:27" x14ac:dyDescent="0.2">
      <c r="A1001" s="33" t="s">
        <v>3162</v>
      </c>
      <c r="B1001" s="34" t="s">
        <v>3163</v>
      </c>
      <c r="C1001" s="34" t="s">
        <v>123</v>
      </c>
      <c r="D1001" s="34" t="s">
        <v>124</v>
      </c>
      <c r="E1001" s="34" t="s">
        <v>13</v>
      </c>
      <c r="F1001" s="34">
        <v>838</v>
      </c>
      <c r="G1001" s="34">
        <v>899</v>
      </c>
      <c r="H1001" s="35" t="s">
        <v>125</v>
      </c>
      <c r="I1001" s="35">
        <v>0</v>
      </c>
      <c r="J1001" s="35">
        <v>0</v>
      </c>
      <c r="K1001" s="34" t="s">
        <v>9331</v>
      </c>
      <c r="L1001" s="34" cm="1">
        <f t="array" ref="L1001">wordCount(K1001)</f>
        <v>20</v>
      </c>
      <c r="M1001" s="34">
        <f t="shared" si="30"/>
        <v>88</v>
      </c>
      <c r="N1001" s="34">
        <v>0.8</v>
      </c>
      <c r="O1001" s="36" cm="1">
        <f t="array" ref="O1001">WordListCount(K1001,keywords!$A$2:$A$31)-WordListCount(K1001,keywords!$B$2:$B$31)</f>
        <v>0</v>
      </c>
      <c r="P1001" s="37">
        <f t="shared" si="31"/>
        <v>0.63199074074074069</v>
      </c>
      <c r="Q1001" s="23">
        <f>SUM($O$2:O1001)</f>
        <v>37</v>
      </c>
    </row>
    <row r="1002" spans="1:27" x14ac:dyDescent="0.2">
      <c r="A1002" s="12" t="s">
        <v>3164</v>
      </c>
      <c r="B1002" t="s">
        <v>3165</v>
      </c>
      <c r="C1002" t="s">
        <v>511</v>
      </c>
      <c r="D1002" t="s">
        <v>512</v>
      </c>
      <c r="E1002" t="s">
        <v>13</v>
      </c>
      <c r="F1002">
        <v>1899</v>
      </c>
      <c r="G1002">
        <v>540</v>
      </c>
      <c r="H1002" s="5" t="s">
        <v>22</v>
      </c>
      <c r="I1002" s="5">
        <v>0</v>
      </c>
      <c r="J1002" s="5">
        <v>0</v>
      </c>
      <c r="K1002" t="s">
        <v>9332</v>
      </c>
      <c r="L1002" cm="1">
        <f t="array" ref="L1002">wordCount(K1002)</f>
        <v>9</v>
      </c>
      <c r="M1002">
        <f t="shared" si="30"/>
        <v>45</v>
      </c>
      <c r="N1002">
        <v>0.88888888888888884</v>
      </c>
      <c r="O1002" s="23" cm="1">
        <f t="array" ref="O1002">WordListCount(K1002,keywords!$A$2:$A$31)-WordListCount(K1002,keywords!$B$2:$B$31)</f>
        <v>0</v>
      </c>
      <c r="P1002" s="25">
        <f t="shared" si="31"/>
        <v>0.63200231481481484</v>
      </c>
      <c r="Q1002" s="23">
        <f>SUM($O$2:O1002)</f>
        <v>37</v>
      </c>
      <c r="Y1002" s="14"/>
      <c r="Z1002" s="13"/>
      <c r="AA1002"/>
    </row>
    <row r="1003" spans="1:27" x14ac:dyDescent="0.2">
      <c r="A1003" s="12" t="s">
        <v>3166</v>
      </c>
      <c r="B1003" t="s">
        <v>3167</v>
      </c>
      <c r="C1003" t="s">
        <v>511</v>
      </c>
      <c r="D1003" t="s">
        <v>512</v>
      </c>
      <c r="E1003" t="s">
        <v>13</v>
      </c>
      <c r="F1003">
        <v>1899</v>
      </c>
      <c r="G1003">
        <v>540</v>
      </c>
      <c r="H1003" s="5" t="s">
        <v>22</v>
      </c>
      <c r="I1003" s="5">
        <v>0</v>
      </c>
      <c r="J1003" s="5">
        <v>0</v>
      </c>
      <c r="K1003" t="s">
        <v>10523</v>
      </c>
      <c r="L1003" cm="1">
        <f t="array" ref="L1003">wordCount(K1003)</f>
        <v>8</v>
      </c>
      <c r="M1003">
        <f t="shared" si="30"/>
        <v>41</v>
      </c>
      <c r="N1003">
        <v>0.36363636363636365</v>
      </c>
      <c r="O1003" s="23" cm="1">
        <f t="array" ref="O1003">WordListCount(K1003,keywords!$A$2:$A$31)-WordListCount(K1003,keywords!$B$2:$B$31)</f>
        <v>0</v>
      </c>
      <c r="P1003" s="25">
        <f t="shared" si="31"/>
        <v>0.63201388888888888</v>
      </c>
      <c r="Q1003" s="23">
        <f>SUM($O$2:O1003)</f>
        <v>37</v>
      </c>
      <c r="Y1003" s="14"/>
      <c r="Z1003" s="13"/>
      <c r="AA1003"/>
    </row>
    <row r="1004" spans="1:27" x14ac:dyDescent="0.2">
      <c r="A1004" s="12" t="s">
        <v>3168</v>
      </c>
      <c r="B1004" t="s">
        <v>3169</v>
      </c>
      <c r="C1004" t="s">
        <v>3086</v>
      </c>
      <c r="D1004" t="s">
        <v>3087</v>
      </c>
      <c r="E1004" t="s">
        <v>13</v>
      </c>
      <c r="F1004">
        <v>1210</v>
      </c>
      <c r="G1004">
        <v>2424</v>
      </c>
      <c r="H1004" s="5" t="s">
        <v>22</v>
      </c>
      <c r="I1004" s="5">
        <v>0</v>
      </c>
      <c r="J1004" s="5">
        <v>0</v>
      </c>
      <c r="K1004" t="s">
        <v>10524</v>
      </c>
      <c r="L1004" cm="1">
        <f t="array" ref="L1004">wordCount(K1004)</f>
        <v>10</v>
      </c>
      <c r="M1004">
        <f t="shared" si="30"/>
        <v>65</v>
      </c>
      <c r="N1004">
        <v>0.46153846153846156</v>
      </c>
      <c r="O1004" s="23" cm="1">
        <f t="array" ref="O1004">WordListCount(K1004,keywords!$A$2:$A$31)-WordListCount(K1004,keywords!$B$2:$B$31)</f>
        <v>0</v>
      </c>
      <c r="P1004" s="25">
        <f t="shared" si="31"/>
        <v>0.63202546296296302</v>
      </c>
      <c r="Q1004" s="23">
        <f>SUM($O$2:O1004)</f>
        <v>37</v>
      </c>
      <c r="Y1004" s="14"/>
      <c r="Z1004" s="13"/>
      <c r="AA1004"/>
    </row>
    <row r="1005" spans="1:27" x14ac:dyDescent="0.2">
      <c r="A1005" s="12" t="s">
        <v>3170</v>
      </c>
      <c r="B1005" t="s">
        <v>3171</v>
      </c>
      <c r="C1005" t="s">
        <v>119</v>
      </c>
      <c r="D1005" t="s">
        <v>120</v>
      </c>
      <c r="E1005" t="s">
        <v>13</v>
      </c>
      <c r="F1005">
        <v>16</v>
      </c>
      <c r="G1005">
        <v>39</v>
      </c>
      <c r="H1005" s="5" t="s">
        <v>22</v>
      </c>
      <c r="I1005" s="5">
        <v>0</v>
      </c>
      <c r="J1005" s="5">
        <v>0</v>
      </c>
      <c r="K1005" t="s">
        <v>9914</v>
      </c>
      <c r="L1005" cm="1">
        <f t="array" ref="L1005">wordCount(K1005)</f>
        <v>10</v>
      </c>
      <c r="M1005">
        <f t="shared" si="30"/>
        <v>49</v>
      </c>
      <c r="N1005">
        <v>0.9</v>
      </c>
      <c r="O1005" s="23" cm="1">
        <f t="array" ref="O1005">WordListCount(K1005,keywords!$A$2:$A$31)-WordListCount(K1005,keywords!$B$2:$B$31)</f>
        <v>0</v>
      </c>
      <c r="P1005" s="25">
        <f t="shared" si="31"/>
        <v>0.63203703703703706</v>
      </c>
      <c r="Q1005" s="23">
        <f>SUM($O$2:O1005)</f>
        <v>37</v>
      </c>
      <c r="Y1005" s="14"/>
      <c r="Z1005" s="13"/>
      <c r="AA1005"/>
    </row>
    <row r="1006" spans="1:27" x14ac:dyDescent="0.2">
      <c r="A1006" s="12" t="s">
        <v>3172</v>
      </c>
      <c r="B1006" t="s">
        <v>3173</v>
      </c>
      <c r="C1006" t="s">
        <v>73</v>
      </c>
      <c r="D1006" t="s">
        <v>74</v>
      </c>
      <c r="E1006" t="s">
        <v>13</v>
      </c>
      <c r="F1006">
        <v>87</v>
      </c>
      <c r="G1006">
        <v>237</v>
      </c>
      <c r="H1006" s="5" t="s">
        <v>22</v>
      </c>
      <c r="I1006" s="5">
        <v>0</v>
      </c>
      <c r="J1006" s="5">
        <v>0</v>
      </c>
      <c r="K1006" t="s">
        <v>9232</v>
      </c>
      <c r="L1006" cm="1">
        <f t="array" ref="L1006">wordCount(K1006)</f>
        <v>7</v>
      </c>
      <c r="M1006">
        <f t="shared" si="30"/>
        <v>37</v>
      </c>
      <c r="N1006">
        <v>1</v>
      </c>
      <c r="O1006" s="23" cm="1">
        <f t="array" ref="O1006">WordListCount(K1006,keywords!$A$2:$A$31)-WordListCount(K1006,keywords!$B$2:$B$31)</f>
        <v>0</v>
      </c>
      <c r="P1006" s="25">
        <f t="shared" si="31"/>
        <v>0.63207175925925929</v>
      </c>
      <c r="Q1006" s="23">
        <f>SUM($O$2:O1006)</f>
        <v>37</v>
      </c>
      <c r="Y1006" s="14"/>
      <c r="Z1006" s="13"/>
      <c r="AA1006"/>
    </row>
    <row r="1007" spans="1:27" x14ac:dyDescent="0.2">
      <c r="A1007" s="12" t="s">
        <v>3174</v>
      </c>
      <c r="B1007" t="s">
        <v>3175</v>
      </c>
      <c r="C1007" t="s">
        <v>119</v>
      </c>
      <c r="D1007" t="s">
        <v>120</v>
      </c>
      <c r="E1007" t="s">
        <v>13</v>
      </c>
      <c r="F1007">
        <v>16</v>
      </c>
      <c r="G1007">
        <v>39</v>
      </c>
      <c r="H1007" s="5" t="s">
        <v>22</v>
      </c>
      <c r="I1007" s="5">
        <v>0</v>
      </c>
      <c r="J1007" s="5">
        <v>0</v>
      </c>
      <c r="K1007" t="s">
        <v>9914</v>
      </c>
      <c r="L1007" cm="1">
        <f t="array" ref="L1007">wordCount(K1007)</f>
        <v>10</v>
      </c>
      <c r="M1007">
        <f t="shared" si="30"/>
        <v>49</v>
      </c>
      <c r="N1007">
        <v>0.9</v>
      </c>
      <c r="O1007" s="23" cm="1">
        <f t="array" ref="O1007">WordListCount(K1007,keywords!$A$2:$A$31)-WordListCount(K1007,keywords!$B$2:$B$31)</f>
        <v>0</v>
      </c>
      <c r="P1007" s="25">
        <f t="shared" si="31"/>
        <v>0.63208333333333333</v>
      </c>
      <c r="Q1007" s="23">
        <f>SUM($O$2:O1007)</f>
        <v>37</v>
      </c>
      <c r="Y1007" s="14"/>
      <c r="Z1007" s="13"/>
      <c r="AA1007"/>
    </row>
    <row r="1008" spans="1:27" x14ac:dyDescent="0.2">
      <c r="A1008" s="12" t="s">
        <v>3176</v>
      </c>
      <c r="B1008" t="s">
        <v>3177</v>
      </c>
      <c r="C1008" t="s">
        <v>119</v>
      </c>
      <c r="D1008" t="s">
        <v>120</v>
      </c>
      <c r="E1008" t="s">
        <v>13</v>
      </c>
      <c r="F1008">
        <v>16</v>
      </c>
      <c r="G1008">
        <v>39</v>
      </c>
      <c r="H1008" s="5" t="s">
        <v>22</v>
      </c>
      <c r="I1008" s="5">
        <v>0</v>
      </c>
      <c r="J1008" s="5">
        <v>0</v>
      </c>
      <c r="K1008" t="s">
        <v>9914</v>
      </c>
      <c r="L1008" cm="1">
        <f t="array" ref="L1008">wordCount(K1008)</f>
        <v>10</v>
      </c>
      <c r="M1008">
        <f t="shared" si="30"/>
        <v>49</v>
      </c>
      <c r="N1008">
        <v>0.9</v>
      </c>
      <c r="O1008" s="23" cm="1">
        <f t="array" ref="O1008">WordListCount(K1008,keywords!$A$2:$A$31)-WordListCount(K1008,keywords!$B$2:$B$31)</f>
        <v>0</v>
      </c>
      <c r="P1008" s="25">
        <f t="shared" si="31"/>
        <v>0.63210648148148152</v>
      </c>
      <c r="Q1008" s="23">
        <f>SUM($O$2:O1008)</f>
        <v>37</v>
      </c>
      <c r="Y1008" s="14"/>
      <c r="Z1008" s="13"/>
      <c r="AA1008"/>
    </row>
    <row r="1009" spans="1:27" x14ac:dyDescent="0.2">
      <c r="A1009" s="12" t="s">
        <v>3178</v>
      </c>
      <c r="B1009" t="s">
        <v>3179</v>
      </c>
      <c r="C1009" t="s">
        <v>782</v>
      </c>
      <c r="D1009" t="s">
        <v>12</v>
      </c>
      <c r="E1009" t="s">
        <v>13</v>
      </c>
      <c r="F1009">
        <v>17351</v>
      </c>
      <c r="G1009">
        <v>12513</v>
      </c>
      <c r="H1009" s="5" t="s">
        <v>22</v>
      </c>
      <c r="I1009" s="5">
        <v>0</v>
      </c>
      <c r="J1009" s="5">
        <v>0</v>
      </c>
      <c r="K1009" t="s">
        <v>10525</v>
      </c>
      <c r="L1009" cm="1">
        <f t="array" ref="L1009">wordCount(K1009)</f>
        <v>23</v>
      </c>
      <c r="M1009">
        <f t="shared" si="30"/>
        <v>128</v>
      </c>
      <c r="N1009">
        <v>0.45714285714285713</v>
      </c>
      <c r="O1009" s="23" cm="1">
        <f t="array" ref="O1009">WordListCount(K1009,keywords!$A$2:$A$31)-WordListCount(K1009,keywords!$B$2:$B$31)</f>
        <v>0</v>
      </c>
      <c r="P1009" s="25">
        <f t="shared" si="31"/>
        <v>0.63232638888888892</v>
      </c>
      <c r="Q1009" s="23">
        <f>SUM($O$2:O1009)</f>
        <v>37</v>
      </c>
      <c r="Y1009" s="14"/>
      <c r="Z1009" s="13"/>
      <c r="AA1009"/>
    </row>
    <row r="1010" spans="1:27" x14ac:dyDescent="0.2">
      <c r="A1010" s="12" t="s">
        <v>3180</v>
      </c>
      <c r="B1010" t="s">
        <v>3181</v>
      </c>
      <c r="C1010" t="s">
        <v>2857</v>
      </c>
      <c r="D1010" t="s">
        <v>2858</v>
      </c>
      <c r="E1010" t="s">
        <v>13</v>
      </c>
      <c r="F1010">
        <v>504</v>
      </c>
      <c r="G1010">
        <v>673</v>
      </c>
      <c r="H1010" s="5" t="s">
        <v>59</v>
      </c>
      <c r="I1010" s="5">
        <v>0</v>
      </c>
      <c r="J1010" s="5">
        <v>0</v>
      </c>
      <c r="K1010" t="s">
        <v>9333</v>
      </c>
      <c r="L1010" cm="1">
        <f t="array" ref="L1010">wordCount(K1010)</f>
        <v>20</v>
      </c>
      <c r="M1010">
        <f t="shared" si="30"/>
        <v>99</v>
      </c>
      <c r="N1010">
        <v>0.29629629629629628</v>
      </c>
      <c r="O1010" s="23" cm="1">
        <f t="array" ref="O1010">WordListCount(K1010,keywords!$A$2:$A$31)-WordListCount(K1010,keywords!$B$2:$B$31)</f>
        <v>0</v>
      </c>
      <c r="P1010" s="25">
        <f t="shared" si="31"/>
        <v>0.63240740740740742</v>
      </c>
      <c r="Q1010" s="23">
        <f>SUM($O$2:O1010)</f>
        <v>37</v>
      </c>
      <c r="Y1010" s="14"/>
      <c r="Z1010" s="13"/>
      <c r="AA1010"/>
    </row>
    <row r="1011" spans="1:27" x14ac:dyDescent="0.2">
      <c r="A1011" s="22" t="s">
        <v>3182</v>
      </c>
      <c r="B1011" s="23" t="s">
        <v>3183</v>
      </c>
      <c r="C1011" s="23" t="s">
        <v>3184</v>
      </c>
      <c r="D1011" s="23" t="s">
        <v>12</v>
      </c>
      <c r="E1011" s="23" t="s">
        <v>13</v>
      </c>
      <c r="F1011" s="23">
        <v>13</v>
      </c>
      <c r="G1011" s="23">
        <v>18</v>
      </c>
      <c r="H1011" s="24" t="s">
        <v>22</v>
      </c>
      <c r="I1011" s="24">
        <v>0</v>
      </c>
      <c r="J1011" s="24">
        <v>0</v>
      </c>
      <c r="K1011" s="23" t="s">
        <v>10526</v>
      </c>
      <c r="L1011" s="23" cm="1">
        <f t="array" ref="L1011">wordCount(K1011)</f>
        <v>15</v>
      </c>
      <c r="M1011" s="23">
        <f t="shared" si="30"/>
        <v>67</v>
      </c>
      <c r="N1011" s="23">
        <v>0.42105263157894735</v>
      </c>
      <c r="O1011" s="23" cm="1">
        <f t="array" ref="O1011">WordListCount(K1011,keywords!$A$2:$A$31)-WordListCount(K1011,keywords!$B$2:$B$31)</f>
        <v>0</v>
      </c>
      <c r="P1011" s="25">
        <f t="shared" si="31"/>
        <v>0.63245370370370368</v>
      </c>
      <c r="Q1011" s="23">
        <f>SUM($O$2:O1011)</f>
        <v>37</v>
      </c>
      <c r="Y1011" s="14"/>
      <c r="Z1011" s="13"/>
      <c r="AA1011"/>
    </row>
    <row r="1012" spans="1:27" x14ac:dyDescent="0.2">
      <c r="A1012" s="12" t="s">
        <v>3185</v>
      </c>
      <c r="B1012" t="s">
        <v>3186</v>
      </c>
      <c r="C1012" t="s">
        <v>3187</v>
      </c>
      <c r="D1012" t="s">
        <v>74</v>
      </c>
      <c r="E1012" t="s">
        <v>13</v>
      </c>
      <c r="F1012">
        <v>26</v>
      </c>
      <c r="G1012">
        <v>181</v>
      </c>
      <c r="H1012" s="5" t="s">
        <v>22</v>
      </c>
      <c r="I1012" s="5">
        <v>0</v>
      </c>
      <c r="J1012" s="5">
        <v>0</v>
      </c>
      <c r="K1012" t="s">
        <v>10527</v>
      </c>
      <c r="L1012" cm="1">
        <f t="array" ref="L1012">wordCount(K1012)</f>
        <v>14</v>
      </c>
      <c r="M1012">
        <f t="shared" si="30"/>
        <v>67</v>
      </c>
      <c r="N1012">
        <v>0.4</v>
      </c>
      <c r="O1012" s="23" cm="1">
        <f t="array" ref="O1012">WordListCount(K1012,keywords!$A$2:$A$31)-WordListCount(K1012,keywords!$B$2:$B$31)</f>
        <v>0</v>
      </c>
      <c r="P1012" s="25">
        <f t="shared" si="31"/>
        <v>0.63284722222222223</v>
      </c>
      <c r="Q1012" s="23">
        <f>SUM($O$2:O1012)</f>
        <v>37</v>
      </c>
      <c r="Y1012" s="14"/>
      <c r="Z1012" s="13"/>
      <c r="AA1012"/>
    </row>
    <row r="1013" spans="1:27" x14ac:dyDescent="0.2">
      <c r="A1013" s="12" t="s">
        <v>3188</v>
      </c>
      <c r="B1013" t="s">
        <v>3189</v>
      </c>
      <c r="C1013" t="s">
        <v>3190</v>
      </c>
      <c r="D1013" t="s">
        <v>3191</v>
      </c>
      <c r="E1013" t="s">
        <v>13</v>
      </c>
      <c r="F1013">
        <v>1183</v>
      </c>
      <c r="G1013">
        <v>2241</v>
      </c>
      <c r="H1013" s="5" t="s">
        <v>22</v>
      </c>
      <c r="I1013" s="5">
        <v>0</v>
      </c>
      <c r="J1013" s="5">
        <v>0</v>
      </c>
      <c r="K1013" t="s">
        <v>10528</v>
      </c>
      <c r="L1013" cm="1">
        <f t="array" ref="L1013">wordCount(K1013)</f>
        <v>23</v>
      </c>
      <c r="M1013">
        <f t="shared" si="30"/>
        <v>91</v>
      </c>
      <c r="N1013">
        <v>0.32</v>
      </c>
      <c r="O1013" s="23" cm="1">
        <f t="array" ref="O1013">WordListCount(K1013,keywords!$A$2:$A$31)-WordListCount(K1013,keywords!$B$2:$B$31)</f>
        <v>0</v>
      </c>
      <c r="P1013" s="25">
        <f t="shared" si="31"/>
        <v>0.63350694444444444</v>
      </c>
      <c r="Q1013" s="23">
        <f>SUM($O$2:O1013)</f>
        <v>37</v>
      </c>
      <c r="Y1013" s="14"/>
      <c r="Z1013" s="13"/>
      <c r="AA1013"/>
    </row>
    <row r="1014" spans="1:27" x14ac:dyDescent="0.2">
      <c r="A1014" s="12" t="s">
        <v>3192</v>
      </c>
      <c r="B1014" t="s">
        <v>3193</v>
      </c>
      <c r="C1014" t="s">
        <v>3194</v>
      </c>
      <c r="D1014" t="s">
        <v>12</v>
      </c>
      <c r="E1014" t="s">
        <v>13</v>
      </c>
      <c r="F1014">
        <v>208</v>
      </c>
      <c r="G1014">
        <v>508</v>
      </c>
      <c r="H1014" s="5" t="s">
        <v>22</v>
      </c>
      <c r="I1014" s="5">
        <v>0</v>
      </c>
      <c r="J1014" s="5">
        <v>0</v>
      </c>
      <c r="K1014" t="s">
        <v>10529</v>
      </c>
      <c r="L1014" cm="1">
        <f t="array" ref="L1014">wordCount(K1014)</f>
        <v>14</v>
      </c>
      <c r="M1014">
        <f t="shared" si="30"/>
        <v>75</v>
      </c>
      <c r="N1014">
        <v>0.5714285714285714</v>
      </c>
      <c r="O1014" s="23" cm="1">
        <f t="array" ref="O1014">WordListCount(K1014,keywords!$A$2:$A$31)-WordListCount(K1014,keywords!$B$2:$B$31)</f>
        <v>0</v>
      </c>
      <c r="P1014" s="25">
        <f t="shared" si="31"/>
        <v>0.63371527777777781</v>
      </c>
      <c r="Q1014" s="23">
        <f>SUM($O$2:O1014)</f>
        <v>37</v>
      </c>
      <c r="Y1014" s="14"/>
      <c r="Z1014" s="13"/>
      <c r="AA1014"/>
    </row>
    <row r="1015" spans="1:27" x14ac:dyDescent="0.2">
      <c r="A1015" s="12" t="s">
        <v>3195</v>
      </c>
      <c r="B1015" t="s">
        <v>3196</v>
      </c>
      <c r="C1015" t="s">
        <v>3197</v>
      </c>
      <c r="D1015" t="s">
        <v>697</v>
      </c>
      <c r="E1015" t="s">
        <v>13</v>
      </c>
      <c r="F1015">
        <v>1997</v>
      </c>
      <c r="G1015">
        <v>1059</v>
      </c>
      <c r="H1015" s="5" t="s">
        <v>22</v>
      </c>
      <c r="I1015" s="5">
        <v>0</v>
      </c>
      <c r="J1015" s="5">
        <v>0</v>
      </c>
      <c r="K1015" t="s">
        <v>10530</v>
      </c>
      <c r="L1015" cm="1">
        <f t="array" ref="L1015">wordCount(K1015)</f>
        <v>18</v>
      </c>
      <c r="M1015">
        <f t="shared" si="30"/>
        <v>111</v>
      </c>
      <c r="N1015">
        <v>0.57692307692307687</v>
      </c>
      <c r="O1015" s="23" cm="1">
        <f t="array" ref="O1015">WordListCount(K1015,keywords!$A$2:$A$31)-WordListCount(K1015,keywords!$B$2:$B$31)</f>
        <v>0</v>
      </c>
      <c r="P1015" s="25">
        <f t="shared" si="31"/>
        <v>0.63376157407407407</v>
      </c>
      <c r="Q1015" s="23">
        <f>SUM($O$2:O1015)</f>
        <v>37</v>
      </c>
      <c r="Y1015" s="14"/>
      <c r="Z1015" s="13"/>
      <c r="AA1015"/>
    </row>
    <row r="1016" spans="1:27" x14ac:dyDescent="0.2">
      <c r="A1016" s="12" t="s">
        <v>3198</v>
      </c>
      <c r="B1016" t="s">
        <v>3199</v>
      </c>
      <c r="C1016" t="s">
        <v>3200</v>
      </c>
      <c r="D1016" t="s">
        <v>12</v>
      </c>
      <c r="E1016" t="s">
        <v>13</v>
      </c>
      <c r="F1016">
        <v>10</v>
      </c>
      <c r="G1016">
        <v>111</v>
      </c>
      <c r="H1016" s="5" t="s">
        <v>125</v>
      </c>
      <c r="I1016" s="5">
        <v>0</v>
      </c>
      <c r="J1016" s="5">
        <v>0</v>
      </c>
      <c r="K1016" t="s">
        <v>10531</v>
      </c>
      <c r="L1016" cm="1">
        <f t="array" ref="L1016">wordCount(K1016)</f>
        <v>5</v>
      </c>
      <c r="M1016">
        <f t="shared" si="30"/>
        <v>25</v>
      </c>
      <c r="N1016">
        <v>0.66666666666666663</v>
      </c>
      <c r="O1016" s="23" cm="1">
        <f t="array" ref="O1016">WordListCount(K1016,keywords!$A$2:$A$31)-WordListCount(K1016,keywords!$B$2:$B$31)</f>
        <v>1</v>
      </c>
      <c r="P1016" s="25">
        <f t="shared" si="31"/>
        <v>0.63399305555555552</v>
      </c>
      <c r="Q1016" s="23">
        <f>SUM($O$2:O1016)</f>
        <v>38</v>
      </c>
      <c r="Y1016" s="14"/>
      <c r="Z1016" s="13"/>
      <c r="AA1016"/>
    </row>
    <row r="1017" spans="1:27" x14ac:dyDescent="0.2">
      <c r="A1017" s="12" t="s">
        <v>3201</v>
      </c>
      <c r="B1017" t="s">
        <v>3202</v>
      </c>
      <c r="C1017" t="s">
        <v>3203</v>
      </c>
      <c r="D1017" t="s">
        <v>3204</v>
      </c>
      <c r="E1017" t="s">
        <v>13</v>
      </c>
      <c r="F1017">
        <v>327</v>
      </c>
      <c r="G1017">
        <v>594</v>
      </c>
      <c r="H1017" s="5" t="s">
        <v>22</v>
      </c>
      <c r="I1017" s="5">
        <v>0</v>
      </c>
      <c r="J1017" s="5">
        <v>0</v>
      </c>
      <c r="K1017" t="s">
        <v>10532</v>
      </c>
      <c r="L1017" cm="1">
        <f t="array" ref="L1017">wordCount(K1017)</f>
        <v>13</v>
      </c>
      <c r="M1017">
        <f t="shared" si="30"/>
        <v>60</v>
      </c>
      <c r="N1017">
        <v>0.67647058823529416</v>
      </c>
      <c r="O1017" s="23" cm="1">
        <f t="array" ref="O1017">WordListCount(K1017,keywords!$A$2:$A$31)-WordListCount(K1017,keywords!$B$2:$B$31)</f>
        <v>0</v>
      </c>
      <c r="P1017" s="25">
        <f t="shared" si="31"/>
        <v>0.63402777777777775</v>
      </c>
      <c r="Q1017" s="23">
        <f>SUM($O$2:O1017)</f>
        <v>38</v>
      </c>
      <c r="Y1017" s="14"/>
      <c r="Z1017" s="13"/>
      <c r="AA1017"/>
    </row>
    <row r="1018" spans="1:27" x14ac:dyDescent="0.2">
      <c r="A1018" s="12" t="s">
        <v>3205</v>
      </c>
      <c r="B1018" t="s">
        <v>3206</v>
      </c>
      <c r="C1018" t="s">
        <v>3207</v>
      </c>
      <c r="D1018" t="s">
        <v>12</v>
      </c>
      <c r="E1018" t="s">
        <v>13</v>
      </c>
      <c r="F1018">
        <v>12</v>
      </c>
      <c r="G1018">
        <v>85</v>
      </c>
      <c r="H1018" s="5" t="s">
        <v>22</v>
      </c>
      <c r="I1018" s="5">
        <v>0</v>
      </c>
      <c r="J1018" s="5">
        <v>0</v>
      </c>
      <c r="K1018" t="s">
        <v>9334</v>
      </c>
      <c r="L1018" cm="1">
        <f t="array" ref="L1018">wordCount(K1018)</f>
        <v>6</v>
      </c>
      <c r="M1018">
        <f t="shared" si="30"/>
        <v>29</v>
      </c>
      <c r="N1018">
        <v>0.72727272727272729</v>
      </c>
      <c r="O1018" s="23" cm="1">
        <f t="array" ref="O1018">WordListCount(K1018,keywords!$A$2:$A$31)-WordListCount(K1018,keywords!$B$2:$B$31)</f>
        <v>0</v>
      </c>
      <c r="P1018" s="25">
        <f t="shared" si="31"/>
        <v>0.63414351851851858</v>
      </c>
      <c r="Q1018" s="23">
        <f>SUM($O$2:O1018)</f>
        <v>38</v>
      </c>
      <c r="Y1018" s="14"/>
      <c r="Z1018" s="13"/>
      <c r="AA1018"/>
    </row>
    <row r="1019" spans="1:27" x14ac:dyDescent="0.2">
      <c r="A1019" s="12" t="s">
        <v>3208</v>
      </c>
      <c r="B1019" t="s">
        <v>3209</v>
      </c>
      <c r="C1019" t="s">
        <v>3210</v>
      </c>
      <c r="D1019" t="s">
        <v>3211</v>
      </c>
      <c r="E1019" t="s">
        <v>13</v>
      </c>
      <c r="F1019">
        <v>248</v>
      </c>
      <c r="G1019">
        <v>689</v>
      </c>
      <c r="H1019" s="5" t="s">
        <v>22</v>
      </c>
      <c r="I1019" s="5">
        <v>0</v>
      </c>
      <c r="J1019" s="5">
        <v>0</v>
      </c>
      <c r="K1019" t="s">
        <v>10533</v>
      </c>
      <c r="L1019" cm="1">
        <f t="array" ref="L1019">wordCount(K1019)</f>
        <v>11</v>
      </c>
      <c r="M1019">
        <f t="shared" si="30"/>
        <v>57</v>
      </c>
      <c r="N1019">
        <v>0.41176470588235292</v>
      </c>
      <c r="O1019" s="23" cm="1">
        <f t="array" ref="O1019">WordListCount(K1019,keywords!$A$2:$A$31)-WordListCount(K1019,keywords!$B$2:$B$31)</f>
        <v>-1</v>
      </c>
      <c r="P1019" s="25">
        <f t="shared" si="31"/>
        <v>0.63450231481481478</v>
      </c>
      <c r="Q1019" s="23">
        <f>SUM($O$2:O1019)</f>
        <v>37</v>
      </c>
      <c r="Y1019" s="14"/>
      <c r="Z1019" s="13"/>
      <c r="AA1019"/>
    </row>
    <row r="1020" spans="1:27" x14ac:dyDescent="0.2">
      <c r="A1020" s="12" t="s">
        <v>3212</v>
      </c>
      <c r="B1020" t="s">
        <v>3213</v>
      </c>
      <c r="C1020" t="s">
        <v>3214</v>
      </c>
      <c r="D1020" t="s">
        <v>3215</v>
      </c>
      <c r="E1020" t="s">
        <v>13</v>
      </c>
      <c r="F1020">
        <v>2264</v>
      </c>
      <c r="G1020">
        <v>2351</v>
      </c>
      <c r="H1020" s="5" t="s">
        <v>22</v>
      </c>
      <c r="I1020" s="5">
        <v>0</v>
      </c>
      <c r="J1020" s="5">
        <v>0</v>
      </c>
      <c r="K1020" t="s">
        <v>10534</v>
      </c>
      <c r="L1020" cm="1">
        <f t="array" ref="L1020">wordCount(K1020)</f>
        <v>6</v>
      </c>
      <c r="M1020">
        <f t="shared" si="30"/>
        <v>40</v>
      </c>
      <c r="N1020">
        <v>0.82608695652173914</v>
      </c>
      <c r="O1020" s="23" cm="1">
        <f t="array" ref="O1020">WordListCount(K1020,keywords!$A$2:$A$31)-WordListCount(K1020,keywords!$B$2:$B$31)</f>
        <v>0</v>
      </c>
      <c r="P1020" s="25">
        <f t="shared" si="31"/>
        <v>0.63501157407407405</v>
      </c>
      <c r="Q1020" s="23">
        <f>SUM($O$2:O1020)</f>
        <v>37</v>
      </c>
      <c r="Y1020" s="14"/>
      <c r="Z1020" s="13"/>
      <c r="AA1020"/>
    </row>
    <row r="1021" spans="1:27" x14ac:dyDescent="0.2">
      <c r="A1021" s="12" t="s">
        <v>3216</v>
      </c>
      <c r="B1021" t="s">
        <v>3217</v>
      </c>
      <c r="C1021" t="s">
        <v>179</v>
      </c>
      <c r="D1021" t="s">
        <v>180</v>
      </c>
      <c r="E1021" t="s">
        <v>13</v>
      </c>
      <c r="F1021">
        <v>971</v>
      </c>
      <c r="G1021">
        <v>180</v>
      </c>
      <c r="H1021" s="5" t="s">
        <v>22</v>
      </c>
      <c r="I1021" s="5">
        <v>0</v>
      </c>
      <c r="J1021" s="5">
        <v>0</v>
      </c>
      <c r="K1021" t="s">
        <v>10535</v>
      </c>
      <c r="L1021" cm="1">
        <f t="array" ref="L1021">wordCount(K1021)</f>
        <v>17</v>
      </c>
      <c r="M1021">
        <f t="shared" si="30"/>
        <v>96</v>
      </c>
      <c r="N1021">
        <v>0.75</v>
      </c>
      <c r="O1021" s="23" cm="1">
        <f t="array" ref="O1021">WordListCount(K1021,keywords!$A$2:$A$31)-WordListCount(K1021,keywords!$B$2:$B$31)</f>
        <v>0</v>
      </c>
      <c r="P1021" s="25">
        <f t="shared" si="31"/>
        <v>0.63542824074074067</v>
      </c>
      <c r="Q1021" s="23">
        <f>SUM($O$2:O1021)</f>
        <v>37</v>
      </c>
      <c r="Y1021" s="14"/>
      <c r="Z1021" s="13"/>
      <c r="AA1021"/>
    </row>
    <row r="1022" spans="1:27" x14ac:dyDescent="0.2">
      <c r="A1022" s="12" t="s">
        <v>3218</v>
      </c>
      <c r="B1022" t="s">
        <v>3219</v>
      </c>
      <c r="C1022" t="s">
        <v>3220</v>
      </c>
      <c r="D1022" t="s">
        <v>3221</v>
      </c>
      <c r="E1022" t="s">
        <v>13</v>
      </c>
      <c r="F1022">
        <v>19</v>
      </c>
      <c r="G1022">
        <v>32</v>
      </c>
      <c r="H1022" s="5" t="s">
        <v>22</v>
      </c>
      <c r="I1022" s="5">
        <v>0</v>
      </c>
      <c r="J1022" s="5">
        <v>0</v>
      </c>
      <c r="K1022" t="s">
        <v>10536</v>
      </c>
      <c r="L1022" cm="1">
        <f t="array" ref="L1022">wordCount(K1022)</f>
        <v>13</v>
      </c>
      <c r="M1022">
        <f t="shared" si="30"/>
        <v>63</v>
      </c>
      <c r="N1022">
        <v>0.4</v>
      </c>
      <c r="O1022" s="23" cm="1">
        <f t="array" ref="O1022">WordListCount(K1022,keywords!$A$2:$A$31)-WordListCount(K1022,keywords!$B$2:$B$31)</f>
        <v>0</v>
      </c>
      <c r="P1022" s="25">
        <f t="shared" si="31"/>
        <v>0.63578703703703698</v>
      </c>
      <c r="Q1022" s="23">
        <f>SUM($O$2:O1022)</f>
        <v>37</v>
      </c>
      <c r="Y1022" s="14"/>
      <c r="Z1022" s="13"/>
      <c r="AA1022"/>
    </row>
    <row r="1023" spans="1:27" x14ac:dyDescent="0.2">
      <c r="A1023" s="12" t="s">
        <v>3222</v>
      </c>
      <c r="B1023" t="s">
        <v>3223</v>
      </c>
      <c r="C1023" t="s">
        <v>3224</v>
      </c>
      <c r="D1023" t="s">
        <v>3225</v>
      </c>
      <c r="E1023" t="s">
        <v>13</v>
      </c>
      <c r="F1023">
        <v>107</v>
      </c>
      <c r="G1023">
        <v>127</v>
      </c>
      <c r="H1023" s="5" t="s">
        <v>22</v>
      </c>
      <c r="I1023" s="5">
        <v>0</v>
      </c>
      <c r="J1023" s="5">
        <v>0</v>
      </c>
      <c r="K1023" t="s">
        <v>10537</v>
      </c>
      <c r="L1023" cm="1">
        <f t="array" ref="L1023">wordCount(K1023)</f>
        <v>2</v>
      </c>
      <c r="M1023">
        <f t="shared" si="30"/>
        <v>11</v>
      </c>
      <c r="N1023">
        <v>0.90476190476190477</v>
      </c>
      <c r="O1023" s="23" cm="1">
        <f t="array" ref="O1023">WordListCount(K1023,keywords!$A$2:$A$31)-WordListCount(K1023,keywords!$B$2:$B$31)</f>
        <v>0</v>
      </c>
      <c r="P1023" s="25">
        <f t="shared" si="31"/>
        <v>0.63583333333333336</v>
      </c>
      <c r="Q1023" s="23">
        <f>SUM($O$2:O1023)</f>
        <v>37</v>
      </c>
      <c r="Y1023" s="14"/>
      <c r="Z1023" s="13"/>
      <c r="AA1023"/>
    </row>
    <row r="1024" spans="1:27" x14ac:dyDescent="0.2">
      <c r="A1024" s="12" t="s">
        <v>3226</v>
      </c>
      <c r="B1024" t="s">
        <v>3227</v>
      </c>
      <c r="C1024" t="s">
        <v>3228</v>
      </c>
      <c r="D1024" t="s">
        <v>12</v>
      </c>
      <c r="E1024" t="s">
        <v>13</v>
      </c>
      <c r="F1024">
        <v>287</v>
      </c>
      <c r="G1024">
        <v>109</v>
      </c>
      <c r="H1024" s="5" t="s">
        <v>22</v>
      </c>
      <c r="I1024" s="5">
        <v>0</v>
      </c>
      <c r="J1024" s="5">
        <v>0</v>
      </c>
      <c r="K1024" t="s">
        <v>10538</v>
      </c>
      <c r="L1024" cm="1">
        <f t="array" ref="L1024">wordCount(K1024)</f>
        <v>11</v>
      </c>
      <c r="M1024">
        <f t="shared" si="30"/>
        <v>53</v>
      </c>
      <c r="N1024">
        <v>0.63636363636363635</v>
      </c>
      <c r="O1024" s="23" cm="1">
        <f t="array" ref="O1024">WordListCount(K1024,keywords!$A$2:$A$31)-WordListCount(K1024,keywords!$B$2:$B$31)</f>
        <v>0</v>
      </c>
      <c r="P1024" s="25">
        <f t="shared" si="31"/>
        <v>0.63587962962962963</v>
      </c>
      <c r="Q1024" s="23">
        <f>SUM($O$2:O1024)</f>
        <v>37</v>
      </c>
      <c r="Y1024" s="14"/>
      <c r="Z1024" s="13"/>
      <c r="AA1024"/>
    </row>
    <row r="1025" spans="1:27" x14ac:dyDescent="0.2">
      <c r="A1025" s="12" t="s">
        <v>3229</v>
      </c>
      <c r="B1025" t="s">
        <v>3230</v>
      </c>
      <c r="C1025" t="s">
        <v>3075</v>
      </c>
      <c r="D1025" t="s">
        <v>3076</v>
      </c>
      <c r="E1025" t="s">
        <v>13</v>
      </c>
      <c r="F1025">
        <v>1322</v>
      </c>
      <c r="G1025">
        <v>1009</v>
      </c>
      <c r="H1025" s="5" t="s">
        <v>22</v>
      </c>
      <c r="I1025" s="5">
        <v>0</v>
      </c>
      <c r="J1025" s="5">
        <v>0</v>
      </c>
      <c r="K1025" t="s">
        <v>10539</v>
      </c>
      <c r="L1025" cm="1">
        <f t="array" ref="L1025">wordCount(K1025)</f>
        <v>10</v>
      </c>
      <c r="M1025">
        <f t="shared" si="30"/>
        <v>47</v>
      </c>
      <c r="N1025">
        <v>0.53333333333333333</v>
      </c>
      <c r="O1025" s="23" cm="1">
        <f t="array" ref="O1025">WordListCount(K1025,keywords!$A$2:$A$31)-WordListCount(K1025,keywords!$B$2:$B$31)</f>
        <v>-1</v>
      </c>
      <c r="P1025" s="25">
        <f t="shared" si="31"/>
        <v>0.63598379629629631</v>
      </c>
      <c r="Q1025" s="23">
        <f>SUM($O$2:O1025)</f>
        <v>36</v>
      </c>
      <c r="Y1025" s="14"/>
      <c r="Z1025" s="13"/>
      <c r="AA1025"/>
    </row>
    <row r="1026" spans="1:27" x14ac:dyDescent="0.2">
      <c r="A1026" s="12" t="s">
        <v>3231</v>
      </c>
      <c r="B1026" t="s">
        <v>3232</v>
      </c>
      <c r="C1026" t="s">
        <v>3233</v>
      </c>
      <c r="D1026" t="s">
        <v>3234</v>
      </c>
      <c r="E1026" t="s">
        <v>13</v>
      </c>
      <c r="F1026">
        <v>164</v>
      </c>
      <c r="G1026">
        <v>201</v>
      </c>
      <c r="H1026" s="5" t="s">
        <v>22</v>
      </c>
      <c r="I1026" s="5">
        <v>0</v>
      </c>
      <c r="J1026" s="5">
        <v>0</v>
      </c>
      <c r="K1026" t="s">
        <v>10540</v>
      </c>
      <c r="L1026" cm="1">
        <f t="array" ref="L1026">wordCount(K1026)</f>
        <v>13</v>
      </c>
      <c r="M1026">
        <f t="shared" ref="M1026:M1089" si="32">LEN(K1026)</f>
        <v>73</v>
      </c>
      <c r="N1026">
        <v>0.62068965517241381</v>
      </c>
      <c r="O1026" s="23" cm="1">
        <f t="array" ref="O1026">WordListCount(K1026,keywords!$A$2:$A$31)-WordListCount(K1026,keywords!$B$2:$B$31)</f>
        <v>0</v>
      </c>
      <c r="P1026" s="25">
        <f t="shared" ref="P1026:P1089" si="33">TIMEVALUE(RIGHT(A1026,8))</f>
        <v>0.63615740740740734</v>
      </c>
      <c r="Q1026" s="23">
        <f>SUM($O$2:O1026)</f>
        <v>36</v>
      </c>
      <c r="Y1026" s="14"/>
      <c r="Z1026" s="13"/>
      <c r="AA1026"/>
    </row>
    <row r="1027" spans="1:27" x14ac:dyDescent="0.2">
      <c r="A1027" s="12" t="s">
        <v>3235</v>
      </c>
      <c r="B1027" t="s">
        <v>3236</v>
      </c>
      <c r="C1027" t="s">
        <v>3237</v>
      </c>
      <c r="D1027" t="s">
        <v>12</v>
      </c>
      <c r="E1027" t="s">
        <v>13</v>
      </c>
      <c r="F1027">
        <v>180</v>
      </c>
      <c r="G1027">
        <v>844</v>
      </c>
      <c r="H1027" s="5" t="s">
        <v>22</v>
      </c>
      <c r="I1027" s="5">
        <v>0</v>
      </c>
      <c r="J1027" s="5">
        <v>0</v>
      </c>
      <c r="K1027" t="s">
        <v>10541</v>
      </c>
      <c r="L1027" cm="1">
        <f t="array" ref="L1027">wordCount(K1027)</f>
        <v>19</v>
      </c>
      <c r="M1027">
        <f t="shared" si="32"/>
        <v>84</v>
      </c>
      <c r="N1027">
        <v>0.48275862068965519</v>
      </c>
      <c r="O1027" s="23" cm="1">
        <f t="array" ref="O1027">WordListCount(K1027,keywords!$A$2:$A$31)-WordListCount(K1027,keywords!$B$2:$B$31)</f>
        <v>0</v>
      </c>
      <c r="P1027" s="25">
        <f t="shared" si="33"/>
        <v>0.63631944444444444</v>
      </c>
      <c r="Q1027" s="23">
        <f>SUM($O$2:O1027)</f>
        <v>36</v>
      </c>
      <c r="Y1027" s="14"/>
      <c r="Z1027" s="13"/>
      <c r="AA1027"/>
    </row>
    <row r="1028" spans="1:27" x14ac:dyDescent="0.2">
      <c r="A1028" s="12" t="s">
        <v>3238</v>
      </c>
      <c r="B1028" t="s">
        <v>3239</v>
      </c>
      <c r="C1028" t="s">
        <v>3240</v>
      </c>
      <c r="D1028" t="s">
        <v>3241</v>
      </c>
      <c r="E1028" t="s">
        <v>13</v>
      </c>
      <c r="F1028">
        <v>218</v>
      </c>
      <c r="G1028">
        <v>551</v>
      </c>
      <c r="H1028" s="5" t="s">
        <v>22</v>
      </c>
      <c r="I1028" s="5">
        <v>0</v>
      </c>
      <c r="J1028" s="5">
        <v>0</v>
      </c>
      <c r="K1028" t="s">
        <v>10542</v>
      </c>
      <c r="L1028" cm="1">
        <f t="array" ref="L1028">wordCount(K1028)</f>
        <v>20</v>
      </c>
      <c r="M1028">
        <f t="shared" si="32"/>
        <v>113</v>
      </c>
      <c r="N1028">
        <v>0.30434782608695654</v>
      </c>
      <c r="O1028" s="23" cm="1">
        <f t="array" ref="O1028">WordListCount(K1028,keywords!$A$2:$A$31)-WordListCount(K1028,keywords!$B$2:$B$31)</f>
        <v>0</v>
      </c>
      <c r="P1028" s="25">
        <f t="shared" si="33"/>
        <v>0.63633101851851859</v>
      </c>
      <c r="Q1028" s="23">
        <f>SUM($O$2:O1028)</f>
        <v>36</v>
      </c>
      <c r="Y1028" s="14"/>
      <c r="Z1028" s="13"/>
      <c r="AA1028"/>
    </row>
    <row r="1029" spans="1:27" x14ac:dyDescent="0.2">
      <c r="A1029" s="12" t="s">
        <v>3242</v>
      </c>
      <c r="B1029" t="s">
        <v>3243</v>
      </c>
      <c r="C1029" t="s">
        <v>3244</v>
      </c>
      <c r="D1029" t="s">
        <v>12</v>
      </c>
      <c r="E1029" t="s">
        <v>13</v>
      </c>
      <c r="F1029">
        <v>21</v>
      </c>
      <c r="G1029">
        <v>124</v>
      </c>
      <c r="H1029" s="5" t="s">
        <v>125</v>
      </c>
      <c r="I1029" s="5">
        <v>0</v>
      </c>
      <c r="J1029" s="5">
        <v>0</v>
      </c>
      <c r="K1029" t="s">
        <v>10543</v>
      </c>
      <c r="L1029" cm="1">
        <f t="array" ref="L1029">wordCount(K1029)</f>
        <v>8</v>
      </c>
      <c r="M1029">
        <f t="shared" si="32"/>
        <v>42</v>
      </c>
      <c r="N1029">
        <v>0.80769230769230771</v>
      </c>
      <c r="O1029" s="23" cm="1">
        <f t="array" ref="O1029">WordListCount(K1029,keywords!$A$2:$A$31)-WordListCount(K1029,keywords!$B$2:$B$31)</f>
        <v>0</v>
      </c>
      <c r="P1029" s="25">
        <f t="shared" si="33"/>
        <v>0.63653935185185184</v>
      </c>
      <c r="Q1029" s="23">
        <f>SUM($O$2:O1029)</f>
        <v>36</v>
      </c>
      <c r="Y1029" s="14"/>
      <c r="Z1029" s="13"/>
      <c r="AA1029"/>
    </row>
    <row r="1030" spans="1:27" x14ac:dyDescent="0.2">
      <c r="A1030" s="12" t="s">
        <v>3245</v>
      </c>
      <c r="B1030" t="s">
        <v>3246</v>
      </c>
      <c r="C1030" t="s">
        <v>3247</v>
      </c>
      <c r="D1030" t="s">
        <v>3248</v>
      </c>
      <c r="E1030" t="s">
        <v>13</v>
      </c>
      <c r="F1030">
        <v>1195</v>
      </c>
      <c r="G1030">
        <v>468</v>
      </c>
      <c r="H1030" s="5" t="s">
        <v>22</v>
      </c>
      <c r="I1030" s="5">
        <v>0</v>
      </c>
      <c r="J1030" s="5">
        <v>0</v>
      </c>
      <c r="K1030" t="s">
        <v>10544</v>
      </c>
      <c r="L1030" cm="1">
        <f t="array" ref="L1030">wordCount(K1030)</f>
        <v>25</v>
      </c>
      <c r="M1030">
        <f t="shared" si="32"/>
        <v>112</v>
      </c>
      <c r="N1030">
        <v>0.32258064516129031</v>
      </c>
      <c r="O1030" s="23" cm="1">
        <f t="array" ref="O1030">WordListCount(K1030,keywords!$A$2:$A$31)-WordListCount(K1030,keywords!$B$2:$B$31)</f>
        <v>0</v>
      </c>
      <c r="P1030" s="25">
        <f t="shared" si="33"/>
        <v>0.63665509259259256</v>
      </c>
      <c r="Q1030" s="23">
        <f>SUM($O$2:O1030)</f>
        <v>36</v>
      </c>
      <c r="Y1030" s="14"/>
      <c r="Z1030" s="13"/>
      <c r="AA1030"/>
    </row>
    <row r="1031" spans="1:27" x14ac:dyDescent="0.2">
      <c r="A1031" s="12" t="s">
        <v>3249</v>
      </c>
      <c r="B1031" t="s">
        <v>3250</v>
      </c>
      <c r="C1031" t="s">
        <v>3251</v>
      </c>
      <c r="D1031" t="s">
        <v>3252</v>
      </c>
      <c r="E1031" t="s">
        <v>13</v>
      </c>
      <c r="F1031">
        <v>174</v>
      </c>
      <c r="G1031">
        <v>478</v>
      </c>
      <c r="H1031" s="5" t="s">
        <v>22</v>
      </c>
      <c r="I1031" s="5">
        <v>0</v>
      </c>
      <c r="J1031" s="5">
        <v>0</v>
      </c>
      <c r="K1031" t="s">
        <v>10545</v>
      </c>
      <c r="L1031" cm="1">
        <f t="array" ref="L1031">wordCount(K1031)</f>
        <v>5</v>
      </c>
      <c r="M1031">
        <f t="shared" si="32"/>
        <v>26</v>
      </c>
      <c r="N1031">
        <v>0.7857142857142857</v>
      </c>
      <c r="O1031" s="23" cm="1">
        <f t="array" ref="O1031">WordListCount(K1031,keywords!$A$2:$A$31)-WordListCount(K1031,keywords!$B$2:$B$31)</f>
        <v>0</v>
      </c>
      <c r="P1031" s="25">
        <f t="shared" si="33"/>
        <v>0.6368287037037037</v>
      </c>
      <c r="Q1031" s="23">
        <f>SUM($O$2:O1031)</f>
        <v>36</v>
      </c>
      <c r="Y1031" s="14"/>
      <c r="Z1031" s="13"/>
      <c r="AA1031"/>
    </row>
    <row r="1032" spans="1:27" x14ac:dyDescent="0.2">
      <c r="A1032" s="33" t="s">
        <v>3253</v>
      </c>
      <c r="B1032" s="34" t="s">
        <v>3254</v>
      </c>
      <c r="C1032" s="34" t="s">
        <v>123</v>
      </c>
      <c r="D1032" s="34" t="s">
        <v>124</v>
      </c>
      <c r="E1032" s="34" t="s">
        <v>13</v>
      </c>
      <c r="F1032" s="34">
        <v>838</v>
      </c>
      <c r="G1032" s="34">
        <v>899</v>
      </c>
      <c r="H1032" s="35" t="s">
        <v>125</v>
      </c>
      <c r="I1032" s="35">
        <v>0</v>
      </c>
      <c r="J1032" s="35">
        <v>0</v>
      </c>
      <c r="K1032" s="34" t="s">
        <v>9335</v>
      </c>
      <c r="L1032" s="34" cm="1">
        <f t="array" ref="L1032">wordCount(K1032)</f>
        <v>21</v>
      </c>
      <c r="M1032" s="34">
        <f t="shared" si="32"/>
        <v>98</v>
      </c>
      <c r="N1032" s="34">
        <v>0.81818181818181823</v>
      </c>
      <c r="O1032" s="36" cm="1">
        <f t="array" ref="O1032">WordListCount(K1032,keywords!$A$2:$A$31)-WordListCount(K1032,keywords!$B$2:$B$31)</f>
        <v>0</v>
      </c>
      <c r="P1032" s="37">
        <f t="shared" si="33"/>
        <v>0.63686342592592593</v>
      </c>
      <c r="Q1032" s="23">
        <f>SUM($O$2:O1032)</f>
        <v>36</v>
      </c>
    </row>
    <row r="1033" spans="1:27" x14ac:dyDescent="0.2">
      <c r="A1033" s="12" t="s">
        <v>3255</v>
      </c>
      <c r="B1033" t="s">
        <v>3256</v>
      </c>
      <c r="C1033" t="s">
        <v>3257</v>
      </c>
      <c r="D1033" t="s">
        <v>3258</v>
      </c>
      <c r="E1033" t="s">
        <v>13</v>
      </c>
      <c r="F1033">
        <v>271</v>
      </c>
      <c r="G1033">
        <v>63</v>
      </c>
      <c r="H1033" s="5" t="s">
        <v>22</v>
      </c>
      <c r="I1033" s="5">
        <v>0</v>
      </c>
      <c r="J1033" s="5">
        <v>0</v>
      </c>
      <c r="K1033" t="s">
        <v>10546</v>
      </c>
      <c r="L1033" cm="1">
        <f t="array" ref="L1033">wordCount(K1033)</f>
        <v>4</v>
      </c>
      <c r="M1033">
        <f t="shared" si="32"/>
        <v>21</v>
      </c>
      <c r="N1033">
        <v>0.84615384615384615</v>
      </c>
      <c r="O1033" s="23" cm="1">
        <f t="array" ref="O1033">WordListCount(K1033,keywords!$A$2:$A$31)-WordListCount(K1033,keywords!$B$2:$B$31)</f>
        <v>0</v>
      </c>
      <c r="P1033" s="25">
        <f t="shared" si="33"/>
        <v>0.63741898148148146</v>
      </c>
      <c r="Q1033" s="23">
        <f>SUM($O$2:O1033)</f>
        <v>36</v>
      </c>
      <c r="Y1033" s="14"/>
      <c r="Z1033" s="13"/>
      <c r="AA1033"/>
    </row>
    <row r="1034" spans="1:27" x14ac:dyDescent="0.2">
      <c r="A1034" s="12" t="s">
        <v>3259</v>
      </c>
      <c r="B1034" t="s">
        <v>3260</v>
      </c>
      <c r="C1034" t="s">
        <v>3261</v>
      </c>
      <c r="D1034" t="s">
        <v>2002</v>
      </c>
      <c r="E1034" t="s">
        <v>13</v>
      </c>
      <c r="F1034">
        <v>1415</v>
      </c>
      <c r="G1034">
        <v>472</v>
      </c>
      <c r="H1034" s="5" t="s">
        <v>22</v>
      </c>
      <c r="I1034" s="5">
        <v>0</v>
      </c>
      <c r="J1034" s="5">
        <v>0</v>
      </c>
      <c r="K1034" t="s">
        <v>10547</v>
      </c>
      <c r="L1034" cm="1">
        <f t="array" ref="L1034">wordCount(K1034)</f>
        <v>11</v>
      </c>
      <c r="M1034">
        <f t="shared" si="32"/>
        <v>33</v>
      </c>
      <c r="N1034">
        <v>0.8125</v>
      </c>
      <c r="O1034" s="23" cm="1">
        <f t="array" ref="O1034">WordListCount(K1034,keywords!$A$2:$A$31)-WordListCount(K1034,keywords!$B$2:$B$31)</f>
        <v>0</v>
      </c>
      <c r="P1034" s="25">
        <f t="shared" si="33"/>
        <v>0.63747685185185188</v>
      </c>
      <c r="Q1034" s="23">
        <f>SUM($O$2:O1034)</f>
        <v>36</v>
      </c>
      <c r="Y1034" s="14"/>
      <c r="Z1034" s="13"/>
      <c r="AA1034"/>
    </row>
    <row r="1035" spans="1:27" x14ac:dyDescent="0.2">
      <c r="A1035" s="12" t="s">
        <v>3262</v>
      </c>
      <c r="B1035" t="s">
        <v>3263</v>
      </c>
      <c r="C1035" t="s">
        <v>3264</v>
      </c>
      <c r="D1035" t="s">
        <v>3265</v>
      </c>
      <c r="E1035" t="s">
        <v>13</v>
      </c>
      <c r="F1035">
        <v>41</v>
      </c>
      <c r="G1035">
        <v>165</v>
      </c>
      <c r="H1035" s="5" t="s">
        <v>3266</v>
      </c>
      <c r="I1035" s="5">
        <v>0</v>
      </c>
      <c r="J1035" s="5">
        <v>0</v>
      </c>
      <c r="K1035" t="s">
        <v>9336</v>
      </c>
      <c r="L1035" cm="1">
        <f t="array" ref="L1035">wordCount(K1035)</f>
        <v>13</v>
      </c>
      <c r="M1035">
        <f t="shared" si="32"/>
        <v>63</v>
      </c>
      <c r="N1035">
        <v>0.61538461538461542</v>
      </c>
      <c r="O1035" s="23" cm="1">
        <f t="array" ref="O1035">WordListCount(K1035,keywords!$A$2:$A$31)-WordListCount(K1035,keywords!$B$2:$B$31)</f>
        <v>0</v>
      </c>
      <c r="P1035" s="25">
        <f t="shared" si="33"/>
        <v>0.63755787037037037</v>
      </c>
      <c r="Q1035" s="23">
        <f>SUM($O$2:O1035)</f>
        <v>36</v>
      </c>
      <c r="Y1035" s="14"/>
      <c r="Z1035" s="13"/>
      <c r="AA1035"/>
    </row>
    <row r="1036" spans="1:27" x14ac:dyDescent="0.2">
      <c r="A1036" s="12" t="s">
        <v>3267</v>
      </c>
      <c r="B1036" t="s">
        <v>3268</v>
      </c>
      <c r="C1036" t="s">
        <v>3269</v>
      </c>
      <c r="D1036" t="s">
        <v>3270</v>
      </c>
      <c r="E1036" t="s">
        <v>13</v>
      </c>
      <c r="F1036">
        <v>562</v>
      </c>
      <c r="G1036">
        <v>288</v>
      </c>
      <c r="H1036" s="5" t="s">
        <v>59</v>
      </c>
      <c r="I1036" s="5">
        <v>0</v>
      </c>
      <c r="J1036" s="5">
        <v>0</v>
      </c>
      <c r="K1036" t="s">
        <v>9337</v>
      </c>
      <c r="L1036" cm="1">
        <f t="array" ref="L1036">wordCount(K1036)</f>
        <v>8</v>
      </c>
      <c r="M1036">
        <f t="shared" si="32"/>
        <v>40</v>
      </c>
      <c r="N1036">
        <v>0.68421052631578949</v>
      </c>
      <c r="O1036" s="23" cm="1">
        <f t="array" ref="O1036">WordListCount(K1036,keywords!$A$2:$A$31)-WordListCount(K1036,keywords!$B$2:$B$31)</f>
        <v>0</v>
      </c>
      <c r="P1036" s="25">
        <f t="shared" si="33"/>
        <v>0.63756944444444441</v>
      </c>
      <c r="Q1036" s="23">
        <f>SUM($O$2:O1036)</f>
        <v>36</v>
      </c>
      <c r="Y1036" s="14"/>
      <c r="Z1036" s="13"/>
      <c r="AA1036"/>
    </row>
    <row r="1037" spans="1:27" x14ac:dyDescent="0.2">
      <c r="A1037" s="12" t="s">
        <v>3271</v>
      </c>
      <c r="B1037" t="s">
        <v>3272</v>
      </c>
      <c r="C1037" t="s">
        <v>3273</v>
      </c>
      <c r="D1037" t="s">
        <v>3274</v>
      </c>
      <c r="E1037" t="s">
        <v>13</v>
      </c>
      <c r="F1037">
        <v>13475</v>
      </c>
      <c r="G1037">
        <v>492</v>
      </c>
      <c r="H1037" s="5" t="s">
        <v>22</v>
      </c>
      <c r="I1037" s="5">
        <v>0</v>
      </c>
      <c r="J1037" s="5">
        <v>0</v>
      </c>
      <c r="K1037" t="s">
        <v>10548</v>
      </c>
      <c r="L1037" cm="1">
        <f t="array" ref="L1037">wordCount(K1037)</f>
        <v>20</v>
      </c>
      <c r="M1037">
        <f t="shared" si="32"/>
        <v>94</v>
      </c>
      <c r="N1037">
        <v>0.34615384615384615</v>
      </c>
      <c r="O1037" s="23" cm="1">
        <f t="array" ref="O1037">WordListCount(K1037,keywords!$A$2:$A$31)-WordListCount(K1037,keywords!$B$2:$B$31)</f>
        <v>0</v>
      </c>
      <c r="P1037" s="25">
        <f t="shared" si="33"/>
        <v>0.63766203703703705</v>
      </c>
      <c r="Q1037" s="23">
        <f>SUM($O$2:O1037)</f>
        <v>36</v>
      </c>
      <c r="Y1037" s="14"/>
      <c r="Z1037" s="13"/>
      <c r="AA1037"/>
    </row>
    <row r="1038" spans="1:27" x14ac:dyDescent="0.2">
      <c r="A1038" s="12" t="s">
        <v>3275</v>
      </c>
      <c r="B1038" t="s">
        <v>3276</v>
      </c>
      <c r="C1038" t="s">
        <v>3277</v>
      </c>
      <c r="D1038" t="s">
        <v>12</v>
      </c>
      <c r="E1038" t="s">
        <v>13</v>
      </c>
      <c r="F1038">
        <v>15</v>
      </c>
      <c r="G1038">
        <v>159</v>
      </c>
      <c r="H1038" s="5" t="s">
        <v>393</v>
      </c>
      <c r="I1038" s="5">
        <v>0</v>
      </c>
      <c r="J1038" s="5">
        <v>0</v>
      </c>
      <c r="K1038" t="s">
        <v>10549</v>
      </c>
      <c r="L1038" cm="1">
        <f t="array" ref="L1038">wordCount(K1038)</f>
        <v>10</v>
      </c>
      <c r="M1038">
        <f t="shared" si="32"/>
        <v>54</v>
      </c>
      <c r="N1038">
        <v>0.69565217391304346</v>
      </c>
      <c r="O1038" s="23" cm="1">
        <f t="array" ref="O1038">WordListCount(K1038,keywords!$A$2:$A$31)-WordListCount(K1038,keywords!$B$2:$B$31)</f>
        <v>0</v>
      </c>
      <c r="P1038" s="25">
        <f t="shared" si="33"/>
        <v>0.63774305555555555</v>
      </c>
      <c r="Q1038" s="23">
        <f>SUM($O$2:O1038)</f>
        <v>36</v>
      </c>
      <c r="Y1038" s="14"/>
      <c r="Z1038" s="13"/>
      <c r="AA1038"/>
    </row>
    <row r="1039" spans="1:27" x14ac:dyDescent="0.2">
      <c r="A1039" s="12" t="s">
        <v>3278</v>
      </c>
      <c r="B1039" t="s">
        <v>3279</v>
      </c>
      <c r="C1039" t="s">
        <v>3280</v>
      </c>
      <c r="D1039" t="s">
        <v>3281</v>
      </c>
      <c r="E1039" t="s">
        <v>13</v>
      </c>
      <c r="F1039">
        <v>438</v>
      </c>
      <c r="G1039">
        <v>134</v>
      </c>
      <c r="H1039" s="5" t="s">
        <v>22</v>
      </c>
      <c r="I1039" s="5">
        <v>0</v>
      </c>
      <c r="J1039" s="5">
        <v>0</v>
      </c>
      <c r="K1039" t="s">
        <v>9338</v>
      </c>
      <c r="L1039" cm="1">
        <f t="array" ref="L1039">wordCount(K1039)</f>
        <v>3</v>
      </c>
      <c r="M1039">
        <f t="shared" si="32"/>
        <v>17</v>
      </c>
      <c r="N1039">
        <v>0.8125</v>
      </c>
      <c r="O1039" s="23" cm="1">
        <f t="array" ref="O1039">WordListCount(K1039,keywords!$A$2:$A$31)-WordListCount(K1039,keywords!$B$2:$B$31)</f>
        <v>0</v>
      </c>
      <c r="P1039" s="25">
        <f t="shared" si="33"/>
        <v>0.63783564814814808</v>
      </c>
      <c r="Q1039" s="23">
        <f>SUM($O$2:O1039)</f>
        <v>36</v>
      </c>
      <c r="Y1039" s="14"/>
      <c r="Z1039" s="13"/>
      <c r="AA1039"/>
    </row>
    <row r="1040" spans="1:27" x14ac:dyDescent="0.2">
      <c r="A1040" s="12" t="s">
        <v>3282</v>
      </c>
      <c r="B1040" t="s">
        <v>3283</v>
      </c>
      <c r="C1040" t="s">
        <v>3284</v>
      </c>
      <c r="D1040" t="s">
        <v>12</v>
      </c>
      <c r="E1040" t="s">
        <v>13</v>
      </c>
      <c r="F1040">
        <v>17</v>
      </c>
      <c r="G1040">
        <v>123</v>
      </c>
      <c r="H1040" s="5" t="s">
        <v>677</v>
      </c>
      <c r="I1040" s="5">
        <v>0</v>
      </c>
      <c r="J1040" s="5">
        <v>0</v>
      </c>
      <c r="K1040" t="s">
        <v>10550</v>
      </c>
      <c r="L1040" cm="1">
        <f t="array" ref="L1040">wordCount(K1040)</f>
        <v>6</v>
      </c>
      <c r="M1040">
        <f t="shared" si="32"/>
        <v>31</v>
      </c>
      <c r="N1040">
        <v>0.80952380952380953</v>
      </c>
      <c r="O1040" s="23" cm="1">
        <f t="array" ref="O1040">WordListCount(K1040,keywords!$A$2:$A$31)-WordListCount(K1040,keywords!$B$2:$B$31)</f>
        <v>0</v>
      </c>
      <c r="P1040" s="25">
        <f t="shared" si="33"/>
        <v>0.63824074074074078</v>
      </c>
      <c r="Q1040" s="23">
        <f>SUM($O$2:O1040)</f>
        <v>36</v>
      </c>
      <c r="Y1040" s="14"/>
      <c r="Z1040" s="13"/>
      <c r="AA1040"/>
    </row>
    <row r="1041" spans="1:27" x14ac:dyDescent="0.2">
      <c r="A1041" s="12" t="s">
        <v>3285</v>
      </c>
      <c r="B1041" t="s">
        <v>3286</v>
      </c>
      <c r="C1041" t="s">
        <v>3287</v>
      </c>
      <c r="D1041" t="s">
        <v>1479</v>
      </c>
      <c r="E1041" t="s">
        <v>13</v>
      </c>
      <c r="F1041">
        <v>83</v>
      </c>
      <c r="G1041">
        <v>476</v>
      </c>
      <c r="H1041" s="5" t="s">
        <v>22</v>
      </c>
      <c r="I1041" s="5">
        <v>0</v>
      </c>
      <c r="J1041" s="5">
        <v>0</v>
      </c>
      <c r="K1041" t="s">
        <v>10551</v>
      </c>
      <c r="L1041" cm="1">
        <f t="array" ref="L1041">wordCount(K1041)</f>
        <v>8</v>
      </c>
      <c r="M1041">
        <f t="shared" si="32"/>
        <v>69</v>
      </c>
      <c r="N1041">
        <v>0.4</v>
      </c>
      <c r="O1041" s="23" cm="1">
        <f t="array" ref="O1041">WordListCount(K1041,keywords!$A$2:$A$31)-WordListCount(K1041,keywords!$B$2:$B$31)</f>
        <v>0</v>
      </c>
      <c r="P1041" s="25">
        <f t="shared" si="33"/>
        <v>0.63832175925925927</v>
      </c>
      <c r="Q1041" s="23">
        <f>SUM($O$2:O1041)</f>
        <v>36</v>
      </c>
      <c r="Y1041" s="14"/>
      <c r="Z1041" s="13"/>
      <c r="AA1041"/>
    </row>
    <row r="1042" spans="1:27" x14ac:dyDescent="0.2">
      <c r="A1042" s="12" t="s">
        <v>3288</v>
      </c>
      <c r="B1042" t="s">
        <v>3289</v>
      </c>
      <c r="C1042" t="s">
        <v>3290</v>
      </c>
      <c r="D1042" t="s">
        <v>12</v>
      </c>
      <c r="E1042" t="s">
        <v>13</v>
      </c>
      <c r="F1042">
        <v>7781</v>
      </c>
      <c r="G1042">
        <v>1365</v>
      </c>
      <c r="H1042" s="5" t="s">
        <v>22</v>
      </c>
      <c r="I1042" s="5">
        <v>0</v>
      </c>
      <c r="J1042" s="5">
        <v>0</v>
      </c>
      <c r="K1042" t="s">
        <v>9339</v>
      </c>
      <c r="L1042" cm="1">
        <f t="array" ref="L1042">wordCount(K1042)</f>
        <v>11</v>
      </c>
      <c r="M1042">
        <f t="shared" si="32"/>
        <v>55</v>
      </c>
      <c r="N1042">
        <v>0.65</v>
      </c>
      <c r="O1042" s="23" cm="1">
        <f t="array" ref="O1042">WordListCount(K1042,keywords!$A$2:$A$31)-WordListCount(K1042,keywords!$B$2:$B$31)</f>
        <v>0</v>
      </c>
      <c r="P1042" s="25">
        <f t="shared" si="33"/>
        <v>0.63839120370370372</v>
      </c>
      <c r="Q1042" s="23">
        <f>SUM($O$2:O1042)</f>
        <v>36</v>
      </c>
      <c r="Y1042" s="14"/>
      <c r="Z1042" s="13"/>
      <c r="AA1042"/>
    </row>
    <row r="1043" spans="1:27" x14ac:dyDescent="0.2">
      <c r="A1043" s="12" t="s">
        <v>3291</v>
      </c>
      <c r="B1043" t="s">
        <v>3292</v>
      </c>
      <c r="C1043" t="s">
        <v>3293</v>
      </c>
      <c r="D1043" t="s">
        <v>3294</v>
      </c>
      <c r="E1043" t="s">
        <v>13</v>
      </c>
      <c r="F1043">
        <v>1030</v>
      </c>
      <c r="G1043">
        <v>1010</v>
      </c>
      <c r="H1043" s="5" t="s">
        <v>22</v>
      </c>
      <c r="I1043" s="5">
        <v>0</v>
      </c>
      <c r="J1043" s="5">
        <v>0</v>
      </c>
      <c r="K1043" t="s">
        <v>10552</v>
      </c>
      <c r="L1043" cm="1">
        <f t="array" ref="L1043">wordCount(K1043)</f>
        <v>17</v>
      </c>
      <c r="M1043">
        <f t="shared" si="32"/>
        <v>66</v>
      </c>
      <c r="N1043">
        <v>0.17647058823529413</v>
      </c>
      <c r="O1043" s="23" cm="1">
        <f t="array" ref="O1043">WordListCount(K1043,keywords!$A$2:$A$31)-WordListCount(K1043,keywords!$B$2:$B$31)</f>
        <v>0</v>
      </c>
      <c r="P1043" s="25">
        <f t="shared" si="33"/>
        <v>0.6384953703703703</v>
      </c>
      <c r="Q1043" s="23">
        <f>SUM($O$2:O1043)</f>
        <v>36</v>
      </c>
      <c r="Y1043" s="14"/>
      <c r="Z1043" s="13"/>
      <c r="AA1043"/>
    </row>
    <row r="1044" spans="1:27" x14ac:dyDescent="0.2">
      <c r="A1044" s="12" t="s">
        <v>3295</v>
      </c>
      <c r="B1044" t="s">
        <v>3296</v>
      </c>
      <c r="C1044" t="s">
        <v>3086</v>
      </c>
      <c r="D1044" t="s">
        <v>3087</v>
      </c>
      <c r="E1044" t="s">
        <v>13</v>
      </c>
      <c r="F1044">
        <v>1210</v>
      </c>
      <c r="G1044">
        <v>2424</v>
      </c>
      <c r="H1044" s="5" t="s">
        <v>22</v>
      </c>
      <c r="I1044" s="5">
        <v>0</v>
      </c>
      <c r="J1044" s="5">
        <v>0</v>
      </c>
      <c r="K1044" t="s">
        <v>10553</v>
      </c>
      <c r="L1044" cm="1">
        <f t="array" ref="L1044">wordCount(K1044)</f>
        <v>28</v>
      </c>
      <c r="M1044">
        <f t="shared" si="32"/>
        <v>127</v>
      </c>
      <c r="N1044">
        <v>0.27272727272727271</v>
      </c>
      <c r="O1044" s="23" cm="1">
        <f t="array" ref="O1044">WordListCount(K1044,keywords!$A$2:$A$31)-WordListCount(K1044,keywords!$B$2:$B$31)</f>
        <v>0</v>
      </c>
      <c r="P1044" s="25">
        <f t="shared" si="33"/>
        <v>0.6385763888888889</v>
      </c>
      <c r="Q1044" s="23">
        <f>SUM($O$2:O1044)</f>
        <v>36</v>
      </c>
      <c r="Y1044" s="14"/>
      <c r="Z1044" s="13"/>
      <c r="AA1044"/>
    </row>
    <row r="1045" spans="1:27" x14ac:dyDescent="0.2">
      <c r="A1045" s="12" t="s">
        <v>3297</v>
      </c>
      <c r="B1045" t="s">
        <v>3298</v>
      </c>
      <c r="C1045" t="s">
        <v>3299</v>
      </c>
      <c r="D1045" t="s">
        <v>12</v>
      </c>
      <c r="E1045" t="s">
        <v>13</v>
      </c>
      <c r="F1045">
        <v>32</v>
      </c>
      <c r="G1045">
        <v>229</v>
      </c>
      <c r="H1045" s="5" t="s">
        <v>22</v>
      </c>
      <c r="I1045" s="5">
        <v>0</v>
      </c>
      <c r="J1045" s="5">
        <v>0</v>
      </c>
      <c r="K1045" t="s">
        <v>10554</v>
      </c>
      <c r="L1045" cm="1">
        <f t="array" ref="L1045">wordCount(K1045)</f>
        <v>23</v>
      </c>
      <c r="M1045">
        <f t="shared" si="32"/>
        <v>116</v>
      </c>
      <c r="N1045">
        <v>0.13636363636363635</v>
      </c>
      <c r="O1045" s="23" cm="1">
        <f t="array" ref="O1045">WordListCount(K1045,keywords!$A$2:$A$31)-WordListCount(K1045,keywords!$B$2:$B$31)</f>
        <v>0</v>
      </c>
      <c r="P1045" s="25">
        <f t="shared" si="33"/>
        <v>0.63866898148148155</v>
      </c>
      <c r="Q1045" s="23">
        <f>SUM($O$2:O1045)</f>
        <v>36</v>
      </c>
      <c r="Y1045" s="14"/>
      <c r="Z1045" s="13"/>
      <c r="AA1045"/>
    </row>
    <row r="1046" spans="1:27" x14ac:dyDescent="0.2">
      <c r="A1046" s="12" t="s">
        <v>3300</v>
      </c>
      <c r="B1046" t="s">
        <v>3301</v>
      </c>
      <c r="C1046" t="s">
        <v>3302</v>
      </c>
      <c r="D1046" t="s">
        <v>3303</v>
      </c>
      <c r="E1046" t="s">
        <v>13</v>
      </c>
      <c r="F1046">
        <v>59</v>
      </c>
      <c r="G1046">
        <v>1300</v>
      </c>
      <c r="H1046" s="5" t="s">
        <v>22</v>
      </c>
      <c r="I1046" s="5">
        <v>0</v>
      </c>
      <c r="J1046" s="5">
        <v>0</v>
      </c>
      <c r="K1046" t="s">
        <v>9340</v>
      </c>
      <c r="L1046" cm="1">
        <f t="array" ref="L1046">wordCount(K1046)</f>
        <v>4</v>
      </c>
      <c r="M1046">
        <f t="shared" si="32"/>
        <v>19</v>
      </c>
      <c r="N1046">
        <v>0.8666666666666667</v>
      </c>
      <c r="O1046" s="23" cm="1">
        <f t="array" ref="O1046">WordListCount(K1046,keywords!$A$2:$A$31)-WordListCount(K1046,keywords!$B$2:$B$31)</f>
        <v>0</v>
      </c>
      <c r="P1046" s="25">
        <f t="shared" si="33"/>
        <v>0.638738425925926</v>
      </c>
      <c r="Q1046" s="23">
        <f>SUM($O$2:O1046)</f>
        <v>36</v>
      </c>
      <c r="Y1046" s="14"/>
      <c r="Z1046" s="13"/>
      <c r="AA1046"/>
    </row>
    <row r="1047" spans="1:27" x14ac:dyDescent="0.2">
      <c r="A1047" s="12" t="s">
        <v>3304</v>
      </c>
      <c r="B1047" t="s">
        <v>3305</v>
      </c>
      <c r="C1047" t="s">
        <v>3306</v>
      </c>
      <c r="D1047" t="s">
        <v>3307</v>
      </c>
      <c r="E1047" t="s">
        <v>13</v>
      </c>
      <c r="F1047">
        <v>590</v>
      </c>
      <c r="G1047">
        <v>2150</v>
      </c>
      <c r="H1047" s="5" t="s">
        <v>22</v>
      </c>
      <c r="I1047" s="5">
        <v>0</v>
      </c>
      <c r="J1047" s="5">
        <v>0</v>
      </c>
      <c r="K1047" t="s">
        <v>10555</v>
      </c>
      <c r="L1047" cm="1">
        <f t="array" ref="L1047">wordCount(K1047)</f>
        <v>13</v>
      </c>
      <c r="M1047">
        <f t="shared" si="32"/>
        <v>47</v>
      </c>
      <c r="N1047">
        <v>0.25</v>
      </c>
      <c r="O1047" s="23" cm="1">
        <f t="array" ref="O1047">WordListCount(K1047,keywords!$A$2:$A$31)-WordListCount(K1047,keywords!$B$2:$B$31)</f>
        <v>0</v>
      </c>
      <c r="P1047" s="25">
        <f t="shared" si="33"/>
        <v>0.63875000000000004</v>
      </c>
      <c r="Q1047" s="23">
        <f>SUM($O$2:O1047)</f>
        <v>36</v>
      </c>
      <c r="Y1047" s="14"/>
      <c r="Z1047" s="13"/>
      <c r="AA1047"/>
    </row>
    <row r="1048" spans="1:27" x14ac:dyDescent="0.2">
      <c r="A1048" s="12" t="s">
        <v>3308</v>
      </c>
      <c r="B1048" t="s">
        <v>3309</v>
      </c>
      <c r="C1048" t="s">
        <v>3075</v>
      </c>
      <c r="D1048" t="s">
        <v>3076</v>
      </c>
      <c r="E1048" t="s">
        <v>13</v>
      </c>
      <c r="F1048">
        <v>1323</v>
      </c>
      <c r="G1048">
        <v>1009</v>
      </c>
      <c r="H1048" s="5" t="s">
        <v>22</v>
      </c>
      <c r="I1048" s="5">
        <v>0</v>
      </c>
      <c r="J1048" s="5">
        <v>0</v>
      </c>
      <c r="K1048" t="s">
        <v>10556</v>
      </c>
      <c r="L1048" cm="1">
        <f t="array" ref="L1048">wordCount(K1048)</f>
        <v>20</v>
      </c>
      <c r="M1048">
        <f t="shared" si="32"/>
        <v>94</v>
      </c>
      <c r="N1048">
        <v>0.33333333333333331</v>
      </c>
      <c r="O1048" s="23" cm="1">
        <f t="array" ref="O1048">WordListCount(K1048,keywords!$A$2:$A$31)-WordListCount(K1048,keywords!$B$2:$B$31)</f>
        <v>-1</v>
      </c>
      <c r="P1048" s="25">
        <f t="shared" si="33"/>
        <v>0.63876157407407408</v>
      </c>
      <c r="Q1048" s="23">
        <f>SUM($O$2:O1048)</f>
        <v>35</v>
      </c>
      <c r="Y1048" s="14"/>
      <c r="Z1048" s="13"/>
      <c r="AA1048"/>
    </row>
    <row r="1049" spans="1:27" x14ac:dyDescent="0.2">
      <c r="A1049" s="12" t="s">
        <v>3310</v>
      </c>
      <c r="B1049" t="s">
        <v>3311</v>
      </c>
      <c r="C1049" t="s">
        <v>3290</v>
      </c>
      <c r="D1049" t="s">
        <v>12</v>
      </c>
      <c r="E1049" t="s">
        <v>13</v>
      </c>
      <c r="F1049">
        <v>7781</v>
      </c>
      <c r="G1049">
        <v>1365</v>
      </c>
      <c r="H1049" s="5" t="s">
        <v>22</v>
      </c>
      <c r="I1049" s="5">
        <v>0</v>
      </c>
      <c r="J1049" s="5">
        <v>0</v>
      </c>
      <c r="K1049" t="s">
        <v>9341</v>
      </c>
      <c r="L1049" cm="1">
        <f t="array" ref="L1049">wordCount(K1049)</f>
        <v>12</v>
      </c>
      <c r="M1049">
        <f t="shared" si="32"/>
        <v>60</v>
      </c>
      <c r="N1049">
        <v>0.84615384615384615</v>
      </c>
      <c r="O1049" s="23" cm="1">
        <f t="array" ref="O1049">WordListCount(K1049,keywords!$A$2:$A$31)-WordListCount(K1049,keywords!$B$2:$B$31)</f>
        <v>0</v>
      </c>
      <c r="P1049" s="25">
        <f t="shared" si="33"/>
        <v>0.63884259259259257</v>
      </c>
      <c r="Q1049" s="23">
        <f>SUM($O$2:O1049)</f>
        <v>35</v>
      </c>
      <c r="Y1049" s="14"/>
      <c r="Z1049" s="13"/>
      <c r="AA1049"/>
    </row>
    <row r="1050" spans="1:27" x14ac:dyDescent="0.2">
      <c r="A1050" s="12" t="s">
        <v>3312</v>
      </c>
      <c r="B1050" t="s">
        <v>3313</v>
      </c>
      <c r="C1050" t="s">
        <v>3314</v>
      </c>
      <c r="D1050" t="s">
        <v>12</v>
      </c>
      <c r="E1050" t="s">
        <v>13</v>
      </c>
      <c r="F1050">
        <v>15</v>
      </c>
      <c r="G1050">
        <v>139</v>
      </c>
      <c r="H1050" s="5" t="s">
        <v>393</v>
      </c>
      <c r="I1050" s="5">
        <v>0</v>
      </c>
      <c r="J1050" s="5">
        <v>0</v>
      </c>
      <c r="K1050" t="s">
        <v>10557</v>
      </c>
      <c r="L1050" cm="1">
        <f t="array" ref="L1050">wordCount(K1050)</f>
        <v>4</v>
      </c>
      <c r="M1050">
        <f t="shared" si="32"/>
        <v>12</v>
      </c>
      <c r="N1050">
        <v>0.91666666666666663</v>
      </c>
      <c r="O1050" s="23" cm="1">
        <f t="array" ref="O1050">WordListCount(K1050,keywords!$A$2:$A$31)-WordListCount(K1050,keywords!$B$2:$B$31)</f>
        <v>0</v>
      </c>
      <c r="P1050" s="25">
        <f t="shared" si="33"/>
        <v>0.63893518518518522</v>
      </c>
      <c r="Q1050" s="23">
        <f>SUM($O$2:O1050)</f>
        <v>35</v>
      </c>
      <c r="Y1050" s="14"/>
      <c r="Z1050" s="13"/>
      <c r="AA1050"/>
    </row>
    <row r="1051" spans="1:27" x14ac:dyDescent="0.2">
      <c r="A1051" s="12" t="s">
        <v>3315</v>
      </c>
      <c r="B1051" t="s">
        <v>3316</v>
      </c>
      <c r="C1051" t="s">
        <v>310</v>
      </c>
      <c r="D1051" t="s">
        <v>12</v>
      </c>
      <c r="E1051" t="s">
        <v>13</v>
      </c>
      <c r="F1051">
        <v>3635</v>
      </c>
      <c r="G1051">
        <v>3732</v>
      </c>
      <c r="H1051" s="5" t="s">
        <v>22</v>
      </c>
      <c r="I1051" s="5">
        <v>0</v>
      </c>
      <c r="J1051" s="5">
        <v>0</v>
      </c>
      <c r="K1051" t="s">
        <v>10558</v>
      </c>
      <c r="L1051" cm="1">
        <f t="array" ref="L1051">wordCount(K1051)</f>
        <v>7</v>
      </c>
      <c r="M1051">
        <f t="shared" si="32"/>
        <v>45</v>
      </c>
      <c r="N1051">
        <v>0.5714285714285714</v>
      </c>
      <c r="O1051" s="23" cm="1">
        <f t="array" ref="O1051">WordListCount(K1051,keywords!$A$2:$A$31)-WordListCount(K1051,keywords!$B$2:$B$31)</f>
        <v>0</v>
      </c>
      <c r="P1051" s="25">
        <f t="shared" si="33"/>
        <v>0.63917824074074081</v>
      </c>
      <c r="Q1051" s="23">
        <f>SUM($O$2:O1051)</f>
        <v>35</v>
      </c>
      <c r="Y1051" s="14"/>
      <c r="Z1051" s="13"/>
      <c r="AA1051"/>
    </row>
    <row r="1052" spans="1:27" x14ac:dyDescent="0.2">
      <c r="A1052" s="12" t="s">
        <v>3317</v>
      </c>
      <c r="B1052" t="s">
        <v>3318</v>
      </c>
      <c r="C1052" t="s">
        <v>3319</v>
      </c>
      <c r="D1052" t="s">
        <v>3320</v>
      </c>
      <c r="E1052" t="s">
        <v>13</v>
      </c>
      <c r="F1052">
        <v>554</v>
      </c>
      <c r="G1052">
        <v>445</v>
      </c>
      <c r="H1052" s="5" t="s">
        <v>22</v>
      </c>
      <c r="I1052" s="5">
        <v>0</v>
      </c>
      <c r="J1052" s="5">
        <v>0</v>
      </c>
      <c r="K1052" t="s">
        <v>10559</v>
      </c>
      <c r="L1052" cm="1">
        <f t="array" ref="L1052">wordCount(K1052)</f>
        <v>14</v>
      </c>
      <c r="M1052">
        <f t="shared" si="32"/>
        <v>68</v>
      </c>
      <c r="N1052">
        <v>0.54166666666666663</v>
      </c>
      <c r="O1052" s="23" cm="1">
        <f t="array" ref="O1052">WordListCount(K1052,keywords!$A$2:$A$31)-WordListCount(K1052,keywords!$B$2:$B$31)</f>
        <v>0</v>
      </c>
      <c r="P1052" s="25">
        <f t="shared" si="33"/>
        <v>0.63990740740740737</v>
      </c>
      <c r="Q1052" s="23">
        <f>SUM($O$2:O1052)</f>
        <v>35</v>
      </c>
      <c r="Y1052" s="14"/>
      <c r="Z1052" s="13"/>
      <c r="AA1052"/>
    </row>
    <row r="1053" spans="1:27" x14ac:dyDescent="0.2">
      <c r="A1053" s="12" t="s">
        <v>3321</v>
      </c>
      <c r="B1053" t="s">
        <v>3322</v>
      </c>
      <c r="C1053" t="s">
        <v>3323</v>
      </c>
      <c r="D1053" t="s">
        <v>12</v>
      </c>
      <c r="E1053" t="s">
        <v>13</v>
      </c>
      <c r="F1053">
        <v>708</v>
      </c>
      <c r="G1053">
        <v>374</v>
      </c>
      <c r="H1053" s="5" t="s">
        <v>22</v>
      </c>
      <c r="I1053" s="5">
        <v>0</v>
      </c>
      <c r="J1053" s="5">
        <v>0</v>
      </c>
      <c r="K1053" t="s">
        <v>10560</v>
      </c>
      <c r="L1053" cm="1">
        <f t="array" ref="L1053">wordCount(K1053)</f>
        <v>19</v>
      </c>
      <c r="M1053">
        <f t="shared" si="32"/>
        <v>109</v>
      </c>
      <c r="N1053">
        <v>0.34782608695652173</v>
      </c>
      <c r="O1053" s="23" cm="1">
        <f t="array" ref="O1053">WordListCount(K1053,keywords!$A$2:$A$31)-WordListCount(K1053,keywords!$B$2:$B$31)</f>
        <v>0</v>
      </c>
      <c r="P1053" s="25">
        <f t="shared" si="33"/>
        <v>0.6399421296296296</v>
      </c>
      <c r="Q1053" s="23">
        <f>SUM($O$2:O1053)</f>
        <v>35</v>
      </c>
      <c r="Y1053" s="14"/>
      <c r="Z1053" s="13"/>
      <c r="AA1053"/>
    </row>
    <row r="1054" spans="1:27" x14ac:dyDescent="0.2">
      <c r="A1054" s="12" t="s">
        <v>3324</v>
      </c>
      <c r="B1054" t="s">
        <v>3325</v>
      </c>
      <c r="C1054" t="s">
        <v>3326</v>
      </c>
      <c r="D1054" t="s">
        <v>12</v>
      </c>
      <c r="E1054" t="s">
        <v>13</v>
      </c>
      <c r="F1054">
        <v>444</v>
      </c>
      <c r="G1054">
        <v>301</v>
      </c>
      <c r="H1054" s="5" t="s">
        <v>22</v>
      </c>
      <c r="I1054" s="5">
        <v>0</v>
      </c>
      <c r="J1054" s="5">
        <v>0</v>
      </c>
      <c r="K1054" t="s">
        <v>10561</v>
      </c>
      <c r="L1054" cm="1">
        <f t="array" ref="L1054">wordCount(K1054)</f>
        <v>11</v>
      </c>
      <c r="M1054">
        <f t="shared" si="32"/>
        <v>51</v>
      </c>
      <c r="N1054">
        <v>0.25</v>
      </c>
      <c r="O1054" s="23" cm="1">
        <f t="array" ref="O1054">WordListCount(K1054,keywords!$A$2:$A$31)-WordListCount(K1054,keywords!$B$2:$B$31)</f>
        <v>0</v>
      </c>
      <c r="P1054" s="25">
        <f t="shared" si="33"/>
        <v>0.64001157407407405</v>
      </c>
      <c r="Q1054" s="23">
        <f>SUM($O$2:O1054)</f>
        <v>35</v>
      </c>
      <c r="Y1054" s="14"/>
      <c r="Z1054" s="13"/>
      <c r="AA1054"/>
    </row>
    <row r="1055" spans="1:27" x14ac:dyDescent="0.2">
      <c r="A1055" s="12" t="s">
        <v>3327</v>
      </c>
      <c r="B1055" t="s">
        <v>3328</v>
      </c>
      <c r="C1055" t="s">
        <v>3329</v>
      </c>
      <c r="D1055" t="s">
        <v>3330</v>
      </c>
      <c r="E1055" t="s">
        <v>13</v>
      </c>
      <c r="F1055">
        <v>128</v>
      </c>
      <c r="G1055">
        <v>1067</v>
      </c>
      <c r="H1055" s="5" t="s">
        <v>96</v>
      </c>
      <c r="I1055" s="5">
        <v>0</v>
      </c>
      <c r="J1055" s="5">
        <v>0</v>
      </c>
      <c r="K1055" t="s">
        <v>9342</v>
      </c>
      <c r="L1055" cm="1">
        <f t="array" ref="L1055">wordCount(K1055)</f>
        <v>6</v>
      </c>
      <c r="M1055">
        <f t="shared" si="32"/>
        <v>44</v>
      </c>
      <c r="N1055">
        <v>0.66666666666666663</v>
      </c>
      <c r="O1055" s="23" cm="1">
        <f t="array" ref="O1055">WordListCount(K1055,keywords!$A$2:$A$31)-WordListCount(K1055,keywords!$B$2:$B$31)</f>
        <v>0</v>
      </c>
      <c r="P1055" s="25">
        <f t="shared" si="33"/>
        <v>0.64025462962962965</v>
      </c>
      <c r="Q1055" s="23">
        <f>SUM($O$2:O1055)</f>
        <v>35</v>
      </c>
      <c r="Y1055" s="14"/>
      <c r="Z1055" s="13"/>
      <c r="AA1055"/>
    </row>
    <row r="1056" spans="1:27" x14ac:dyDescent="0.2">
      <c r="A1056" s="12" t="s">
        <v>3331</v>
      </c>
      <c r="B1056" t="s">
        <v>3332</v>
      </c>
      <c r="C1056" t="s">
        <v>3333</v>
      </c>
      <c r="D1056" t="s">
        <v>12</v>
      </c>
      <c r="E1056" t="s">
        <v>13</v>
      </c>
      <c r="F1056">
        <v>53</v>
      </c>
      <c r="G1056">
        <v>95</v>
      </c>
      <c r="H1056" s="5" t="s">
        <v>22</v>
      </c>
      <c r="I1056" s="5">
        <v>0</v>
      </c>
      <c r="J1056" s="5">
        <v>0</v>
      </c>
      <c r="K1056" t="s">
        <v>10562</v>
      </c>
      <c r="L1056" cm="1">
        <f t="array" ref="L1056">wordCount(K1056)</f>
        <v>12</v>
      </c>
      <c r="M1056">
        <f t="shared" si="32"/>
        <v>63</v>
      </c>
      <c r="N1056">
        <v>0.6875</v>
      </c>
      <c r="O1056" s="23" cm="1">
        <f t="array" ref="O1056">WordListCount(K1056,keywords!$A$2:$A$31)-WordListCount(K1056,keywords!$B$2:$B$31)</f>
        <v>0</v>
      </c>
      <c r="P1056" s="25">
        <f t="shared" si="33"/>
        <v>0.64045138888888886</v>
      </c>
      <c r="Q1056" s="23">
        <f>SUM($O$2:O1056)</f>
        <v>35</v>
      </c>
      <c r="Y1056" s="14"/>
      <c r="Z1056" s="13"/>
      <c r="AA1056"/>
    </row>
    <row r="1057" spans="1:27" x14ac:dyDescent="0.2">
      <c r="A1057" s="12" t="s">
        <v>3334</v>
      </c>
      <c r="B1057" t="s">
        <v>3335</v>
      </c>
      <c r="C1057" t="s">
        <v>3336</v>
      </c>
      <c r="D1057" t="s">
        <v>3337</v>
      </c>
      <c r="E1057" t="s">
        <v>13</v>
      </c>
      <c r="F1057">
        <v>75</v>
      </c>
      <c r="G1057">
        <v>284</v>
      </c>
      <c r="H1057" s="5" t="s">
        <v>22</v>
      </c>
      <c r="I1057" s="5">
        <v>0</v>
      </c>
      <c r="J1057" s="5">
        <v>0</v>
      </c>
      <c r="K1057" t="s">
        <v>9343</v>
      </c>
      <c r="L1057" cm="1">
        <f t="array" ref="L1057">wordCount(K1057)</f>
        <v>13</v>
      </c>
      <c r="M1057">
        <f t="shared" si="32"/>
        <v>56</v>
      </c>
      <c r="N1057">
        <v>0.30769230769230771</v>
      </c>
      <c r="O1057" s="23" cm="1">
        <f t="array" ref="O1057">WordListCount(K1057,keywords!$A$2:$A$31)-WordListCount(K1057,keywords!$B$2:$B$31)</f>
        <v>0</v>
      </c>
      <c r="P1057" s="25">
        <f t="shared" si="33"/>
        <v>0.64064814814814819</v>
      </c>
      <c r="Q1057" s="23">
        <f>SUM($O$2:O1057)</f>
        <v>35</v>
      </c>
      <c r="Y1057" s="14"/>
      <c r="Z1057" s="13"/>
      <c r="AA1057"/>
    </row>
    <row r="1058" spans="1:27" x14ac:dyDescent="0.2">
      <c r="A1058" s="12" t="s">
        <v>3338</v>
      </c>
      <c r="B1058" t="s">
        <v>3339</v>
      </c>
      <c r="C1058" t="s">
        <v>3340</v>
      </c>
      <c r="D1058" t="s">
        <v>3341</v>
      </c>
      <c r="E1058" t="s">
        <v>13</v>
      </c>
      <c r="F1058">
        <v>2297</v>
      </c>
      <c r="G1058">
        <v>1522</v>
      </c>
      <c r="H1058" s="5" t="s">
        <v>22</v>
      </c>
      <c r="I1058" s="5">
        <v>0</v>
      </c>
      <c r="J1058" s="5">
        <v>0</v>
      </c>
      <c r="K1058" t="s">
        <v>10563</v>
      </c>
      <c r="L1058" cm="1">
        <f t="array" ref="L1058">wordCount(K1058)</f>
        <v>19</v>
      </c>
      <c r="M1058">
        <f t="shared" si="32"/>
        <v>94</v>
      </c>
      <c r="N1058">
        <v>0.5</v>
      </c>
      <c r="O1058" s="23" cm="1">
        <f t="array" ref="O1058">WordListCount(K1058,keywords!$A$2:$A$31)-WordListCount(K1058,keywords!$B$2:$B$31)</f>
        <v>-2</v>
      </c>
      <c r="P1058" s="25">
        <f t="shared" si="33"/>
        <v>0.64067129629629627</v>
      </c>
      <c r="Q1058" s="23">
        <f>SUM($O$2:O1058)</f>
        <v>33</v>
      </c>
      <c r="Y1058" s="14"/>
      <c r="Z1058" s="13"/>
      <c r="AA1058"/>
    </row>
    <row r="1059" spans="1:27" x14ac:dyDescent="0.2">
      <c r="A1059" s="12" t="s">
        <v>3342</v>
      </c>
      <c r="B1059" t="s">
        <v>3343</v>
      </c>
      <c r="C1059" t="s">
        <v>3344</v>
      </c>
      <c r="D1059" t="s">
        <v>12</v>
      </c>
      <c r="E1059" t="s">
        <v>13</v>
      </c>
      <c r="F1059">
        <v>7</v>
      </c>
      <c r="G1059">
        <v>88</v>
      </c>
      <c r="H1059" s="5" t="s">
        <v>22</v>
      </c>
      <c r="I1059" s="5">
        <v>0</v>
      </c>
      <c r="J1059" s="5">
        <v>0</v>
      </c>
      <c r="K1059" t="s">
        <v>10564</v>
      </c>
      <c r="L1059" cm="1">
        <f t="array" ref="L1059">wordCount(K1059)</f>
        <v>9</v>
      </c>
      <c r="M1059">
        <f t="shared" si="32"/>
        <v>48</v>
      </c>
      <c r="N1059">
        <v>0.3</v>
      </c>
      <c r="O1059" s="23" cm="1">
        <f t="array" ref="O1059">WordListCount(K1059,keywords!$A$2:$A$31)-WordListCount(K1059,keywords!$B$2:$B$31)</f>
        <v>0</v>
      </c>
      <c r="P1059" s="25">
        <f t="shared" si="33"/>
        <v>0.64068287037037031</v>
      </c>
      <c r="Q1059" s="23">
        <f>SUM($O$2:O1059)</f>
        <v>33</v>
      </c>
      <c r="Y1059" s="14"/>
      <c r="Z1059" s="13"/>
      <c r="AA1059"/>
    </row>
    <row r="1060" spans="1:27" x14ac:dyDescent="0.2">
      <c r="A1060" s="12" t="s">
        <v>3345</v>
      </c>
      <c r="B1060" t="s">
        <v>3346</v>
      </c>
      <c r="C1060" t="s">
        <v>3347</v>
      </c>
      <c r="D1060" t="s">
        <v>12</v>
      </c>
      <c r="E1060" t="s">
        <v>13</v>
      </c>
      <c r="F1060">
        <v>6055</v>
      </c>
      <c r="G1060">
        <v>3865</v>
      </c>
      <c r="H1060" s="5" t="s">
        <v>22</v>
      </c>
      <c r="I1060" s="5">
        <v>0</v>
      </c>
      <c r="J1060" s="5">
        <v>0</v>
      </c>
      <c r="K1060" t="s">
        <v>10565</v>
      </c>
      <c r="L1060" cm="1">
        <f t="array" ref="L1060">wordCount(K1060)</f>
        <v>16</v>
      </c>
      <c r="M1060">
        <f t="shared" si="32"/>
        <v>66</v>
      </c>
      <c r="N1060">
        <v>0.61111111111111116</v>
      </c>
      <c r="O1060" s="23" cm="1">
        <f t="array" ref="O1060">WordListCount(K1060,keywords!$A$2:$A$31)-WordListCount(K1060,keywords!$B$2:$B$31)</f>
        <v>0</v>
      </c>
      <c r="P1060" s="25">
        <f t="shared" si="33"/>
        <v>0.6408449074074074</v>
      </c>
      <c r="Q1060" s="23">
        <f>SUM($O$2:O1060)</f>
        <v>33</v>
      </c>
      <c r="Y1060" s="14"/>
      <c r="Z1060" s="13"/>
      <c r="AA1060"/>
    </row>
    <row r="1061" spans="1:27" x14ac:dyDescent="0.2">
      <c r="A1061" s="12" t="s">
        <v>3348</v>
      </c>
      <c r="B1061" t="s">
        <v>3349</v>
      </c>
      <c r="C1061" t="s">
        <v>3350</v>
      </c>
      <c r="D1061" t="s">
        <v>3351</v>
      </c>
      <c r="E1061" t="s">
        <v>13</v>
      </c>
      <c r="F1061">
        <v>203</v>
      </c>
      <c r="G1061">
        <v>175</v>
      </c>
      <c r="H1061" s="5" t="s">
        <v>22</v>
      </c>
      <c r="I1061" s="5">
        <v>0</v>
      </c>
      <c r="J1061" s="5">
        <v>0</v>
      </c>
      <c r="K1061" t="s">
        <v>9344</v>
      </c>
      <c r="L1061" cm="1">
        <f t="array" ref="L1061">wordCount(K1061)</f>
        <v>22</v>
      </c>
      <c r="M1061">
        <f t="shared" si="32"/>
        <v>131</v>
      </c>
      <c r="N1061">
        <v>0.40625</v>
      </c>
      <c r="O1061" s="23" cm="1">
        <f t="array" ref="O1061">WordListCount(K1061,keywords!$A$2:$A$31)-WordListCount(K1061,keywords!$B$2:$B$31)</f>
        <v>0</v>
      </c>
      <c r="P1061" s="25">
        <f t="shared" si="33"/>
        <v>0.64087962962962963</v>
      </c>
      <c r="Q1061" s="23">
        <f>SUM($O$2:O1061)</f>
        <v>33</v>
      </c>
      <c r="Y1061" s="14"/>
      <c r="Z1061" s="13"/>
      <c r="AA1061"/>
    </row>
    <row r="1062" spans="1:27" x14ac:dyDescent="0.2">
      <c r="A1062" s="12" t="s">
        <v>3352</v>
      </c>
      <c r="B1062" t="s">
        <v>3353</v>
      </c>
      <c r="C1062" t="s">
        <v>3354</v>
      </c>
      <c r="D1062" t="s">
        <v>3355</v>
      </c>
      <c r="E1062" t="s">
        <v>13</v>
      </c>
      <c r="F1062">
        <v>92</v>
      </c>
      <c r="G1062">
        <v>78</v>
      </c>
      <c r="H1062" s="5" t="s">
        <v>22</v>
      </c>
      <c r="I1062" s="5">
        <v>0</v>
      </c>
      <c r="J1062" s="5">
        <v>0</v>
      </c>
      <c r="K1062" t="s">
        <v>10566</v>
      </c>
      <c r="L1062" cm="1">
        <f t="array" ref="L1062">wordCount(K1062)</f>
        <v>12</v>
      </c>
      <c r="M1062">
        <f t="shared" si="32"/>
        <v>49</v>
      </c>
      <c r="N1062">
        <v>0.63636363636363635</v>
      </c>
      <c r="O1062" s="23" cm="1">
        <f t="array" ref="O1062">WordListCount(K1062,keywords!$A$2:$A$31)-WordListCount(K1062,keywords!$B$2:$B$31)</f>
        <v>0</v>
      </c>
      <c r="P1062" s="25">
        <f t="shared" si="33"/>
        <v>0.64093750000000005</v>
      </c>
      <c r="Q1062" s="23">
        <f>SUM($O$2:O1062)</f>
        <v>33</v>
      </c>
      <c r="Y1062" s="14"/>
      <c r="Z1062" s="13"/>
      <c r="AA1062"/>
    </row>
    <row r="1063" spans="1:27" x14ac:dyDescent="0.2">
      <c r="A1063" s="12" t="s">
        <v>3356</v>
      </c>
      <c r="B1063" t="s">
        <v>3357</v>
      </c>
      <c r="C1063" t="s">
        <v>3358</v>
      </c>
      <c r="D1063" t="s">
        <v>3359</v>
      </c>
      <c r="E1063" t="s">
        <v>13</v>
      </c>
      <c r="F1063">
        <v>5366</v>
      </c>
      <c r="G1063">
        <v>1650</v>
      </c>
      <c r="H1063" s="5" t="s">
        <v>22</v>
      </c>
      <c r="I1063" s="5">
        <v>0</v>
      </c>
      <c r="J1063" s="5">
        <v>0</v>
      </c>
      <c r="K1063" t="s">
        <v>10567</v>
      </c>
      <c r="L1063" cm="1">
        <f t="array" ref="L1063">wordCount(K1063)</f>
        <v>11</v>
      </c>
      <c r="M1063">
        <f t="shared" si="32"/>
        <v>52</v>
      </c>
      <c r="N1063">
        <v>0.65</v>
      </c>
      <c r="O1063" s="23" cm="1">
        <f t="array" ref="O1063">WordListCount(K1063,keywords!$A$2:$A$31)-WordListCount(K1063,keywords!$B$2:$B$31)</f>
        <v>1</v>
      </c>
      <c r="P1063" s="25">
        <f t="shared" si="33"/>
        <v>0.64094907407407409</v>
      </c>
      <c r="Q1063" s="23">
        <f>SUM($O$2:O1063)</f>
        <v>34</v>
      </c>
      <c r="Y1063" s="14"/>
      <c r="Z1063" s="13"/>
      <c r="AA1063"/>
    </row>
    <row r="1064" spans="1:27" x14ac:dyDescent="0.2">
      <c r="A1064" s="12" t="s">
        <v>3360</v>
      </c>
      <c r="B1064" t="s">
        <v>3361</v>
      </c>
      <c r="C1064" t="s">
        <v>2582</v>
      </c>
      <c r="D1064" t="s">
        <v>12</v>
      </c>
      <c r="E1064" t="s">
        <v>13</v>
      </c>
      <c r="F1064">
        <v>222</v>
      </c>
      <c r="G1064">
        <v>224</v>
      </c>
      <c r="H1064" s="5" t="s">
        <v>22</v>
      </c>
      <c r="I1064" s="5">
        <v>0</v>
      </c>
      <c r="J1064" s="5">
        <v>0</v>
      </c>
      <c r="K1064" t="s">
        <v>9345</v>
      </c>
      <c r="L1064" cm="1">
        <f t="array" ref="L1064">wordCount(K1064)</f>
        <v>7</v>
      </c>
      <c r="M1064">
        <f t="shared" si="32"/>
        <v>38</v>
      </c>
      <c r="N1064">
        <v>0.66666666666666663</v>
      </c>
      <c r="O1064" s="23" cm="1">
        <f t="array" ref="O1064">WordListCount(K1064,keywords!$A$2:$A$31)-WordListCount(K1064,keywords!$B$2:$B$31)</f>
        <v>1</v>
      </c>
      <c r="P1064" s="25">
        <f t="shared" si="33"/>
        <v>0.64099537037037035</v>
      </c>
      <c r="Q1064" s="23">
        <f>SUM($O$2:O1064)</f>
        <v>35</v>
      </c>
      <c r="Y1064" s="14"/>
      <c r="Z1064" s="13"/>
      <c r="AA1064"/>
    </row>
    <row r="1065" spans="1:27" x14ac:dyDescent="0.2">
      <c r="A1065" s="12" t="s">
        <v>3362</v>
      </c>
      <c r="B1065" t="s">
        <v>3363</v>
      </c>
      <c r="C1065" t="s">
        <v>3364</v>
      </c>
      <c r="D1065" t="s">
        <v>2460</v>
      </c>
      <c r="E1065" t="s">
        <v>13</v>
      </c>
      <c r="F1065">
        <v>107</v>
      </c>
      <c r="G1065">
        <v>67</v>
      </c>
      <c r="H1065" s="5" t="s">
        <v>22</v>
      </c>
      <c r="I1065" s="5">
        <v>0</v>
      </c>
      <c r="J1065" s="5">
        <v>0</v>
      </c>
      <c r="K1065" t="s">
        <v>10568</v>
      </c>
      <c r="L1065" cm="1">
        <f t="array" ref="L1065">wordCount(K1065)</f>
        <v>16</v>
      </c>
      <c r="M1065">
        <f t="shared" si="32"/>
        <v>84</v>
      </c>
      <c r="N1065">
        <v>0.36363636363636365</v>
      </c>
      <c r="O1065" s="23" cm="1">
        <f t="array" ref="O1065">WordListCount(K1065,keywords!$A$2:$A$31)-WordListCount(K1065,keywords!$B$2:$B$31)</f>
        <v>0</v>
      </c>
      <c r="P1065" s="25">
        <f t="shared" si="33"/>
        <v>0.64123842592592595</v>
      </c>
      <c r="Q1065" s="23">
        <f>SUM($O$2:O1065)</f>
        <v>35</v>
      </c>
      <c r="Y1065" s="14"/>
      <c r="Z1065" s="13"/>
      <c r="AA1065"/>
    </row>
    <row r="1066" spans="1:27" x14ac:dyDescent="0.2">
      <c r="A1066" s="12" t="s">
        <v>3365</v>
      </c>
      <c r="B1066" t="s">
        <v>3366</v>
      </c>
      <c r="C1066" t="s">
        <v>3367</v>
      </c>
      <c r="D1066" t="s">
        <v>12</v>
      </c>
      <c r="E1066" t="s">
        <v>13</v>
      </c>
      <c r="F1066">
        <v>10187</v>
      </c>
      <c r="G1066">
        <v>5143</v>
      </c>
      <c r="H1066" s="5" t="s">
        <v>22</v>
      </c>
      <c r="I1066" s="5">
        <v>0</v>
      </c>
      <c r="J1066" s="5">
        <v>0</v>
      </c>
      <c r="K1066" t="s">
        <v>10569</v>
      </c>
      <c r="L1066" cm="1">
        <f t="array" ref="L1066">wordCount(K1066)</f>
        <v>19</v>
      </c>
      <c r="M1066">
        <f t="shared" si="32"/>
        <v>84</v>
      </c>
      <c r="N1066">
        <v>0.125</v>
      </c>
      <c r="O1066" s="23" cm="1">
        <f t="array" ref="O1066">WordListCount(K1066,keywords!$A$2:$A$31)-WordListCount(K1066,keywords!$B$2:$B$31)</f>
        <v>0</v>
      </c>
      <c r="P1066" s="25">
        <f t="shared" si="33"/>
        <v>0.64153935185185185</v>
      </c>
      <c r="Q1066" s="23">
        <f>SUM($O$2:O1066)</f>
        <v>35</v>
      </c>
      <c r="Y1066" s="14"/>
      <c r="Z1066" s="13"/>
      <c r="AA1066"/>
    </row>
    <row r="1067" spans="1:27" x14ac:dyDescent="0.2">
      <c r="A1067" s="12" t="s">
        <v>3368</v>
      </c>
      <c r="B1067" t="s">
        <v>3369</v>
      </c>
      <c r="C1067" t="s">
        <v>3370</v>
      </c>
      <c r="D1067" t="s">
        <v>1383</v>
      </c>
      <c r="E1067" t="s">
        <v>13</v>
      </c>
      <c r="F1067">
        <v>938</v>
      </c>
      <c r="G1067">
        <v>294</v>
      </c>
      <c r="H1067" s="5" t="s">
        <v>125</v>
      </c>
      <c r="I1067" s="5">
        <v>0</v>
      </c>
      <c r="J1067" s="5">
        <v>0</v>
      </c>
      <c r="K1067" t="s">
        <v>10570</v>
      </c>
      <c r="L1067" cm="1">
        <f t="array" ref="L1067">wordCount(K1067)</f>
        <v>25</v>
      </c>
      <c r="M1067">
        <f t="shared" si="32"/>
        <v>124</v>
      </c>
      <c r="N1067">
        <v>0.55555555555555558</v>
      </c>
      <c r="O1067" s="23" cm="1">
        <f t="array" ref="O1067">WordListCount(K1067,keywords!$A$2:$A$31)-WordListCount(K1067,keywords!$B$2:$B$31)</f>
        <v>0</v>
      </c>
      <c r="P1067" s="25">
        <f t="shared" si="33"/>
        <v>0.64178240740740744</v>
      </c>
      <c r="Q1067" s="23">
        <f>SUM($O$2:O1067)</f>
        <v>35</v>
      </c>
      <c r="Y1067" s="14"/>
      <c r="Z1067" s="13"/>
      <c r="AA1067"/>
    </row>
    <row r="1068" spans="1:27" x14ac:dyDescent="0.2">
      <c r="A1068" s="12" t="s">
        <v>3371</v>
      </c>
      <c r="B1068" t="s">
        <v>3372</v>
      </c>
      <c r="C1068" t="s">
        <v>3373</v>
      </c>
      <c r="D1068" t="s">
        <v>3374</v>
      </c>
      <c r="E1068" t="s">
        <v>13</v>
      </c>
      <c r="F1068">
        <v>2766</v>
      </c>
      <c r="G1068">
        <v>3889</v>
      </c>
      <c r="H1068" s="5" t="s">
        <v>22</v>
      </c>
      <c r="I1068" s="5">
        <v>0</v>
      </c>
      <c r="J1068" s="5">
        <v>0</v>
      </c>
      <c r="K1068" t="s">
        <v>10571</v>
      </c>
      <c r="L1068" cm="1">
        <f t="array" ref="L1068">wordCount(K1068)</f>
        <v>17</v>
      </c>
      <c r="M1068">
        <f t="shared" si="32"/>
        <v>85</v>
      </c>
      <c r="N1068">
        <v>0.31578947368421051</v>
      </c>
      <c r="O1068" s="23" cm="1">
        <f t="array" ref="O1068">WordListCount(K1068,keywords!$A$2:$A$31)-WordListCount(K1068,keywords!$B$2:$B$31)</f>
        <v>-1</v>
      </c>
      <c r="P1068" s="25">
        <f t="shared" si="33"/>
        <v>0.64184027777777775</v>
      </c>
      <c r="Q1068" s="23">
        <f>SUM($O$2:O1068)</f>
        <v>34</v>
      </c>
      <c r="Y1068" s="14"/>
      <c r="Z1068" s="13"/>
      <c r="AA1068"/>
    </row>
    <row r="1069" spans="1:27" x14ac:dyDescent="0.2">
      <c r="A1069" s="12" t="s">
        <v>3375</v>
      </c>
      <c r="B1069" t="s">
        <v>3376</v>
      </c>
      <c r="C1069" t="s">
        <v>3377</v>
      </c>
      <c r="D1069" t="s">
        <v>3378</v>
      </c>
      <c r="E1069" t="s">
        <v>13</v>
      </c>
      <c r="F1069">
        <v>125</v>
      </c>
      <c r="G1069">
        <v>191</v>
      </c>
      <c r="H1069" s="5" t="s">
        <v>125</v>
      </c>
      <c r="I1069" s="5">
        <v>0</v>
      </c>
      <c r="J1069" s="5">
        <v>0</v>
      </c>
      <c r="K1069" t="s">
        <v>10572</v>
      </c>
      <c r="L1069" cm="1">
        <f t="array" ref="L1069">wordCount(K1069)</f>
        <v>17</v>
      </c>
      <c r="M1069">
        <f t="shared" si="32"/>
        <v>84</v>
      </c>
      <c r="N1069">
        <v>0.59259259259259256</v>
      </c>
      <c r="O1069" s="23" cm="1">
        <f t="array" ref="O1069">WordListCount(K1069,keywords!$A$2:$A$31)-WordListCount(K1069,keywords!$B$2:$B$31)</f>
        <v>0</v>
      </c>
      <c r="P1069" s="25">
        <f t="shared" si="33"/>
        <v>0.64233796296296297</v>
      </c>
      <c r="Q1069" s="23">
        <f>SUM($O$2:O1069)</f>
        <v>34</v>
      </c>
      <c r="Y1069" s="14"/>
      <c r="Z1069" s="13"/>
      <c r="AA1069"/>
    </row>
    <row r="1070" spans="1:27" x14ac:dyDescent="0.2">
      <c r="A1070" s="12" t="s">
        <v>3379</v>
      </c>
      <c r="B1070" t="s">
        <v>3380</v>
      </c>
      <c r="C1070" t="s">
        <v>3381</v>
      </c>
      <c r="D1070" t="s">
        <v>883</v>
      </c>
      <c r="E1070" t="s">
        <v>13</v>
      </c>
      <c r="F1070">
        <v>4050</v>
      </c>
      <c r="G1070">
        <v>1677</v>
      </c>
      <c r="H1070" s="5" t="s">
        <v>22</v>
      </c>
      <c r="I1070" s="5">
        <v>0</v>
      </c>
      <c r="J1070" s="5">
        <v>0</v>
      </c>
      <c r="K1070" t="s">
        <v>10573</v>
      </c>
      <c r="L1070" cm="1">
        <f t="array" ref="L1070">wordCount(K1070)</f>
        <v>7</v>
      </c>
      <c r="M1070">
        <f t="shared" si="32"/>
        <v>37</v>
      </c>
      <c r="N1070">
        <v>0.72727272727272729</v>
      </c>
      <c r="O1070" s="23" cm="1">
        <f t="array" ref="O1070">WordListCount(K1070,keywords!$A$2:$A$31)-WordListCount(K1070,keywords!$B$2:$B$31)</f>
        <v>0</v>
      </c>
      <c r="P1070" s="25">
        <f t="shared" si="33"/>
        <v>0.64241898148148147</v>
      </c>
      <c r="Q1070" s="23">
        <f>SUM($O$2:O1070)</f>
        <v>34</v>
      </c>
      <c r="Y1070" s="14"/>
      <c r="Z1070" s="13"/>
      <c r="AA1070"/>
    </row>
    <row r="1071" spans="1:27" x14ac:dyDescent="0.2">
      <c r="A1071" s="12" t="s">
        <v>3382</v>
      </c>
      <c r="B1071" t="s">
        <v>3383</v>
      </c>
      <c r="C1071" t="s">
        <v>3384</v>
      </c>
      <c r="D1071" t="s">
        <v>3385</v>
      </c>
      <c r="E1071" t="s">
        <v>13</v>
      </c>
      <c r="F1071">
        <v>650</v>
      </c>
      <c r="G1071">
        <v>676</v>
      </c>
      <c r="H1071" s="5" t="s">
        <v>22</v>
      </c>
      <c r="I1071" s="5">
        <v>0</v>
      </c>
      <c r="J1071" s="5">
        <v>0</v>
      </c>
      <c r="K1071" t="s">
        <v>9346</v>
      </c>
      <c r="L1071" cm="1">
        <f t="array" ref="L1071">wordCount(K1071)</f>
        <v>10</v>
      </c>
      <c r="M1071">
        <f t="shared" si="32"/>
        <v>65</v>
      </c>
      <c r="N1071">
        <v>0.16666666666666666</v>
      </c>
      <c r="O1071" s="23" cm="1">
        <f t="array" ref="O1071">WordListCount(K1071,keywords!$A$2:$A$31)-WordListCount(K1071,keywords!$B$2:$B$31)</f>
        <v>0</v>
      </c>
      <c r="P1071" s="25">
        <f t="shared" si="33"/>
        <v>0.64249999999999996</v>
      </c>
      <c r="Q1071" s="23">
        <f>SUM($O$2:O1071)</f>
        <v>34</v>
      </c>
      <c r="Y1071" s="14"/>
      <c r="Z1071" s="13"/>
      <c r="AA1071"/>
    </row>
    <row r="1072" spans="1:27" x14ac:dyDescent="0.2">
      <c r="A1072" s="12" t="s">
        <v>3386</v>
      </c>
      <c r="B1072" t="s">
        <v>3387</v>
      </c>
      <c r="C1072" t="s">
        <v>2874</v>
      </c>
      <c r="D1072" t="s">
        <v>12</v>
      </c>
      <c r="E1072" t="s">
        <v>13</v>
      </c>
      <c r="F1072">
        <v>2</v>
      </c>
      <c r="G1072">
        <v>0</v>
      </c>
      <c r="H1072" s="5" t="s">
        <v>382</v>
      </c>
      <c r="I1072" s="5">
        <v>0</v>
      </c>
      <c r="J1072" s="5">
        <v>0</v>
      </c>
      <c r="K1072" t="s">
        <v>9347</v>
      </c>
      <c r="L1072" cm="1">
        <f t="array" ref="L1072">wordCount(K1072)</f>
        <v>23</v>
      </c>
      <c r="M1072">
        <f t="shared" si="32"/>
        <v>136</v>
      </c>
      <c r="N1072">
        <v>0.35483870967741937</v>
      </c>
      <c r="O1072" s="23" cm="1">
        <f t="array" ref="O1072">WordListCount(K1072,keywords!$A$2:$A$31)-WordListCount(K1072,keywords!$B$2:$B$31)</f>
        <v>3</v>
      </c>
      <c r="P1072" s="25">
        <f t="shared" si="33"/>
        <v>0.64274305555555555</v>
      </c>
      <c r="Q1072" s="23">
        <f>SUM($O$2:O1072)</f>
        <v>37</v>
      </c>
      <c r="Y1072" s="14"/>
      <c r="Z1072" s="13"/>
      <c r="AA1072"/>
    </row>
    <row r="1073" spans="1:27" x14ac:dyDescent="0.2">
      <c r="A1073" s="12" t="s">
        <v>3388</v>
      </c>
      <c r="B1073" t="s">
        <v>3389</v>
      </c>
      <c r="C1073" t="s">
        <v>3390</v>
      </c>
      <c r="D1073" t="s">
        <v>3391</v>
      </c>
      <c r="E1073" t="s">
        <v>13</v>
      </c>
      <c r="F1073">
        <v>24</v>
      </c>
      <c r="G1073">
        <v>105</v>
      </c>
      <c r="H1073" s="5" t="s">
        <v>22</v>
      </c>
      <c r="I1073" s="5">
        <v>0</v>
      </c>
      <c r="J1073" s="5">
        <v>0</v>
      </c>
      <c r="K1073" t="s">
        <v>10574</v>
      </c>
      <c r="L1073" cm="1">
        <f t="array" ref="L1073">wordCount(K1073)</f>
        <v>8</v>
      </c>
      <c r="M1073">
        <f t="shared" si="32"/>
        <v>34</v>
      </c>
      <c r="N1073">
        <v>0.54545454545454541</v>
      </c>
      <c r="O1073" s="23" cm="1">
        <f t="array" ref="O1073">WordListCount(K1073,keywords!$A$2:$A$31)-WordListCount(K1073,keywords!$B$2:$B$31)</f>
        <v>0</v>
      </c>
      <c r="P1073" s="25">
        <f t="shared" si="33"/>
        <v>0.6428356481481482</v>
      </c>
      <c r="Q1073" s="23">
        <f>SUM($O$2:O1073)</f>
        <v>37</v>
      </c>
      <c r="Y1073" s="14"/>
      <c r="Z1073" s="13"/>
      <c r="AA1073"/>
    </row>
    <row r="1074" spans="1:27" x14ac:dyDescent="0.2">
      <c r="A1074" s="12" t="s">
        <v>3392</v>
      </c>
      <c r="B1074" t="s">
        <v>3393</v>
      </c>
      <c r="C1074" t="s">
        <v>3394</v>
      </c>
      <c r="D1074" t="s">
        <v>12</v>
      </c>
      <c r="E1074" t="s">
        <v>13</v>
      </c>
      <c r="F1074">
        <v>128</v>
      </c>
      <c r="G1074">
        <v>114</v>
      </c>
      <c r="H1074" s="5" t="s">
        <v>22</v>
      </c>
      <c r="I1074" s="5">
        <v>0</v>
      </c>
      <c r="J1074" s="5">
        <v>0</v>
      </c>
      <c r="K1074" t="s">
        <v>9348</v>
      </c>
      <c r="L1074" cm="1">
        <f t="array" ref="L1074">wordCount(K1074)</f>
        <v>4</v>
      </c>
      <c r="M1074">
        <f t="shared" si="32"/>
        <v>15</v>
      </c>
      <c r="N1074">
        <v>0.72727272727272729</v>
      </c>
      <c r="O1074" s="23" cm="1">
        <f t="array" ref="O1074">WordListCount(K1074,keywords!$A$2:$A$31)-WordListCount(K1074,keywords!$B$2:$B$31)</f>
        <v>0</v>
      </c>
      <c r="P1074" s="25">
        <f t="shared" si="33"/>
        <v>0.6428935185185185</v>
      </c>
      <c r="Q1074" s="23">
        <f>SUM($O$2:O1074)</f>
        <v>37</v>
      </c>
      <c r="Y1074" s="14"/>
      <c r="Z1074" s="13"/>
      <c r="AA1074"/>
    </row>
    <row r="1075" spans="1:27" x14ac:dyDescent="0.2">
      <c r="A1075" s="12" t="s">
        <v>3395</v>
      </c>
      <c r="B1075" t="s">
        <v>3396</v>
      </c>
      <c r="C1075" t="s">
        <v>205</v>
      </c>
      <c r="D1075" t="s">
        <v>12</v>
      </c>
      <c r="E1075" t="s">
        <v>13</v>
      </c>
      <c r="F1075">
        <v>2868</v>
      </c>
      <c r="G1075">
        <v>6</v>
      </c>
      <c r="H1075" s="5" t="s">
        <v>22</v>
      </c>
      <c r="I1075" s="5">
        <v>0</v>
      </c>
      <c r="J1075" s="5">
        <v>0</v>
      </c>
      <c r="K1075" t="s">
        <v>9349</v>
      </c>
      <c r="L1075" cm="1">
        <f t="array" ref="L1075">wordCount(K1075)</f>
        <v>8</v>
      </c>
      <c r="M1075">
        <f t="shared" si="32"/>
        <v>55</v>
      </c>
      <c r="N1075">
        <v>0.77777777777777779</v>
      </c>
      <c r="O1075" s="23" cm="1">
        <f t="array" ref="O1075">WordListCount(K1075,keywords!$A$2:$A$31)-WordListCount(K1075,keywords!$B$2:$B$31)</f>
        <v>0</v>
      </c>
      <c r="P1075" s="25">
        <f t="shared" si="33"/>
        <v>0.6430555555555556</v>
      </c>
      <c r="Q1075" s="23">
        <f>SUM($O$2:O1075)</f>
        <v>37</v>
      </c>
      <c r="Y1075" s="14"/>
      <c r="Z1075" s="13"/>
      <c r="AA1075"/>
    </row>
    <row r="1076" spans="1:27" x14ac:dyDescent="0.2">
      <c r="A1076" s="12" t="s">
        <v>3397</v>
      </c>
      <c r="B1076" t="s">
        <v>3398</v>
      </c>
      <c r="C1076" t="s">
        <v>3399</v>
      </c>
      <c r="D1076" t="s">
        <v>12</v>
      </c>
      <c r="E1076" t="s">
        <v>13</v>
      </c>
      <c r="F1076">
        <v>183</v>
      </c>
      <c r="G1076">
        <v>127</v>
      </c>
      <c r="H1076" s="5" t="s">
        <v>96</v>
      </c>
      <c r="I1076" s="5">
        <v>0</v>
      </c>
      <c r="J1076" s="5">
        <v>0</v>
      </c>
      <c r="K1076" t="s">
        <v>10575</v>
      </c>
      <c r="L1076" cm="1">
        <f t="array" ref="L1076">wordCount(K1076)</f>
        <v>26</v>
      </c>
      <c r="M1076">
        <f t="shared" si="32"/>
        <v>116</v>
      </c>
      <c r="N1076">
        <v>0.21739130434782608</v>
      </c>
      <c r="O1076" s="23" cm="1">
        <f t="array" ref="O1076">WordListCount(K1076,keywords!$A$2:$A$31)-WordListCount(K1076,keywords!$B$2:$B$31)</f>
        <v>0</v>
      </c>
      <c r="P1076" s="25">
        <f t="shared" si="33"/>
        <v>0.64311342592592591</v>
      </c>
      <c r="Q1076" s="23">
        <f>SUM($O$2:O1076)</f>
        <v>37</v>
      </c>
      <c r="Y1076" s="14"/>
      <c r="Z1076" s="13"/>
      <c r="AA1076"/>
    </row>
    <row r="1077" spans="1:27" x14ac:dyDescent="0.2">
      <c r="A1077" s="12" t="s">
        <v>3397</v>
      </c>
      <c r="B1077" t="s">
        <v>3400</v>
      </c>
      <c r="C1077" t="s">
        <v>3401</v>
      </c>
      <c r="D1077" t="s">
        <v>12</v>
      </c>
      <c r="E1077" t="s">
        <v>13</v>
      </c>
      <c r="F1077">
        <v>1411</v>
      </c>
      <c r="G1077">
        <v>1074</v>
      </c>
      <c r="H1077" s="5" t="s">
        <v>22</v>
      </c>
      <c r="I1077" s="5">
        <v>0</v>
      </c>
      <c r="J1077" s="5">
        <v>0</v>
      </c>
      <c r="K1077" t="s">
        <v>9350</v>
      </c>
      <c r="L1077" cm="1">
        <f t="array" ref="L1077">wordCount(K1077)</f>
        <v>15</v>
      </c>
      <c r="M1077">
        <f t="shared" si="32"/>
        <v>77</v>
      </c>
      <c r="N1077">
        <v>0.38095238095238093</v>
      </c>
      <c r="O1077" s="23" cm="1">
        <f t="array" ref="O1077">WordListCount(K1077,keywords!$A$2:$A$31)-WordListCount(K1077,keywords!$B$2:$B$31)</f>
        <v>0</v>
      </c>
      <c r="P1077" s="25">
        <f t="shared" si="33"/>
        <v>0.64311342592592591</v>
      </c>
      <c r="Q1077" s="23">
        <f>SUM($O$2:O1077)</f>
        <v>37</v>
      </c>
      <c r="Y1077" s="14"/>
      <c r="Z1077" s="13"/>
      <c r="AA1077"/>
    </row>
    <row r="1078" spans="1:27" x14ac:dyDescent="0.2">
      <c r="A1078" s="12" t="s">
        <v>3402</v>
      </c>
      <c r="B1078" t="s">
        <v>3403</v>
      </c>
      <c r="C1078" t="s">
        <v>3404</v>
      </c>
      <c r="D1078" t="s">
        <v>3405</v>
      </c>
      <c r="E1078" t="s">
        <v>13</v>
      </c>
      <c r="F1078">
        <v>79</v>
      </c>
      <c r="G1078">
        <v>543</v>
      </c>
      <c r="H1078" s="5" t="s">
        <v>22</v>
      </c>
      <c r="I1078" s="5">
        <v>0</v>
      </c>
      <c r="J1078" s="5">
        <v>0</v>
      </c>
      <c r="K1078" t="s">
        <v>9351</v>
      </c>
      <c r="L1078" cm="1">
        <f t="array" ref="L1078">wordCount(K1078)</f>
        <v>4</v>
      </c>
      <c r="M1078">
        <f t="shared" si="32"/>
        <v>19</v>
      </c>
      <c r="N1078">
        <v>0.75</v>
      </c>
      <c r="O1078" s="23" cm="1">
        <f t="array" ref="O1078">WordListCount(K1078,keywords!$A$2:$A$31)-WordListCount(K1078,keywords!$B$2:$B$31)</f>
        <v>0</v>
      </c>
      <c r="P1078" s="25">
        <f t="shared" si="33"/>
        <v>0.64331018518518512</v>
      </c>
      <c r="Q1078" s="23">
        <f>SUM($O$2:O1078)</f>
        <v>37</v>
      </c>
      <c r="Y1078" s="14"/>
      <c r="Z1078" s="13"/>
      <c r="AA1078"/>
    </row>
    <row r="1079" spans="1:27" x14ac:dyDescent="0.2">
      <c r="A1079" s="12" t="s">
        <v>3406</v>
      </c>
      <c r="B1079" t="s">
        <v>3407</v>
      </c>
      <c r="C1079" t="s">
        <v>796</v>
      </c>
      <c r="D1079" t="s">
        <v>797</v>
      </c>
      <c r="E1079" t="s">
        <v>13</v>
      </c>
      <c r="F1079">
        <v>3059</v>
      </c>
      <c r="G1079">
        <v>983</v>
      </c>
      <c r="H1079" s="5" t="s">
        <v>22</v>
      </c>
      <c r="I1079" s="5">
        <v>0</v>
      </c>
      <c r="J1079" s="5">
        <v>0</v>
      </c>
      <c r="K1079" t="s">
        <v>9352</v>
      </c>
      <c r="L1079" cm="1">
        <f t="array" ref="L1079">wordCount(K1079)</f>
        <v>7</v>
      </c>
      <c r="M1079">
        <f t="shared" si="32"/>
        <v>45</v>
      </c>
      <c r="N1079">
        <v>0.70588235294117652</v>
      </c>
      <c r="O1079" s="23" cm="1">
        <f t="array" ref="O1079">WordListCount(K1079,keywords!$A$2:$A$31)-WordListCount(K1079,keywords!$B$2:$B$31)</f>
        <v>0</v>
      </c>
      <c r="P1079" s="25">
        <f t="shared" si="33"/>
        <v>0.64332175925925927</v>
      </c>
      <c r="Q1079" s="23">
        <f>SUM($O$2:O1079)</f>
        <v>37</v>
      </c>
      <c r="Y1079" s="14"/>
      <c r="Z1079" s="13"/>
      <c r="AA1079"/>
    </row>
    <row r="1080" spans="1:27" x14ac:dyDescent="0.2">
      <c r="A1080" s="12" t="s">
        <v>3408</v>
      </c>
      <c r="B1080" t="s">
        <v>3409</v>
      </c>
      <c r="C1080" t="s">
        <v>3410</v>
      </c>
      <c r="D1080" t="s">
        <v>197</v>
      </c>
      <c r="E1080" t="s">
        <v>13</v>
      </c>
      <c r="F1080">
        <v>36</v>
      </c>
      <c r="G1080">
        <v>38</v>
      </c>
      <c r="H1080" s="5" t="s">
        <v>22</v>
      </c>
      <c r="I1080" s="5">
        <v>0</v>
      </c>
      <c r="J1080" s="5">
        <v>0</v>
      </c>
      <c r="K1080" t="s">
        <v>9353</v>
      </c>
      <c r="L1080" cm="1">
        <f t="array" ref="L1080">wordCount(K1080)</f>
        <v>12</v>
      </c>
      <c r="M1080">
        <f t="shared" si="32"/>
        <v>59</v>
      </c>
      <c r="N1080">
        <v>0.5</v>
      </c>
      <c r="O1080" s="23" cm="1">
        <f t="array" ref="O1080">WordListCount(K1080,keywords!$A$2:$A$31)-WordListCount(K1080,keywords!$B$2:$B$31)</f>
        <v>-1</v>
      </c>
      <c r="P1080" s="25">
        <f t="shared" si="33"/>
        <v>0.64334490740740746</v>
      </c>
      <c r="Q1080" s="23">
        <f>SUM($O$2:O1080)</f>
        <v>36</v>
      </c>
      <c r="Y1080" s="14"/>
      <c r="Z1080" s="13"/>
      <c r="AA1080"/>
    </row>
    <row r="1081" spans="1:27" x14ac:dyDescent="0.2">
      <c r="A1081" s="12" t="s">
        <v>3411</v>
      </c>
      <c r="B1081" t="s">
        <v>3412</v>
      </c>
      <c r="C1081" t="s">
        <v>3413</v>
      </c>
      <c r="D1081" t="s">
        <v>3414</v>
      </c>
      <c r="E1081" t="s">
        <v>13</v>
      </c>
      <c r="F1081">
        <v>3137</v>
      </c>
      <c r="G1081">
        <v>566</v>
      </c>
      <c r="H1081" s="5" t="s">
        <v>22</v>
      </c>
      <c r="I1081" s="5">
        <v>0</v>
      </c>
      <c r="J1081" s="5">
        <v>0</v>
      </c>
      <c r="K1081" t="s">
        <v>10576</v>
      </c>
      <c r="L1081" cm="1">
        <f t="array" ref="L1081">wordCount(K1081)</f>
        <v>10</v>
      </c>
      <c r="M1081">
        <f t="shared" si="32"/>
        <v>55</v>
      </c>
      <c r="N1081">
        <v>0.76</v>
      </c>
      <c r="O1081" s="23" cm="1">
        <f t="array" ref="O1081">WordListCount(K1081,keywords!$A$2:$A$31)-WordListCount(K1081,keywords!$B$2:$B$31)</f>
        <v>0</v>
      </c>
      <c r="P1081" s="25">
        <f t="shared" si="33"/>
        <v>0.64353009259259253</v>
      </c>
      <c r="Q1081" s="23">
        <f>SUM($O$2:O1081)</f>
        <v>36</v>
      </c>
      <c r="Y1081" s="14"/>
      <c r="Z1081" s="13"/>
      <c r="AA1081"/>
    </row>
    <row r="1082" spans="1:27" x14ac:dyDescent="0.2">
      <c r="A1082" s="12" t="s">
        <v>3415</v>
      </c>
      <c r="B1082" t="s">
        <v>3416</v>
      </c>
      <c r="C1082" t="s">
        <v>3417</v>
      </c>
      <c r="D1082" t="s">
        <v>12</v>
      </c>
      <c r="E1082" t="s">
        <v>13</v>
      </c>
      <c r="F1082">
        <v>670</v>
      </c>
      <c r="G1082">
        <v>568</v>
      </c>
      <c r="H1082" s="5" t="s">
        <v>22</v>
      </c>
      <c r="I1082" s="5">
        <v>0</v>
      </c>
      <c r="J1082" s="5">
        <v>0</v>
      </c>
      <c r="K1082" t="s">
        <v>9354</v>
      </c>
      <c r="L1082" cm="1">
        <f t="array" ref="L1082">wordCount(K1082)</f>
        <v>9</v>
      </c>
      <c r="M1082">
        <f t="shared" si="32"/>
        <v>44</v>
      </c>
      <c r="N1082">
        <v>0.5</v>
      </c>
      <c r="O1082" s="23" cm="1">
        <f t="array" ref="O1082">WordListCount(K1082,keywords!$A$2:$A$31)-WordListCount(K1082,keywords!$B$2:$B$31)</f>
        <v>0</v>
      </c>
      <c r="P1082" s="25">
        <f t="shared" si="33"/>
        <v>0.64362268518518517</v>
      </c>
      <c r="Q1082" s="23">
        <f>SUM($O$2:O1082)</f>
        <v>36</v>
      </c>
      <c r="Y1082" s="14"/>
      <c r="Z1082" s="13"/>
      <c r="AA1082"/>
    </row>
    <row r="1083" spans="1:27" x14ac:dyDescent="0.2">
      <c r="A1083" s="12" t="s">
        <v>3418</v>
      </c>
      <c r="B1083" t="s">
        <v>3419</v>
      </c>
      <c r="C1083" t="s">
        <v>3420</v>
      </c>
      <c r="D1083" t="s">
        <v>594</v>
      </c>
      <c r="E1083" t="s">
        <v>47</v>
      </c>
      <c r="F1083">
        <v>12089</v>
      </c>
      <c r="G1083">
        <v>1635</v>
      </c>
      <c r="H1083" s="5" t="s">
        <v>22</v>
      </c>
      <c r="I1083" s="5">
        <v>0</v>
      </c>
      <c r="J1083" s="5">
        <v>0</v>
      </c>
      <c r="K1083" t="s">
        <v>10577</v>
      </c>
      <c r="L1083" cm="1">
        <f t="array" ref="L1083">wordCount(K1083)</f>
        <v>7</v>
      </c>
      <c r="M1083">
        <f t="shared" si="32"/>
        <v>39</v>
      </c>
      <c r="N1083">
        <v>0.8125</v>
      </c>
      <c r="O1083" s="23" cm="1">
        <f t="array" ref="O1083">WordListCount(K1083,keywords!$A$2:$A$31)-WordListCount(K1083,keywords!$B$2:$B$31)</f>
        <v>0</v>
      </c>
      <c r="P1083" s="25">
        <f t="shared" si="33"/>
        <v>0.64371527777777782</v>
      </c>
      <c r="Q1083" s="23">
        <f>SUM($O$2:O1083)</f>
        <v>36</v>
      </c>
      <c r="Y1083" s="14"/>
      <c r="Z1083" s="13"/>
      <c r="AA1083"/>
    </row>
    <row r="1084" spans="1:27" x14ac:dyDescent="0.2">
      <c r="A1084" s="12" t="s">
        <v>3421</v>
      </c>
      <c r="B1084" t="s">
        <v>3422</v>
      </c>
      <c r="C1084" t="s">
        <v>2989</v>
      </c>
      <c r="D1084" t="s">
        <v>2990</v>
      </c>
      <c r="E1084" t="s">
        <v>13</v>
      </c>
      <c r="F1084">
        <v>272</v>
      </c>
      <c r="G1084">
        <v>39</v>
      </c>
      <c r="H1084" s="5" t="s">
        <v>22</v>
      </c>
      <c r="I1084" s="5">
        <v>0</v>
      </c>
      <c r="J1084" s="5">
        <v>0</v>
      </c>
      <c r="K1084" t="s">
        <v>10578</v>
      </c>
      <c r="L1084" cm="1">
        <f t="array" ref="L1084">wordCount(K1084)</f>
        <v>23</v>
      </c>
      <c r="M1084">
        <f t="shared" si="32"/>
        <v>95</v>
      </c>
      <c r="N1084">
        <v>0.26923076923076922</v>
      </c>
      <c r="O1084" s="23" cm="1">
        <f t="array" ref="O1084">WordListCount(K1084,keywords!$A$2:$A$31)-WordListCount(K1084,keywords!$B$2:$B$31)</f>
        <v>0</v>
      </c>
      <c r="P1084" s="25">
        <f t="shared" si="33"/>
        <v>0.64393518518518522</v>
      </c>
      <c r="Q1084" s="23">
        <f>SUM($O$2:O1084)</f>
        <v>36</v>
      </c>
      <c r="Y1084" s="14"/>
      <c r="Z1084" s="13"/>
      <c r="AA1084"/>
    </row>
    <row r="1085" spans="1:27" x14ac:dyDescent="0.2">
      <c r="A1085" s="12" t="s">
        <v>3423</v>
      </c>
      <c r="B1085" t="s">
        <v>3424</v>
      </c>
      <c r="C1085" t="s">
        <v>3425</v>
      </c>
      <c r="D1085" t="s">
        <v>12</v>
      </c>
      <c r="E1085" t="s">
        <v>13</v>
      </c>
      <c r="F1085">
        <v>200</v>
      </c>
      <c r="G1085">
        <v>150</v>
      </c>
      <c r="H1085" s="5" t="s">
        <v>22</v>
      </c>
      <c r="I1085" s="5">
        <v>0</v>
      </c>
      <c r="J1085" s="5">
        <v>0</v>
      </c>
      <c r="K1085" t="s">
        <v>10579</v>
      </c>
      <c r="L1085" cm="1">
        <f t="array" ref="L1085">wordCount(K1085)</f>
        <v>13</v>
      </c>
      <c r="M1085">
        <f t="shared" si="32"/>
        <v>54</v>
      </c>
      <c r="N1085">
        <v>0.55555555555555558</v>
      </c>
      <c r="O1085" s="23" cm="1">
        <f t="array" ref="O1085">WordListCount(K1085,keywords!$A$2:$A$31)-WordListCount(K1085,keywords!$B$2:$B$31)</f>
        <v>-1</v>
      </c>
      <c r="P1085" s="25">
        <f t="shared" si="33"/>
        <v>0.6441203703703704</v>
      </c>
      <c r="Q1085" s="23">
        <f>SUM($O$2:O1085)</f>
        <v>35</v>
      </c>
      <c r="Y1085" s="14"/>
      <c r="Z1085" s="13"/>
      <c r="AA1085"/>
    </row>
    <row r="1086" spans="1:27" x14ac:dyDescent="0.2">
      <c r="A1086" s="12" t="s">
        <v>3426</v>
      </c>
      <c r="B1086" t="s">
        <v>3427</v>
      </c>
      <c r="C1086" t="s">
        <v>3428</v>
      </c>
      <c r="D1086" t="s">
        <v>3429</v>
      </c>
      <c r="E1086" t="s">
        <v>13</v>
      </c>
      <c r="F1086">
        <v>729</v>
      </c>
      <c r="G1086">
        <v>284</v>
      </c>
      <c r="H1086" s="5" t="s">
        <v>677</v>
      </c>
      <c r="I1086" s="5">
        <v>0</v>
      </c>
      <c r="J1086" s="5">
        <v>0</v>
      </c>
      <c r="K1086" t="s">
        <v>9355</v>
      </c>
      <c r="L1086" cm="1">
        <f t="array" ref="L1086">wordCount(K1086)</f>
        <v>3</v>
      </c>
      <c r="M1086">
        <f t="shared" si="32"/>
        <v>10</v>
      </c>
      <c r="N1086">
        <v>0.77777777777777779</v>
      </c>
      <c r="O1086" s="23" cm="1">
        <f t="array" ref="O1086">WordListCount(K1086,keywords!$A$2:$A$31)-WordListCount(K1086,keywords!$B$2:$B$31)</f>
        <v>0</v>
      </c>
      <c r="P1086" s="25">
        <f t="shared" si="33"/>
        <v>0.64432870370370365</v>
      </c>
      <c r="Q1086" s="23">
        <f>SUM($O$2:O1086)</f>
        <v>35</v>
      </c>
      <c r="Y1086" s="14"/>
      <c r="Z1086" s="13"/>
      <c r="AA1086"/>
    </row>
    <row r="1087" spans="1:27" x14ac:dyDescent="0.2">
      <c r="A1087" s="12" t="s">
        <v>3430</v>
      </c>
      <c r="B1087" t="s">
        <v>3431</v>
      </c>
      <c r="C1087" t="s">
        <v>3432</v>
      </c>
      <c r="D1087" t="s">
        <v>12</v>
      </c>
      <c r="E1087" t="s">
        <v>13</v>
      </c>
      <c r="F1087">
        <v>555</v>
      </c>
      <c r="G1087">
        <v>692</v>
      </c>
      <c r="H1087" s="5" t="s">
        <v>14</v>
      </c>
      <c r="I1087" s="5">
        <v>0</v>
      </c>
      <c r="J1087" s="5">
        <v>0</v>
      </c>
      <c r="K1087" t="s">
        <v>10580</v>
      </c>
      <c r="L1087" cm="1">
        <f t="array" ref="L1087">wordCount(K1087)</f>
        <v>3</v>
      </c>
      <c r="M1087">
        <f t="shared" si="32"/>
        <v>6</v>
      </c>
      <c r="N1087">
        <v>0.91666666666666663</v>
      </c>
      <c r="O1087" s="23" cm="1">
        <f t="array" ref="O1087">WordListCount(K1087,keywords!$A$2:$A$31)-WordListCount(K1087,keywords!$B$2:$B$31)</f>
        <v>0</v>
      </c>
      <c r="P1087" s="25">
        <f t="shared" si="33"/>
        <v>0.64437500000000003</v>
      </c>
      <c r="Q1087" s="23">
        <f>SUM($O$2:O1087)</f>
        <v>35</v>
      </c>
      <c r="Y1087" s="14"/>
      <c r="Z1087" s="13"/>
      <c r="AA1087"/>
    </row>
    <row r="1088" spans="1:27" x14ac:dyDescent="0.2">
      <c r="A1088" s="12" t="s">
        <v>3433</v>
      </c>
      <c r="B1088" t="s">
        <v>3434</v>
      </c>
      <c r="C1088" t="s">
        <v>3435</v>
      </c>
      <c r="D1088" t="s">
        <v>3436</v>
      </c>
      <c r="E1088" t="s">
        <v>13</v>
      </c>
      <c r="F1088">
        <v>245</v>
      </c>
      <c r="G1088">
        <v>494</v>
      </c>
      <c r="H1088" s="5" t="s">
        <v>22</v>
      </c>
      <c r="I1088" s="5">
        <v>0</v>
      </c>
      <c r="J1088" s="5">
        <v>0</v>
      </c>
      <c r="K1088" t="s">
        <v>10581</v>
      </c>
      <c r="L1088" cm="1">
        <f t="array" ref="L1088">wordCount(K1088)</f>
        <v>9</v>
      </c>
      <c r="M1088">
        <f t="shared" si="32"/>
        <v>42</v>
      </c>
      <c r="N1088">
        <v>0.66666666666666663</v>
      </c>
      <c r="O1088" s="23" cm="1">
        <f t="array" ref="O1088">WordListCount(K1088,keywords!$A$2:$A$31)-WordListCount(K1088,keywords!$B$2:$B$31)</f>
        <v>0</v>
      </c>
      <c r="P1088" s="25">
        <f t="shared" si="33"/>
        <v>0.64439814814814811</v>
      </c>
      <c r="Q1088" s="23">
        <f>SUM($O$2:O1088)</f>
        <v>35</v>
      </c>
      <c r="Y1088" s="14"/>
      <c r="Z1088" s="13"/>
      <c r="AA1088"/>
    </row>
    <row r="1089" spans="1:27" x14ac:dyDescent="0.2">
      <c r="A1089" s="12" t="s">
        <v>3437</v>
      </c>
      <c r="B1089" t="s">
        <v>3438</v>
      </c>
      <c r="C1089" t="s">
        <v>3439</v>
      </c>
      <c r="D1089" t="s">
        <v>12</v>
      </c>
      <c r="E1089" t="s">
        <v>13</v>
      </c>
      <c r="F1089">
        <v>121</v>
      </c>
      <c r="G1089">
        <v>119</v>
      </c>
      <c r="H1089" s="5" t="s">
        <v>22</v>
      </c>
      <c r="I1089" s="5">
        <v>0</v>
      </c>
      <c r="J1089" s="5">
        <v>0</v>
      </c>
      <c r="K1089" t="s">
        <v>10582</v>
      </c>
      <c r="L1089" cm="1">
        <f t="array" ref="L1089">wordCount(K1089)</f>
        <v>8</v>
      </c>
      <c r="M1089">
        <f t="shared" si="32"/>
        <v>35</v>
      </c>
      <c r="N1089">
        <v>0.53333333333333333</v>
      </c>
      <c r="O1089" s="23" cm="1">
        <f t="array" ref="O1089">WordListCount(K1089,keywords!$A$2:$A$31)-WordListCount(K1089,keywords!$B$2:$B$31)</f>
        <v>0</v>
      </c>
      <c r="P1089" s="25">
        <f t="shared" si="33"/>
        <v>0.64444444444444449</v>
      </c>
      <c r="Q1089" s="23">
        <f>SUM($O$2:O1089)</f>
        <v>35</v>
      </c>
      <c r="Y1089" s="14"/>
      <c r="Z1089" s="13"/>
      <c r="AA1089"/>
    </row>
    <row r="1090" spans="1:27" x14ac:dyDescent="0.2">
      <c r="A1090" s="12" t="s">
        <v>3440</v>
      </c>
      <c r="B1090" t="s">
        <v>3441</v>
      </c>
      <c r="C1090" t="s">
        <v>3442</v>
      </c>
      <c r="D1090" t="s">
        <v>535</v>
      </c>
      <c r="E1090" t="s">
        <v>13</v>
      </c>
      <c r="F1090">
        <v>7</v>
      </c>
      <c r="G1090">
        <v>35</v>
      </c>
      <c r="H1090" s="5" t="s">
        <v>22</v>
      </c>
      <c r="I1090" s="5">
        <v>0</v>
      </c>
      <c r="J1090" s="5">
        <v>0</v>
      </c>
      <c r="K1090" t="s">
        <v>9356</v>
      </c>
      <c r="L1090" cm="1">
        <f t="array" ref="L1090">wordCount(K1090)</f>
        <v>21</v>
      </c>
      <c r="M1090">
        <f t="shared" ref="M1090:M1153" si="34">LEN(K1090)</f>
        <v>92</v>
      </c>
      <c r="N1090">
        <v>0.46875</v>
      </c>
      <c r="O1090" s="23" cm="1">
        <f t="array" ref="O1090">WordListCount(K1090,keywords!$A$2:$A$31)-WordListCount(K1090,keywords!$B$2:$B$31)</f>
        <v>-2</v>
      </c>
      <c r="P1090" s="25">
        <f t="shared" ref="P1090:P1153" si="35">TIMEVALUE(RIGHT(A1090,8))</f>
        <v>0.64465277777777785</v>
      </c>
      <c r="Q1090" s="23">
        <f>SUM($O$2:O1090)</f>
        <v>33</v>
      </c>
      <c r="Y1090" s="14"/>
      <c r="Z1090" s="13"/>
      <c r="AA1090"/>
    </row>
    <row r="1091" spans="1:27" x14ac:dyDescent="0.2">
      <c r="A1091" s="12" t="s">
        <v>3443</v>
      </c>
      <c r="B1091" t="s">
        <v>3444</v>
      </c>
      <c r="C1091" t="s">
        <v>3445</v>
      </c>
      <c r="D1091" t="s">
        <v>3446</v>
      </c>
      <c r="E1091" t="s">
        <v>13</v>
      </c>
      <c r="F1091">
        <v>3216</v>
      </c>
      <c r="G1091">
        <v>3197</v>
      </c>
      <c r="H1091" s="5" t="s">
        <v>22</v>
      </c>
      <c r="I1091" s="5">
        <v>0</v>
      </c>
      <c r="J1091" s="5">
        <v>0</v>
      </c>
      <c r="K1091" t="s">
        <v>10583</v>
      </c>
      <c r="L1091" cm="1">
        <f t="array" ref="L1091">wordCount(K1091)</f>
        <v>6</v>
      </c>
      <c r="M1091">
        <f t="shared" si="34"/>
        <v>24</v>
      </c>
      <c r="N1091">
        <v>0.82352941176470584</v>
      </c>
      <c r="O1091" s="23" cm="1">
        <f t="array" ref="O1091">WordListCount(K1091,keywords!$A$2:$A$31)-WordListCount(K1091,keywords!$B$2:$B$31)</f>
        <v>0</v>
      </c>
      <c r="P1091" s="25">
        <f t="shared" si="35"/>
        <v>0.64535879629629633</v>
      </c>
      <c r="Q1091" s="23">
        <f>SUM($O$2:O1091)</f>
        <v>33</v>
      </c>
      <c r="Y1091" s="14"/>
      <c r="Z1091" s="13"/>
      <c r="AA1091"/>
    </row>
    <row r="1092" spans="1:27" x14ac:dyDescent="0.2">
      <c r="A1092" s="12" t="s">
        <v>3447</v>
      </c>
      <c r="B1092" t="s">
        <v>3448</v>
      </c>
      <c r="C1092" t="s">
        <v>3449</v>
      </c>
      <c r="D1092" t="s">
        <v>12</v>
      </c>
      <c r="E1092" t="s">
        <v>13</v>
      </c>
      <c r="F1092">
        <v>37</v>
      </c>
      <c r="G1092">
        <v>104</v>
      </c>
      <c r="H1092" s="5" t="s">
        <v>3450</v>
      </c>
      <c r="I1092" s="5">
        <v>0</v>
      </c>
      <c r="J1092" s="5">
        <v>0</v>
      </c>
      <c r="K1092" t="s">
        <v>10584</v>
      </c>
      <c r="L1092" cm="1">
        <f t="array" ref="L1092">wordCount(K1092)</f>
        <v>10</v>
      </c>
      <c r="M1092">
        <f t="shared" si="34"/>
        <v>82</v>
      </c>
      <c r="N1092">
        <v>0.38461538461538464</v>
      </c>
      <c r="O1092" s="23" cm="1">
        <f t="array" ref="O1092">WordListCount(K1092,keywords!$A$2:$A$31)-WordListCount(K1092,keywords!$B$2:$B$31)</f>
        <v>0</v>
      </c>
      <c r="P1092" s="25">
        <f t="shared" si="35"/>
        <v>0.64539351851851856</v>
      </c>
      <c r="Q1092" s="23">
        <f>SUM($O$2:O1092)</f>
        <v>33</v>
      </c>
      <c r="Y1092" s="14"/>
      <c r="Z1092" s="13"/>
      <c r="AA1092"/>
    </row>
    <row r="1093" spans="1:27" x14ac:dyDescent="0.2">
      <c r="A1093" s="12" t="s">
        <v>3451</v>
      </c>
      <c r="B1093" t="s">
        <v>3452</v>
      </c>
      <c r="C1093" t="s">
        <v>3453</v>
      </c>
      <c r="D1093" t="s">
        <v>12</v>
      </c>
      <c r="E1093" t="s">
        <v>13</v>
      </c>
      <c r="F1093">
        <v>1</v>
      </c>
      <c r="G1093">
        <v>45</v>
      </c>
      <c r="H1093" s="5" t="s">
        <v>22</v>
      </c>
      <c r="I1093" s="5">
        <v>0</v>
      </c>
      <c r="J1093" s="5">
        <v>0</v>
      </c>
      <c r="K1093" t="s">
        <v>10585</v>
      </c>
      <c r="L1093" cm="1">
        <f t="array" ref="L1093">wordCount(K1093)</f>
        <v>11</v>
      </c>
      <c r="M1093">
        <f t="shared" si="34"/>
        <v>51</v>
      </c>
      <c r="N1093">
        <v>0.72</v>
      </c>
      <c r="O1093" s="23" cm="1">
        <f t="array" ref="O1093">WordListCount(K1093,keywords!$A$2:$A$31)-WordListCount(K1093,keywords!$B$2:$B$31)</f>
        <v>0</v>
      </c>
      <c r="P1093" s="25">
        <f t="shared" si="35"/>
        <v>0.64541666666666664</v>
      </c>
      <c r="Q1093" s="23">
        <f>SUM($O$2:O1093)</f>
        <v>33</v>
      </c>
      <c r="Y1093" s="14"/>
      <c r="Z1093" s="13"/>
      <c r="AA1093"/>
    </row>
    <row r="1094" spans="1:27" x14ac:dyDescent="0.2">
      <c r="A1094" s="12" t="s">
        <v>3454</v>
      </c>
      <c r="B1094" t="s">
        <v>3455</v>
      </c>
      <c r="C1094" t="s">
        <v>3456</v>
      </c>
      <c r="D1094" t="s">
        <v>12</v>
      </c>
      <c r="E1094" t="s">
        <v>13</v>
      </c>
      <c r="F1094">
        <v>22</v>
      </c>
      <c r="G1094">
        <v>116</v>
      </c>
      <c r="H1094" s="5" t="s">
        <v>22</v>
      </c>
      <c r="I1094" s="5">
        <v>0</v>
      </c>
      <c r="J1094" s="5">
        <v>0</v>
      </c>
      <c r="K1094" t="s">
        <v>10586</v>
      </c>
      <c r="L1094" cm="1">
        <f t="array" ref="L1094">wordCount(K1094)</f>
        <v>18</v>
      </c>
      <c r="M1094">
        <f t="shared" si="34"/>
        <v>113</v>
      </c>
      <c r="N1094">
        <v>0.66666666666666663</v>
      </c>
      <c r="O1094" s="23" cm="1">
        <f t="array" ref="O1094">WordListCount(K1094,keywords!$A$2:$A$31)-WordListCount(K1094,keywords!$B$2:$B$31)</f>
        <v>0</v>
      </c>
      <c r="P1094" s="25">
        <f t="shared" si="35"/>
        <v>0.64542824074074068</v>
      </c>
      <c r="Q1094" s="23">
        <f>SUM($O$2:O1094)</f>
        <v>33</v>
      </c>
      <c r="Y1094" s="14"/>
      <c r="Z1094" s="13"/>
      <c r="AA1094"/>
    </row>
    <row r="1095" spans="1:27" x14ac:dyDescent="0.2">
      <c r="A1095" s="12" t="s">
        <v>3457</v>
      </c>
      <c r="B1095" t="s">
        <v>3458</v>
      </c>
      <c r="C1095" t="s">
        <v>3459</v>
      </c>
      <c r="D1095" t="s">
        <v>74</v>
      </c>
      <c r="E1095" t="s">
        <v>47</v>
      </c>
      <c r="F1095">
        <v>13326</v>
      </c>
      <c r="G1095">
        <v>476</v>
      </c>
      <c r="H1095" s="5" t="s">
        <v>22</v>
      </c>
      <c r="I1095" s="5">
        <v>0</v>
      </c>
      <c r="J1095" s="5">
        <v>0</v>
      </c>
      <c r="K1095" t="s">
        <v>10587</v>
      </c>
      <c r="L1095" cm="1">
        <f t="array" ref="L1095">wordCount(K1095)</f>
        <v>17</v>
      </c>
      <c r="M1095">
        <f t="shared" si="34"/>
        <v>88</v>
      </c>
      <c r="N1095">
        <v>0.73913043478260865</v>
      </c>
      <c r="O1095" s="23" cm="1">
        <f t="array" ref="O1095">WordListCount(K1095,keywords!$A$2:$A$31)-WordListCount(K1095,keywords!$B$2:$B$31)</f>
        <v>0</v>
      </c>
      <c r="P1095" s="25">
        <f t="shared" si="35"/>
        <v>0.64569444444444446</v>
      </c>
      <c r="Q1095" s="23">
        <f>SUM($O$2:O1095)</f>
        <v>33</v>
      </c>
      <c r="Y1095" s="14"/>
      <c r="Z1095" s="13"/>
      <c r="AA1095"/>
    </row>
    <row r="1096" spans="1:27" x14ac:dyDescent="0.2">
      <c r="A1096" s="12" t="s">
        <v>3460</v>
      </c>
      <c r="B1096" t="s">
        <v>3461</v>
      </c>
      <c r="C1096" t="s">
        <v>306</v>
      </c>
      <c r="D1096" t="s">
        <v>307</v>
      </c>
      <c r="E1096" t="s">
        <v>13</v>
      </c>
      <c r="F1096">
        <v>228</v>
      </c>
      <c r="G1096">
        <v>1</v>
      </c>
      <c r="H1096" s="5" t="s">
        <v>22</v>
      </c>
      <c r="I1096" s="5">
        <v>0</v>
      </c>
      <c r="J1096" s="5">
        <v>0</v>
      </c>
      <c r="K1096" t="s">
        <v>9357</v>
      </c>
      <c r="L1096" cm="1">
        <f t="array" ref="L1096">wordCount(K1096)</f>
        <v>7</v>
      </c>
      <c r="M1096">
        <f t="shared" si="34"/>
        <v>104</v>
      </c>
      <c r="N1096">
        <v>0.53846153846153844</v>
      </c>
      <c r="O1096" s="23" cm="1">
        <f t="array" ref="O1096">WordListCount(K1096,keywords!$A$2:$A$31)-WordListCount(K1096,keywords!$B$2:$B$31)</f>
        <v>0</v>
      </c>
      <c r="P1096" s="25">
        <f t="shared" si="35"/>
        <v>0.64585648148148145</v>
      </c>
      <c r="Q1096" s="23">
        <f>SUM($O$2:O1096)</f>
        <v>33</v>
      </c>
      <c r="Y1096" s="14"/>
      <c r="Z1096" s="13"/>
      <c r="AA1096"/>
    </row>
    <row r="1097" spans="1:27" x14ac:dyDescent="0.2">
      <c r="A1097" s="12" t="s">
        <v>3462</v>
      </c>
      <c r="B1097" t="s">
        <v>3463</v>
      </c>
      <c r="C1097" t="s">
        <v>3464</v>
      </c>
      <c r="D1097" t="s">
        <v>2130</v>
      </c>
      <c r="E1097" t="s">
        <v>13</v>
      </c>
      <c r="F1097">
        <v>7051</v>
      </c>
      <c r="G1097">
        <v>4719</v>
      </c>
      <c r="H1097" s="5" t="s">
        <v>22</v>
      </c>
      <c r="I1097" s="5">
        <v>0</v>
      </c>
      <c r="J1097" s="5">
        <v>0</v>
      </c>
      <c r="K1097" t="s">
        <v>10588</v>
      </c>
      <c r="L1097" cm="1">
        <f t="array" ref="L1097">wordCount(K1097)</f>
        <v>14</v>
      </c>
      <c r="M1097">
        <f t="shared" si="34"/>
        <v>85</v>
      </c>
      <c r="N1097">
        <v>0.65384615384615385</v>
      </c>
      <c r="O1097" s="23" cm="1">
        <f t="array" ref="O1097">WordListCount(K1097,keywords!$A$2:$A$31)-WordListCount(K1097,keywords!$B$2:$B$31)</f>
        <v>1</v>
      </c>
      <c r="P1097" s="25">
        <f t="shared" si="35"/>
        <v>0.64598379629629632</v>
      </c>
      <c r="Q1097" s="23">
        <f>SUM($O$2:O1097)</f>
        <v>34</v>
      </c>
      <c r="Y1097" s="14"/>
      <c r="Z1097" s="13"/>
      <c r="AA1097"/>
    </row>
    <row r="1098" spans="1:27" x14ac:dyDescent="0.2">
      <c r="A1098" s="12" t="s">
        <v>3465</v>
      </c>
      <c r="B1098" t="s">
        <v>3466</v>
      </c>
      <c r="C1098" t="s">
        <v>3110</v>
      </c>
      <c r="D1098" t="s">
        <v>12</v>
      </c>
      <c r="E1098" t="s">
        <v>13</v>
      </c>
      <c r="F1098">
        <v>1</v>
      </c>
      <c r="G1098">
        <v>0</v>
      </c>
      <c r="H1098" s="5" t="s">
        <v>22</v>
      </c>
      <c r="I1098" s="5">
        <v>0</v>
      </c>
      <c r="J1098" s="5">
        <v>0</v>
      </c>
      <c r="K1098" t="s">
        <v>10589</v>
      </c>
      <c r="L1098" cm="1">
        <f t="array" ref="L1098">wordCount(K1098)</f>
        <v>9</v>
      </c>
      <c r="M1098">
        <f t="shared" si="34"/>
        <v>55</v>
      </c>
      <c r="N1098">
        <v>0.4375</v>
      </c>
      <c r="O1098" s="23" cm="1">
        <f t="array" ref="O1098">WordListCount(K1098,keywords!$A$2:$A$31)-WordListCount(K1098,keywords!$B$2:$B$31)</f>
        <v>0</v>
      </c>
      <c r="P1098" s="25">
        <f t="shared" si="35"/>
        <v>0.64635416666666667</v>
      </c>
      <c r="Q1098" s="23">
        <f>SUM($O$2:O1098)</f>
        <v>34</v>
      </c>
      <c r="Y1098" s="14"/>
      <c r="Z1098" s="13"/>
      <c r="AA1098"/>
    </row>
    <row r="1099" spans="1:27" x14ac:dyDescent="0.2">
      <c r="A1099" s="12" t="s">
        <v>3467</v>
      </c>
      <c r="B1099" t="s">
        <v>3468</v>
      </c>
      <c r="C1099" t="s">
        <v>3469</v>
      </c>
      <c r="D1099" t="s">
        <v>12</v>
      </c>
      <c r="E1099" t="s">
        <v>13</v>
      </c>
      <c r="F1099">
        <v>0</v>
      </c>
      <c r="G1099">
        <v>7</v>
      </c>
      <c r="H1099" s="5" t="s">
        <v>22</v>
      </c>
      <c r="I1099" s="5">
        <v>0</v>
      </c>
      <c r="J1099" s="5">
        <v>0</v>
      </c>
      <c r="K1099" t="s">
        <v>10590</v>
      </c>
      <c r="L1099" cm="1">
        <f t="array" ref="L1099">wordCount(K1099)</f>
        <v>6</v>
      </c>
      <c r="M1099">
        <f t="shared" si="34"/>
        <v>28</v>
      </c>
      <c r="N1099">
        <v>0.66666666666666663</v>
      </c>
      <c r="O1099" s="23" cm="1">
        <f t="array" ref="O1099">WordListCount(K1099,keywords!$A$2:$A$31)-WordListCount(K1099,keywords!$B$2:$B$31)</f>
        <v>0</v>
      </c>
      <c r="P1099" s="25">
        <f t="shared" si="35"/>
        <v>0.64637731481481475</v>
      </c>
      <c r="Q1099" s="23">
        <f>SUM($O$2:O1099)</f>
        <v>34</v>
      </c>
      <c r="Y1099" s="14"/>
      <c r="Z1099" s="13"/>
      <c r="AA1099"/>
    </row>
    <row r="1100" spans="1:27" x14ac:dyDescent="0.2">
      <c r="A1100" s="12" t="s">
        <v>3470</v>
      </c>
      <c r="B1100" t="s">
        <v>3471</v>
      </c>
      <c r="C1100" t="s">
        <v>3472</v>
      </c>
      <c r="D1100" t="s">
        <v>3473</v>
      </c>
      <c r="E1100" t="s">
        <v>13</v>
      </c>
      <c r="F1100">
        <v>357</v>
      </c>
      <c r="G1100">
        <v>157</v>
      </c>
      <c r="H1100" s="5" t="s">
        <v>22</v>
      </c>
      <c r="I1100" s="5">
        <v>0</v>
      </c>
      <c r="J1100" s="5">
        <v>0</v>
      </c>
      <c r="K1100" t="s">
        <v>9358</v>
      </c>
      <c r="L1100" cm="1">
        <f t="array" ref="L1100">wordCount(K1100)</f>
        <v>7</v>
      </c>
      <c r="M1100">
        <f t="shared" si="34"/>
        <v>33</v>
      </c>
      <c r="N1100">
        <v>0.6428571428571429</v>
      </c>
      <c r="O1100" s="23" cm="1">
        <f t="array" ref="O1100">WordListCount(K1100,keywords!$A$2:$A$31)-WordListCount(K1100,keywords!$B$2:$B$31)</f>
        <v>0</v>
      </c>
      <c r="P1100" s="25">
        <f t="shared" si="35"/>
        <v>0.64641203703703709</v>
      </c>
      <c r="Q1100" s="23">
        <f>SUM($O$2:O1100)</f>
        <v>34</v>
      </c>
      <c r="Y1100" s="14"/>
      <c r="Z1100" s="13"/>
      <c r="AA1100"/>
    </row>
    <row r="1101" spans="1:27" x14ac:dyDescent="0.2">
      <c r="A1101" s="12" t="s">
        <v>3474</v>
      </c>
      <c r="B1101" t="s">
        <v>3475</v>
      </c>
      <c r="C1101" t="s">
        <v>3476</v>
      </c>
      <c r="D1101" t="s">
        <v>505</v>
      </c>
      <c r="E1101" t="s">
        <v>13</v>
      </c>
      <c r="F1101">
        <v>888</v>
      </c>
      <c r="G1101">
        <v>1573</v>
      </c>
      <c r="H1101" s="5" t="s">
        <v>22</v>
      </c>
      <c r="I1101" s="5">
        <v>0</v>
      </c>
      <c r="J1101" s="5">
        <v>0</v>
      </c>
      <c r="K1101" t="s">
        <v>9359</v>
      </c>
      <c r="L1101" cm="1">
        <f t="array" ref="L1101">wordCount(K1101)</f>
        <v>3</v>
      </c>
      <c r="M1101">
        <f t="shared" si="34"/>
        <v>16</v>
      </c>
      <c r="N1101">
        <v>0.66666666666666663</v>
      </c>
      <c r="O1101" s="23" cm="1">
        <f t="array" ref="O1101">WordListCount(K1101,keywords!$A$2:$A$31)-WordListCount(K1101,keywords!$B$2:$B$31)</f>
        <v>0</v>
      </c>
      <c r="P1101" s="25">
        <f t="shared" si="35"/>
        <v>0.64649305555555558</v>
      </c>
      <c r="Q1101" s="23">
        <f>SUM($O$2:O1101)</f>
        <v>34</v>
      </c>
      <c r="Y1101" s="14"/>
      <c r="Z1101" s="13"/>
      <c r="AA1101"/>
    </row>
    <row r="1102" spans="1:27" x14ac:dyDescent="0.2">
      <c r="A1102" s="12" t="s">
        <v>3477</v>
      </c>
      <c r="B1102" t="s">
        <v>3478</v>
      </c>
      <c r="C1102" t="s">
        <v>3479</v>
      </c>
      <c r="D1102" t="s">
        <v>3480</v>
      </c>
      <c r="E1102" t="s">
        <v>13</v>
      </c>
      <c r="F1102">
        <v>1290</v>
      </c>
      <c r="G1102">
        <v>2062</v>
      </c>
      <c r="H1102" s="5" t="s">
        <v>125</v>
      </c>
      <c r="I1102" s="5">
        <v>0</v>
      </c>
      <c r="J1102" s="5">
        <v>0</v>
      </c>
      <c r="K1102" t="s">
        <v>10591</v>
      </c>
      <c r="L1102" cm="1">
        <f t="array" ref="L1102">wordCount(K1102)</f>
        <v>23</v>
      </c>
      <c r="M1102">
        <f t="shared" si="34"/>
        <v>120</v>
      </c>
      <c r="N1102">
        <v>0.13043478260869565</v>
      </c>
      <c r="O1102" s="23" cm="1">
        <f t="array" ref="O1102">WordListCount(K1102,keywords!$A$2:$A$31)-WordListCount(K1102,keywords!$B$2:$B$31)</f>
        <v>0</v>
      </c>
      <c r="P1102" s="25">
        <f t="shared" si="35"/>
        <v>0.64657407407407408</v>
      </c>
      <c r="Q1102" s="23">
        <f>SUM($O$2:O1102)</f>
        <v>34</v>
      </c>
      <c r="Y1102" s="14"/>
      <c r="Z1102" s="13"/>
      <c r="AA1102"/>
    </row>
    <row r="1103" spans="1:27" x14ac:dyDescent="0.2">
      <c r="A1103" s="12" t="s">
        <v>3481</v>
      </c>
      <c r="B1103" t="s">
        <v>3483</v>
      </c>
      <c r="C1103" t="s">
        <v>3484</v>
      </c>
      <c r="D1103" t="s">
        <v>3485</v>
      </c>
      <c r="E1103" t="s">
        <v>13</v>
      </c>
      <c r="F1103">
        <v>956</v>
      </c>
      <c r="G1103">
        <v>35</v>
      </c>
      <c r="H1103" s="5" t="s">
        <v>22</v>
      </c>
      <c r="I1103" s="5">
        <v>0</v>
      </c>
      <c r="J1103" s="5">
        <v>0</v>
      </c>
      <c r="K1103" t="s">
        <v>9360</v>
      </c>
      <c r="L1103" cm="1">
        <f t="array" ref="L1103">wordCount(K1103)</f>
        <v>15</v>
      </c>
      <c r="M1103">
        <f t="shared" si="34"/>
        <v>90</v>
      </c>
      <c r="N1103">
        <v>0.33333333333333331</v>
      </c>
      <c r="O1103" s="23" cm="1">
        <f t="array" ref="O1103">WordListCount(K1103,keywords!$A$2:$A$31)-WordListCount(K1103,keywords!$B$2:$B$31)</f>
        <v>0</v>
      </c>
      <c r="P1103" s="25">
        <f t="shared" si="35"/>
        <v>0.64666666666666661</v>
      </c>
      <c r="Q1103" s="23">
        <f>SUM($O$2:O1103)</f>
        <v>34</v>
      </c>
      <c r="Y1103" s="14"/>
      <c r="Z1103" s="13"/>
      <c r="AA1103"/>
    </row>
    <row r="1104" spans="1:27" x14ac:dyDescent="0.2">
      <c r="A1104" s="12" t="s">
        <v>3481</v>
      </c>
      <c r="B1104" t="s">
        <v>3482</v>
      </c>
      <c r="C1104" t="s">
        <v>318</v>
      </c>
      <c r="D1104" t="s">
        <v>319</v>
      </c>
      <c r="E1104" t="s">
        <v>13</v>
      </c>
      <c r="F1104">
        <v>51</v>
      </c>
      <c r="G1104">
        <v>62</v>
      </c>
      <c r="H1104" s="5" t="s">
        <v>22</v>
      </c>
      <c r="I1104" s="5">
        <v>0</v>
      </c>
      <c r="J1104" s="5">
        <v>0</v>
      </c>
      <c r="K1104" t="s">
        <v>10592</v>
      </c>
      <c r="L1104" cm="1">
        <f t="array" ref="L1104">wordCount(K1104)</f>
        <v>14</v>
      </c>
      <c r="M1104">
        <f t="shared" si="34"/>
        <v>75</v>
      </c>
      <c r="N1104">
        <v>0.82352941176470584</v>
      </c>
      <c r="O1104" s="23" cm="1">
        <f t="array" ref="O1104">WordListCount(K1104,keywords!$A$2:$A$31)-WordListCount(K1104,keywords!$B$2:$B$31)</f>
        <v>0</v>
      </c>
      <c r="P1104" s="25">
        <f t="shared" si="35"/>
        <v>0.64666666666666661</v>
      </c>
      <c r="Q1104" s="23">
        <f>SUM($O$2:O1104)</f>
        <v>34</v>
      </c>
      <c r="Y1104" s="14"/>
      <c r="Z1104" s="13"/>
      <c r="AA1104"/>
    </row>
    <row r="1105" spans="1:27" x14ac:dyDescent="0.2">
      <c r="A1105" s="12" t="s">
        <v>3486</v>
      </c>
      <c r="B1105" t="s">
        <v>3487</v>
      </c>
      <c r="C1105" t="s">
        <v>3488</v>
      </c>
      <c r="D1105" t="s">
        <v>12</v>
      </c>
      <c r="E1105" t="s">
        <v>13</v>
      </c>
      <c r="F1105">
        <v>8</v>
      </c>
      <c r="G1105">
        <v>29</v>
      </c>
      <c r="H1105" s="5" t="s">
        <v>22</v>
      </c>
      <c r="I1105" s="5">
        <v>0</v>
      </c>
      <c r="J1105" s="5">
        <v>0</v>
      </c>
      <c r="K1105" t="s">
        <v>9361</v>
      </c>
      <c r="L1105" cm="1">
        <f t="array" ref="L1105">wordCount(K1105)</f>
        <v>7</v>
      </c>
      <c r="M1105">
        <f t="shared" si="34"/>
        <v>32</v>
      </c>
      <c r="N1105">
        <v>0.75</v>
      </c>
      <c r="O1105" s="23" cm="1">
        <f t="array" ref="O1105">WordListCount(K1105,keywords!$A$2:$A$31)-WordListCount(K1105,keywords!$B$2:$B$31)</f>
        <v>0</v>
      </c>
      <c r="P1105" s="25">
        <f t="shared" si="35"/>
        <v>0.64667824074074076</v>
      </c>
      <c r="Q1105" s="23">
        <f>SUM($O$2:O1105)</f>
        <v>34</v>
      </c>
      <c r="Y1105" s="14"/>
      <c r="Z1105" s="13"/>
      <c r="AA1105"/>
    </row>
    <row r="1106" spans="1:27" x14ac:dyDescent="0.2">
      <c r="A1106" s="12" t="s">
        <v>3489</v>
      </c>
      <c r="B1106" t="s">
        <v>3490</v>
      </c>
      <c r="C1106" t="s">
        <v>2874</v>
      </c>
      <c r="D1106" t="s">
        <v>12</v>
      </c>
      <c r="E1106" t="s">
        <v>13</v>
      </c>
      <c r="F1106">
        <v>3</v>
      </c>
      <c r="G1106">
        <v>0</v>
      </c>
      <c r="H1106" s="5" t="s">
        <v>382</v>
      </c>
      <c r="I1106" s="5">
        <v>0</v>
      </c>
      <c r="J1106" s="5">
        <v>0</v>
      </c>
      <c r="K1106" t="s">
        <v>10593</v>
      </c>
      <c r="L1106" cm="1">
        <f t="array" ref="L1106">wordCount(K1106)</f>
        <v>19</v>
      </c>
      <c r="M1106">
        <f t="shared" si="34"/>
        <v>105</v>
      </c>
      <c r="N1106">
        <v>0.2857142857142857</v>
      </c>
      <c r="O1106" s="23" cm="1">
        <f t="array" ref="O1106">WordListCount(K1106,keywords!$A$2:$A$31)-WordListCount(K1106,keywords!$B$2:$B$31)</f>
        <v>0</v>
      </c>
      <c r="P1106" s="25">
        <f t="shared" si="35"/>
        <v>0.64679398148148148</v>
      </c>
      <c r="Q1106" s="23">
        <f>SUM($O$2:O1106)</f>
        <v>34</v>
      </c>
      <c r="Y1106" s="14"/>
      <c r="Z1106" s="13"/>
      <c r="AA1106"/>
    </row>
    <row r="1107" spans="1:27" x14ac:dyDescent="0.2">
      <c r="A1107" s="12" t="s">
        <v>3491</v>
      </c>
      <c r="B1107" t="s">
        <v>3492</v>
      </c>
      <c r="C1107" t="s">
        <v>3493</v>
      </c>
      <c r="D1107" t="s">
        <v>3494</v>
      </c>
      <c r="E1107" t="s">
        <v>13</v>
      </c>
      <c r="F1107">
        <v>632</v>
      </c>
      <c r="G1107">
        <v>419</v>
      </c>
      <c r="H1107" s="5" t="s">
        <v>22</v>
      </c>
      <c r="I1107" s="5">
        <v>0</v>
      </c>
      <c r="J1107" s="5">
        <v>0</v>
      </c>
      <c r="K1107" t="s">
        <v>9362</v>
      </c>
      <c r="L1107" cm="1">
        <f t="array" ref="L1107">wordCount(K1107)</f>
        <v>18</v>
      </c>
      <c r="M1107">
        <f t="shared" si="34"/>
        <v>86</v>
      </c>
      <c r="N1107">
        <v>0.53125</v>
      </c>
      <c r="O1107" s="23" cm="1">
        <f t="array" ref="O1107">WordListCount(K1107,keywords!$A$2:$A$31)-WordListCount(K1107,keywords!$B$2:$B$31)</f>
        <v>0</v>
      </c>
      <c r="P1107" s="25">
        <f t="shared" si="35"/>
        <v>0.64680555555555552</v>
      </c>
      <c r="Q1107" s="23">
        <f>SUM($O$2:O1107)</f>
        <v>34</v>
      </c>
      <c r="Y1107" s="14"/>
      <c r="Z1107" s="13"/>
      <c r="AA1107"/>
    </row>
    <row r="1108" spans="1:27" x14ac:dyDescent="0.2">
      <c r="A1108" s="12" t="s">
        <v>3495</v>
      </c>
      <c r="B1108" t="s">
        <v>3496</v>
      </c>
      <c r="C1108" t="s">
        <v>3497</v>
      </c>
      <c r="D1108" t="s">
        <v>3498</v>
      </c>
      <c r="E1108" t="s">
        <v>13</v>
      </c>
      <c r="F1108">
        <v>22061</v>
      </c>
      <c r="G1108">
        <v>93</v>
      </c>
      <c r="H1108" s="5" t="s">
        <v>22</v>
      </c>
      <c r="I1108" s="5">
        <v>0</v>
      </c>
      <c r="J1108" s="5">
        <v>0</v>
      </c>
      <c r="K1108" t="s">
        <v>10594</v>
      </c>
      <c r="L1108" cm="1">
        <f t="array" ref="L1108">wordCount(K1108)</f>
        <v>22</v>
      </c>
      <c r="M1108">
        <f t="shared" si="34"/>
        <v>117</v>
      </c>
      <c r="N1108">
        <v>0.5641025641025641</v>
      </c>
      <c r="O1108" s="23" cm="1">
        <f t="array" ref="O1108">WordListCount(K1108,keywords!$A$2:$A$31)-WordListCount(K1108,keywords!$B$2:$B$31)</f>
        <v>0</v>
      </c>
      <c r="P1108" s="25">
        <f t="shared" si="35"/>
        <v>0.64690972222222221</v>
      </c>
      <c r="Q1108" s="23">
        <f>SUM($O$2:O1108)</f>
        <v>34</v>
      </c>
      <c r="Y1108" s="14"/>
      <c r="Z1108" s="13"/>
      <c r="AA1108"/>
    </row>
    <row r="1109" spans="1:27" x14ac:dyDescent="0.2">
      <c r="A1109" s="12" t="s">
        <v>3499</v>
      </c>
      <c r="B1109" t="s">
        <v>3500</v>
      </c>
      <c r="C1109" t="s">
        <v>3459</v>
      </c>
      <c r="D1109" t="s">
        <v>74</v>
      </c>
      <c r="E1109" t="s">
        <v>47</v>
      </c>
      <c r="F1109">
        <v>13326</v>
      </c>
      <c r="G1109">
        <v>476</v>
      </c>
      <c r="H1109" s="5" t="s">
        <v>22</v>
      </c>
      <c r="I1109" s="5">
        <v>0</v>
      </c>
      <c r="J1109" s="5">
        <v>0</v>
      </c>
      <c r="K1109" t="s">
        <v>10595</v>
      </c>
      <c r="L1109" cm="1">
        <f t="array" ref="L1109">wordCount(K1109)</f>
        <v>21</v>
      </c>
      <c r="M1109">
        <f t="shared" si="34"/>
        <v>101</v>
      </c>
      <c r="N1109">
        <v>0.41666666666666669</v>
      </c>
      <c r="O1109" s="23" cm="1">
        <f t="array" ref="O1109">WordListCount(K1109,keywords!$A$2:$A$31)-WordListCount(K1109,keywords!$B$2:$B$31)</f>
        <v>0</v>
      </c>
      <c r="P1109" s="25">
        <f t="shared" si="35"/>
        <v>0.64709490740740738</v>
      </c>
      <c r="Q1109" s="23">
        <f>SUM($O$2:O1109)</f>
        <v>34</v>
      </c>
      <c r="Y1109" s="14"/>
      <c r="Z1109" s="13"/>
      <c r="AA1109"/>
    </row>
    <row r="1110" spans="1:27" x14ac:dyDescent="0.2">
      <c r="A1110" s="12" t="s">
        <v>3501</v>
      </c>
      <c r="B1110" t="s">
        <v>3502</v>
      </c>
      <c r="C1110" t="s">
        <v>1973</v>
      </c>
      <c r="D1110" t="s">
        <v>1785</v>
      </c>
      <c r="E1110" t="s">
        <v>13</v>
      </c>
      <c r="F1110">
        <v>5013</v>
      </c>
      <c r="G1110">
        <v>4738</v>
      </c>
      <c r="H1110" s="5" t="s">
        <v>22</v>
      </c>
      <c r="I1110" s="5">
        <v>0</v>
      </c>
      <c r="J1110" s="5">
        <v>0</v>
      </c>
      <c r="K1110" t="s">
        <v>10596</v>
      </c>
      <c r="L1110" cm="1">
        <f t="array" ref="L1110">wordCount(K1110)</f>
        <v>3</v>
      </c>
      <c r="M1110">
        <f t="shared" si="34"/>
        <v>13</v>
      </c>
      <c r="N1110">
        <v>0.875</v>
      </c>
      <c r="O1110" s="23" cm="1">
        <f t="array" ref="O1110">WordListCount(K1110,keywords!$A$2:$A$31)-WordListCount(K1110,keywords!$B$2:$B$31)</f>
        <v>0</v>
      </c>
      <c r="P1110" s="25">
        <f t="shared" si="35"/>
        <v>0.64726851851851852</v>
      </c>
      <c r="Q1110" s="23">
        <f>SUM($O$2:O1110)</f>
        <v>34</v>
      </c>
      <c r="Y1110" s="14"/>
      <c r="Z1110" s="13"/>
      <c r="AA1110"/>
    </row>
    <row r="1111" spans="1:27" x14ac:dyDescent="0.2">
      <c r="A1111" s="12" t="s">
        <v>3503</v>
      </c>
      <c r="B1111" t="s">
        <v>3504</v>
      </c>
      <c r="C1111" t="s">
        <v>3505</v>
      </c>
      <c r="D1111" t="s">
        <v>3506</v>
      </c>
      <c r="E1111" t="s">
        <v>13</v>
      </c>
      <c r="F1111">
        <v>4640</v>
      </c>
      <c r="G1111">
        <v>3750</v>
      </c>
      <c r="H1111" s="5" t="s">
        <v>22</v>
      </c>
      <c r="I1111" s="5">
        <v>0</v>
      </c>
      <c r="J1111" s="5">
        <v>0</v>
      </c>
      <c r="K1111" t="s">
        <v>10597</v>
      </c>
      <c r="L1111" cm="1">
        <f t="array" ref="L1111">wordCount(K1111)</f>
        <v>19</v>
      </c>
      <c r="M1111">
        <f t="shared" si="34"/>
        <v>92</v>
      </c>
      <c r="N1111">
        <v>0.46666666666666667</v>
      </c>
      <c r="O1111" s="23" cm="1">
        <f t="array" ref="O1111">WordListCount(K1111,keywords!$A$2:$A$31)-WordListCount(K1111,keywords!$B$2:$B$31)</f>
        <v>0</v>
      </c>
      <c r="P1111" s="25">
        <f t="shared" si="35"/>
        <v>0.64732638888888883</v>
      </c>
      <c r="Q1111" s="23">
        <f>SUM($O$2:O1111)</f>
        <v>34</v>
      </c>
      <c r="Y1111" s="14"/>
      <c r="Z1111" s="13"/>
      <c r="AA1111"/>
    </row>
    <row r="1112" spans="1:27" x14ac:dyDescent="0.2">
      <c r="A1112" s="12" t="s">
        <v>3507</v>
      </c>
      <c r="B1112" t="s">
        <v>3508</v>
      </c>
      <c r="C1112" t="s">
        <v>3509</v>
      </c>
      <c r="D1112" t="s">
        <v>1870</v>
      </c>
      <c r="E1112" t="s">
        <v>13</v>
      </c>
      <c r="F1112">
        <v>101</v>
      </c>
      <c r="G1112">
        <v>44</v>
      </c>
      <c r="H1112" s="5" t="s">
        <v>22</v>
      </c>
      <c r="I1112" s="5">
        <v>0</v>
      </c>
      <c r="J1112" s="5">
        <v>0</v>
      </c>
      <c r="K1112" t="s">
        <v>10598</v>
      </c>
      <c r="L1112" cm="1">
        <f t="array" ref="L1112">wordCount(K1112)</f>
        <v>13</v>
      </c>
      <c r="M1112">
        <f t="shared" si="34"/>
        <v>65</v>
      </c>
      <c r="N1112">
        <v>0.45</v>
      </c>
      <c r="O1112" s="23" cm="1">
        <f t="array" ref="O1112">WordListCount(K1112,keywords!$A$2:$A$31)-WordListCount(K1112,keywords!$B$2:$B$31)</f>
        <v>0</v>
      </c>
      <c r="P1112" s="25">
        <f t="shared" si="35"/>
        <v>0.64768518518518514</v>
      </c>
      <c r="Q1112" s="23">
        <f>SUM($O$2:O1112)</f>
        <v>34</v>
      </c>
      <c r="Y1112" s="14"/>
      <c r="Z1112" s="13"/>
      <c r="AA1112"/>
    </row>
    <row r="1113" spans="1:27" x14ac:dyDescent="0.2">
      <c r="A1113" s="12" t="s">
        <v>3510</v>
      </c>
      <c r="B1113" t="s">
        <v>3511</v>
      </c>
      <c r="C1113" t="s">
        <v>3512</v>
      </c>
      <c r="D1113" t="s">
        <v>3513</v>
      </c>
      <c r="E1113" t="s">
        <v>13</v>
      </c>
      <c r="F1113">
        <v>107</v>
      </c>
      <c r="G1113">
        <v>218</v>
      </c>
      <c r="H1113" s="5" t="s">
        <v>22</v>
      </c>
      <c r="I1113" s="5">
        <v>0</v>
      </c>
      <c r="J1113" s="5">
        <v>0</v>
      </c>
      <c r="K1113" t="s">
        <v>10599</v>
      </c>
      <c r="L1113" cm="1">
        <f t="array" ref="L1113">wordCount(K1113)</f>
        <v>20</v>
      </c>
      <c r="M1113">
        <f t="shared" si="34"/>
        <v>95</v>
      </c>
      <c r="N1113">
        <v>0.28000000000000003</v>
      </c>
      <c r="O1113" s="23" cm="1">
        <f t="array" ref="O1113">WordListCount(K1113,keywords!$A$2:$A$31)-WordListCount(K1113,keywords!$B$2:$B$31)</f>
        <v>0</v>
      </c>
      <c r="P1113" s="25">
        <f t="shared" si="35"/>
        <v>0.64771990740740748</v>
      </c>
      <c r="Q1113" s="23">
        <f>SUM($O$2:O1113)</f>
        <v>34</v>
      </c>
      <c r="Y1113" s="14"/>
      <c r="Z1113" s="13"/>
      <c r="AA1113"/>
    </row>
    <row r="1114" spans="1:27" x14ac:dyDescent="0.2">
      <c r="A1114" s="12" t="s">
        <v>3514</v>
      </c>
      <c r="B1114" t="s">
        <v>3515</v>
      </c>
      <c r="C1114" t="s">
        <v>3516</v>
      </c>
      <c r="D1114" t="s">
        <v>3517</v>
      </c>
      <c r="E1114" t="s">
        <v>13</v>
      </c>
      <c r="F1114">
        <v>312</v>
      </c>
      <c r="G1114">
        <v>1283</v>
      </c>
      <c r="H1114" s="5" t="s">
        <v>22</v>
      </c>
      <c r="I1114" s="5">
        <v>0</v>
      </c>
      <c r="J1114" s="5">
        <v>0</v>
      </c>
      <c r="K1114" t="s">
        <v>10600</v>
      </c>
      <c r="L1114" cm="1">
        <f t="array" ref="L1114">wordCount(K1114)</f>
        <v>10</v>
      </c>
      <c r="M1114">
        <f t="shared" si="34"/>
        <v>57</v>
      </c>
      <c r="N1114">
        <v>0.57894736842105265</v>
      </c>
      <c r="O1114" s="23" cm="1">
        <f t="array" ref="O1114">WordListCount(K1114,keywords!$A$2:$A$31)-WordListCount(K1114,keywords!$B$2:$B$31)</f>
        <v>-1</v>
      </c>
      <c r="P1114" s="25">
        <f t="shared" si="35"/>
        <v>0.64793981481481489</v>
      </c>
      <c r="Q1114" s="23">
        <f>SUM($O$2:O1114)</f>
        <v>33</v>
      </c>
      <c r="Y1114" s="14"/>
      <c r="Z1114" s="13"/>
      <c r="AA1114"/>
    </row>
    <row r="1115" spans="1:27" x14ac:dyDescent="0.2">
      <c r="A1115" s="12" t="s">
        <v>3518</v>
      </c>
      <c r="B1115" t="s">
        <v>3519</v>
      </c>
      <c r="C1115" t="s">
        <v>3520</v>
      </c>
      <c r="D1115" t="s">
        <v>3521</v>
      </c>
      <c r="E1115" t="s">
        <v>13</v>
      </c>
      <c r="F1115">
        <v>230</v>
      </c>
      <c r="G1115">
        <v>518</v>
      </c>
      <c r="H1115" s="5" t="s">
        <v>22</v>
      </c>
      <c r="I1115" s="5">
        <v>0</v>
      </c>
      <c r="J1115" s="5">
        <v>0</v>
      </c>
      <c r="K1115" t="s">
        <v>10601</v>
      </c>
      <c r="L1115" cm="1">
        <f t="array" ref="L1115">wordCount(K1115)</f>
        <v>20</v>
      </c>
      <c r="M1115">
        <f t="shared" si="34"/>
        <v>86</v>
      </c>
      <c r="N1115">
        <v>0.36363636363636365</v>
      </c>
      <c r="O1115" s="23" cm="1">
        <f t="array" ref="O1115">WordListCount(K1115,keywords!$A$2:$A$31)-WordListCount(K1115,keywords!$B$2:$B$31)</f>
        <v>0</v>
      </c>
      <c r="P1115" s="25">
        <f t="shared" si="35"/>
        <v>0.64795138888888892</v>
      </c>
      <c r="Q1115" s="23">
        <f>SUM($O$2:O1115)</f>
        <v>33</v>
      </c>
      <c r="Y1115" s="14"/>
      <c r="Z1115" s="13"/>
      <c r="AA1115"/>
    </row>
    <row r="1116" spans="1:27" x14ac:dyDescent="0.2">
      <c r="A1116" s="12" t="s">
        <v>3522</v>
      </c>
      <c r="B1116" t="s">
        <v>3523</v>
      </c>
      <c r="C1116" t="s">
        <v>3524</v>
      </c>
      <c r="D1116" t="s">
        <v>12</v>
      </c>
      <c r="E1116" t="s">
        <v>13</v>
      </c>
      <c r="F1116">
        <v>38</v>
      </c>
      <c r="G1116">
        <v>196</v>
      </c>
      <c r="H1116" s="5" t="s">
        <v>22</v>
      </c>
      <c r="I1116" s="5">
        <v>0</v>
      </c>
      <c r="J1116" s="5">
        <v>0</v>
      </c>
      <c r="K1116" t="s">
        <v>9363</v>
      </c>
      <c r="L1116" cm="1">
        <f t="array" ref="L1116">wordCount(K1116)</f>
        <v>9</v>
      </c>
      <c r="M1116">
        <f t="shared" si="34"/>
        <v>40</v>
      </c>
      <c r="N1116">
        <v>0.5</v>
      </c>
      <c r="O1116" s="23" cm="1">
        <f t="array" ref="O1116">WordListCount(K1116,keywords!$A$2:$A$31)-WordListCount(K1116,keywords!$B$2:$B$31)</f>
        <v>0</v>
      </c>
      <c r="P1116" s="25">
        <f t="shared" si="35"/>
        <v>0.64798611111111104</v>
      </c>
      <c r="Q1116" s="23">
        <f>SUM($O$2:O1116)</f>
        <v>33</v>
      </c>
      <c r="Y1116" s="14"/>
      <c r="Z1116" s="13"/>
      <c r="AA1116"/>
    </row>
    <row r="1117" spans="1:27" x14ac:dyDescent="0.2">
      <c r="A1117" s="12" t="s">
        <v>3525</v>
      </c>
      <c r="B1117" t="s">
        <v>3526</v>
      </c>
      <c r="C1117" t="s">
        <v>2874</v>
      </c>
      <c r="D1117" t="s">
        <v>12</v>
      </c>
      <c r="E1117" t="s">
        <v>13</v>
      </c>
      <c r="F1117">
        <v>3</v>
      </c>
      <c r="G1117">
        <v>0</v>
      </c>
      <c r="H1117" s="5" t="s">
        <v>382</v>
      </c>
      <c r="I1117" s="5">
        <v>0</v>
      </c>
      <c r="J1117" s="5">
        <v>0</v>
      </c>
      <c r="K1117" t="s">
        <v>10602</v>
      </c>
      <c r="L1117" cm="1">
        <f t="array" ref="L1117">wordCount(K1117)</f>
        <v>28</v>
      </c>
      <c r="M1117">
        <f t="shared" si="34"/>
        <v>138</v>
      </c>
      <c r="N1117">
        <v>0.28000000000000003</v>
      </c>
      <c r="O1117" s="23" cm="1">
        <f t="array" ref="O1117">WordListCount(K1117,keywords!$A$2:$A$31)-WordListCount(K1117,keywords!$B$2:$B$31)</f>
        <v>0</v>
      </c>
      <c r="P1117" s="25">
        <f t="shared" si="35"/>
        <v>0.64810185185185187</v>
      </c>
      <c r="Q1117" s="23">
        <f>SUM($O$2:O1117)</f>
        <v>33</v>
      </c>
      <c r="Y1117" s="14"/>
      <c r="Z1117" s="13"/>
      <c r="AA1117"/>
    </row>
    <row r="1118" spans="1:27" x14ac:dyDescent="0.2">
      <c r="A1118" s="12" t="s">
        <v>3527</v>
      </c>
      <c r="B1118" t="s">
        <v>3528</v>
      </c>
      <c r="C1118" t="s">
        <v>3529</v>
      </c>
      <c r="D1118" t="s">
        <v>3530</v>
      </c>
      <c r="E1118" t="s">
        <v>13</v>
      </c>
      <c r="F1118">
        <v>61</v>
      </c>
      <c r="G1118">
        <v>208</v>
      </c>
      <c r="H1118" s="5" t="s">
        <v>22</v>
      </c>
      <c r="I1118" s="5">
        <v>0</v>
      </c>
      <c r="J1118" s="5">
        <v>0</v>
      </c>
      <c r="K1118" t="s">
        <v>10603</v>
      </c>
      <c r="L1118" cm="1">
        <f t="array" ref="L1118">wordCount(K1118)</f>
        <v>21</v>
      </c>
      <c r="M1118">
        <f t="shared" si="34"/>
        <v>101</v>
      </c>
      <c r="N1118">
        <v>0.34782608695652173</v>
      </c>
      <c r="O1118" s="23" cm="1">
        <f t="array" ref="O1118">WordListCount(K1118,keywords!$A$2:$A$31)-WordListCount(K1118,keywords!$B$2:$B$31)</f>
        <v>-1</v>
      </c>
      <c r="P1118" s="25">
        <f t="shared" si="35"/>
        <v>0.6482175925925926</v>
      </c>
      <c r="Q1118" s="23">
        <f>SUM($O$2:O1118)</f>
        <v>32</v>
      </c>
      <c r="Y1118" s="14"/>
      <c r="Z1118" s="13"/>
      <c r="AA1118"/>
    </row>
    <row r="1119" spans="1:27" x14ac:dyDescent="0.2">
      <c r="A1119" s="12" t="s">
        <v>3531</v>
      </c>
      <c r="B1119" t="s">
        <v>3532</v>
      </c>
      <c r="C1119" t="s">
        <v>3533</v>
      </c>
      <c r="D1119" t="s">
        <v>1036</v>
      </c>
      <c r="E1119" t="s">
        <v>13</v>
      </c>
      <c r="F1119">
        <v>300</v>
      </c>
      <c r="G1119">
        <v>681</v>
      </c>
      <c r="H1119" s="5" t="s">
        <v>59</v>
      </c>
      <c r="I1119" s="5">
        <v>0</v>
      </c>
      <c r="J1119" s="5">
        <v>0</v>
      </c>
      <c r="K1119" t="s">
        <v>10604</v>
      </c>
      <c r="L1119" cm="1">
        <f t="array" ref="L1119">wordCount(K1119)</f>
        <v>13</v>
      </c>
      <c r="M1119">
        <f t="shared" si="34"/>
        <v>70</v>
      </c>
      <c r="N1119">
        <v>0.52</v>
      </c>
      <c r="O1119" s="23" cm="1">
        <f t="array" ref="O1119">WordListCount(K1119,keywords!$A$2:$A$31)-WordListCount(K1119,keywords!$B$2:$B$31)</f>
        <v>0</v>
      </c>
      <c r="P1119" s="25">
        <f t="shared" si="35"/>
        <v>0.64826388888888886</v>
      </c>
      <c r="Q1119" s="23">
        <f>SUM($O$2:O1119)</f>
        <v>32</v>
      </c>
      <c r="Y1119" s="14"/>
      <c r="Z1119" s="13"/>
      <c r="AA1119"/>
    </row>
    <row r="1120" spans="1:27" x14ac:dyDescent="0.2">
      <c r="A1120" s="12" t="s">
        <v>3534</v>
      </c>
      <c r="B1120" t="s">
        <v>3535</v>
      </c>
      <c r="C1120" t="s">
        <v>3536</v>
      </c>
      <c r="D1120" t="s">
        <v>30</v>
      </c>
      <c r="E1120" t="s">
        <v>13</v>
      </c>
      <c r="F1120">
        <v>241</v>
      </c>
      <c r="G1120">
        <v>657</v>
      </c>
      <c r="H1120" s="5" t="s">
        <v>96</v>
      </c>
      <c r="I1120" s="5">
        <v>0</v>
      </c>
      <c r="J1120" s="5">
        <v>0</v>
      </c>
      <c r="K1120" t="s">
        <v>10605</v>
      </c>
      <c r="L1120" cm="1">
        <f t="array" ref="L1120">wordCount(K1120)</f>
        <v>6</v>
      </c>
      <c r="M1120">
        <f t="shared" si="34"/>
        <v>29</v>
      </c>
      <c r="N1120">
        <v>0.81818181818181823</v>
      </c>
      <c r="O1120" s="23" cm="1">
        <f t="array" ref="O1120">WordListCount(K1120,keywords!$A$2:$A$31)-WordListCount(K1120,keywords!$B$2:$B$31)</f>
        <v>0</v>
      </c>
      <c r="P1120" s="25">
        <f t="shared" si="35"/>
        <v>0.64842592592592596</v>
      </c>
      <c r="Q1120" s="23">
        <f>SUM($O$2:O1120)</f>
        <v>32</v>
      </c>
      <c r="Y1120" s="14"/>
      <c r="Z1120" s="13"/>
      <c r="AA1120"/>
    </row>
    <row r="1121" spans="1:27" x14ac:dyDescent="0.2">
      <c r="A1121" s="12" t="s">
        <v>3537</v>
      </c>
      <c r="B1121" t="s">
        <v>3538</v>
      </c>
      <c r="C1121" t="s">
        <v>3539</v>
      </c>
      <c r="D1121" t="s">
        <v>3540</v>
      </c>
      <c r="E1121" t="s">
        <v>13</v>
      </c>
      <c r="F1121">
        <v>153</v>
      </c>
      <c r="G1121">
        <v>529</v>
      </c>
      <c r="H1121" s="5" t="s">
        <v>22</v>
      </c>
      <c r="I1121" s="5">
        <v>0</v>
      </c>
      <c r="J1121" s="5">
        <v>0</v>
      </c>
      <c r="K1121" t="s">
        <v>10606</v>
      </c>
      <c r="L1121" cm="1">
        <f t="array" ref="L1121">wordCount(K1121)</f>
        <v>15</v>
      </c>
      <c r="M1121">
        <f t="shared" si="34"/>
        <v>83</v>
      </c>
      <c r="N1121">
        <v>0.42857142857142855</v>
      </c>
      <c r="O1121" s="23" cm="1">
        <f t="array" ref="O1121">WordListCount(K1121,keywords!$A$2:$A$31)-WordListCount(K1121,keywords!$B$2:$B$31)</f>
        <v>0</v>
      </c>
      <c r="P1121" s="25">
        <f t="shared" si="35"/>
        <v>0.64844907407407404</v>
      </c>
      <c r="Q1121" s="23">
        <f>SUM($O$2:O1121)</f>
        <v>32</v>
      </c>
      <c r="Y1121" s="14"/>
      <c r="Z1121" s="13"/>
      <c r="AA1121"/>
    </row>
    <row r="1122" spans="1:27" x14ac:dyDescent="0.2">
      <c r="A1122" s="12" t="s">
        <v>3541</v>
      </c>
      <c r="B1122" t="s">
        <v>3542</v>
      </c>
      <c r="C1122" t="s">
        <v>3543</v>
      </c>
      <c r="D1122" t="s">
        <v>12</v>
      </c>
      <c r="E1122" t="s">
        <v>13</v>
      </c>
      <c r="F1122">
        <v>37</v>
      </c>
      <c r="G1122">
        <v>209</v>
      </c>
      <c r="H1122" s="5" t="s">
        <v>22</v>
      </c>
      <c r="I1122" s="5">
        <v>0</v>
      </c>
      <c r="J1122" s="5">
        <v>0</v>
      </c>
      <c r="K1122" t="s">
        <v>10607</v>
      </c>
      <c r="L1122" cm="1">
        <f t="array" ref="L1122">wordCount(K1122)</f>
        <v>13</v>
      </c>
      <c r="M1122">
        <f t="shared" si="34"/>
        <v>61</v>
      </c>
      <c r="N1122">
        <v>0.68181818181818177</v>
      </c>
      <c r="O1122" s="23" cm="1">
        <f t="array" ref="O1122">WordListCount(K1122,keywords!$A$2:$A$31)-WordListCount(K1122,keywords!$B$2:$B$31)</f>
        <v>0</v>
      </c>
      <c r="P1122" s="25">
        <f t="shared" si="35"/>
        <v>0.64850694444444446</v>
      </c>
      <c r="Q1122" s="23">
        <f>SUM($O$2:O1122)</f>
        <v>32</v>
      </c>
      <c r="Y1122" s="14"/>
      <c r="Z1122" s="13"/>
      <c r="AA1122"/>
    </row>
    <row r="1123" spans="1:27" x14ac:dyDescent="0.2">
      <c r="A1123" s="12" t="s">
        <v>3544</v>
      </c>
      <c r="B1123" t="s">
        <v>3545</v>
      </c>
      <c r="C1123" t="s">
        <v>3546</v>
      </c>
      <c r="D1123" t="s">
        <v>12</v>
      </c>
      <c r="E1123" t="s">
        <v>13</v>
      </c>
      <c r="F1123">
        <v>177</v>
      </c>
      <c r="G1123">
        <v>402</v>
      </c>
      <c r="H1123" s="5" t="s">
        <v>22</v>
      </c>
      <c r="I1123" s="5">
        <v>0</v>
      </c>
      <c r="J1123" s="5">
        <v>0</v>
      </c>
      <c r="K1123" t="s">
        <v>10608</v>
      </c>
      <c r="L1123" cm="1">
        <f t="array" ref="L1123">wordCount(K1123)</f>
        <v>14</v>
      </c>
      <c r="M1123">
        <f t="shared" si="34"/>
        <v>65</v>
      </c>
      <c r="N1123">
        <v>0.54166666666666663</v>
      </c>
      <c r="O1123" s="23" cm="1">
        <f t="array" ref="O1123">WordListCount(K1123,keywords!$A$2:$A$31)-WordListCount(K1123,keywords!$B$2:$B$31)</f>
        <v>1</v>
      </c>
      <c r="P1123" s="25">
        <f t="shared" si="35"/>
        <v>0.64853009259259264</v>
      </c>
      <c r="Q1123" s="23">
        <f>SUM($O$2:O1123)</f>
        <v>33</v>
      </c>
      <c r="Y1123" s="14"/>
      <c r="Z1123" s="13"/>
      <c r="AA1123"/>
    </row>
    <row r="1124" spans="1:27" x14ac:dyDescent="0.2">
      <c r="A1124" s="12" t="s">
        <v>3547</v>
      </c>
      <c r="B1124" t="s">
        <v>3548</v>
      </c>
      <c r="C1124" t="s">
        <v>3549</v>
      </c>
      <c r="D1124" t="s">
        <v>3550</v>
      </c>
      <c r="E1124" t="s">
        <v>13</v>
      </c>
      <c r="F1124">
        <v>66</v>
      </c>
      <c r="G1124">
        <v>97</v>
      </c>
      <c r="H1124" s="5" t="s">
        <v>22</v>
      </c>
      <c r="I1124" s="5">
        <v>0</v>
      </c>
      <c r="J1124" s="5">
        <v>0</v>
      </c>
      <c r="K1124" t="s">
        <v>9364</v>
      </c>
      <c r="L1124" cm="1">
        <f t="array" ref="L1124">wordCount(K1124)</f>
        <v>5</v>
      </c>
      <c r="M1124">
        <f t="shared" si="34"/>
        <v>26</v>
      </c>
      <c r="N1124">
        <v>0.72727272727272729</v>
      </c>
      <c r="O1124" s="23" cm="1">
        <f t="array" ref="O1124">WordListCount(K1124,keywords!$A$2:$A$31)-WordListCount(K1124,keywords!$B$2:$B$31)</f>
        <v>0</v>
      </c>
      <c r="P1124" s="25">
        <f t="shared" si="35"/>
        <v>0.64855324074074072</v>
      </c>
      <c r="Q1124" s="23">
        <f>SUM($O$2:O1124)</f>
        <v>33</v>
      </c>
      <c r="Y1124" s="14"/>
      <c r="Z1124" s="13"/>
      <c r="AA1124"/>
    </row>
    <row r="1125" spans="1:27" x14ac:dyDescent="0.2">
      <c r="A1125" s="12" t="s">
        <v>3551</v>
      </c>
      <c r="B1125" t="s">
        <v>3552</v>
      </c>
      <c r="C1125" t="s">
        <v>3553</v>
      </c>
      <c r="D1125" t="s">
        <v>12</v>
      </c>
      <c r="E1125" t="s">
        <v>13</v>
      </c>
      <c r="F1125">
        <v>100</v>
      </c>
      <c r="G1125">
        <v>938</v>
      </c>
      <c r="H1125" s="5" t="s">
        <v>22</v>
      </c>
      <c r="I1125" s="5">
        <v>0</v>
      </c>
      <c r="J1125" s="5">
        <v>0</v>
      </c>
      <c r="K1125" t="s">
        <v>9365</v>
      </c>
      <c r="L1125" cm="1">
        <f t="array" ref="L1125">wordCount(K1125)</f>
        <v>3</v>
      </c>
      <c r="M1125">
        <f t="shared" si="34"/>
        <v>15</v>
      </c>
      <c r="N1125">
        <v>0.93333333333333335</v>
      </c>
      <c r="O1125" s="23" cm="1">
        <f t="array" ref="O1125">WordListCount(K1125,keywords!$A$2:$A$31)-WordListCount(K1125,keywords!$B$2:$B$31)</f>
        <v>0</v>
      </c>
      <c r="P1125" s="25">
        <f t="shared" si="35"/>
        <v>0.64866898148148155</v>
      </c>
      <c r="Q1125" s="23">
        <f>SUM($O$2:O1125)</f>
        <v>33</v>
      </c>
      <c r="Y1125" s="14"/>
      <c r="Z1125" s="13"/>
      <c r="AA1125"/>
    </row>
    <row r="1126" spans="1:27" x14ac:dyDescent="0.2">
      <c r="A1126" s="12" t="s">
        <v>3554</v>
      </c>
      <c r="B1126" t="s">
        <v>3555</v>
      </c>
      <c r="C1126" t="s">
        <v>3556</v>
      </c>
      <c r="D1126" t="s">
        <v>12</v>
      </c>
      <c r="E1126" t="s">
        <v>13</v>
      </c>
      <c r="F1126">
        <v>88</v>
      </c>
      <c r="G1126">
        <v>72</v>
      </c>
      <c r="H1126" s="5" t="s">
        <v>22</v>
      </c>
      <c r="I1126" s="5">
        <v>0</v>
      </c>
      <c r="J1126" s="5">
        <v>0</v>
      </c>
      <c r="K1126" t="s">
        <v>10609</v>
      </c>
      <c r="L1126" cm="1">
        <f t="array" ref="L1126">wordCount(K1126)</f>
        <v>6</v>
      </c>
      <c r="M1126">
        <f t="shared" si="34"/>
        <v>43</v>
      </c>
      <c r="N1126">
        <v>0.14285714285714285</v>
      </c>
      <c r="O1126" s="23" cm="1">
        <f t="array" ref="O1126">WordListCount(K1126,keywords!$A$2:$A$31)-WordListCount(K1126,keywords!$B$2:$B$31)</f>
        <v>0</v>
      </c>
      <c r="P1126" s="25">
        <f t="shared" si="35"/>
        <v>0.64875000000000005</v>
      </c>
      <c r="Q1126" s="23">
        <f>SUM($O$2:O1126)</f>
        <v>33</v>
      </c>
      <c r="Y1126" s="14"/>
      <c r="Z1126" s="13"/>
      <c r="AA1126"/>
    </row>
    <row r="1127" spans="1:27" x14ac:dyDescent="0.2">
      <c r="A1127" s="12" t="s">
        <v>3557</v>
      </c>
      <c r="B1127" t="s">
        <v>3558</v>
      </c>
      <c r="C1127" t="s">
        <v>3559</v>
      </c>
      <c r="D1127" t="s">
        <v>12</v>
      </c>
      <c r="E1127" t="s">
        <v>13</v>
      </c>
      <c r="F1127">
        <v>2</v>
      </c>
      <c r="G1127">
        <v>29</v>
      </c>
      <c r="H1127" s="5" t="s">
        <v>22</v>
      </c>
      <c r="I1127" s="5">
        <v>0</v>
      </c>
      <c r="J1127" s="5">
        <v>0</v>
      </c>
      <c r="K1127" t="s">
        <v>10610</v>
      </c>
      <c r="L1127" cm="1">
        <f t="array" ref="L1127">wordCount(K1127)</f>
        <v>18</v>
      </c>
      <c r="M1127">
        <f t="shared" si="34"/>
        <v>94</v>
      </c>
      <c r="N1127">
        <v>0.53125</v>
      </c>
      <c r="O1127" s="23" cm="1">
        <f t="array" ref="O1127">WordListCount(K1127,keywords!$A$2:$A$31)-WordListCount(K1127,keywords!$B$2:$B$31)</f>
        <v>0</v>
      </c>
      <c r="P1127" s="25">
        <f t="shared" si="35"/>
        <v>0.64876157407407409</v>
      </c>
      <c r="Q1127" s="23">
        <f>SUM($O$2:O1127)</f>
        <v>33</v>
      </c>
      <c r="Y1127" s="14"/>
      <c r="Z1127" s="13"/>
      <c r="AA1127"/>
    </row>
    <row r="1128" spans="1:27" x14ac:dyDescent="0.2">
      <c r="A1128" s="12" t="s">
        <v>3560</v>
      </c>
      <c r="B1128" t="s">
        <v>3561</v>
      </c>
      <c r="C1128" t="s">
        <v>3562</v>
      </c>
      <c r="D1128" t="s">
        <v>1454</v>
      </c>
      <c r="E1128" t="s">
        <v>13</v>
      </c>
      <c r="F1128">
        <v>5162</v>
      </c>
      <c r="G1128">
        <v>678</v>
      </c>
      <c r="H1128" s="5" t="s">
        <v>14</v>
      </c>
      <c r="I1128" s="5">
        <v>0</v>
      </c>
      <c r="J1128" s="5">
        <v>0</v>
      </c>
      <c r="K1128" t="s">
        <v>9366</v>
      </c>
      <c r="L1128" cm="1">
        <f t="array" ref="L1128">wordCount(K1128)</f>
        <v>13</v>
      </c>
      <c r="M1128">
        <f t="shared" si="34"/>
        <v>66</v>
      </c>
      <c r="N1128">
        <v>0.62068965517241381</v>
      </c>
      <c r="O1128" s="23" cm="1">
        <f t="array" ref="O1128">WordListCount(K1128,keywords!$A$2:$A$31)-WordListCount(K1128,keywords!$B$2:$B$31)</f>
        <v>-1</v>
      </c>
      <c r="P1128" s="25">
        <f t="shared" si="35"/>
        <v>0.64909722222222221</v>
      </c>
      <c r="Q1128" s="23">
        <f>SUM($O$2:O1128)</f>
        <v>32</v>
      </c>
      <c r="Y1128" s="14"/>
      <c r="Z1128" s="13"/>
      <c r="AA1128"/>
    </row>
    <row r="1129" spans="1:27" x14ac:dyDescent="0.2">
      <c r="A1129" s="12" t="s">
        <v>3563</v>
      </c>
      <c r="B1129" t="s">
        <v>3564</v>
      </c>
      <c r="C1129" t="s">
        <v>500</v>
      </c>
      <c r="D1129" t="s">
        <v>501</v>
      </c>
      <c r="E1129" t="s">
        <v>13</v>
      </c>
      <c r="F1129">
        <v>292</v>
      </c>
      <c r="G1129">
        <v>0</v>
      </c>
      <c r="H1129" s="5" t="s">
        <v>125</v>
      </c>
      <c r="I1129" s="5">
        <v>0</v>
      </c>
      <c r="J1129" s="5">
        <v>0</v>
      </c>
      <c r="K1129" t="s">
        <v>9367</v>
      </c>
      <c r="L1129" cm="1">
        <f t="array" ref="L1129">wordCount(K1129)</f>
        <v>10</v>
      </c>
      <c r="M1129">
        <f t="shared" si="34"/>
        <v>54</v>
      </c>
      <c r="N1129">
        <v>0.625</v>
      </c>
      <c r="O1129" s="23" cm="1">
        <f t="array" ref="O1129">WordListCount(K1129,keywords!$A$2:$A$31)-WordListCount(K1129,keywords!$B$2:$B$31)</f>
        <v>0</v>
      </c>
      <c r="P1129" s="25">
        <f t="shared" si="35"/>
        <v>0.64918981481481486</v>
      </c>
      <c r="Q1129" s="23">
        <f>SUM($O$2:O1129)</f>
        <v>32</v>
      </c>
      <c r="Y1129" s="14"/>
      <c r="Z1129" s="13"/>
      <c r="AA1129"/>
    </row>
    <row r="1130" spans="1:27" x14ac:dyDescent="0.2">
      <c r="A1130" s="12" t="s">
        <v>3565</v>
      </c>
      <c r="B1130" t="s">
        <v>3566</v>
      </c>
      <c r="C1130" t="s">
        <v>241</v>
      </c>
      <c r="D1130" t="s">
        <v>242</v>
      </c>
      <c r="E1130" t="s">
        <v>13</v>
      </c>
      <c r="F1130">
        <v>9225</v>
      </c>
      <c r="G1130">
        <v>7170</v>
      </c>
      <c r="H1130" s="5" t="s">
        <v>22</v>
      </c>
      <c r="I1130" s="5">
        <v>0</v>
      </c>
      <c r="J1130" s="5">
        <v>0</v>
      </c>
      <c r="K1130" t="s">
        <v>9368</v>
      </c>
      <c r="L1130" cm="1">
        <f t="array" ref="L1130">wordCount(K1130)</f>
        <v>14</v>
      </c>
      <c r="M1130">
        <f t="shared" si="34"/>
        <v>79</v>
      </c>
      <c r="N1130">
        <v>0.33333333333333331</v>
      </c>
      <c r="O1130" s="23" cm="1">
        <f t="array" ref="O1130">WordListCount(K1130,keywords!$A$2:$A$31)-WordListCount(K1130,keywords!$B$2:$B$31)</f>
        <v>0</v>
      </c>
      <c r="P1130" s="25">
        <f t="shared" si="35"/>
        <v>0.64962962962962967</v>
      </c>
      <c r="Q1130" s="23">
        <f>SUM($O$2:O1130)</f>
        <v>32</v>
      </c>
      <c r="Y1130" s="14"/>
      <c r="Z1130" s="13"/>
      <c r="AA1130"/>
    </row>
    <row r="1131" spans="1:27" x14ac:dyDescent="0.2">
      <c r="A1131" s="12" t="s">
        <v>3567</v>
      </c>
      <c r="B1131" t="s">
        <v>3568</v>
      </c>
      <c r="C1131" t="s">
        <v>3569</v>
      </c>
      <c r="D1131" t="s">
        <v>235</v>
      </c>
      <c r="E1131" t="s">
        <v>13</v>
      </c>
      <c r="F1131">
        <v>8</v>
      </c>
      <c r="G1131">
        <v>166</v>
      </c>
      <c r="H1131" s="5" t="s">
        <v>22</v>
      </c>
      <c r="I1131" s="5">
        <v>0</v>
      </c>
      <c r="J1131" s="5">
        <v>0</v>
      </c>
      <c r="K1131" t="s">
        <v>10611</v>
      </c>
      <c r="L1131" cm="1">
        <f t="array" ref="L1131">wordCount(K1131)</f>
        <v>15</v>
      </c>
      <c r="M1131">
        <f t="shared" si="34"/>
        <v>91</v>
      </c>
      <c r="N1131">
        <v>0.63636363636363635</v>
      </c>
      <c r="O1131" s="23" cm="1">
        <f t="array" ref="O1131">WordListCount(K1131,keywords!$A$2:$A$31)-WordListCount(K1131,keywords!$B$2:$B$31)</f>
        <v>0</v>
      </c>
      <c r="P1131" s="25">
        <f t="shared" si="35"/>
        <v>0.65017361111111105</v>
      </c>
      <c r="Q1131" s="23">
        <f>SUM($O$2:O1131)</f>
        <v>32</v>
      </c>
      <c r="Y1131" s="14"/>
      <c r="Z1131" s="13"/>
      <c r="AA1131"/>
    </row>
    <row r="1132" spans="1:27" x14ac:dyDescent="0.2">
      <c r="A1132" s="12" t="s">
        <v>3570</v>
      </c>
      <c r="B1132" t="s">
        <v>3571</v>
      </c>
      <c r="C1132" t="s">
        <v>3572</v>
      </c>
      <c r="D1132" t="s">
        <v>3573</v>
      </c>
      <c r="E1132" t="s">
        <v>13</v>
      </c>
      <c r="F1132">
        <v>61</v>
      </c>
      <c r="G1132">
        <v>246</v>
      </c>
      <c r="H1132" s="5" t="s">
        <v>22</v>
      </c>
      <c r="I1132" s="5">
        <v>0</v>
      </c>
      <c r="J1132" s="5">
        <v>0</v>
      </c>
      <c r="K1132" t="s">
        <v>10612</v>
      </c>
      <c r="L1132" cm="1">
        <f t="array" ref="L1132">wordCount(K1132)</f>
        <v>11</v>
      </c>
      <c r="M1132">
        <f t="shared" si="34"/>
        <v>70</v>
      </c>
      <c r="N1132">
        <v>0.5</v>
      </c>
      <c r="O1132" s="23" cm="1">
        <f t="array" ref="O1132">WordListCount(K1132,keywords!$A$2:$A$31)-WordListCount(K1132,keywords!$B$2:$B$31)</f>
        <v>0</v>
      </c>
      <c r="P1132" s="25">
        <f t="shared" si="35"/>
        <v>0.65028935185185188</v>
      </c>
      <c r="Q1132" s="23">
        <f>SUM($O$2:O1132)</f>
        <v>32</v>
      </c>
      <c r="Y1132" s="14"/>
      <c r="Z1132" s="13"/>
      <c r="AA1132"/>
    </row>
    <row r="1133" spans="1:27" x14ac:dyDescent="0.2">
      <c r="A1133" s="12" t="s">
        <v>3574</v>
      </c>
      <c r="B1133" t="s">
        <v>3575</v>
      </c>
      <c r="C1133" t="s">
        <v>1050</v>
      </c>
      <c r="D1133" t="s">
        <v>1051</v>
      </c>
      <c r="E1133" t="s">
        <v>13</v>
      </c>
      <c r="F1133">
        <v>4945</v>
      </c>
      <c r="G1133">
        <v>4842</v>
      </c>
      <c r="H1133" s="5" t="s">
        <v>125</v>
      </c>
      <c r="I1133" s="5">
        <v>0</v>
      </c>
      <c r="J1133" s="5">
        <v>0</v>
      </c>
      <c r="K1133" t="s">
        <v>10613</v>
      </c>
      <c r="L1133" cm="1">
        <f t="array" ref="L1133">wordCount(K1133)</f>
        <v>4</v>
      </c>
      <c r="M1133">
        <f t="shared" si="34"/>
        <v>17</v>
      </c>
      <c r="N1133">
        <v>0.8</v>
      </c>
      <c r="O1133" s="23" cm="1">
        <f t="array" ref="O1133">WordListCount(K1133,keywords!$A$2:$A$31)-WordListCount(K1133,keywords!$B$2:$B$31)</f>
        <v>0</v>
      </c>
      <c r="P1133" s="25">
        <f t="shared" si="35"/>
        <v>0.65033564814814815</v>
      </c>
      <c r="Q1133" s="23">
        <f>SUM($O$2:O1133)</f>
        <v>32</v>
      </c>
      <c r="Y1133" s="14"/>
      <c r="Z1133" s="13"/>
      <c r="AA1133"/>
    </row>
    <row r="1134" spans="1:27" x14ac:dyDescent="0.2">
      <c r="A1134" s="12" t="s">
        <v>3576</v>
      </c>
      <c r="B1134" t="s">
        <v>3577</v>
      </c>
      <c r="C1134" t="s">
        <v>3578</v>
      </c>
      <c r="D1134" t="s">
        <v>12</v>
      </c>
      <c r="E1134" t="s">
        <v>13</v>
      </c>
      <c r="F1134">
        <v>307</v>
      </c>
      <c r="G1134">
        <v>849</v>
      </c>
      <c r="H1134" s="5" t="s">
        <v>22</v>
      </c>
      <c r="I1134" s="5">
        <v>0</v>
      </c>
      <c r="J1134" s="5">
        <v>0</v>
      </c>
      <c r="K1134" t="s">
        <v>10614</v>
      </c>
      <c r="L1134" cm="1">
        <f t="array" ref="L1134">wordCount(K1134)</f>
        <v>11</v>
      </c>
      <c r="M1134">
        <f t="shared" si="34"/>
        <v>68</v>
      </c>
      <c r="N1134">
        <v>0.58333333333333337</v>
      </c>
      <c r="O1134" s="23" cm="1">
        <f t="array" ref="O1134">WordListCount(K1134,keywords!$A$2:$A$31)-WordListCount(K1134,keywords!$B$2:$B$31)</f>
        <v>0</v>
      </c>
      <c r="P1134" s="25">
        <f t="shared" si="35"/>
        <v>0.6505671296296297</v>
      </c>
      <c r="Q1134" s="23">
        <f>SUM($O$2:O1134)</f>
        <v>32</v>
      </c>
      <c r="Y1134" s="14"/>
      <c r="Z1134" s="13"/>
      <c r="AA1134"/>
    </row>
    <row r="1135" spans="1:27" x14ac:dyDescent="0.2">
      <c r="A1135" s="12" t="s">
        <v>3579</v>
      </c>
      <c r="B1135" t="s">
        <v>3580</v>
      </c>
      <c r="C1135" t="s">
        <v>3581</v>
      </c>
      <c r="D1135" t="s">
        <v>3582</v>
      </c>
      <c r="E1135" t="s">
        <v>13</v>
      </c>
      <c r="F1135">
        <v>1073</v>
      </c>
      <c r="G1135">
        <v>290</v>
      </c>
      <c r="H1135" s="5" t="s">
        <v>59</v>
      </c>
      <c r="I1135" s="5">
        <v>0</v>
      </c>
      <c r="J1135" s="5">
        <v>0</v>
      </c>
      <c r="K1135" t="s">
        <v>9369</v>
      </c>
      <c r="L1135" cm="1">
        <f t="array" ref="L1135">wordCount(K1135)</f>
        <v>14</v>
      </c>
      <c r="M1135">
        <f t="shared" si="34"/>
        <v>59</v>
      </c>
      <c r="N1135">
        <v>0.52</v>
      </c>
      <c r="O1135" s="23" cm="1">
        <f t="array" ref="O1135">WordListCount(K1135,keywords!$A$2:$A$31)-WordListCount(K1135,keywords!$B$2:$B$31)</f>
        <v>0</v>
      </c>
      <c r="P1135" s="25">
        <f t="shared" si="35"/>
        <v>0.65115740740740746</v>
      </c>
      <c r="Q1135" s="23">
        <f>SUM($O$2:O1135)</f>
        <v>32</v>
      </c>
      <c r="Y1135" s="14"/>
      <c r="Z1135" s="13"/>
      <c r="AA1135"/>
    </row>
    <row r="1136" spans="1:27" x14ac:dyDescent="0.2">
      <c r="A1136" s="12" t="s">
        <v>3583</v>
      </c>
      <c r="B1136" t="s">
        <v>3584</v>
      </c>
      <c r="C1136" t="s">
        <v>3585</v>
      </c>
      <c r="D1136" t="s">
        <v>12</v>
      </c>
      <c r="E1136" t="s">
        <v>13</v>
      </c>
      <c r="F1136">
        <v>360</v>
      </c>
      <c r="G1136">
        <v>27</v>
      </c>
      <c r="H1136" s="5" t="s">
        <v>22</v>
      </c>
      <c r="I1136" s="5">
        <v>0</v>
      </c>
      <c r="J1136" s="5">
        <v>0</v>
      </c>
      <c r="K1136" t="s">
        <v>10615</v>
      </c>
      <c r="L1136" cm="1">
        <f t="array" ref="L1136">wordCount(K1136)</f>
        <v>9</v>
      </c>
      <c r="M1136">
        <f t="shared" si="34"/>
        <v>30</v>
      </c>
      <c r="N1136">
        <v>0.5</v>
      </c>
      <c r="O1136" s="23" cm="1">
        <f t="array" ref="O1136">WordListCount(K1136,keywords!$A$2:$A$31)-WordListCount(K1136,keywords!$B$2:$B$31)</f>
        <v>0</v>
      </c>
      <c r="P1136" s="25">
        <f t="shared" si="35"/>
        <v>0.65140046296296295</v>
      </c>
      <c r="Q1136" s="23">
        <f>SUM($O$2:O1136)</f>
        <v>32</v>
      </c>
      <c r="Y1136" s="14"/>
      <c r="Z1136" s="13"/>
      <c r="AA1136"/>
    </row>
    <row r="1137" spans="1:27" x14ac:dyDescent="0.2">
      <c r="A1137" s="12" t="s">
        <v>3586</v>
      </c>
      <c r="B1137" t="s">
        <v>3587</v>
      </c>
      <c r="C1137" t="s">
        <v>3588</v>
      </c>
      <c r="D1137" t="s">
        <v>12</v>
      </c>
      <c r="E1137" t="s">
        <v>13</v>
      </c>
      <c r="F1137">
        <v>43</v>
      </c>
      <c r="G1137">
        <v>100</v>
      </c>
      <c r="H1137" s="5" t="s">
        <v>22</v>
      </c>
      <c r="I1137" s="5">
        <v>0</v>
      </c>
      <c r="J1137" s="5">
        <v>0</v>
      </c>
      <c r="K1137" t="s">
        <v>10616</v>
      </c>
      <c r="L1137" cm="1">
        <f t="array" ref="L1137">wordCount(K1137)</f>
        <v>12</v>
      </c>
      <c r="M1137">
        <f t="shared" si="34"/>
        <v>42</v>
      </c>
      <c r="N1137">
        <v>0.5625</v>
      </c>
      <c r="O1137" s="23" cm="1">
        <f t="array" ref="O1137">WordListCount(K1137,keywords!$A$2:$A$31)-WordListCount(K1137,keywords!$B$2:$B$31)</f>
        <v>0</v>
      </c>
      <c r="P1137" s="25">
        <f t="shared" si="35"/>
        <v>0.65150462962962963</v>
      </c>
      <c r="Q1137" s="23">
        <f>SUM($O$2:O1137)</f>
        <v>32</v>
      </c>
      <c r="Y1137" s="14"/>
      <c r="Z1137" s="13"/>
      <c r="AA1137"/>
    </row>
    <row r="1138" spans="1:27" x14ac:dyDescent="0.2">
      <c r="A1138" s="12" t="s">
        <v>3589</v>
      </c>
      <c r="B1138" t="s">
        <v>3590</v>
      </c>
      <c r="C1138" t="s">
        <v>3591</v>
      </c>
      <c r="D1138" t="s">
        <v>12</v>
      </c>
      <c r="E1138" t="s">
        <v>13</v>
      </c>
      <c r="F1138">
        <v>23</v>
      </c>
      <c r="G1138">
        <v>253</v>
      </c>
      <c r="H1138" s="5" t="s">
        <v>22</v>
      </c>
      <c r="I1138" s="5">
        <v>0</v>
      </c>
      <c r="J1138" s="5">
        <v>0</v>
      </c>
      <c r="K1138" t="s">
        <v>9370</v>
      </c>
      <c r="L1138" cm="1">
        <f t="array" ref="L1138">wordCount(K1138)</f>
        <v>23</v>
      </c>
      <c r="M1138">
        <f t="shared" si="34"/>
        <v>118</v>
      </c>
      <c r="N1138">
        <v>0.35483870967741937</v>
      </c>
      <c r="O1138" s="23" cm="1">
        <f t="array" ref="O1138">WordListCount(K1138,keywords!$A$2:$A$31)-WordListCount(K1138,keywords!$B$2:$B$31)</f>
        <v>0</v>
      </c>
      <c r="P1138" s="25">
        <f t="shared" si="35"/>
        <v>0.65151620370370367</v>
      </c>
      <c r="Q1138" s="23">
        <f>SUM($O$2:O1138)</f>
        <v>32</v>
      </c>
      <c r="Y1138" s="14"/>
      <c r="Z1138" s="13"/>
      <c r="AA1138"/>
    </row>
    <row r="1139" spans="1:27" x14ac:dyDescent="0.2">
      <c r="A1139" s="12" t="s">
        <v>3592</v>
      </c>
      <c r="B1139" t="s">
        <v>3593</v>
      </c>
      <c r="C1139" t="s">
        <v>3594</v>
      </c>
      <c r="D1139" t="s">
        <v>12</v>
      </c>
      <c r="E1139" t="s">
        <v>13</v>
      </c>
      <c r="F1139">
        <v>474</v>
      </c>
      <c r="G1139">
        <v>247</v>
      </c>
      <c r="H1139" s="5" t="s">
        <v>22</v>
      </c>
      <c r="I1139" s="5">
        <v>0</v>
      </c>
      <c r="J1139" s="5">
        <v>0</v>
      </c>
      <c r="K1139" t="s">
        <v>9371</v>
      </c>
      <c r="L1139" cm="1">
        <f t="array" ref="L1139">wordCount(K1139)</f>
        <v>7</v>
      </c>
      <c r="M1139">
        <f t="shared" si="34"/>
        <v>28</v>
      </c>
      <c r="N1139">
        <v>0.83333333333333337</v>
      </c>
      <c r="O1139" s="23" cm="1">
        <f t="array" ref="O1139">WordListCount(K1139,keywords!$A$2:$A$31)-WordListCount(K1139,keywords!$B$2:$B$31)</f>
        <v>0</v>
      </c>
      <c r="P1139" s="25">
        <f t="shared" si="35"/>
        <v>0.65155092592592589</v>
      </c>
      <c r="Q1139" s="23">
        <f>SUM($O$2:O1139)</f>
        <v>32</v>
      </c>
      <c r="Y1139" s="14"/>
      <c r="Z1139" s="13"/>
      <c r="AA1139"/>
    </row>
    <row r="1140" spans="1:27" x14ac:dyDescent="0.2">
      <c r="A1140" s="12" t="s">
        <v>3592</v>
      </c>
      <c r="B1140" t="s">
        <v>3595</v>
      </c>
      <c r="C1140" t="s">
        <v>3596</v>
      </c>
      <c r="D1140" t="s">
        <v>12</v>
      </c>
      <c r="E1140" t="s">
        <v>13</v>
      </c>
      <c r="F1140">
        <v>91</v>
      </c>
      <c r="G1140">
        <v>493</v>
      </c>
      <c r="H1140" s="5" t="s">
        <v>22</v>
      </c>
      <c r="I1140" s="5">
        <v>0</v>
      </c>
      <c r="J1140" s="5">
        <v>0</v>
      </c>
      <c r="K1140" t="s">
        <v>10617</v>
      </c>
      <c r="L1140" cm="1">
        <f t="array" ref="L1140">wordCount(K1140)</f>
        <v>16</v>
      </c>
      <c r="M1140">
        <f t="shared" si="34"/>
        <v>89</v>
      </c>
      <c r="N1140">
        <v>0.5</v>
      </c>
      <c r="O1140" s="23" cm="1">
        <f t="array" ref="O1140">WordListCount(K1140,keywords!$A$2:$A$31)-WordListCount(K1140,keywords!$B$2:$B$31)</f>
        <v>0</v>
      </c>
      <c r="P1140" s="25">
        <f t="shared" si="35"/>
        <v>0.65155092592592589</v>
      </c>
      <c r="Q1140" s="23">
        <f>SUM($O$2:O1140)</f>
        <v>32</v>
      </c>
      <c r="Y1140" s="14"/>
      <c r="Z1140" s="13"/>
      <c r="AA1140"/>
    </row>
    <row r="1141" spans="1:27" x14ac:dyDescent="0.2">
      <c r="A1141" s="12" t="s">
        <v>3597</v>
      </c>
      <c r="B1141" t="s">
        <v>3598</v>
      </c>
      <c r="C1141" t="s">
        <v>3599</v>
      </c>
      <c r="D1141" t="s">
        <v>3600</v>
      </c>
      <c r="E1141" t="s">
        <v>13</v>
      </c>
      <c r="F1141">
        <v>88</v>
      </c>
      <c r="G1141">
        <v>192</v>
      </c>
      <c r="H1141" s="5" t="s">
        <v>22</v>
      </c>
      <c r="I1141" s="5">
        <v>0</v>
      </c>
      <c r="J1141" s="5">
        <v>0</v>
      </c>
      <c r="K1141" t="s">
        <v>10618</v>
      </c>
      <c r="L1141" cm="1">
        <f t="array" ref="L1141">wordCount(K1141)</f>
        <v>16</v>
      </c>
      <c r="M1141">
        <f t="shared" si="34"/>
        <v>80</v>
      </c>
      <c r="N1141">
        <v>0.48148148148148145</v>
      </c>
      <c r="O1141" s="23" cm="1">
        <f t="array" ref="O1141">WordListCount(K1141,keywords!$A$2:$A$31)-WordListCount(K1141,keywords!$B$2:$B$31)</f>
        <v>0</v>
      </c>
      <c r="P1141" s="25">
        <f t="shared" si="35"/>
        <v>0.65160879629629631</v>
      </c>
      <c r="Q1141" s="23">
        <f>SUM($O$2:O1141)</f>
        <v>32</v>
      </c>
      <c r="Y1141" s="14"/>
      <c r="Z1141" s="13"/>
      <c r="AA1141"/>
    </row>
    <row r="1142" spans="1:27" x14ac:dyDescent="0.2">
      <c r="A1142" s="12" t="s">
        <v>3601</v>
      </c>
      <c r="B1142" t="s">
        <v>3602</v>
      </c>
      <c r="C1142" t="s">
        <v>3603</v>
      </c>
      <c r="D1142" t="s">
        <v>12</v>
      </c>
      <c r="E1142" t="s">
        <v>13</v>
      </c>
      <c r="F1142">
        <v>1863</v>
      </c>
      <c r="G1142">
        <v>2267</v>
      </c>
      <c r="H1142" s="5" t="s">
        <v>22</v>
      </c>
      <c r="I1142" s="5">
        <v>0</v>
      </c>
      <c r="J1142" s="5">
        <v>0</v>
      </c>
      <c r="K1142" t="s">
        <v>10619</v>
      </c>
      <c r="L1142" cm="1">
        <f t="array" ref="L1142">wordCount(K1142)</f>
        <v>11</v>
      </c>
      <c r="M1142">
        <f t="shared" si="34"/>
        <v>61</v>
      </c>
      <c r="N1142">
        <v>0.4</v>
      </c>
      <c r="O1142" s="23" cm="1">
        <f t="array" ref="O1142">WordListCount(K1142,keywords!$A$2:$A$31)-WordListCount(K1142,keywords!$B$2:$B$31)</f>
        <v>0</v>
      </c>
      <c r="P1142" s="25">
        <f t="shared" si="35"/>
        <v>0.65167824074074077</v>
      </c>
      <c r="Q1142" s="23">
        <f>SUM($O$2:O1142)</f>
        <v>32</v>
      </c>
      <c r="Y1142" s="14"/>
      <c r="Z1142" s="13"/>
      <c r="AA1142"/>
    </row>
    <row r="1143" spans="1:27" x14ac:dyDescent="0.2">
      <c r="A1143" s="12" t="s">
        <v>3604</v>
      </c>
      <c r="B1143" t="s">
        <v>3605</v>
      </c>
      <c r="C1143" t="s">
        <v>3606</v>
      </c>
      <c r="D1143" t="s">
        <v>3607</v>
      </c>
      <c r="E1143" t="s">
        <v>13</v>
      </c>
      <c r="F1143">
        <v>12144</v>
      </c>
      <c r="G1143">
        <v>375</v>
      </c>
      <c r="H1143" s="5" t="s">
        <v>22</v>
      </c>
      <c r="I1143" s="5">
        <v>0</v>
      </c>
      <c r="J1143" s="5">
        <v>0</v>
      </c>
      <c r="K1143" t="s">
        <v>10620</v>
      </c>
      <c r="L1143" cm="1">
        <f t="array" ref="L1143">wordCount(K1143)</f>
        <v>13</v>
      </c>
      <c r="M1143">
        <f t="shared" si="34"/>
        <v>67</v>
      </c>
      <c r="N1143">
        <v>0.23076923076923078</v>
      </c>
      <c r="O1143" s="23" cm="1">
        <f t="array" ref="O1143">WordListCount(K1143,keywords!$A$2:$A$31)-WordListCount(K1143,keywords!$B$2:$B$31)</f>
        <v>0</v>
      </c>
      <c r="P1143" s="25">
        <f t="shared" si="35"/>
        <v>0.65178240740740734</v>
      </c>
      <c r="Q1143" s="23">
        <f>SUM($O$2:O1143)</f>
        <v>32</v>
      </c>
      <c r="Y1143" s="14"/>
      <c r="Z1143" s="13"/>
      <c r="AA1143"/>
    </row>
    <row r="1144" spans="1:27" x14ac:dyDescent="0.2">
      <c r="A1144" s="12" t="s">
        <v>3608</v>
      </c>
      <c r="B1144" t="s">
        <v>3609</v>
      </c>
      <c r="C1144" t="s">
        <v>3610</v>
      </c>
      <c r="D1144" t="s">
        <v>3611</v>
      </c>
      <c r="E1144" t="s">
        <v>13</v>
      </c>
      <c r="F1144">
        <v>1259</v>
      </c>
      <c r="G1144">
        <v>726</v>
      </c>
      <c r="H1144" s="5" t="s">
        <v>86</v>
      </c>
      <c r="I1144" s="5">
        <v>0</v>
      </c>
      <c r="J1144" s="5">
        <v>0</v>
      </c>
      <c r="K1144" t="s">
        <v>10621</v>
      </c>
      <c r="L1144" cm="1">
        <f t="array" ref="L1144">wordCount(K1144)</f>
        <v>19</v>
      </c>
      <c r="M1144">
        <f t="shared" si="34"/>
        <v>81</v>
      </c>
      <c r="N1144">
        <v>0.2857142857142857</v>
      </c>
      <c r="O1144" s="23" cm="1">
        <f t="array" ref="O1144">WordListCount(K1144,keywords!$A$2:$A$31)-WordListCount(K1144,keywords!$B$2:$B$31)</f>
        <v>-1</v>
      </c>
      <c r="P1144" s="25">
        <f t="shared" si="35"/>
        <v>0.65189814814814817</v>
      </c>
      <c r="Q1144" s="23">
        <f>SUM($O$2:O1144)</f>
        <v>31</v>
      </c>
      <c r="Y1144" s="14"/>
      <c r="Z1144" s="13"/>
      <c r="AA1144"/>
    </row>
    <row r="1145" spans="1:27" x14ac:dyDescent="0.2">
      <c r="A1145" s="12" t="s">
        <v>3612</v>
      </c>
      <c r="B1145" t="s">
        <v>3613</v>
      </c>
      <c r="C1145" t="s">
        <v>3614</v>
      </c>
      <c r="D1145" t="s">
        <v>12</v>
      </c>
      <c r="E1145" t="s">
        <v>13</v>
      </c>
      <c r="F1145">
        <v>14</v>
      </c>
      <c r="G1145">
        <v>31</v>
      </c>
      <c r="H1145" s="5" t="s">
        <v>22</v>
      </c>
      <c r="I1145" s="5">
        <v>0</v>
      </c>
      <c r="J1145" s="5">
        <v>0</v>
      </c>
      <c r="K1145" t="s">
        <v>9372</v>
      </c>
      <c r="L1145" cm="1">
        <f t="array" ref="L1145">wordCount(K1145)</f>
        <v>9</v>
      </c>
      <c r="M1145">
        <f t="shared" si="34"/>
        <v>55</v>
      </c>
      <c r="N1145">
        <v>0.27272727272727271</v>
      </c>
      <c r="O1145" s="23" cm="1">
        <f t="array" ref="O1145">WordListCount(K1145,keywords!$A$2:$A$31)-WordListCount(K1145,keywords!$B$2:$B$31)</f>
        <v>0</v>
      </c>
      <c r="P1145" s="25">
        <f t="shared" si="35"/>
        <v>0.6519328703703704</v>
      </c>
      <c r="Q1145" s="23">
        <f>SUM($O$2:O1145)</f>
        <v>31</v>
      </c>
      <c r="Y1145" s="14"/>
      <c r="Z1145" s="13"/>
      <c r="AA1145"/>
    </row>
    <row r="1146" spans="1:27" x14ac:dyDescent="0.2">
      <c r="A1146" s="12" t="s">
        <v>3615</v>
      </c>
      <c r="B1146" t="s">
        <v>3616</v>
      </c>
      <c r="C1146" t="s">
        <v>3617</v>
      </c>
      <c r="D1146" t="s">
        <v>3618</v>
      </c>
      <c r="E1146" t="s">
        <v>13</v>
      </c>
      <c r="F1146">
        <v>398</v>
      </c>
      <c r="G1146">
        <v>1123</v>
      </c>
      <c r="H1146" s="5" t="s">
        <v>22</v>
      </c>
      <c r="I1146" s="5">
        <v>0</v>
      </c>
      <c r="J1146" s="5">
        <v>0</v>
      </c>
      <c r="K1146" t="s">
        <v>10622</v>
      </c>
      <c r="L1146" cm="1">
        <f t="array" ref="L1146">wordCount(K1146)</f>
        <v>15</v>
      </c>
      <c r="M1146">
        <f t="shared" si="34"/>
        <v>66</v>
      </c>
      <c r="N1146">
        <v>0.375</v>
      </c>
      <c r="O1146" s="23" cm="1">
        <f t="array" ref="O1146">WordListCount(K1146,keywords!$A$2:$A$31)-WordListCount(K1146,keywords!$B$2:$B$31)</f>
        <v>0</v>
      </c>
      <c r="P1146" s="25">
        <f t="shared" si="35"/>
        <v>0.6522337962962963</v>
      </c>
      <c r="Q1146" s="23">
        <f>SUM($O$2:O1146)</f>
        <v>31</v>
      </c>
      <c r="Y1146" s="14"/>
      <c r="Z1146" s="13"/>
      <c r="AA1146"/>
    </row>
    <row r="1147" spans="1:27" x14ac:dyDescent="0.2">
      <c r="A1147" s="12" t="s">
        <v>3619</v>
      </c>
      <c r="B1147" t="s">
        <v>3620</v>
      </c>
      <c r="C1147" t="s">
        <v>3621</v>
      </c>
      <c r="D1147" t="s">
        <v>12</v>
      </c>
      <c r="E1147" t="s">
        <v>13</v>
      </c>
      <c r="F1147">
        <v>30001</v>
      </c>
      <c r="G1147">
        <v>629</v>
      </c>
      <c r="H1147" s="5" t="s">
        <v>22</v>
      </c>
      <c r="I1147" s="5">
        <v>0</v>
      </c>
      <c r="J1147" s="5">
        <v>0</v>
      </c>
      <c r="K1147" t="s">
        <v>10623</v>
      </c>
      <c r="L1147" cm="1">
        <f t="array" ref="L1147">wordCount(K1147)</f>
        <v>9</v>
      </c>
      <c r="M1147">
        <f t="shared" si="34"/>
        <v>42</v>
      </c>
      <c r="N1147">
        <v>0.66666666666666663</v>
      </c>
      <c r="O1147" s="23" cm="1">
        <f t="array" ref="O1147">WordListCount(K1147,keywords!$A$2:$A$31)-WordListCount(K1147,keywords!$B$2:$B$31)</f>
        <v>0</v>
      </c>
      <c r="P1147" s="25">
        <f t="shared" si="35"/>
        <v>0.65233796296296298</v>
      </c>
      <c r="Q1147" s="23">
        <f>SUM($O$2:O1147)</f>
        <v>31</v>
      </c>
      <c r="Y1147" s="14"/>
      <c r="Z1147" s="13"/>
      <c r="AA1147"/>
    </row>
    <row r="1148" spans="1:27" x14ac:dyDescent="0.2">
      <c r="A1148" s="12" t="s">
        <v>3622</v>
      </c>
      <c r="B1148" t="s">
        <v>3623</v>
      </c>
      <c r="C1148" t="s">
        <v>1617</v>
      </c>
      <c r="D1148" t="s">
        <v>1618</v>
      </c>
      <c r="E1148" t="s">
        <v>13</v>
      </c>
      <c r="F1148">
        <v>663</v>
      </c>
      <c r="G1148">
        <v>162</v>
      </c>
      <c r="H1148" s="5" t="s">
        <v>22</v>
      </c>
      <c r="I1148" s="5">
        <v>0</v>
      </c>
      <c r="J1148" s="5">
        <v>0</v>
      </c>
      <c r="K1148" t="s">
        <v>9373</v>
      </c>
      <c r="L1148" cm="1">
        <f t="array" ref="L1148">wordCount(K1148)</f>
        <v>9</v>
      </c>
      <c r="M1148">
        <f t="shared" si="34"/>
        <v>46</v>
      </c>
      <c r="N1148">
        <v>0.65</v>
      </c>
      <c r="O1148" s="23" cm="1">
        <f t="array" ref="O1148">WordListCount(K1148,keywords!$A$2:$A$31)-WordListCount(K1148,keywords!$B$2:$B$31)</f>
        <v>0</v>
      </c>
      <c r="P1148" s="25">
        <f t="shared" si="35"/>
        <v>0.65298611111111116</v>
      </c>
      <c r="Q1148" s="23">
        <f>SUM($O$2:O1148)</f>
        <v>31</v>
      </c>
      <c r="Y1148" s="14"/>
      <c r="Z1148" s="13"/>
      <c r="AA1148"/>
    </row>
    <row r="1149" spans="1:27" x14ac:dyDescent="0.2">
      <c r="A1149" s="12" t="s">
        <v>3622</v>
      </c>
      <c r="B1149" t="s">
        <v>3624</v>
      </c>
      <c r="C1149" t="s">
        <v>3625</v>
      </c>
      <c r="D1149" t="s">
        <v>3626</v>
      </c>
      <c r="E1149" t="s">
        <v>13</v>
      </c>
      <c r="F1149">
        <v>272</v>
      </c>
      <c r="G1149">
        <v>376</v>
      </c>
      <c r="H1149" s="5" t="s">
        <v>382</v>
      </c>
      <c r="I1149" s="5">
        <v>0</v>
      </c>
      <c r="J1149" s="5">
        <v>0</v>
      </c>
      <c r="K1149" t="s">
        <v>9374</v>
      </c>
      <c r="L1149" cm="1">
        <f t="array" ref="L1149">wordCount(K1149)</f>
        <v>2</v>
      </c>
      <c r="M1149">
        <f t="shared" si="34"/>
        <v>11</v>
      </c>
      <c r="N1149">
        <v>0.8571428571428571</v>
      </c>
      <c r="O1149" s="23" cm="1">
        <f t="array" ref="O1149">WordListCount(K1149,keywords!$A$2:$A$31)-WordListCount(K1149,keywords!$B$2:$B$31)</f>
        <v>0</v>
      </c>
      <c r="P1149" s="25">
        <f t="shared" si="35"/>
        <v>0.65298611111111116</v>
      </c>
      <c r="Q1149" s="23">
        <f>SUM($O$2:O1149)</f>
        <v>31</v>
      </c>
      <c r="Y1149" s="14"/>
      <c r="Z1149" s="13"/>
      <c r="AA1149"/>
    </row>
    <row r="1150" spans="1:27" x14ac:dyDescent="0.2">
      <c r="A1150" s="12" t="s">
        <v>3627</v>
      </c>
      <c r="B1150" t="s">
        <v>3628</v>
      </c>
      <c r="C1150" t="s">
        <v>3629</v>
      </c>
      <c r="D1150" t="s">
        <v>1479</v>
      </c>
      <c r="E1150" t="s">
        <v>13</v>
      </c>
      <c r="F1150">
        <v>785</v>
      </c>
      <c r="G1150">
        <v>1340</v>
      </c>
      <c r="H1150" s="5" t="s">
        <v>22</v>
      </c>
      <c r="I1150" s="5">
        <v>0</v>
      </c>
      <c r="J1150" s="5">
        <v>0</v>
      </c>
      <c r="K1150" t="s">
        <v>10624</v>
      </c>
      <c r="L1150" cm="1">
        <f t="array" ref="L1150">wordCount(K1150)</f>
        <v>11</v>
      </c>
      <c r="M1150">
        <f t="shared" si="34"/>
        <v>53</v>
      </c>
      <c r="N1150">
        <v>0.69230769230769229</v>
      </c>
      <c r="O1150" s="23" cm="1">
        <f t="array" ref="O1150">WordListCount(K1150,keywords!$A$2:$A$31)-WordListCount(K1150,keywords!$B$2:$B$31)</f>
        <v>0</v>
      </c>
      <c r="P1150" s="25">
        <f t="shared" si="35"/>
        <v>0.65306712962962965</v>
      </c>
      <c r="Q1150" s="23">
        <f>SUM($O$2:O1150)</f>
        <v>31</v>
      </c>
      <c r="Y1150" s="14"/>
      <c r="Z1150" s="13"/>
      <c r="AA1150"/>
    </row>
    <row r="1151" spans="1:27" x14ac:dyDescent="0.2">
      <c r="A1151" s="12" t="s">
        <v>3630</v>
      </c>
      <c r="B1151" t="s">
        <v>3631</v>
      </c>
      <c r="C1151" t="s">
        <v>3632</v>
      </c>
      <c r="D1151" t="s">
        <v>3633</v>
      </c>
      <c r="E1151" t="s">
        <v>13</v>
      </c>
      <c r="F1151">
        <v>178</v>
      </c>
      <c r="G1151">
        <v>150</v>
      </c>
      <c r="H1151" s="5" t="s">
        <v>22</v>
      </c>
      <c r="I1151" s="5">
        <v>0</v>
      </c>
      <c r="J1151" s="5">
        <v>0</v>
      </c>
      <c r="K1151" t="s">
        <v>9375</v>
      </c>
      <c r="L1151" cm="1">
        <f t="array" ref="L1151">wordCount(K1151)</f>
        <v>8</v>
      </c>
      <c r="M1151">
        <f t="shared" si="34"/>
        <v>37</v>
      </c>
      <c r="N1151">
        <v>0.66666666666666663</v>
      </c>
      <c r="O1151" s="23" cm="1">
        <f t="array" ref="O1151">WordListCount(K1151,keywords!$A$2:$A$31)-WordListCount(K1151,keywords!$B$2:$B$31)</f>
        <v>0</v>
      </c>
      <c r="P1151" s="25">
        <f t="shared" si="35"/>
        <v>0.65311342592592592</v>
      </c>
      <c r="Q1151" s="23">
        <f>SUM($O$2:O1151)</f>
        <v>31</v>
      </c>
      <c r="Y1151" s="14"/>
      <c r="Z1151" s="13"/>
      <c r="AA1151"/>
    </row>
    <row r="1152" spans="1:27" x14ac:dyDescent="0.2">
      <c r="A1152" s="12" t="s">
        <v>3634</v>
      </c>
      <c r="B1152" t="s">
        <v>3635</v>
      </c>
      <c r="C1152" t="s">
        <v>3636</v>
      </c>
      <c r="D1152" t="s">
        <v>12</v>
      </c>
      <c r="E1152" t="s">
        <v>13</v>
      </c>
      <c r="F1152">
        <v>30</v>
      </c>
      <c r="G1152">
        <v>33</v>
      </c>
      <c r="H1152" s="5" t="s">
        <v>22</v>
      </c>
      <c r="I1152" s="5">
        <v>0</v>
      </c>
      <c r="J1152" s="5">
        <v>0</v>
      </c>
      <c r="K1152" t="s">
        <v>10625</v>
      </c>
      <c r="L1152" cm="1">
        <f t="array" ref="L1152">wordCount(K1152)</f>
        <v>9</v>
      </c>
      <c r="M1152">
        <f t="shared" si="34"/>
        <v>60</v>
      </c>
      <c r="N1152">
        <v>0.6</v>
      </c>
      <c r="O1152" s="23" cm="1">
        <f t="array" ref="O1152">WordListCount(K1152,keywords!$A$2:$A$31)-WordListCount(K1152,keywords!$B$2:$B$31)</f>
        <v>0</v>
      </c>
      <c r="P1152" s="25">
        <f t="shared" si="35"/>
        <v>0.65324074074074068</v>
      </c>
      <c r="Q1152" s="23">
        <f>SUM($O$2:O1152)</f>
        <v>31</v>
      </c>
      <c r="Y1152" s="14"/>
      <c r="Z1152" s="13"/>
      <c r="AA1152"/>
    </row>
    <row r="1153" spans="1:27" x14ac:dyDescent="0.2">
      <c r="A1153" s="12" t="s">
        <v>3637</v>
      </c>
      <c r="B1153" t="s">
        <v>3638</v>
      </c>
      <c r="C1153" t="s">
        <v>511</v>
      </c>
      <c r="D1153" t="s">
        <v>512</v>
      </c>
      <c r="E1153" t="s">
        <v>13</v>
      </c>
      <c r="F1153">
        <v>1899</v>
      </c>
      <c r="G1153">
        <v>540</v>
      </c>
      <c r="H1153" s="5" t="s">
        <v>22</v>
      </c>
      <c r="I1153" s="5">
        <v>0</v>
      </c>
      <c r="J1153" s="5">
        <v>0</v>
      </c>
      <c r="K1153" t="s">
        <v>9376</v>
      </c>
      <c r="L1153" cm="1">
        <f t="array" ref="L1153">wordCount(K1153)</f>
        <v>11</v>
      </c>
      <c r="M1153">
        <f t="shared" si="34"/>
        <v>55</v>
      </c>
      <c r="N1153">
        <v>0.90909090909090906</v>
      </c>
      <c r="O1153" s="23" cm="1">
        <f t="array" ref="O1153">WordListCount(K1153,keywords!$A$2:$A$31)-WordListCount(K1153,keywords!$B$2:$B$31)</f>
        <v>0</v>
      </c>
      <c r="P1153" s="25">
        <f t="shared" si="35"/>
        <v>0.6535185185185185</v>
      </c>
      <c r="Q1153" s="23">
        <f>SUM($O$2:O1153)</f>
        <v>31</v>
      </c>
      <c r="Y1153" s="14"/>
      <c r="Z1153" s="13"/>
      <c r="AA1153"/>
    </row>
    <row r="1154" spans="1:27" x14ac:dyDescent="0.2">
      <c r="A1154" s="12" t="s">
        <v>3639</v>
      </c>
      <c r="B1154" t="s">
        <v>3640</v>
      </c>
      <c r="C1154" t="s">
        <v>3641</v>
      </c>
      <c r="D1154" t="s">
        <v>12</v>
      </c>
      <c r="E1154" t="s">
        <v>13</v>
      </c>
      <c r="F1154">
        <v>10</v>
      </c>
      <c r="G1154">
        <v>28</v>
      </c>
      <c r="H1154" s="5" t="s">
        <v>22</v>
      </c>
      <c r="I1154" s="5">
        <v>0</v>
      </c>
      <c r="J1154" s="5">
        <v>0</v>
      </c>
      <c r="K1154" t="s">
        <v>10626</v>
      </c>
      <c r="L1154" cm="1">
        <f t="array" ref="L1154">wordCount(K1154)</f>
        <v>8</v>
      </c>
      <c r="M1154">
        <f t="shared" ref="M1154:M1217" si="36">LEN(K1154)</f>
        <v>39</v>
      </c>
      <c r="N1154">
        <v>0.58333333333333337</v>
      </c>
      <c r="O1154" s="23" cm="1">
        <f t="array" ref="O1154">WordListCount(K1154,keywords!$A$2:$A$31)-WordListCount(K1154,keywords!$B$2:$B$31)</f>
        <v>0</v>
      </c>
      <c r="P1154" s="25">
        <f t="shared" ref="P1154:P1217" si="37">TIMEVALUE(RIGHT(A1154,8))</f>
        <v>0.65358796296296295</v>
      </c>
      <c r="Q1154" s="23">
        <f>SUM($O$2:O1154)</f>
        <v>31</v>
      </c>
      <c r="Y1154" s="14"/>
      <c r="Z1154" s="13"/>
      <c r="AA1154"/>
    </row>
    <row r="1155" spans="1:27" x14ac:dyDescent="0.2">
      <c r="A1155" s="12" t="s">
        <v>3642</v>
      </c>
      <c r="B1155" t="s">
        <v>3643</v>
      </c>
      <c r="C1155" t="s">
        <v>396</v>
      </c>
      <c r="D1155" t="s">
        <v>12</v>
      </c>
      <c r="E1155" t="s">
        <v>13</v>
      </c>
      <c r="F1155">
        <v>1438</v>
      </c>
      <c r="G1155">
        <v>29</v>
      </c>
      <c r="H1155" s="5" t="s">
        <v>59</v>
      </c>
      <c r="I1155" s="5">
        <v>0</v>
      </c>
      <c r="J1155" s="5">
        <v>0</v>
      </c>
      <c r="K1155" t="s">
        <v>9377</v>
      </c>
      <c r="L1155" cm="1">
        <f t="array" ref="L1155">wordCount(K1155)</f>
        <v>8</v>
      </c>
      <c r="M1155">
        <f t="shared" si="36"/>
        <v>41</v>
      </c>
      <c r="N1155">
        <v>0.875</v>
      </c>
      <c r="O1155" s="23" cm="1">
        <f t="array" ref="O1155">WordListCount(K1155,keywords!$A$2:$A$31)-WordListCount(K1155,keywords!$B$2:$B$31)</f>
        <v>0</v>
      </c>
      <c r="P1155" s="25">
        <f t="shared" si="37"/>
        <v>0.65366898148148145</v>
      </c>
      <c r="Q1155" s="23">
        <f>SUM($O$2:O1155)</f>
        <v>31</v>
      </c>
      <c r="Y1155" s="14"/>
      <c r="Z1155" s="13"/>
      <c r="AA1155"/>
    </row>
    <row r="1156" spans="1:27" x14ac:dyDescent="0.2">
      <c r="A1156" s="12" t="s">
        <v>3644</v>
      </c>
      <c r="B1156" t="s">
        <v>3645</v>
      </c>
      <c r="C1156" t="s">
        <v>3646</v>
      </c>
      <c r="D1156" t="s">
        <v>3647</v>
      </c>
      <c r="E1156" t="s">
        <v>13</v>
      </c>
      <c r="F1156">
        <v>29</v>
      </c>
      <c r="G1156">
        <v>23</v>
      </c>
      <c r="H1156" s="5" t="s">
        <v>22</v>
      </c>
      <c r="I1156" s="5">
        <v>0</v>
      </c>
      <c r="J1156" s="5">
        <v>0</v>
      </c>
      <c r="K1156" t="s">
        <v>10627</v>
      </c>
      <c r="L1156" cm="1">
        <f t="array" ref="L1156">wordCount(K1156)</f>
        <v>15</v>
      </c>
      <c r="M1156">
        <f t="shared" si="36"/>
        <v>71</v>
      </c>
      <c r="N1156">
        <v>0.14285714285714285</v>
      </c>
      <c r="O1156" s="23" cm="1">
        <f t="array" ref="O1156">WordListCount(K1156,keywords!$A$2:$A$31)-WordListCount(K1156,keywords!$B$2:$B$31)</f>
        <v>0</v>
      </c>
      <c r="P1156" s="25">
        <f t="shared" si="37"/>
        <v>0.65372685185185186</v>
      </c>
      <c r="Q1156" s="23">
        <f>SUM($O$2:O1156)</f>
        <v>31</v>
      </c>
      <c r="Y1156" s="14"/>
      <c r="Z1156" s="13"/>
      <c r="AA1156"/>
    </row>
    <row r="1157" spans="1:27" x14ac:dyDescent="0.2">
      <c r="A1157" s="12" t="s">
        <v>3644</v>
      </c>
      <c r="B1157" t="s">
        <v>3648</v>
      </c>
      <c r="C1157" t="s">
        <v>3649</v>
      </c>
      <c r="D1157" t="s">
        <v>3650</v>
      </c>
      <c r="E1157" t="s">
        <v>13</v>
      </c>
      <c r="F1157">
        <v>719</v>
      </c>
      <c r="G1157">
        <v>733</v>
      </c>
      <c r="H1157" s="5" t="s">
        <v>22</v>
      </c>
      <c r="I1157" s="5">
        <v>0</v>
      </c>
      <c r="J1157" s="5">
        <v>0</v>
      </c>
      <c r="K1157" t="s">
        <v>10628</v>
      </c>
      <c r="L1157" cm="1">
        <f t="array" ref="L1157">wordCount(K1157)</f>
        <v>20</v>
      </c>
      <c r="M1157">
        <f t="shared" si="36"/>
        <v>104</v>
      </c>
      <c r="N1157">
        <v>0.10526315789473684</v>
      </c>
      <c r="O1157" s="23" cm="1">
        <f t="array" ref="O1157">WordListCount(K1157,keywords!$A$2:$A$31)-WordListCount(K1157,keywords!$B$2:$B$31)</f>
        <v>0</v>
      </c>
      <c r="P1157" s="25">
        <f t="shared" si="37"/>
        <v>0.65372685185185186</v>
      </c>
      <c r="Q1157" s="23">
        <f>SUM($O$2:O1157)</f>
        <v>31</v>
      </c>
      <c r="Y1157" s="14"/>
      <c r="Z1157" s="13"/>
      <c r="AA1157"/>
    </row>
    <row r="1158" spans="1:27" x14ac:dyDescent="0.2">
      <c r="A1158" s="12" t="s">
        <v>3651</v>
      </c>
      <c r="B1158" t="s">
        <v>3652</v>
      </c>
      <c r="C1158" t="s">
        <v>2904</v>
      </c>
      <c r="D1158" t="s">
        <v>2905</v>
      </c>
      <c r="E1158" t="s">
        <v>13</v>
      </c>
      <c r="F1158">
        <v>313</v>
      </c>
      <c r="G1158">
        <v>182</v>
      </c>
      <c r="H1158" s="5" t="s">
        <v>22</v>
      </c>
      <c r="I1158" s="5">
        <v>0</v>
      </c>
      <c r="J1158" s="5">
        <v>0</v>
      </c>
      <c r="K1158" t="s">
        <v>10629</v>
      </c>
      <c r="L1158" cm="1">
        <f t="array" ref="L1158">wordCount(K1158)</f>
        <v>9</v>
      </c>
      <c r="M1158">
        <f t="shared" si="36"/>
        <v>25</v>
      </c>
      <c r="N1158">
        <v>0.76470588235294112</v>
      </c>
      <c r="O1158" s="23" cm="1">
        <f t="array" ref="O1158">WordListCount(K1158,keywords!$A$2:$A$31)-WordListCount(K1158,keywords!$B$2:$B$31)</f>
        <v>0</v>
      </c>
      <c r="P1158" s="25">
        <f t="shared" si="37"/>
        <v>0.65406249999999999</v>
      </c>
      <c r="Q1158" s="23">
        <f>SUM($O$2:O1158)</f>
        <v>31</v>
      </c>
      <c r="Y1158" s="14"/>
      <c r="Z1158" s="13"/>
      <c r="AA1158"/>
    </row>
    <row r="1159" spans="1:27" x14ac:dyDescent="0.2">
      <c r="A1159" s="12" t="s">
        <v>3653</v>
      </c>
      <c r="B1159" t="s">
        <v>3654</v>
      </c>
      <c r="C1159" t="s">
        <v>1718</v>
      </c>
      <c r="D1159" t="s">
        <v>1719</v>
      </c>
      <c r="E1159" t="s">
        <v>13</v>
      </c>
      <c r="F1159">
        <v>4</v>
      </c>
      <c r="G1159">
        <v>0</v>
      </c>
      <c r="H1159" s="5" t="s">
        <v>22</v>
      </c>
      <c r="I1159" s="5">
        <v>0</v>
      </c>
      <c r="J1159" s="5">
        <v>0</v>
      </c>
      <c r="K1159" t="s">
        <v>9378</v>
      </c>
      <c r="L1159" cm="1">
        <f t="array" ref="L1159">wordCount(K1159)</f>
        <v>12</v>
      </c>
      <c r="M1159">
        <f t="shared" si="36"/>
        <v>69</v>
      </c>
      <c r="N1159">
        <v>0.46666666666666667</v>
      </c>
      <c r="O1159" s="23" cm="1">
        <f t="array" ref="O1159">WordListCount(K1159,keywords!$A$2:$A$31)-WordListCount(K1159,keywords!$B$2:$B$31)</f>
        <v>0</v>
      </c>
      <c r="P1159" s="25">
        <f t="shared" si="37"/>
        <v>0.65410879629629626</v>
      </c>
      <c r="Q1159" s="23">
        <f>SUM($O$2:O1159)</f>
        <v>31</v>
      </c>
      <c r="Y1159" s="14"/>
      <c r="Z1159" s="13"/>
      <c r="AA1159"/>
    </row>
    <row r="1160" spans="1:27" x14ac:dyDescent="0.2">
      <c r="A1160" s="12" t="s">
        <v>3655</v>
      </c>
      <c r="B1160" t="s">
        <v>3656</v>
      </c>
      <c r="C1160" t="s">
        <v>459</v>
      </c>
      <c r="D1160" t="s">
        <v>12</v>
      </c>
      <c r="E1160" t="s">
        <v>13</v>
      </c>
      <c r="F1160">
        <v>12</v>
      </c>
      <c r="G1160">
        <v>1</v>
      </c>
      <c r="H1160" s="5" t="s">
        <v>22</v>
      </c>
      <c r="I1160" s="5">
        <v>0</v>
      </c>
      <c r="J1160" s="5">
        <v>0</v>
      </c>
      <c r="K1160" t="s">
        <v>9379</v>
      </c>
      <c r="L1160" cm="1">
        <f t="array" ref="L1160">wordCount(K1160)</f>
        <v>15</v>
      </c>
      <c r="M1160">
        <f t="shared" si="36"/>
        <v>103</v>
      </c>
      <c r="N1160">
        <v>0.8125</v>
      </c>
      <c r="O1160" s="23" cm="1">
        <f t="array" ref="O1160">WordListCount(K1160,keywords!$A$2:$A$31)-WordListCount(K1160,keywords!$B$2:$B$31)</f>
        <v>0</v>
      </c>
      <c r="P1160" s="25">
        <f t="shared" si="37"/>
        <v>0.65423611111111113</v>
      </c>
      <c r="Q1160" s="23">
        <f>SUM($O$2:O1160)</f>
        <v>31</v>
      </c>
      <c r="Y1160" s="14"/>
      <c r="Z1160" s="13"/>
      <c r="AA1160"/>
    </row>
    <row r="1161" spans="1:27" x14ac:dyDescent="0.2">
      <c r="A1161" s="12" t="s">
        <v>3657</v>
      </c>
      <c r="B1161" t="s">
        <v>3658</v>
      </c>
      <c r="C1161" t="s">
        <v>3659</v>
      </c>
      <c r="D1161" t="s">
        <v>3660</v>
      </c>
      <c r="E1161" t="s">
        <v>13</v>
      </c>
      <c r="F1161">
        <v>476</v>
      </c>
      <c r="G1161">
        <v>470</v>
      </c>
      <c r="H1161" s="5" t="s">
        <v>22</v>
      </c>
      <c r="I1161" s="5">
        <v>0</v>
      </c>
      <c r="J1161" s="5">
        <v>0</v>
      </c>
      <c r="K1161" t="s">
        <v>10630</v>
      </c>
      <c r="L1161" cm="1">
        <f t="array" ref="L1161">wordCount(K1161)</f>
        <v>17</v>
      </c>
      <c r="M1161">
        <f t="shared" si="36"/>
        <v>87</v>
      </c>
      <c r="N1161">
        <v>0.53846153846153844</v>
      </c>
      <c r="O1161" s="23" cm="1">
        <f t="array" ref="O1161">WordListCount(K1161,keywords!$A$2:$A$31)-WordListCount(K1161,keywords!$B$2:$B$31)</f>
        <v>0</v>
      </c>
      <c r="P1161" s="25">
        <f t="shared" si="37"/>
        <v>0.65431712962962962</v>
      </c>
      <c r="Q1161" s="23">
        <f>SUM($O$2:O1161)</f>
        <v>31</v>
      </c>
      <c r="Y1161" s="14"/>
      <c r="Z1161" s="13"/>
      <c r="AA1161"/>
    </row>
    <row r="1162" spans="1:27" x14ac:dyDescent="0.2">
      <c r="A1162" s="12" t="s">
        <v>3661</v>
      </c>
      <c r="B1162" t="s">
        <v>3662</v>
      </c>
      <c r="C1162" t="s">
        <v>496</v>
      </c>
      <c r="D1162" t="s">
        <v>497</v>
      </c>
      <c r="E1162" t="s">
        <v>13</v>
      </c>
      <c r="F1162">
        <v>366</v>
      </c>
      <c r="G1162">
        <v>225</v>
      </c>
      <c r="H1162" s="5" t="s">
        <v>22</v>
      </c>
      <c r="I1162" s="5">
        <v>0</v>
      </c>
      <c r="J1162" s="5">
        <v>0</v>
      </c>
      <c r="K1162" t="s">
        <v>10631</v>
      </c>
      <c r="L1162" cm="1">
        <f t="array" ref="L1162">wordCount(K1162)</f>
        <v>24</v>
      </c>
      <c r="M1162">
        <f t="shared" si="36"/>
        <v>103</v>
      </c>
      <c r="N1162">
        <v>0.79166666666666663</v>
      </c>
      <c r="O1162" s="23" cm="1">
        <f t="array" ref="O1162">WordListCount(K1162,keywords!$A$2:$A$31)-WordListCount(K1162,keywords!$B$2:$B$31)</f>
        <v>0</v>
      </c>
      <c r="P1162" s="25">
        <f t="shared" si="37"/>
        <v>0.65447916666666661</v>
      </c>
      <c r="Q1162" s="23">
        <f>SUM($O$2:O1162)</f>
        <v>31</v>
      </c>
      <c r="Y1162" s="14"/>
      <c r="Z1162" s="13"/>
      <c r="AA1162"/>
    </row>
    <row r="1163" spans="1:27" x14ac:dyDescent="0.2">
      <c r="A1163" s="12" t="s">
        <v>3663</v>
      </c>
      <c r="B1163" t="s">
        <v>3664</v>
      </c>
      <c r="C1163" t="s">
        <v>3665</v>
      </c>
      <c r="D1163" t="s">
        <v>12</v>
      </c>
      <c r="E1163" t="s">
        <v>13</v>
      </c>
      <c r="F1163">
        <v>23</v>
      </c>
      <c r="G1163">
        <v>262</v>
      </c>
      <c r="H1163" s="5" t="s">
        <v>22</v>
      </c>
      <c r="I1163" s="5">
        <v>0</v>
      </c>
      <c r="J1163" s="5">
        <v>0</v>
      </c>
      <c r="K1163" t="s">
        <v>10632</v>
      </c>
      <c r="L1163" cm="1">
        <f t="array" ref="L1163">wordCount(K1163)</f>
        <v>10</v>
      </c>
      <c r="M1163">
        <f t="shared" si="36"/>
        <v>58</v>
      </c>
      <c r="N1163">
        <v>0.52941176470588236</v>
      </c>
      <c r="O1163" s="23" cm="1">
        <f t="array" ref="O1163">WordListCount(K1163,keywords!$A$2:$A$31)-WordListCount(K1163,keywords!$B$2:$B$31)</f>
        <v>0</v>
      </c>
      <c r="P1163" s="25">
        <f t="shared" si="37"/>
        <v>0.65474537037037039</v>
      </c>
      <c r="Q1163" s="23">
        <f>SUM($O$2:O1163)</f>
        <v>31</v>
      </c>
      <c r="Y1163" s="14"/>
      <c r="Z1163" s="13"/>
      <c r="AA1163"/>
    </row>
    <row r="1164" spans="1:27" x14ac:dyDescent="0.2">
      <c r="A1164" s="12" t="s">
        <v>3666</v>
      </c>
      <c r="B1164" t="s">
        <v>3667</v>
      </c>
      <c r="C1164" t="s">
        <v>3668</v>
      </c>
      <c r="D1164" t="s">
        <v>3669</v>
      </c>
      <c r="E1164" t="s">
        <v>13</v>
      </c>
      <c r="F1164">
        <v>5950</v>
      </c>
      <c r="G1164">
        <v>5955</v>
      </c>
      <c r="H1164" s="5" t="s">
        <v>22</v>
      </c>
      <c r="I1164" s="5">
        <v>0</v>
      </c>
      <c r="J1164" s="5">
        <v>0</v>
      </c>
      <c r="K1164" t="s">
        <v>9380</v>
      </c>
      <c r="L1164" cm="1">
        <f t="array" ref="L1164">wordCount(K1164)</f>
        <v>10</v>
      </c>
      <c r="M1164">
        <f t="shared" si="36"/>
        <v>61</v>
      </c>
      <c r="N1164">
        <v>0.71875</v>
      </c>
      <c r="O1164" s="23" cm="1">
        <f t="array" ref="O1164">WordListCount(K1164,keywords!$A$2:$A$31)-WordListCount(K1164,keywords!$B$2:$B$31)</f>
        <v>0</v>
      </c>
      <c r="P1164" s="25">
        <f t="shared" si="37"/>
        <v>0.65483796296296293</v>
      </c>
      <c r="Q1164" s="23">
        <f>SUM($O$2:O1164)</f>
        <v>31</v>
      </c>
      <c r="Y1164" s="14"/>
      <c r="Z1164" s="13"/>
      <c r="AA1164"/>
    </row>
    <row r="1165" spans="1:27" x14ac:dyDescent="0.2">
      <c r="A1165" s="12" t="s">
        <v>3670</v>
      </c>
      <c r="B1165" t="s">
        <v>3671</v>
      </c>
      <c r="C1165" t="s">
        <v>3672</v>
      </c>
      <c r="D1165" t="s">
        <v>12</v>
      </c>
      <c r="E1165" t="s">
        <v>13</v>
      </c>
      <c r="F1165">
        <v>13</v>
      </c>
      <c r="G1165">
        <v>126</v>
      </c>
      <c r="H1165" s="5" t="s">
        <v>22</v>
      </c>
      <c r="I1165" s="5">
        <v>0</v>
      </c>
      <c r="J1165" s="5">
        <v>0</v>
      </c>
      <c r="K1165" t="s">
        <v>10633</v>
      </c>
      <c r="L1165" cm="1">
        <f t="array" ref="L1165">wordCount(K1165)</f>
        <v>8</v>
      </c>
      <c r="M1165">
        <f t="shared" si="36"/>
        <v>39</v>
      </c>
      <c r="N1165">
        <v>0.6470588235294118</v>
      </c>
      <c r="O1165" s="23" cm="1">
        <f t="array" ref="O1165">WordListCount(K1165,keywords!$A$2:$A$31)-WordListCount(K1165,keywords!$B$2:$B$31)</f>
        <v>0</v>
      </c>
      <c r="P1165" s="25">
        <f t="shared" si="37"/>
        <v>0.65509259259259256</v>
      </c>
      <c r="Q1165" s="23">
        <f>SUM($O$2:O1165)</f>
        <v>31</v>
      </c>
      <c r="Y1165" s="14"/>
      <c r="Z1165" s="13"/>
      <c r="AA1165"/>
    </row>
    <row r="1166" spans="1:27" x14ac:dyDescent="0.2">
      <c r="A1166" s="12" t="s">
        <v>3673</v>
      </c>
      <c r="B1166" t="s">
        <v>3674</v>
      </c>
      <c r="C1166" t="s">
        <v>310</v>
      </c>
      <c r="D1166" t="s">
        <v>12</v>
      </c>
      <c r="E1166" t="s">
        <v>13</v>
      </c>
      <c r="F1166">
        <v>3634</v>
      </c>
      <c r="G1166">
        <v>3732</v>
      </c>
      <c r="H1166" s="5" t="s">
        <v>22</v>
      </c>
      <c r="I1166" s="5">
        <v>0</v>
      </c>
      <c r="J1166" s="5">
        <v>0</v>
      </c>
      <c r="K1166" t="s">
        <v>9381</v>
      </c>
      <c r="L1166" cm="1">
        <f t="array" ref="L1166">wordCount(K1166)</f>
        <v>10</v>
      </c>
      <c r="M1166">
        <f t="shared" si="36"/>
        <v>69</v>
      </c>
      <c r="N1166">
        <v>0.47058823529411764</v>
      </c>
      <c r="O1166" s="23" cm="1">
        <f t="array" ref="O1166">WordListCount(K1166,keywords!$A$2:$A$31)-WordListCount(K1166,keywords!$B$2:$B$31)</f>
        <v>0</v>
      </c>
      <c r="P1166" s="25">
        <f t="shared" si="37"/>
        <v>0.65515046296296298</v>
      </c>
      <c r="Q1166" s="23">
        <f>SUM($O$2:O1166)</f>
        <v>31</v>
      </c>
      <c r="Y1166" s="14"/>
      <c r="Z1166" s="13"/>
      <c r="AA1166"/>
    </row>
    <row r="1167" spans="1:27" x14ac:dyDescent="0.2">
      <c r="A1167" s="12" t="s">
        <v>3675</v>
      </c>
      <c r="B1167" t="s">
        <v>3676</v>
      </c>
      <c r="C1167" t="s">
        <v>3677</v>
      </c>
      <c r="D1167" t="s">
        <v>3678</v>
      </c>
      <c r="E1167" t="s">
        <v>13</v>
      </c>
      <c r="F1167">
        <v>5343</v>
      </c>
      <c r="G1167">
        <v>1341</v>
      </c>
      <c r="H1167" s="5" t="s">
        <v>22</v>
      </c>
      <c r="I1167" s="5">
        <v>0</v>
      </c>
      <c r="J1167" s="5">
        <v>0</v>
      </c>
      <c r="K1167" t="s">
        <v>9382</v>
      </c>
      <c r="L1167" cm="1">
        <f t="array" ref="L1167">wordCount(K1167)</f>
        <v>17</v>
      </c>
      <c r="M1167">
        <f t="shared" si="36"/>
        <v>110</v>
      </c>
      <c r="N1167">
        <v>0.58333333333333337</v>
      </c>
      <c r="O1167" s="23" cm="1">
        <f t="array" ref="O1167">WordListCount(K1167,keywords!$A$2:$A$31)-WordListCount(K1167,keywords!$B$2:$B$31)</f>
        <v>0</v>
      </c>
      <c r="P1167" s="25">
        <f t="shared" si="37"/>
        <v>0.65525462962962966</v>
      </c>
      <c r="Q1167" s="23">
        <f>SUM($O$2:O1167)</f>
        <v>31</v>
      </c>
      <c r="Y1167" s="14"/>
      <c r="Z1167" s="13"/>
      <c r="AA1167"/>
    </row>
    <row r="1168" spans="1:27" x14ac:dyDescent="0.2">
      <c r="A1168" s="12" t="s">
        <v>3679</v>
      </c>
      <c r="B1168" t="s">
        <v>3680</v>
      </c>
      <c r="C1168" t="s">
        <v>3681</v>
      </c>
      <c r="D1168" t="s">
        <v>3682</v>
      </c>
      <c r="E1168" t="s">
        <v>13</v>
      </c>
      <c r="F1168">
        <v>1977</v>
      </c>
      <c r="G1168">
        <v>964</v>
      </c>
      <c r="H1168" s="5" t="s">
        <v>22</v>
      </c>
      <c r="I1168" s="5">
        <v>0</v>
      </c>
      <c r="J1168" s="5">
        <v>0</v>
      </c>
      <c r="K1168" t="s">
        <v>10634</v>
      </c>
      <c r="L1168" cm="1">
        <f t="array" ref="L1168">wordCount(K1168)</f>
        <v>13</v>
      </c>
      <c r="M1168">
        <f t="shared" si="36"/>
        <v>60</v>
      </c>
      <c r="N1168">
        <v>0.72</v>
      </c>
      <c r="O1168" s="23" cm="1">
        <f t="array" ref="O1168">WordListCount(K1168,keywords!$A$2:$A$31)-WordListCount(K1168,keywords!$B$2:$B$31)</f>
        <v>0</v>
      </c>
      <c r="P1168" s="25">
        <f t="shared" si="37"/>
        <v>0.6552662037037037</v>
      </c>
      <c r="Q1168" s="23">
        <f>SUM($O$2:O1168)</f>
        <v>31</v>
      </c>
      <c r="Y1168" s="14"/>
      <c r="Z1168" s="13"/>
      <c r="AA1168"/>
    </row>
    <row r="1169" spans="1:27" x14ac:dyDescent="0.2">
      <c r="A1169" s="12" t="s">
        <v>3683</v>
      </c>
      <c r="B1169" t="s">
        <v>3684</v>
      </c>
      <c r="C1169" t="s">
        <v>3685</v>
      </c>
      <c r="D1169" t="s">
        <v>12</v>
      </c>
      <c r="E1169" t="s">
        <v>13</v>
      </c>
      <c r="F1169">
        <v>280</v>
      </c>
      <c r="G1169">
        <v>685</v>
      </c>
      <c r="H1169" s="5" t="s">
        <v>22</v>
      </c>
      <c r="I1169" s="5">
        <v>0</v>
      </c>
      <c r="J1169" s="5">
        <v>0</v>
      </c>
      <c r="K1169" t="s">
        <v>9383</v>
      </c>
      <c r="L1169" cm="1">
        <f t="array" ref="L1169">wordCount(K1169)</f>
        <v>8</v>
      </c>
      <c r="M1169">
        <f t="shared" si="36"/>
        <v>45</v>
      </c>
      <c r="N1169">
        <v>0.68181818181818177</v>
      </c>
      <c r="O1169" s="23" cm="1">
        <f t="array" ref="O1169">WordListCount(K1169,keywords!$A$2:$A$31)-WordListCount(K1169,keywords!$B$2:$B$31)</f>
        <v>0</v>
      </c>
      <c r="P1169" s="25">
        <f t="shared" si="37"/>
        <v>0.65547453703703706</v>
      </c>
      <c r="Q1169" s="23">
        <f>SUM($O$2:O1169)</f>
        <v>31</v>
      </c>
      <c r="Y1169" s="14"/>
      <c r="Z1169" s="13"/>
      <c r="AA1169"/>
    </row>
    <row r="1170" spans="1:27" x14ac:dyDescent="0.2">
      <c r="A1170" s="12" t="s">
        <v>3686</v>
      </c>
      <c r="B1170" t="s">
        <v>3689</v>
      </c>
      <c r="C1170" t="s">
        <v>3690</v>
      </c>
      <c r="D1170" t="s">
        <v>743</v>
      </c>
      <c r="E1170" t="s">
        <v>13</v>
      </c>
      <c r="F1170">
        <v>7</v>
      </c>
      <c r="G1170">
        <v>32</v>
      </c>
      <c r="H1170" s="5" t="s">
        <v>22</v>
      </c>
      <c r="I1170" s="5">
        <v>0</v>
      </c>
      <c r="J1170" s="5">
        <v>0</v>
      </c>
      <c r="K1170" t="s">
        <v>10636</v>
      </c>
      <c r="L1170" cm="1">
        <f t="array" ref="L1170">wordCount(K1170)</f>
        <v>6</v>
      </c>
      <c r="M1170">
        <f t="shared" si="36"/>
        <v>27</v>
      </c>
      <c r="N1170">
        <v>0.73333333333333328</v>
      </c>
      <c r="O1170" s="23" cm="1">
        <f t="array" ref="O1170">WordListCount(K1170,keywords!$A$2:$A$31)-WordListCount(K1170,keywords!$B$2:$B$31)</f>
        <v>0</v>
      </c>
      <c r="P1170" s="25">
        <f t="shared" si="37"/>
        <v>0.65571759259259255</v>
      </c>
      <c r="Q1170" s="23">
        <f>SUM($O$2:O1170)</f>
        <v>31</v>
      </c>
      <c r="Y1170" s="14"/>
      <c r="Z1170" s="13"/>
      <c r="AA1170"/>
    </row>
    <row r="1171" spans="1:27" x14ac:dyDescent="0.2">
      <c r="A1171" s="12" t="s">
        <v>3686</v>
      </c>
      <c r="B1171" t="s">
        <v>3687</v>
      </c>
      <c r="C1171" t="s">
        <v>3688</v>
      </c>
      <c r="D1171" t="s">
        <v>12</v>
      </c>
      <c r="E1171" t="s">
        <v>13</v>
      </c>
      <c r="F1171">
        <v>137</v>
      </c>
      <c r="G1171">
        <v>676</v>
      </c>
      <c r="H1171" s="5" t="s">
        <v>22</v>
      </c>
      <c r="I1171" s="5">
        <v>0</v>
      </c>
      <c r="J1171" s="5">
        <v>0</v>
      </c>
      <c r="K1171" t="s">
        <v>10635</v>
      </c>
      <c r="L1171" cm="1">
        <f t="array" ref="L1171">wordCount(K1171)</f>
        <v>29</v>
      </c>
      <c r="M1171">
        <f t="shared" si="36"/>
        <v>110</v>
      </c>
      <c r="N1171">
        <v>0.33333333333333331</v>
      </c>
      <c r="O1171" s="23" cm="1">
        <f t="array" ref="O1171">WordListCount(K1171,keywords!$A$2:$A$31)-WordListCount(K1171,keywords!$B$2:$B$31)</f>
        <v>0</v>
      </c>
      <c r="P1171" s="25">
        <f t="shared" si="37"/>
        <v>0.65571759259259255</v>
      </c>
      <c r="Q1171" s="23">
        <f>SUM($O$2:O1171)</f>
        <v>31</v>
      </c>
      <c r="Y1171" s="14"/>
      <c r="Z1171" s="13"/>
      <c r="AA1171"/>
    </row>
    <row r="1172" spans="1:27" x14ac:dyDescent="0.2">
      <c r="A1172" s="12" t="s">
        <v>3691</v>
      </c>
      <c r="B1172" t="s">
        <v>3692</v>
      </c>
      <c r="C1172" t="s">
        <v>3693</v>
      </c>
      <c r="D1172" t="s">
        <v>3694</v>
      </c>
      <c r="E1172" t="s">
        <v>13</v>
      </c>
      <c r="F1172">
        <v>266</v>
      </c>
      <c r="G1172">
        <v>687</v>
      </c>
      <c r="H1172" s="5" t="s">
        <v>22</v>
      </c>
      <c r="I1172" s="5">
        <v>0</v>
      </c>
      <c r="J1172" s="5">
        <v>0</v>
      </c>
      <c r="K1172" t="s">
        <v>9384</v>
      </c>
      <c r="L1172" cm="1">
        <f t="array" ref="L1172">wordCount(K1172)</f>
        <v>7</v>
      </c>
      <c r="M1172">
        <f t="shared" si="36"/>
        <v>47</v>
      </c>
      <c r="N1172">
        <v>0.7142857142857143</v>
      </c>
      <c r="O1172" s="23" cm="1">
        <f t="array" ref="O1172">WordListCount(K1172,keywords!$A$2:$A$31)-WordListCount(K1172,keywords!$B$2:$B$31)</f>
        <v>0</v>
      </c>
      <c r="P1172" s="25">
        <f t="shared" si="37"/>
        <v>0.65599537037037037</v>
      </c>
      <c r="Q1172" s="23">
        <f>SUM($O$2:O1172)</f>
        <v>31</v>
      </c>
      <c r="Y1172" s="14"/>
      <c r="Z1172" s="13"/>
      <c r="AA1172"/>
    </row>
    <row r="1173" spans="1:27" x14ac:dyDescent="0.2">
      <c r="A1173" s="12" t="s">
        <v>3695</v>
      </c>
      <c r="B1173" t="s">
        <v>3696</v>
      </c>
      <c r="C1173" t="s">
        <v>3697</v>
      </c>
      <c r="D1173" t="s">
        <v>3698</v>
      </c>
      <c r="E1173" t="s">
        <v>13</v>
      </c>
      <c r="F1173">
        <v>7127</v>
      </c>
      <c r="G1173">
        <v>610</v>
      </c>
      <c r="H1173" s="5" t="s">
        <v>22</v>
      </c>
      <c r="I1173" s="5">
        <v>0</v>
      </c>
      <c r="J1173" s="5">
        <v>0</v>
      </c>
      <c r="K1173" t="s">
        <v>9385</v>
      </c>
      <c r="L1173" cm="1">
        <f t="array" ref="L1173">wordCount(K1173)</f>
        <v>5</v>
      </c>
      <c r="M1173">
        <f t="shared" si="36"/>
        <v>20</v>
      </c>
      <c r="N1173">
        <v>0.8</v>
      </c>
      <c r="O1173" s="23" cm="1">
        <f t="array" ref="O1173">WordListCount(K1173,keywords!$A$2:$A$31)-WordListCount(K1173,keywords!$B$2:$B$31)</f>
        <v>0</v>
      </c>
      <c r="P1173" s="25">
        <f t="shared" si="37"/>
        <v>0.65619212962962969</v>
      </c>
      <c r="Q1173" s="23">
        <f>SUM($O$2:O1173)</f>
        <v>31</v>
      </c>
      <c r="Y1173" s="14"/>
      <c r="Z1173" s="13"/>
      <c r="AA1173"/>
    </row>
    <row r="1174" spans="1:27" x14ac:dyDescent="0.2">
      <c r="A1174" s="12" t="s">
        <v>3699</v>
      </c>
      <c r="B1174" t="s">
        <v>3700</v>
      </c>
      <c r="C1174" t="s">
        <v>429</v>
      </c>
      <c r="D1174" t="s">
        <v>430</v>
      </c>
      <c r="E1174" t="s">
        <v>13</v>
      </c>
      <c r="F1174">
        <v>1663</v>
      </c>
      <c r="G1174">
        <v>1479</v>
      </c>
      <c r="H1174" s="5" t="s">
        <v>22</v>
      </c>
      <c r="I1174" s="5">
        <v>0</v>
      </c>
      <c r="J1174" s="5">
        <v>0</v>
      </c>
      <c r="K1174" t="s">
        <v>10637</v>
      </c>
      <c r="L1174" cm="1">
        <f t="array" ref="L1174">wordCount(K1174)</f>
        <v>9</v>
      </c>
      <c r="M1174">
        <f t="shared" si="36"/>
        <v>64</v>
      </c>
      <c r="N1174">
        <v>0.8</v>
      </c>
      <c r="O1174" s="23" cm="1">
        <f t="array" ref="O1174">WordListCount(K1174,keywords!$A$2:$A$31)-WordListCount(K1174,keywords!$B$2:$B$31)</f>
        <v>0</v>
      </c>
      <c r="P1174" s="25">
        <f t="shared" si="37"/>
        <v>0.65627314814814819</v>
      </c>
      <c r="Q1174" s="23">
        <f>SUM($O$2:O1174)</f>
        <v>31</v>
      </c>
      <c r="Y1174" s="14"/>
      <c r="Z1174" s="13"/>
      <c r="AA1174"/>
    </row>
    <row r="1175" spans="1:27" x14ac:dyDescent="0.2">
      <c r="A1175" s="12" t="s">
        <v>3701</v>
      </c>
      <c r="B1175" t="s">
        <v>3702</v>
      </c>
      <c r="C1175" t="s">
        <v>3703</v>
      </c>
      <c r="D1175" t="s">
        <v>12</v>
      </c>
      <c r="E1175" t="s">
        <v>13</v>
      </c>
      <c r="F1175">
        <v>5395</v>
      </c>
      <c r="G1175">
        <v>698</v>
      </c>
      <c r="H1175" s="5" t="s">
        <v>22</v>
      </c>
      <c r="I1175" s="5">
        <v>0</v>
      </c>
      <c r="J1175" s="5">
        <v>0</v>
      </c>
      <c r="K1175" t="s">
        <v>9386</v>
      </c>
      <c r="L1175" cm="1">
        <f t="array" ref="L1175">wordCount(K1175)</f>
        <v>6</v>
      </c>
      <c r="M1175">
        <f t="shared" si="36"/>
        <v>34</v>
      </c>
      <c r="N1175">
        <v>0.66666666666666663</v>
      </c>
      <c r="O1175" s="23" cm="1">
        <f t="array" ref="O1175">WordListCount(K1175,keywords!$A$2:$A$31)-WordListCount(K1175,keywords!$B$2:$B$31)</f>
        <v>0</v>
      </c>
      <c r="P1175" s="25">
        <f t="shared" si="37"/>
        <v>0.65640046296296295</v>
      </c>
      <c r="Q1175" s="23">
        <f>SUM($O$2:O1175)</f>
        <v>31</v>
      </c>
      <c r="Y1175" s="14"/>
      <c r="Z1175" s="13"/>
      <c r="AA1175"/>
    </row>
    <row r="1176" spans="1:27" x14ac:dyDescent="0.2">
      <c r="A1176" s="12" t="s">
        <v>3704</v>
      </c>
      <c r="B1176" t="s">
        <v>3705</v>
      </c>
      <c r="C1176" t="s">
        <v>3706</v>
      </c>
      <c r="D1176" t="s">
        <v>3707</v>
      </c>
      <c r="E1176" t="s">
        <v>13</v>
      </c>
      <c r="F1176">
        <v>2204</v>
      </c>
      <c r="G1176">
        <v>595</v>
      </c>
      <c r="H1176" s="5" t="s">
        <v>22</v>
      </c>
      <c r="I1176" s="5">
        <v>0</v>
      </c>
      <c r="J1176" s="5">
        <v>0</v>
      </c>
      <c r="K1176" t="s">
        <v>10638</v>
      </c>
      <c r="L1176" cm="1">
        <f t="array" ref="L1176">wordCount(K1176)</f>
        <v>14</v>
      </c>
      <c r="M1176">
        <f t="shared" si="36"/>
        <v>63</v>
      </c>
      <c r="N1176">
        <v>0.47619047619047616</v>
      </c>
      <c r="O1176" s="23" cm="1">
        <f t="array" ref="O1176">WordListCount(K1176,keywords!$A$2:$A$31)-WordListCount(K1176,keywords!$B$2:$B$31)</f>
        <v>-1</v>
      </c>
      <c r="P1176" s="25">
        <f t="shared" si="37"/>
        <v>0.6569328703703704</v>
      </c>
      <c r="Q1176" s="23">
        <f>SUM($O$2:O1176)</f>
        <v>30</v>
      </c>
      <c r="Y1176" s="14"/>
      <c r="Z1176" s="13"/>
      <c r="AA1176"/>
    </row>
    <row r="1177" spans="1:27" x14ac:dyDescent="0.2">
      <c r="A1177" s="12" t="s">
        <v>3708</v>
      </c>
      <c r="B1177" t="s">
        <v>3709</v>
      </c>
      <c r="C1177" t="s">
        <v>322</v>
      </c>
      <c r="D1177" t="s">
        <v>323</v>
      </c>
      <c r="E1177" t="s">
        <v>13</v>
      </c>
      <c r="F1177">
        <v>459</v>
      </c>
      <c r="G1177">
        <v>133</v>
      </c>
      <c r="H1177" s="5" t="s">
        <v>22</v>
      </c>
      <c r="I1177" s="5">
        <v>0</v>
      </c>
      <c r="J1177" s="5">
        <v>0</v>
      </c>
      <c r="K1177" t="s">
        <v>10639</v>
      </c>
      <c r="L1177" cm="1">
        <f t="array" ref="L1177">wordCount(K1177)</f>
        <v>8</v>
      </c>
      <c r="M1177">
        <f t="shared" si="36"/>
        <v>32</v>
      </c>
      <c r="N1177">
        <v>0.82608695652173914</v>
      </c>
      <c r="O1177" s="23" cm="1">
        <f t="array" ref="O1177">WordListCount(K1177,keywords!$A$2:$A$31)-WordListCount(K1177,keywords!$B$2:$B$31)</f>
        <v>0</v>
      </c>
      <c r="P1177" s="25">
        <f t="shared" si="37"/>
        <v>0.65707175925925931</v>
      </c>
      <c r="Q1177" s="23">
        <f>SUM($O$2:O1177)</f>
        <v>30</v>
      </c>
      <c r="Y1177" s="14"/>
      <c r="Z1177" s="13"/>
      <c r="AA1177"/>
    </row>
    <row r="1178" spans="1:27" x14ac:dyDescent="0.2">
      <c r="A1178" s="12" t="s">
        <v>3710</v>
      </c>
      <c r="B1178" t="s">
        <v>3711</v>
      </c>
      <c r="C1178" t="s">
        <v>3712</v>
      </c>
      <c r="D1178" t="s">
        <v>12</v>
      </c>
      <c r="E1178" t="s">
        <v>13</v>
      </c>
      <c r="F1178">
        <v>5</v>
      </c>
      <c r="G1178">
        <v>7</v>
      </c>
      <c r="H1178" s="5" t="s">
        <v>22</v>
      </c>
      <c r="I1178" s="5">
        <v>0</v>
      </c>
      <c r="J1178" s="5">
        <v>0</v>
      </c>
      <c r="K1178" t="s">
        <v>10640</v>
      </c>
      <c r="L1178" cm="1">
        <f t="array" ref="L1178">wordCount(K1178)</f>
        <v>19</v>
      </c>
      <c r="M1178">
        <f t="shared" si="36"/>
        <v>108</v>
      </c>
      <c r="N1178">
        <v>0.41379310344827586</v>
      </c>
      <c r="O1178" s="23" cm="1">
        <f t="array" ref="O1178">WordListCount(K1178,keywords!$A$2:$A$31)-WordListCount(K1178,keywords!$B$2:$B$31)</f>
        <v>-1</v>
      </c>
      <c r="P1178" s="25">
        <f t="shared" si="37"/>
        <v>0.65717592592592589</v>
      </c>
      <c r="Q1178" s="23">
        <f>SUM($O$2:O1178)</f>
        <v>29</v>
      </c>
      <c r="Y1178" s="14"/>
      <c r="Z1178" s="13"/>
      <c r="AA1178"/>
    </row>
    <row r="1179" spans="1:27" x14ac:dyDescent="0.2">
      <c r="A1179" s="12" t="s">
        <v>3713</v>
      </c>
      <c r="B1179" t="s">
        <v>3714</v>
      </c>
      <c r="C1179" t="s">
        <v>241</v>
      </c>
      <c r="D1179" t="s">
        <v>242</v>
      </c>
      <c r="E1179" t="s">
        <v>13</v>
      </c>
      <c r="F1179">
        <v>9225</v>
      </c>
      <c r="G1179">
        <v>7170</v>
      </c>
      <c r="H1179" s="5" t="s">
        <v>22</v>
      </c>
      <c r="I1179" s="5">
        <v>0</v>
      </c>
      <c r="J1179" s="5">
        <v>0</v>
      </c>
      <c r="K1179" t="s">
        <v>10641</v>
      </c>
      <c r="L1179" cm="1">
        <f t="array" ref="L1179">wordCount(K1179)</f>
        <v>14</v>
      </c>
      <c r="M1179">
        <f t="shared" si="36"/>
        <v>75</v>
      </c>
      <c r="N1179">
        <v>0.61904761904761907</v>
      </c>
      <c r="O1179" s="23" cm="1">
        <f t="array" ref="O1179">WordListCount(K1179,keywords!$A$2:$A$31)-WordListCount(K1179,keywords!$B$2:$B$31)</f>
        <v>0</v>
      </c>
      <c r="P1179" s="25">
        <f t="shared" si="37"/>
        <v>0.65733796296296299</v>
      </c>
      <c r="Q1179" s="23">
        <f>SUM($O$2:O1179)</f>
        <v>29</v>
      </c>
      <c r="Y1179" s="14"/>
      <c r="Z1179" s="13"/>
      <c r="AA1179"/>
    </row>
    <row r="1180" spans="1:27" x14ac:dyDescent="0.2">
      <c r="A1180" s="12" t="s">
        <v>3715</v>
      </c>
      <c r="B1180" t="s">
        <v>3716</v>
      </c>
      <c r="C1180" t="s">
        <v>3717</v>
      </c>
      <c r="D1180" t="s">
        <v>3718</v>
      </c>
      <c r="E1180" t="s">
        <v>13</v>
      </c>
      <c r="F1180">
        <v>187</v>
      </c>
      <c r="G1180">
        <v>530</v>
      </c>
      <c r="H1180" s="5" t="s">
        <v>22</v>
      </c>
      <c r="I1180" s="5">
        <v>0</v>
      </c>
      <c r="J1180" s="5">
        <v>0</v>
      </c>
      <c r="K1180" t="s">
        <v>9387</v>
      </c>
      <c r="L1180" cm="1">
        <f t="array" ref="L1180">wordCount(K1180)</f>
        <v>8</v>
      </c>
      <c r="M1180">
        <f t="shared" si="36"/>
        <v>40</v>
      </c>
      <c r="N1180">
        <v>0.75</v>
      </c>
      <c r="O1180" s="23" cm="1">
        <f t="array" ref="O1180">WordListCount(K1180,keywords!$A$2:$A$31)-WordListCount(K1180,keywords!$B$2:$B$31)</f>
        <v>0</v>
      </c>
      <c r="P1180" s="25">
        <f t="shared" si="37"/>
        <v>0.65746527777777775</v>
      </c>
      <c r="Q1180" s="23">
        <f>SUM($O$2:O1180)</f>
        <v>29</v>
      </c>
      <c r="Y1180" s="14"/>
      <c r="Z1180" s="13"/>
      <c r="AA1180"/>
    </row>
    <row r="1181" spans="1:27" x14ac:dyDescent="0.2">
      <c r="A1181" s="12" t="s">
        <v>3719</v>
      </c>
      <c r="B1181" t="s">
        <v>3720</v>
      </c>
      <c r="C1181" t="s">
        <v>3721</v>
      </c>
      <c r="D1181" t="s">
        <v>3722</v>
      </c>
      <c r="E1181" t="s">
        <v>13</v>
      </c>
      <c r="F1181">
        <v>183</v>
      </c>
      <c r="G1181">
        <v>207</v>
      </c>
      <c r="H1181" s="5" t="s">
        <v>22</v>
      </c>
      <c r="I1181" s="5">
        <v>0</v>
      </c>
      <c r="J1181" s="5">
        <v>0</v>
      </c>
      <c r="K1181" t="s">
        <v>10642</v>
      </c>
      <c r="L1181" cm="1">
        <f t="array" ref="L1181">wordCount(K1181)</f>
        <v>9</v>
      </c>
      <c r="M1181">
        <f t="shared" si="36"/>
        <v>37</v>
      </c>
      <c r="N1181">
        <v>0.80645161290322576</v>
      </c>
      <c r="O1181" s="23" cm="1">
        <f t="array" ref="O1181">WordListCount(K1181,keywords!$A$2:$A$31)-WordListCount(K1181,keywords!$B$2:$B$31)</f>
        <v>0</v>
      </c>
      <c r="P1181" s="25">
        <f t="shared" si="37"/>
        <v>0.65771990740740738</v>
      </c>
      <c r="Q1181" s="23">
        <f>SUM($O$2:O1181)</f>
        <v>29</v>
      </c>
      <c r="Y1181" s="14"/>
      <c r="Z1181" s="13"/>
      <c r="AA1181"/>
    </row>
    <row r="1182" spans="1:27" x14ac:dyDescent="0.2">
      <c r="A1182" s="12" t="s">
        <v>3719</v>
      </c>
      <c r="B1182" t="s">
        <v>3723</v>
      </c>
      <c r="C1182" t="s">
        <v>3724</v>
      </c>
      <c r="D1182" t="s">
        <v>3725</v>
      </c>
      <c r="E1182" t="s">
        <v>13</v>
      </c>
      <c r="F1182">
        <v>70</v>
      </c>
      <c r="G1182">
        <v>233</v>
      </c>
      <c r="H1182" s="5" t="s">
        <v>382</v>
      </c>
      <c r="I1182" s="5">
        <v>0</v>
      </c>
      <c r="J1182" s="5">
        <v>0</v>
      </c>
      <c r="K1182" t="s">
        <v>10643</v>
      </c>
      <c r="L1182" cm="1">
        <f t="array" ref="L1182">wordCount(K1182)</f>
        <v>21</v>
      </c>
      <c r="M1182">
        <f t="shared" si="36"/>
        <v>89</v>
      </c>
      <c r="N1182">
        <v>0.4</v>
      </c>
      <c r="O1182" s="23" cm="1">
        <f t="array" ref="O1182">WordListCount(K1182,keywords!$A$2:$A$31)-WordListCount(K1182,keywords!$B$2:$B$31)</f>
        <v>0</v>
      </c>
      <c r="P1182" s="25">
        <f t="shared" si="37"/>
        <v>0.65771990740740738</v>
      </c>
      <c r="Q1182" s="23">
        <f>SUM($O$2:O1182)</f>
        <v>29</v>
      </c>
      <c r="Y1182" s="14"/>
      <c r="Z1182" s="13"/>
      <c r="AA1182"/>
    </row>
    <row r="1183" spans="1:27" x14ac:dyDescent="0.2">
      <c r="A1183" s="12" t="s">
        <v>3726</v>
      </c>
      <c r="B1183" t="s">
        <v>3727</v>
      </c>
      <c r="C1183" t="s">
        <v>3728</v>
      </c>
      <c r="D1183" t="s">
        <v>12</v>
      </c>
      <c r="E1183" t="s">
        <v>13</v>
      </c>
      <c r="F1183">
        <v>116</v>
      </c>
      <c r="G1183">
        <v>291</v>
      </c>
      <c r="H1183" s="5" t="s">
        <v>22</v>
      </c>
      <c r="I1183" s="5">
        <v>0</v>
      </c>
      <c r="J1183" s="5">
        <v>0</v>
      </c>
      <c r="K1183" t="s">
        <v>10644</v>
      </c>
      <c r="L1183" cm="1">
        <f t="array" ref="L1183">wordCount(K1183)</f>
        <v>20</v>
      </c>
      <c r="M1183">
        <f t="shared" si="36"/>
        <v>134</v>
      </c>
      <c r="N1183">
        <v>0.65789473684210531</v>
      </c>
      <c r="O1183" s="23" cm="1">
        <f t="array" ref="O1183">WordListCount(K1183,keywords!$A$2:$A$31)-WordListCount(K1183,keywords!$B$2:$B$31)</f>
        <v>0</v>
      </c>
      <c r="P1183" s="25">
        <f t="shared" si="37"/>
        <v>0.65787037037037044</v>
      </c>
      <c r="Q1183" s="23">
        <f>SUM($O$2:O1183)</f>
        <v>29</v>
      </c>
      <c r="Y1183" s="14"/>
      <c r="Z1183" s="13"/>
      <c r="AA1183"/>
    </row>
    <row r="1184" spans="1:27" x14ac:dyDescent="0.2">
      <c r="A1184" s="12" t="s">
        <v>3729</v>
      </c>
      <c r="B1184" t="s">
        <v>3730</v>
      </c>
      <c r="C1184" t="s">
        <v>3731</v>
      </c>
      <c r="D1184" t="s">
        <v>445</v>
      </c>
      <c r="E1184" t="s">
        <v>13</v>
      </c>
      <c r="F1184">
        <v>4727</v>
      </c>
      <c r="G1184">
        <v>134</v>
      </c>
      <c r="H1184" s="5" t="s">
        <v>22</v>
      </c>
      <c r="I1184" s="5">
        <v>0</v>
      </c>
      <c r="J1184" s="5">
        <v>0</v>
      </c>
      <c r="K1184" t="s">
        <v>10645</v>
      </c>
      <c r="L1184" cm="1">
        <f t="array" ref="L1184">wordCount(K1184)</f>
        <v>20</v>
      </c>
      <c r="M1184">
        <f t="shared" si="36"/>
        <v>106</v>
      </c>
      <c r="N1184">
        <v>0.55555555555555558</v>
      </c>
      <c r="O1184" s="23" cm="1">
        <f t="array" ref="O1184">WordListCount(K1184,keywords!$A$2:$A$31)-WordListCount(K1184,keywords!$B$2:$B$31)</f>
        <v>0</v>
      </c>
      <c r="P1184" s="25">
        <f t="shared" si="37"/>
        <v>0.65813657407407411</v>
      </c>
      <c r="Q1184" s="23">
        <f>SUM($O$2:O1184)</f>
        <v>29</v>
      </c>
      <c r="Y1184" s="14"/>
      <c r="Z1184" s="13"/>
      <c r="AA1184"/>
    </row>
    <row r="1185" spans="1:27" x14ac:dyDescent="0.2">
      <c r="A1185" s="12" t="s">
        <v>3732</v>
      </c>
      <c r="B1185" t="s">
        <v>3733</v>
      </c>
      <c r="C1185" t="s">
        <v>3734</v>
      </c>
      <c r="D1185" t="s">
        <v>3735</v>
      </c>
      <c r="E1185" t="s">
        <v>13</v>
      </c>
      <c r="F1185">
        <v>424</v>
      </c>
      <c r="G1185">
        <v>377</v>
      </c>
      <c r="H1185" s="5" t="s">
        <v>22</v>
      </c>
      <c r="I1185" s="5">
        <v>0</v>
      </c>
      <c r="J1185" s="5">
        <v>0</v>
      </c>
      <c r="K1185" t="s">
        <v>10646</v>
      </c>
      <c r="L1185" cm="1">
        <f t="array" ref="L1185">wordCount(K1185)</f>
        <v>9</v>
      </c>
      <c r="M1185">
        <f t="shared" si="36"/>
        <v>51</v>
      </c>
      <c r="N1185">
        <v>0.72727272727272729</v>
      </c>
      <c r="O1185" s="23" cm="1">
        <f t="array" ref="O1185">WordListCount(K1185,keywords!$A$2:$A$31)-WordListCount(K1185,keywords!$B$2:$B$31)</f>
        <v>0</v>
      </c>
      <c r="P1185" s="25">
        <f t="shared" si="37"/>
        <v>0.65817129629629634</v>
      </c>
      <c r="Q1185" s="23">
        <f>SUM($O$2:O1185)</f>
        <v>29</v>
      </c>
      <c r="Y1185" s="14"/>
      <c r="Z1185" s="13"/>
      <c r="AA1185"/>
    </row>
    <row r="1186" spans="1:27" x14ac:dyDescent="0.2">
      <c r="A1186" s="12" t="s">
        <v>3736</v>
      </c>
      <c r="B1186" t="s">
        <v>3737</v>
      </c>
      <c r="C1186" t="s">
        <v>3738</v>
      </c>
      <c r="D1186" t="s">
        <v>3739</v>
      </c>
      <c r="E1186" t="s">
        <v>13</v>
      </c>
      <c r="F1186">
        <v>532</v>
      </c>
      <c r="G1186">
        <v>467</v>
      </c>
      <c r="H1186" s="5" t="s">
        <v>22</v>
      </c>
      <c r="I1186" s="5">
        <v>0</v>
      </c>
      <c r="J1186" s="5">
        <v>0</v>
      </c>
      <c r="K1186" t="s">
        <v>10647</v>
      </c>
      <c r="L1186" cm="1">
        <f t="array" ref="L1186">wordCount(K1186)</f>
        <v>17</v>
      </c>
      <c r="M1186">
        <f t="shared" si="36"/>
        <v>75</v>
      </c>
      <c r="N1186">
        <v>0.53846153846153844</v>
      </c>
      <c r="O1186" s="23" cm="1">
        <f t="array" ref="O1186">WordListCount(K1186,keywords!$A$2:$A$31)-WordListCount(K1186,keywords!$B$2:$B$31)</f>
        <v>0</v>
      </c>
      <c r="P1186" s="25">
        <f t="shared" si="37"/>
        <v>0.65819444444444442</v>
      </c>
      <c r="Q1186" s="23">
        <f>SUM($O$2:O1186)</f>
        <v>29</v>
      </c>
      <c r="Y1186" s="14"/>
      <c r="Z1186" s="13"/>
      <c r="AA1186"/>
    </row>
    <row r="1187" spans="1:27" x14ac:dyDescent="0.2">
      <c r="A1187" s="12" t="s">
        <v>3740</v>
      </c>
      <c r="B1187" t="s">
        <v>3741</v>
      </c>
      <c r="C1187" t="s">
        <v>3742</v>
      </c>
      <c r="D1187" t="s">
        <v>12</v>
      </c>
      <c r="E1187" t="s">
        <v>13</v>
      </c>
      <c r="F1187">
        <v>82</v>
      </c>
      <c r="G1187">
        <v>238</v>
      </c>
      <c r="H1187" s="5" t="s">
        <v>22</v>
      </c>
      <c r="I1187" s="5">
        <v>0</v>
      </c>
      <c r="J1187" s="5">
        <v>0</v>
      </c>
      <c r="K1187" t="s">
        <v>10648</v>
      </c>
      <c r="L1187" cm="1">
        <f t="array" ref="L1187">wordCount(K1187)</f>
        <v>17</v>
      </c>
      <c r="M1187">
        <f t="shared" si="36"/>
        <v>78</v>
      </c>
      <c r="N1187">
        <v>0.5</v>
      </c>
      <c r="O1187" s="23" cm="1">
        <f t="array" ref="O1187">WordListCount(K1187,keywords!$A$2:$A$31)-WordListCount(K1187,keywords!$B$2:$B$31)</f>
        <v>0</v>
      </c>
      <c r="P1187" s="25">
        <f t="shared" si="37"/>
        <v>0.65833333333333333</v>
      </c>
      <c r="Q1187" s="23">
        <f>SUM($O$2:O1187)</f>
        <v>29</v>
      </c>
      <c r="Y1187" s="14"/>
      <c r="Z1187" s="13"/>
      <c r="AA1187"/>
    </row>
    <row r="1188" spans="1:27" x14ac:dyDescent="0.2">
      <c r="A1188" s="12" t="s">
        <v>3743</v>
      </c>
      <c r="B1188" t="s">
        <v>3744</v>
      </c>
      <c r="C1188" t="s">
        <v>3745</v>
      </c>
      <c r="D1188" t="s">
        <v>12</v>
      </c>
      <c r="E1188" t="s">
        <v>13</v>
      </c>
      <c r="F1188">
        <v>118</v>
      </c>
      <c r="G1188">
        <v>384</v>
      </c>
      <c r="H1188" s="5" t="s">
        <v>22</v>
      </c>
      <c r="I1188" s="5">
        <v>0</v>
      </c>
      <c r="J1188" s="5">
        <v>0</v>
      </c>
      <c r="K1188" t="s">
        <v>10649</v>
      </c>
      <c r="L1188" cm="1">
        <f t="array" ref="L1188">wordCount(K1188)</f>
        <v>7</v>
      </c>
      <c r="M1188">
        <f t="shared" si="36"/>
        <v>38</v>
      </c>
      <c r="N1188">
        <v>0.61538461538461542</v>
      </c>
      <c r="O1188" s="23" cm="1">
        <f t="array" ref="O1188">WordListCount(K1188,keywords!$A$2:$A$31)-WordListCount(K1188,keywords!$B$2:$B$31)</f>
        <v>0</v>
      </c>
      <c r="P1188" s="25">
        <f t="shared" si="37"/>
        <v>0.65840277777777778</v>
      </c>
      <c r="Q1188" s="23">
        <f>SUM($O$2:O1188)</f>
        <v>29</v>
      </c>
      <c r="Y1188" s="14"/>
      <c r="Z1188" s="13"/>
      <c r="AA1188"/>
    </row>
    <row r="1189" spans="1:27" x14ac:dyDescent="0.2">
      <c r="A1189" s="12" t="s">
        <v>3746</v>
      </c>
      <c r="B1189" t="s">
        <v>3747</v>
      </c>
      <c r="C1189" t="s">
        <v>3748</v>
      </c>
      <c r="D1189" t="s">
        <v>3749</v>
      </c>
      <c r="E1189" t="s">
        <v>13</v>
      </c>
      <c r="F1189">
        <v>588</v>
      </c>
      <c r="G1189">
        <v>433</v>
      </c>
      <c r="H1189" s="5" t="s">
        <v>125</v>
      </c>
      <c r="I1189" s="5">
        <v>0</v>
      </c>
      <c r="J1189" s="5">
        <v>0</v>
      </c>
      <c r="K1189" t="s">
        <v>10650</v>
      </c>
      <c r="L1189" cm="1">
        <f t="array" ref="L1189">wordCount(K1189)</f>
        <v>25</v>
      </c>
      <c r="M1189">
        <f t="shared" si="36"/>
        <v>115</v>
      </c>
      <c r="N1189">
        <v>0.22222222222222221</v>
      </c>
      <c r="O1189" s="23" cm="1">
        <f t="array" ref="O1189">WordListCount(K1189,keywords!$A$2:$A$31)-WordListCount(K1189,keywords!$B$2:$B$31)</f>
        <v>0</v>
      </c>
      <c r="P1189" s="25">
        <f t="shared" si="37"/>
        <v>0.65850694444444446</v>
      </c>
      <c r="Q1189" s="23">
        <f>SUM($O$2:O1189)</f>
        <v>29</v>
      </c>
      <c r="Y1189" s="14"/>
      <c r="Z1189" s="13"/>
      <c r="AA1189"/>
    </row>
    <row r="1190" spans="1:27" x14ac:dyDescent="0.2">
      <c r="A1190" s="12" t="s">
        <v>3750</v>
      </c>
      <c r="B1190" t="s">
        <v>3751</v>
      </c>
      <c r="C1190" t="s">
        <v>3752</v>
      </c>
      <c r="D1190" t="s">
        <v>879</v>
      </c>
      <c r="E1190" t="s">
        <v>13</v>
      </c>
      <c r="F1190">
        <v>15</v>
      </c>
      <c r="G1190">
        <v>40</v>
      </c>
      <c r="H1190" s="5" t="s">
        <v>22</v>
      </c>
      <c r="I1190" s="5">
        <v>0</v>
      </c>
      <c r="J1190" s="5">
        <v>0</v>
      </c>
      <c r="K1190" t="s">
        <v>10651</v>
      </c>
      <c r="L1190" cm="1">
        <f t="array" ref="L1190">wordCount(K1190)</f>
        <v>17</v>
      </c>
      <c r="M1190">
        <f t="shared" si="36"/>
        <v>81</v>
      </c>
      <c r="N1190">
        <v>0.27777777777777779</v>
      </c>
      <c r="O1190" s="23" cm="1">
        <f t="array" ref="O1190">WordListCount(K1190,keywords!$A$2:$A$31)-WordListCount(K1190,keywords!$B$2:$B$31)</f>
        <v>0</v>
      </c>
      <c r="P1190" s="25">
        <f t="shared" si="37"/>
        <v>0.65853009259259265</v>
      </c>
      <c r="Q1190" s="23">
        <f>SUM($O$2:O1190)</f>
        <v>29</v>
      </c>
      <c r="Y1190" s="14"/>
      <c r="Z1190" s="13"/>
      <c r="AA1190"/>
    </row>
    <row r="1191" spans="1:27" x14ac:dyDescent="0.2">
      <c r="A1191" s="12" t="s">
        <v>3753</v>
      </c>
      <c r="B1191" t="s">
        <v>3754</v>
      </c>
      <c r="C1191" t="s">
        <v>3755</v>
      </c>
      <c r="D1191" t="s">
        <v>3756</v>
      </c>
      <c r="E1191" t="s">
        <v>13</v>
      </c>
      <c r="F1191">
        <v>187</v>
      </c>
      <c r="G1191">
        <v>1130</v>
      </c>
      <c r="H1191" s="5" t="s">
        <v>393</v>
      </c>
      <c r="I1191" s="5">
        <v>0</v>
      </c>
      <c r="J1191" s="5">
        <v>0</v>
      </c>
      <c r="K1191" t="s">
        <v>9388</v>
      </c>
      <c r="L1191" cm="1">
        <f t="array" ref="L1191">wordCount(K1191)</f>
        <v>7</v>
      </c>
      <c r="M1191">
        <f t="shared" si="36"/>
        <v>59</v>
      </c>
      <c r="N1191">
        <v>0.66666666666666663</v>
      </c>
      <c r="O1191" s="23" cm="1">
        <f t="array" ref="O1191">WordListCount(K1191,keywords!$A$2:$A$31)-WordListCount(K1191,keywords!$B$2:$B$31)</f>
        <v>0</v>
      </c>
      <c r="P1191" s="25">
        <f t="shared" si="37"/>
        <v>0.65858796296296296</v>
      </c>
      <c r="Q1191" s="23">
        <f>SUM($O$2:O1191)</f>
        <v>29</v>
      </c>
      <c r="Y1191" s="14"/>
      <c r="Z1191" s="13"/>
      <c r="AA1191"/>
    </row>
    <row r="1192" spans="1:27" x14ac:dyDescent="0.2">
      <c r="A1192" s="12" t="s">
        <v>3757</v>
      </c>
      <c r="B1192" t="s">
        <v>3758</v>
      </c>
      <c r="C1192" t="s">
        <v>3759</v>
      </c>
      <c r="D1192" t="s">
        <v>3760</v>
      </c>
      <c r="E1192" t="s">
        <v>13</v>
      </c>
      <c r="F1192">
        <v>598</v>
      </c>
      <c r="G1192">
        <v>2901</v>
      </c>
      <c r="H1192" s="5" t="s">
        <v>22</v>
      </c>
      <c r="I1192" s="5">
        <v>0</v>
      </c>
      <c r="J1192" s="5">
        <v>0</v>
      </c>
      <c r="K1192" t="s">
        <v>9389</v>
      </c>
      <c r="L1192" cm="1">
        <f t="array" ref="L1192">wordCount(K1192)</f>
        <v>15</v>
      </c>
      <c r="M1192">
        <f t="shared" si="36"/>
        <v>104</v>
      </c>
      <c r="N1192">
        <v>0.35</v>
      </c>
      <c r="O1192" s="23" cm="1">
        <f t="array" ref="O1192">WordListCount(K1192,keywords!$A$2:$A$31)-WordListCount(K1192,keywords!$B$2:$B$31)</f>
        <v>0</v>
      </c>
      <c r="P1192" s="25">
        <f t="shared" si="37"/>
        <v>0.65864583333333326</v>
      </c>
      <c r="Q1192" s="23">
        <f>SUM($O$2:O1192)</f>
        <v>29</v>
      </c>
      <c r="Y1192" s="14"/>
      <c r="Z1192" s="13"/>
      <c r="AA1192"/>
    </row>
    <row r="1193" spans="1:27" x14ac:dyDescent="0.2">
      <c r="A1193" s="12" t="s">
        <v>3761</v>
      </c>
      <c r="B1193" t="s">
        <v>3762</v>
      </c>
      <c r="C1193" t="s">
        <v>3763</v>
      </c>
      <c r="D1193" t="s">
        <v>12</v>
      </c>
      <c r="E1193" t="s">
        <v>13</v>
      </c>
      <c r="F1193">
        <v>759</v>
      </c>
      <c r="G1193">
        <v>167</v>
      </c>
      <c r="H1193" s="5" t="s">
        <v>22</v>
      </c>
      <c r="I1193" s="5">
        <v>0</v>
      </c>
      <c r="J1193" s="5">
        <v>0</v>
      </c>
      <c r="K1193" t="s">
        <v>10652</v>
      </c>
      <c r="L1193" cm="1">
        <f t="array" ref="L1193">wordCount(K1193)</f>
        <v>23</v>
      </c>
      <c r="M1193">
        <f t="shared" si="36"/>
        <v>111</v>
      </c>
      <c r="N1193">
        <v>0.37142857142857144</v>
      </c>
      <c r="O1193" s="23" cm="1">
        <f t="array" ref="O1193">WordListCount(K1193,keywords!$A$2:$A$31)-WordListCount(K1193,keywords!$B$2:$B$31)</f>
        <v>0</v>
      </c>
      <c r="P1193" s="25">
        <f t="shared" si="37"/>
        <v>0.65875000000000006</v>
      </c>
      <c r="Q1193" s="23">
        <f>SUM($O$2:O1193)</f>
        <v>29</v>
      </c>
      <c r="Y1193" s="14"/>
      <c r="Z1193" s="13"/>
      <c r="AA1193"/>
    </row>
    <row r="1194" spans="1:27" x14ac:dyDescent="0.2">
      <c r="A1194" s="12" t="s">
        <v>3764</v>
      </c>
      <c r="B1194" t="s">
        <v>3765</v>
      </c>
      <c r="C1194" t="s">
        <v>3766</v>
      </c>
      <c r="D1194" t="s">
        <v>3767</v>
      </c>
      <c r="E1194" t="s">
        <v>13</v>
      </c>
      <c r="F1194">
        <v>326</v>
      </c>
      <c r="G1194">
        <v>393</v>
      </c>
      <c r="H1194" s="5" t="s">
        <v>22</v>
      </c>
      <c r="I1194" s="5">
        <v>0</v>
      </c>
      <c r="J1194" s="5">
        <v>0</v>
      </c>
      <c r="K1194" t="s">
        <v>10653</v>
      </c>
      <c r="L1194" cm="1">
        <f t="array" ref="L1194">wordCount(K1194)</f>
        <v>5</v>
      </c>
      <c r="M1194">
        <f t="shared" si="36"/>
        <v>23</v>
      </c>
      <c r="N1194">
        <v>0.8571428571428571</v>
      </c>
      <c r="O1194" s="23" cm="1">
        <f t="array" ref="O1194">WordListCount(K1194,keywords!$A$2:$A$31)-WordListCount(K1194,keywords!$B$2:$B$31)</f>
        <v>0</v>
      </c>
      <c r="P1194" s="25">
        <f t="shared" si="37"/>
        <v>0.65881944444444451</v>
      </c>
      <c r="Q1194" s="23">
        <f>SUM($O$2:O1194)</f>
        <v>29</v>
      </c>
      <c r="Y1194" s="14"/>
      <c r="Z1194" s="13"/>
      <c r="AA1194"/>
    </row>
    <row r="1195" spans="1:27" x14ac:dyDescent="0.2">
      <c r="A1195" s="12" t="s">
        <v>3768</v>
      </c>
      <c r="B1195" t="s">
        <v>3769</v>
      </c>
      <c r="C1195" t="s">
        <v>3770</v>
      </c>
      <c r="D1195" t="s">
        <v>3771</v>
      </c>
      <c r="E1195" t="s">
        <v>13</v>
      </c>
      <c r="F1195">
        <v>263</v>
      </c>
      <c r="G1195">
        <v>192</v>
      </c>
      <c r="H1195" s="5" t="s">
        <v>22</v>
      </c>
      <c r="I1195" s="5">
        <v>0</v>
      </c>
      <c r="J1195" s="5">
        <v>0</v>
      </c>
      <c r="K1195" t="s">
        <v>10654</v>
      </c>
      <c r="L1195" cm="1">
        <f t="array" ref="L1195">wordCount(K1195)</f>
        <v>18</v>
      </c>
      <c r="M1195">
        <f t="shared" si="36"/>
        <v>101</v>
      </c>
      <c r="N1195">
        <v>0.375</v>
      </c>
      <c r="O1195" s="23" cm="1">
        <f t="array" ref="O1195">WordListCount(K1195,keywords!$A$2:$A$31)-WordListCount(K1195,keywords!$B$2:$B$31)</f>
        <v>0</v>
      </c>
      <c r="P1195" s="25">
        <f t="shared" si="37"/>
        <v>0.6590625</v>
      </c>
      <c r="Q1195" s="23">
        <f>SUM($O$2:O1195)</f>
        <v>29</v>
      </c>
      <c r="Y1195" s="14"/>
      <c r="Z1195" s="13"/>
      <c r="AA1195"/>
    </row>
    <row r="1196" spans="1:27" x14ac:dyDescent="0.2">
      <c r="A1196" s="12" t="s">
        <v>3772</v>
      </c>
      <c r="B1196" t="s">
        <v>3773</v>
      </c>
      <c r="C1196" t="s">
        <v>3774</v>
      </c>
      <c r="D1196" t="s">
        <v>2096</v>
      </c>
      <c r="E1196" t="s">
        <v>13</v>
      </c>
      <c r="F1196">
        <v>1364</v>
      </c>
      <c r="G1196">
        <v>2650</v>
      </c>
      <c r="H1196" s="5" t="s">
        <v>22</v>
      </c>
      <c r="I1196" s="5">
        <v>0</v>
      </c>
      <c r="J1196" s="5">
        <v>0</v>
      </c>
      <c r="K1196" t="s">
        <v>10655</v>
      </c>
      <c r="L1196" cm="1">
        <f t="array" ref="L1196">wordCount(K1196)</f>
        <v>6</v>
      </c>
      <c r="M1196">
        <f t="shared" si="36"/>
        <v>27</v>
      </c>
      <c r="N1196">
        <v>0.73684210526315785</v>
      </c>
      <c r="O1196" s="23" cm="1">
        <f t="array" ref="O1196">WordListCount(K1196,keywords!$A$2:$A$31)-WordListCount(K1196,keywords!$B$2:$B$31)</f>
        <v>0</v>
      </c>
      <c r="P1196" s="25">
        <f t="shared" si="37"/>
        <v>0.65927083333333336</v>
      </c>
      <c r="Q1196" s="23">
        <f>SUM($O$2:O1196)</f>
        <v>29</v>
      </c>
      <c r="Y1196" s="14"/>
      <c r="Z1196" s="13"/>
      <c r="AA1196"/>
    </row>
    <row r="1197" spans="1:27" x14ac:dyDescent="0.2">
      <c r="A1197" s="12" t="s">
        <v>3775</v>
      </c>
      <c r="B1197" t="s">
        <v>3776</v>
      </c>
      <c r="C1197" t="s">
        <v>3777</v>
      </c>
      <c r="D1197" t="s">
        <v>3778</v>
      </c>
      <c r="E1197" t="s">
        <v>13</v>
      </c>
      <c r="F1197">
        <v>43</v>
      </c>
      <c r="G1197">
        <v>38</v>
      </c>
      <c r="H1197" s="5" t="s">
        <v>22</v>
      </c>
      <c r="I1197" s="5">
        <v>0</v>
      </c>
      <c r="J1197" s="5">
        <v>0</v>
      </c>
      <c r="K1197" t="s">
        <v>10656</v>
      </c>
      <c r="L1197" cm="1">
        <f t="array" ref="L1197">wordCount(K1197)</f>
        <v>14</v>
      </c>
      <c r="M1197">
        <f t="shared" si="36"/>
        <v>70</v>
      </c>
      <c r="N1197">
        <v>0.45454545454545453</v>
      </c>
      <c r="O1197" s="23" cm="1">
        <f t="array" ref="O1197">WordListCount(K1197,keywords!$A$2:$A$31)-WordListCount(K1197,keywords!$B$2:$B$31)</f>
        <v>0</v>
      </c>
      <c r="P1197" s="25">
        <f t="shared" si="37"/>
        <v>0.65983796296296293</v>
      </c>
      <c r="Q1197" s="23">
        <f>SUM($O$2:O1197)</f>
        <v>29</v>
      </c>
      <c r="Y1197" s="14"/>
      <c r="Z1197" s="13"/>
      <c r="AA1197"/>
    </row>
    <row r="1198" spans="1:27" x14ac:dyDescent="0.2">
      <c r="A1198" s="12" t="s">
        <v>3779</v>
      </c>
      <c r="B1198" t="s">
        <v>3780</v>
      </c>
      <c r="C1198" t="s">
        <v>3781</v>
      </c>
      <c r="D1198" t="s">
        <v>3782</v>
      </c>
      <c r="E1198" t="s">
        <v>13</v>
      </c>
      <c r="F1198">
        <v>182</v>
      </c>
      <c r="G1198">
        <v>2410</v>
      </c>
      <c r="H1198" s="5" t="s">
        <v>22</v>
      </c>
      <c r="I1198" s="5">
        <v>0</v>
      </c>
      <c r="J1198" s="5">
        <v>0</v>
      </c>
      <c r="K1198" t="s">
        <v>10657</v>
      </c>
      <c r="L1198" cm="1">
        <f t="array" ref="L1198">wordCount(K1198)</f>
        <v>20</v>
      </c>
      <c r="M1198">
        <f t="shared" si="36"/>
        <v>103</v>
      </c>
      <c r="N1198">
        <v>0.66666666666666663</v>
      </c>
      <c r="O1198" s="23" cm="1">
        <f t="array" ref="O1198">WordListCount(K1198,keywords!$A$2:$A$31)-WordListCount(K1198,keywords!$B$2:$B$31)</f>
        <v>-2</v>
      </c>
      <c r="P1198" s="25">
        <f t="shared" si="37"/>
        <v>0.65989583333333335</v>
      </c>
      <c r="Q1198" s="23">
        <f>SUM($O$2:O1198)</f>
        <v>27</v>
      </c>
      <c r="Y1198" s="14"/>
      <c r="Z1198" s="13"/>
      <c r="AA1198"/>
    </row>
    <row r="1199" spans="1:27" x14ac:dyDescent="0.2">
      <c r="A1199" s="12" t="s">
        <v>3783</v>
      </c>
      <c r="B1199" t="s">
        <v>3786</v>
      </c>
      <c r="C1199" t="s">
        <v>3787</v>
      </c>
      <c r="D1199" t="s">
        <v>12</v>
      </c>
      <c r="E1199" t="s">
        <v>13</v>
      </c>
      <c r="F1199">
        <v>100</v>
      </c>
      <c r="G1199">
        <v>261</v>
      </c>
      <c r="H1199" s="5" t="s">
        <v>22</v>
      </c>
      <c r="I1199" s="5">
        <v>0</v>
      </c>
      <c r="J1199" s="5">
        <v>0</v>
      </c>
      <c r="K1199" t="s">
        <v>10659</v>
      </c>
      <c r="L1199" cm="1">
        <f t="array" ref="L1199">wordCount(K1199)</f>
        <v>14</v>
      </c>
      <c r="M1199">
        <f t="shared" si="36"/>
        <v>83</v>
      </c>
      <c r="N1199">
        <v>0.23529411764705882</v>
      </c>
      <c r="O1199" s="23" cm="1">
        <f t="array" ref="O1199">WordListCount(K1199,keywords!$A$2:$A$31)-WordListCount(K1199,keywords!$B$2:$B$31)</f>
        <v>0</v>
      </c>
      <c r="P1199" s="25">
        <f t="shared" si="37"/>
        <v>0.65994212962962961</v>
      </c>
      <c r="Q1199" s="23">
        <f>SUM($O$2:O1199)</f>
        <v>27</v>
      </c>
      <c r="Y1199" s="14"/>
      <c r="Z1199" s="13"/>
      <c r="AA1199"/>
    </row>
    <row r="1200" spans="1:27" x14ac:dyDescent="0.2">
      <c r="A1200" s="12" t="s">
        <v>3783</v>
      </c>
      <c r="B1200" t="s">
        <v>3784</v>
      </c>
      <c r="C1200" t="s">
        <v>3785</v>
      </c>
      <c r="D1200" t="s">
        <v>30</v>
      </c>
      <c r="E1200" t="s">
        <v>13</v>
      </c>
      <c r="F1200">
        <v>215</v>
      </c>
      <c r="G1200">
        <v>137</v>
      </c>
      <c r="H1200" s="5" t="s">
        <v>22</v>
      </c>
      <c r="I1200" s="5">
        <v>0</v>
      </c>
      <c r="J1200" s="5">
        <v>0</v>
      </c>
      <c r="K1200" t="s">
        <v>10658</v>
      </c>
      <c r="L1200" cm="1">
        <f t="array" ref="L1200">wordCount(K1200)</f>
        <v>26</v>
      </c>
      <c r="M1200">
        <f t="shared" si="36"/>
        <v>138</v>
      </c>
      <c r="N1200">
        <v>0.5</v>
      </c>
      <c r="O1200" s="23" cm="1">
        <f t="array" ref="O1200">WordListCount(K1200,keywords!$A$2:$A$31)-WordListCount(K1200,keywords!$B$2:$B$31)</f>
        <v>1</v>
      </c>
      <c r="P1200" s="25">
        <f t="shared" si="37"/>
        <v>0.65994212962962961</v>
      </c>
      <c r="Q1200" s="23">
        <f>SUM($O$2:O1200)</f>
        <v>28</v>
      </c>
      <c r="Y1200" s="14"/>
      <c r="Z1200" s="13"/>
      <c r="AA1200"/>
    </row>
    <row r="1201" spans="1:27" x14ac:dyDescent="0.2">
      <c r="A1201" s="12" t="s">
        <v>3788</v>
      </c>
      <c r="B1201" t="s">
        <v>3789</v>
      </c>
      <c r="C1201" t="s">
        <v>1501</v>
      </c>
      <c r="D1201" t="s">
        <v>12</v>
      </c>
      <c r="E1201" t="s">
        <v>13</v>
      </c>
      <c r="F1201">
        <v>10</v>
      </c>
      <c r="G1201">
        <v>23</v>
      </c>
      <c r="H1201" s="5" t="s">
        <v>22</v>
      </c>
      <c r="I1201" s="5">
        <v>0</v>
      </c>
      <c r="J1201" s="5">
        <v>0</v>
      </c>
      <c r="K1201" t="s">
        <v>10660</v>
      </c>
      <c r="L1201" cm="1">
        <f t="array" ref="L1201">wordCount(K1201)</f>
        <v>13</v>
      </c>
      <c r="M1201">
        <f t="shared" si="36"/>
        <v>69</v>
      </c>
      <c r="N1201">
        <v>0.3125</v>
      </c>
      <c r="O1201" s="23" cm="1">
        <f t="array" ref="O1201">WordListCount(K1201,keywords!$A$2:$A$31)-WordListCount(K1201,keywords!$B$2:$B$31)</f>
        <v>0</v>
      </c>
      <c r="P1201" s="25">
        <f t="shared" si="37"/>
        <v>0.66024305555555551</v>
      </c>
      <c r="Q1201" s="23">
        <f>SUM($O$2:O1201)</f>
        <v>28</v>
      </c>
      <c r="Y1201" s="14"/>
      <c r="Z1201" s="13"/>
      <c r="AA1201"/>
    </row>
    <row r="1202" spans="1:27" x14ac:dyDescent="0.2">
      <c r="A1202" s="12" t="s">
        <v>3790</v>
      </c>
      <c r="B1202" t="s">
        <v>3791</v>
      </c>
      <c r="C1202" t="s">
        <v>3792</v>
      </c>
      <c r="D1202" t="s">
        <v>12</v>
      </c>
      <c r="E1202" t="s">
        <v>13</v>
      </c>
      <c r="F1202">
        <v>138</v>
      </c>
      <c r="G1202">
        <v>150</v>
      </c>
      <c r="H1202" s="5" t="s">
        <v>22</v>
      </c>
      <c r="I1202" s="5">
        <v>0</v>
      </c>
      <c r="J1202" s="5">
        <v>0</v>
      </c>
      <c r="K1202" t="s">
        <v>10661</v>
      </c>
      <c r="L1202" cm="1">
        <f t="array" ref="L1202">wordCount(K1202)</f>
        <v>16</v>
      </c>
      <c r="M1202">
        <f t="shared" si="36"/>
        <v>80</v>
      </c>
      <c r="N1202">
        <v>0.44</v>
      </c>
      <c r="O1202" s="23" cm="1">
        <f t="array" ref="O1202">WordListCount(K1202,keywords!$A$2:$A$31)-WordListCount(K1202,keywords!$B$2:$B$31)</f>
        <v>1</v>
      </c>
      <c r="P1202" s="25">
        <f t="shared" si="37"/>
        <v>0.66028935185185189</v>
      </c>
      <c r="Q1202" s="23">
        <f>SUM($O$2:O1202)</f>
        <v>29</v>
      </c>
      <c r="Y1202" s="14"/>
      <c r="Z1202" s="13"/>
      <c r="AA1202"/>
    </row>
    <row r="1203" spans="1:27" x14ac:dyDescent="0.2">
      <c r="A1203" s="12" t="s">
        <v>3793</v>
      </c>
      <c r="B1203" t="s">
        <v>3794</v>
      </c>
      <c r="C1203" t="s">
        <v>3795</v>
      </c>
      <c r="D1203" t="s">
        <v>3796</v>
      </c>
      <c r="E1203" t="s">
        <v>13</v>
      </c>
      <c r="F1203">
        <v>22</v>
      </c>
      <c r="G1203">
        <v>35</v>
      </c>
      <c r="H1203" s="5" t="s">
        <v>22</v>
      </c>
      <c r="I1203" s="5">
        <v>0</v>
      </c>
      <c r="J1203" s="5">
        <v>0</v>
      </c>
      <c r="K1203" t="s">
        <v>10662</v>
      </c>
      <c r="L1203" cm="1">
        <f t="array" ref="L1203">wordCount(K1203)</f>
        <v>17</v>
      </c>
      <c r="M1203">
        <f t="shared" si="36"/>
        <v>86</v>
      </c>
      <c r="N1203">
        <v>0.29411764705882354</v>
      </c>
      <c r="O1203" s="23" cm="1">
        <f t="array" ref="O1203">WordListCount(K1203,keywords!$A$2:$A$31)-WordListCount(K1203,keywords!$B$2:$B$31)</f>
        <v>0</v>
      </c>
      <c r="P1203" s="25">
        <f t="shared" si="37"/>
        <v>0.66038194444444442</v>
      </c>
      <c r="Q1203" s="23">
        <f>SUM($O$2:O1203)</f>
        <v>29</v>
      </c>
      <c r="Y1203" s="14"/>
      <c r="Z1203" s="13"/>
      <c r="AA1203"/>
    </row>
    <row r="1204" spans="1:27" x14ac:dyDescent="0.2">
      <c r="A1204" s="12" t="s">
        <v>3797</v>
      </c>
      <c r="B1204" t="s">
        <v>3798</v>
      </c>
      <c r="C1204" t="s">
        <v>3799</v>
      </c>
      <c r="D1204" t="s">
        <v>112</v>
      </c>
      <c r="E1204" t="s">
        <v>13</v>
      </c>
      <c r="F1204">
        <v>3355</v>
      </c>
      <c r="G1204">
        <v>456</v>
      </c>
      <c r="H1204" s="5" t="s">
        <v>22</v>
      </c>
      <c r="I1204" s="5">
        <v>0</v>
      </c>
      <c r="J1204" s="5">
        <v>0</v>
      </c>
      <c r="K1204" t="s">
        <v>10663</v>
      </c>
      <c r="L1204" cm="1">
        <f t="array" ref="L1204">wordCount(K1204)</f>
        <v>13</v>
      </c>
      <c r="M1204">
        <f t="shared" si="36"/>
        <v>59</v>
      </c>
      <c r="N1204">
        <v>0.57692307692307687</v>
      </c>
      <c r="O1204" s="23" cm="1">
        <f t="array" ref="O1204">WordListCount(K1204,keywords!$A$2:$A$31)-WordListCount(K1204,keywords!$B$2:$B$31)</f>
        <v>0</v>
      </c>
      <c r="P1204" s="25">
        <f t="shared" si="37"/>
        <v>0.66054398148148141</v>
      </c>
      <c r="Q1204" s="23">
        <f>SUM($O$2:O1204)</f>
        <v>29</v>
      </c>
      <c r="Y1204" s="14"/>
      <c r="Z1204" s="13"/>
      <c r="AA1204"/>
    </row>
    <row r="1205" spans="1:27" x14ac:dyDescent="0.2">
      <c r="A1205" s="12" t="s">
        <v>3800</v>
      </c>
      <c r="B1205" t="s">
        <v>3801</v>
      </c>
      <c r="C1205" t="s">
        <v>3802</v>
      </c>
      <c r="D1205" t="s">
        <v>3803</v>
      </c>
      <c r="E1205" t="s">
        <v>13</v>
      </c>
      <c r="F1205">
        <v>1035</v>
      </c>
      <c r="G1205">
        <v>1628</v>
      </c>
      <c r="H1205" s="5" t="s">
        <v>22</v>
      </c>
      <c r="I1205" s="5">
        <v>0</v>
      </c>
      <c r="J1205" s="5">
        <v>0</v>
      </c>
      <c r="K1205" t="s">
        <v>10664</v>
      </c>
      <c r="L1205" cm="1">
        <f t="array" ref="L1205">wordCount(K1205)</f>
        <v>8</v>
      </c>
      <c r="M1205">
        <f t="shared" si="36"/>
        <v>57</v>
      </c>
      <c r="N1205">
        <v>0.33333333333333331</v>
      </c>
      <c r="O1205" s="23" cm="1">
        <f t="array" ref="O1205">WordListCount(K1205,keywords!$A$2:$A$31)-WordListCount(K1205,keywords!$B$2:$B$31)</f>
        <v>1</v>
      </c>
      <c r="P1205" s="25">
        <f t="shared" si="37"/>
        <v>0.66074074074074074</v>
      </c>
      <c r="Q1205" s="23">
        <f>SUM($O$2:O1205)</f>
        <v>30</v>
      </c>
      <c r="Y1205" s="14"/>
      <c r="Z1205" s="13"/>
      <c r="AA1205"/>
    </row>
    <row r="1206" spans="1:27" x14ac:dyDescent="0.2">
      <c r="A1206" s="12" t="s">
        <v>3804</v>
      </c>
      <c r="B1206" t="s">
        <v>3805</v>
      </c>
      <c r="C1206" t="s">
        <v>3806</v>
      </c>
      <c r="D1206" t="s">
        <v>3303</v>
      </c>
      <c r="E1206" t="s">
        <v>13</v>
      </c>
      <c r="F1206">
        <v>1438</v>
      </c>
      <c r="G1206">
        <v>580</v>
      </c>
      <c r="H1206" s="5" t="s">
        <v>22</v>
      </c>
      <c r="I1206" s="5">
        <v>0</v>
      </c>
      <c r="J1206" s="5">
        <v>0</v>
      </c>
      <c r="K1206" t="s">
        <v>9390</v>
      </c>
      <c r="L1206" cm="1">
        <f t="array" ref="L1206">wordCount(K1206)</f>
        <v>25</v>
      </c>
      <c r="M1206">
        <f t="shared" si="36"/>
        <v>131</v>
      </c>
      <c r="N1206">
        <v>0.3888888888888889</v>
      </c>
      <c r="O1206" s="23" cm="1">
        <f t="array" ref="O1206">WordListCount(K1206,keywords!$A$2:$A$31)-WordListCount(K1206,keywords!$B$2:$B$31)</f>
        <v>0</v>
      </c>
      <c r="P1206" s="25">
        <f t="shared" si="37"/>
        <v>0.66086805555555561</v>
      </c>
      <c r="Q1206" s="23">
        <f>SUM($O$2:O1206)</f>
        <v>30</v>
      </c>
      <c r="Y1206" s="14"/>
      <c r="Z1206" s="13"/>
      <c r="AA1206"/>
    </row>
    <row r="1207" spans="1:27" x14ac:dyDescent="0.2">
      <c r="A1207" s="12" t="s">
        <v>3807</v>
      </c>
      <c r="B1207" t="s">
        <v>3791</v>
      </c>
      <c r="C1207" t="s">
        <v>3792</v>
      </c>
      <c r="D1207" t="s">
        <v>12</v>
      </c>
      <c r="E1207" t="s">
        <v>13</v>
      </c>
      <c r="F1207">
        <v>138</v>
      </c>
      <c r="G1207">
        <v>150</v>
      </c>
      <c r="H1207" s="5" t="s">
        <v>22</v>
      </c>
      <c r="I1207" s="5">
        <v>0</v>
      </c>
      <c r="J1207" s="5">
        <v>0</v>
      </c>
      <c r="K1207" t="s">
        <v>10661</v>
      </c>
      <c r="L1207" cm="1">
        <f t="array" ref="L1207">wordCount(K1207)</f>
        <v>16</v>
      </c>
      <c r="M1207">
        <f t="shared" si="36"/>
        <v>80</v>
      </c>
      <c r="N1207">
        <v>1</v>
      </c>
      <c r="O1207" s="23" cm="1">
        <f t="array" ref="O1207">WordListCount(K1207,keywords!$A$2:$A$31)-WordListCount(K1207,keywords!$B$2:$B$31)</f>
        <v>1</v>
      </c>
      <c r="P1207" s="25">
        <f t="shared" si="37"/>
        <v>0.6610300925925926</v>
      </c>
      <c r="Q1207" s="23">
        <f>SUM($O$2:O1207)</f>
        <v>31</v>
      </c>
      <c r="Y1207" s="14"/>
      <c r="Z1207" s="13"/>
      <c r="AA1207"/>
    </row>
    <row r="1208" spans="1:27" x14ac:dyDescent="0.2">
      <c r="A1208" s="12" t="s">
        <v>3808</v>
      </c>
      <c r="B1208" t="s">
        <v>3809</v>
      </c>
      <c r="C1208" t="s">
        <v>3810</v>
      </c>
      <c r="D1208" t="s">
        <v>12</v>
      </c>
      <c r="E1208" t="s">
        <v>13</v>
      </c>
      <c r="F1208">
        <v>38</v>
      </c>
      <c r="G1208">
        <v>116</v>
      </c>
      <c r="H1208" s="5" t="s">
        <v>22</v>
      </c>
      <c r="I1208" s="5">
        <v>0</v>
      </c>
      <c r="J1208" s="5">
        <v>0</v>
      </c>
      <c r="K1208" t="s">
        <v>10665</v>
      </c>
      <c r="L1208" cm="1">
        <f t="array" ref="L1208">wordCount(K1208)</f>
        <v>16</v>
      </c>
      <c r="M1208">
        <f t="shared" si="36"/>
        <v>71</v>
      </c>
      <c r="N1208">
        <v>0.23529411764705882</v>
      </c>
      <c r="O1208" s="23" cm="1">
        <f t="array" ref="O1208">WordListCount(K1208,keywords!$A$2:$A$31)-WordListCount(K1208,keywords!$B$2:$B$31)</f>
        <v>1</v>
      </c>
      <c r="P1208" s="25">
        <f t="shared" si="37"/>
        <v>0.66108796296296302</v>
      </c>
      <c r="Q1208" s="23">
        <f>SUM($O$2:O1208)</f>
        <v>32</v>
      </c>
      <c r="Y1208" s="14"/>
      <c r="Z1208" s="13"/>
      <c r="AA1208"/>
    </row>
    <row r="1209" spans="1:27" x14ac:dyDescent="0.2">
      <c r="A1209" s="12" t="s">
        <v>3811</v>
      </c>
      <c r="B1209" t="s">
        <v>3812</v>
      </c>
      <c r="C1209" t="s">
        <v>3813</v>
      </c>
      <c r="D1209" t="s">
        <v>3814</v>
      </c>
      <c r="E1209" t="s">
        <v>13</v>
      </c>
      <c r="F1209">
        <v>264</v>
      </c>
      <c r="G1209">
        <v>355</v>
      </c>
      <c r="H1209" s="5" t="s">
        <v>22</v>
      </c>
      <c r="I1209" s="5">
        <v>0</v>
      </c>
      <c r="J1209" s="5">
        <v>0</v>
      </c>
      <c r="K1209" t="s">
        <v>9391</v>
      </c>
      <c r="L1209" cm="1">
        <f t="array" ref="L1209">wordCount(K1209)</f>
        <v>22</v>
      </c>
      <c r="M1209">
        <f t="shared" si="36"/>
        <v>107</v>
      </c>
      <c r="N1209">
        <v>0.2857142857142857</v>
      </c>
      <c r="O1209" s="23" cm="1">
        <f t="array" ref="O1209">WordListCount(K1209,keywords!$A$2:$A$31)-WordListCount(K1209,keywords!$B$2:$B$31)</f>
        <v>0</v>
      </c>
      <c r="P1209" s="25">
        <f t="shared" si="37"/>
        <v>0.66121527777777778</v>
      </c>
      <c r="Q1209" s="23">
        <f>SUM($O$2:O1209)</f>
        <v>32</v>
      </c>
      <c r="Y1209" s="14"/>
      <c r="Z1209" s="13"/>
      <c r="AA1209"/>
    </row>
    <row r="1210" spans="1:27" x14ac:dyDescent="0.2">
      <c r="A1210" s="12" t="s">
        <v>3815</v>
      </c>
      <c r="B1210" t="s">
        <v>3816</v>
      </c>
      <c r="C1210" t="s">
        <v>73</v>
      </c>
      <c r="D1210" t="s">
        <v>74</v>
      </c>
      <c r="E1210" t="s">
        <v>13</v>
      </c>
      <c r="F1210">
        <v>87</v>
      </c>
      <c r="G1210">
        <v>237</v>
      </c>
      <c r="H1210" s="5" t="s">
        <v>22</v>
      </c>
      <c r="I1210" s="5">
        <v>0</v>
      </c>
      <c r="J1210" s="5">
        <v>0</v>
      </c>
      <c r="K1210" t="s">
        <v>9319</v>
      </c>
      <c r="L1210" cm="1">
        <f t="array" ref="L1210">wordCount(K1210)</f>
        <v>7</v>
      </c>
      <c r="M1210">
        <f t="shared" si="36"/>
        <v>37</v>
      </c>
      <c r="N1210">
        <v>1</v>
      </c>
      <c r="O1210" s="23" cm="1">
        <f t="array" ref="O1210">WordListCount(K1210,keywords!$A$2:$A$31)-WordListCount(K1210,keywords!$B$2:$B$31)</f>
        <v>0</v>
      </c>
      <c r="P1210" s="25">
        <f t="shared" si="37"/>
        <v>0.66125</v>
      </c>
      <c r="Q1210" s="23">
        <f>SUM($O$2:O1210)</f>
        <v>32</v>
      </c>
      <c r="Y1210" s="14"/>
      <c r="Z1210" s="13"/>
      <c r="AA1210"/>
    </row>
    <row r="1211" spans="1:27" x14ac:dyDescent="0.2">
      <c r="A1211" s="12" t="s">
        <v>3817</v>
      </c>
      <c r="B1211" t="s">
        <v>3818</v>
      </c>
      <c r="C1211" t="s">
        <v>3806</v>
      </c>
      <c r="D1211" t="s">
        <v>3303</v>
      </c>
      <c r="E1211" t="s">
        <v>13</v>
      </c>
      <c r="F1211">
        <v>1438</v>
      </c>
      <c r="G1211">
        <v>580</v>
      </c>
      <c r="H1211" s="5" t="s">
        <v>22</v>
      </c>
      <c r="I1211" s="5">
        <v>0</v>
      </c>
      <c r="J1211" s="5">
        <v>0</v>
      </c>
      <c r="K1211" t="s">
        <v>10666</v>
      </c>
      <c r="L1211" cm="1">
        <f t="array" ref="L1211">wordCount(K1211)</f>
        <v>12</v>
      </c>
      <c r="M1211">
        <f t="shared" si="36"/>
        <v>55</v>
      </c>
      <c r="N1211">
        <v>0.30769230769230771</v>
      </c>
      <c r="O1211" s="23" cm="1">
        <f t="array" ref="O1211">WordListCount(K1211,keywords!$A$2:$A$31)-WordListCount(K1211,keywords!$B$2:$B$31)</f>
        <v>0</v>
      </c>
      <c r="P1211" s="25">
        <f t="shared" si="37"/>
        <v>0.66128472222222223</v>
      </c>
      <c r="Q1211" s="23">
        <f>SUM($O$2:O1211)</f>
        <v>32</v>
      </c>
      <c r="Y1211" s="14"/>
      <c r="Z1211" s="13"/>
      <c r="AA1211"/>
    </row>
    <row r="1212" spans="1:27" x14ac:dyDescent="0.2">
      <c r="A1212" s="12" t="s">
        <v>3819</v>
      </c>
      <c r="B1212" t="s">
        <v>3820</v>
      </c>
      <c r="C1212" t="s">
        <v>3821</v>
      </c>
      <c r="D1212" t="s">
        <v>3822</v>
      </c>
      <c r="E1212" t="s">
        <v>13</v>
      </c>
      <c r="F1212">
        <v>474</v>
      </c>
      <c r="G1212">
        <v>748</v>
      </c>
      <c r="H1212" s="5" t="s">
        <v>22</v>
      </c>
      <c r="I1212" s="5">
        <v>0</v>
      </c>
      <c r="J1212" s="5">
        <v>0</v>
      </c>
      <c r="K1212" t="s">
        <v>10667</v>
      </c>
      <c r="L1212" cm="1">
        <f t="array" ref="L1212">wordCount(K1212)</f>
        <v>14</v>
      </c>
      <c r="M1212">
        <f t="shared" si="36"/>
        <v>65</v>
      </c>
      <c r="N1212">
        <v>0.52173913043478259</v>
      </c>
      <c r="O1212" s="23" cm="1">
        <f t="array" ref="O1212">WordListCount(K1212,keywords!$A$2:$A$31)-WordListCount(K1212,keywords!$B$2:$B$31)</f>
        <v>0</v>
      </c>
      <c r="P1212" s="25">
        <f t="shared" si="37"/>
        <v>0.66137731481481488</v>
      </c>
      <c r="Q1212" s="23">
        <f>SUM($O$2:O1212)</f>
        <v>32</v>
      </c>
      <c r="Y1212" s="14"/>
      <c r="Z1212" s="13"/>
      <c r="AA1212"/>
    </row>
    <row r="1213" spans="1:27" x14ac:dyDescent="0.2">
      <c r="A1213" s="12" t="s">
        <v>3823</v>
      </c>
      <c r="B1213" t="s">
        <v>3824</v>
      </c>
      <c r="C1213" t="s">
        <v>3825</v>
      </c>
      <c r="D1213" t="s">
        <v>1540</v>
      </c>
      <c r="E1213" t="s">
        <v>13</v>
      </c>
      <c r="F1213">
        <v>27</v>
      </c>
      <c r="G1213">
        <v>141</v>
      </c>
      <c r="H1213" s="5" t="s">
        <v>96</v>
      </c>
      <c r="I1213" s="5">
        <v>0</v>
      </c>
      <c r="J1213" s="5">
        <v>0</v>
      </c>
      <c r="K1213" t="s">
        <v>9392</v>
      </c>
      <c r="L1213" cm="1">
        <f t="array" ref="L1213">wordCount(K1213)</f>
        <v>7</v>
      </c>
      <c r="M1213">
        <f t="shared" si="36"/>
        <v>36</v>
      </c>
      <c r="N1213">
        <v>0.83333333333333337</v>
      </c>
      <c r="O1213" s="23" cm="1">
        <f t="array" ref="O1213">WordListCount(K1213,keywords!$A$2:$A$31)-WordListCount(K1213,keywords!$B$2:$B$31)</f>
        <v>0</v>
      </c>
      <c r="P1213" s="25">
        <f t="shared" si="37"/>
        <v>0.66170138888888885</v>
      </c>
      <c r="Q1213" s="23">
        <f>SUM($O$2:O1213)</f>
        <v>32</v>
      </c>
      <c r="Y1213" s="14"/>
      <c r="Z1213" s="13"/>
      <c r="AA1213"/>
    </row>
    <row r="1214" spans="1:27" x14ac:dyDescent="0.2">
      <c r="A1214" s="12" t="s">
        <v>3826</v>
      </c>
      <c r="B1214" t="s">
        <v>3827</v>
      </c>
      <c r="C1214" t="s">
        <v>205</v>
      </c>
      <c r="D1214" t="s">
        <v>12</v>
      </c>
      <c r="E1214" t="s">
        <v>13</v>
      </c>
      <c r="F1214">
        <v>2868</v>
      </c>
      <c r="G1214">
        <v>6</v>
      </c>
      <c r="H1214" s="5" t="s">
        <v>22</v>
      </c>
      <c r="I1214" s="5">
        <v>0</v>
      </c>
      <c r="J1214" s="5">
        <v>0</v>
      </c>
      <c r="K1214" t="s">
        <v>9393</v>
      </c>
      <c r="L1214" cm="1">
        <f t="array" ref="L1214">wordCount(K1214)</f>
        <v>8</v>
      </c>
      <c r="M1214">
        <f t="shared" si="36"/>
        <v>55</v>
      </c>
      <c r="N1214">
        <v>0.77777777777777779</v>
      </c>
      <c r="O1214" s="23" cm="1">
        <f t="array" ref="O1214">WordListCount(K1214,keywords!$A$2:$A$31)-WordListCount(K1214,keywords!$B$2:$B$31)</f>
        <v>0</v>
      </c>
      <c r="P1214" s="25">
        <f t="shared" si="37"/>
        <v>0.66180555555555554</v>
      </c>
      <c r="Q1214" s="23">
        <f>SUM($O$2:O1214)</f>
        <v>32</v>
      </c>
      <c r="Y1214" s="14"/>
      <c r="Z1214" s="13"/>
      <c r="AA1214"/>
    </row>
    <row r="1215" spans="1:27" x14ac:dyDescent="0.2">
      <c r="A1215" s="12" t="s">
        <v>3828</v>
      </c>
      <c r="B1215" t="s">
        <v>3829</v>
      </c>
      <c r="C1215" t="s">
        <v>696</v>
      </c>
      <c r="D1215" t="s">
        <v>697</v>
      </c>
      <c r="E1215" t="s">
        <v>13</v>
      </c>
      <c r="F1215">
        <v>7063</v>
      </c>
      <c r="G1215">
        <v>262</v>
      </c>
      <c r="H1215" s="5" t="s">
        <v>22</v>
      </c>
      <c r="I1215" s="5">
        <v>0</v>
      </c>
      <c r="J1215" s="5">
        <v>0</v>
      </c>
      <c r="K1215" t="s">
        <v>10668</v>
      </c>
      <c r="L1215" cm="1">
        <f t="array" ref="L1215">wordCount(K1215)</f>
        <v>10</v>
      </c>
      <c r="M1215">
        <f t="shared" si="36"/>
        <v>99</v>
      </c>
      <c r="N1215">
        <v>0.52631578947368418</v>
      </c>
      <c r="O1215" s="23" cm="1">
        <f t="array" ref="O1215">WordListCount(K1215,keywords!$A$2:$A$31)-WordListCount(K1215,keywords!$B$2:$B$31)</f>
        <v>0</v>
      </c>
      <c r="P1215" s="25">
        <f t="shared" si="37"/>
        <v>0.66181712962962969</v>
      </c>
      <c r="Q1215" s="23">
        <f>SUM($O$2:O1215)</f>
        <v>32</v>
      </c>
      <c r="Y1215" s="14"/>
      <c r="Z1215" s="13"/>
      <c r="AA1215"/>
    </row>
    <row r="1216" spans="1:27" x14ac:dyDescent="0.2">
      <c r="A1216" s="12" t="s">
        <v>3830</v>
      </c>
      <c r="B1216" t="s">
        <v>3831</v>
      </c>
      <c r="C1216" t="s">
        <v>3832</v>
      </c>
      <c r="D1216" t="s">
        <v>3833</v>
      </c>
      <c r="E1216" t="s">
        <v>13</v>
      </c>
      <c r="F1216">
        <v>117</v>
      </c>
      <c r="G1216">
        <v>269</v>
      </c>
      <c r="H1216" s="5" t="s">
        <v>22</v>
      </c>
      <c r="I1216" s="5">
        <v>0</v>
      </c>
      <c r="J1216" s="5">
        <v>0</v>
      </c>
      <c r="K1216" t="s">
        <v>10669</v>
      </c>
      <c r="L1216" cm="1">
        <f t="array" ref="L1216">wordCount(K1216)</f>
        <v>7</v>
      </c>
      <c r="M1216">
        <f t="shared" si="36"/>
        <v>36</v>
      </c>
      <c r="N1216">
        <v>0.76190476190476186</v>
      </c>
      <c r="O1216" s="23" cm="1">
        <f t="array" ref="O1216">WordListCount(K1216,keywords!$A$2:$A$31)-WordListCount(K1216,keywords!$B$2:$B$31)</f>
        <v>0</v>
      </c>
      <c r="P1216" s="25">
        <f t="shared" si="37"/>
        <v>0.6618518518518518</v>
      </c>
      <c r="Q1216" s="23">
        <f>SUM($O$2:O1216)</f>
        <v>32</v>
      </c>
      <c r="Y1216" s="14"/>
      <c r="Z1216" s="13"/>
      <c r="AA1216"/>
    </row>
    <row r="1217" spans="1:27" x14ac:dyDescent="0.2">
      <c r="A1217" s="12" t="s">
        <v>3834</v>
      </c>
      <c r="B1217" t="s">
        <v>3835</v>
      </c>
      <c r="C1217" t="s">
        <v>3836</v>
      </c>
      <c r="D1217" t="s">
        <v>12</v>
      </c>
      <c r="E1217" t="s">
        <v>13</v>
      </c>
      <c r="F1217">
        <v>15</v>
      </c>
      <c r="G1217">
        <v>368</v>
      </c>
      <c r="H1217" s="5" t="s">
        <v>22</v>
      </c>
      <c r="I1217" s="5">
        <v>0</v>
      </c>
      <c r="J1217" s="5">
        <v>0</v>
      </c>
      <c r="K1217" t="s">
        <v>10670</v>
      </c>
      <c r="L1217" cm="1">
        <f t="array" ref="L1217">wordCount(K1217)</f>
        <v>8</v>
      </c>
      <c r="M1217">
        <f t="shared" si="36"/>
        <v>43</v>
      </c>
      <c r="N1217">
        <v>0.5625</v>
      </c>
      <c r="O1217" s="23" cm="1">
        <f t="array" ref="O1217">WordListCount(K1217,keywords!$A$2:$A$31)-WordListCount(K1217,keywords!$B$2:$B$31)</f>
        <v>0</v>
      </c>
      <c r="P1217" s="25">
        <f t="shared" si="37"/>
        <v>0.66189814814814818</v>
      </c>
      <c r="Q1217" s="23">
        <f>SUM($O$2:O1217)</f>
        <v>32</v>
      </c>
      <c r="Y1217" s="14"/>
      <c r="Z1217" s="13"/>
      <c r="AA1217"/>
    </row>
    <row r="1218" spans="1:27" x14ac:dyDescent="0.2">
      <c r="A1218" s="12" t="s">
        <v>3837</v>
      </c>
      <c r="B1218" t="s">
        <v>3838</v>
      </c>
      <c r="C1218" t="s">
        <v>3839</v>
      </c>
      <c r="D1218" t="s">
        <v>120</v>
      </c>
      <c r="E1218" t="s">
        <v>13</v>
      </c>
      <c r="F1218">
        <v>308</v>
      </c>
      <c r="G1218">
        <v>341</v>
      </c>
      <c r="H1218" s="5" t="s">
        <v>22</v>
      </c>
      <c r="I1218" s="5">
        <v>0</v>
      </c>
      <c r="J1218" s="5">
        <v>0</v>
      </c>
      <c r="K1218" t="s">
        <v>10671</v>
      </c>
      <c r="L1218" cm="1">
        <f t="array" ref="L1218">wordCount(K1218)</f>
        <v>12</v>
      </c>
      <c r="M1218">
        <f t="shared" ref="M1218:M1281" si="38">LEN(K1218)</f>
        <v>54</v>
      </c>
      <c r="N1218">
        <v>0.5</v>
      </c>
      <c r="O1218" s="23" cm="1">
        <f t="array" ref="O1218">WordListCount(K1218,keywords!$A$2:$A$31)-WordListCount(K1218,keywords!$B$2:$B$31)</f>
        <v>0</v>
      </c>
      <c r="P1218" s="25">
        <f t="shared" ref="P1218:P1281" si="39">TIMEVALUE(RIGHT(A1218,8))</f>
        <v>0.66222222222222216</v>
      </c>
      <c r="Q1218" s="23">
        <f>SUM($O$2:O1218)</f>
        <v>32</v>
      </c>
      <c r="Y1218" s="14"/>
      <c r="Z1218" s="13"/>
      <c r="AA1218"/>
    </row>
    <row r="1219" spans="1:27" x14ac:dyDescent="0.2">
      <c r="A1219" s="12" t="s">
        <v>3840</v>
      </c>
      <c r="B1219" t="s">
        <v>3841</v>
      </c>
      <c r="C1219" t="s">
        <v>3842</v>
      </c>
      <c r="D1219" t="s">
        <v>12</v>
      </c>
      <c r="E1219" t="s">
        <v>13</v>
      </c>
      <c r="F1219">
        <v>225</v>
      </c>
      <c r="G1219">
        <v>909</v>
      </c>
      <c r="H1219" s="5" t="s">
        <v>22</v>
      </c>
      <c r="I1219" s="5">
        <v>0</v>
      </c>
      <c r="J1219" s="5">
        <v>0</v>
      </c>
      <c r="K1219" t="s">
        <v>9394</v>
      </c>
      <c r="L1219" cm="1">
        <f t="array" ref="L1219">wordCount(K1219)</f>
        <v>7</v>
      </c>
      <c r="M1219">
        <f t="shared" si="38"/>
        <v>40</v>
      </c>
      <c r="N1219">
        <v>0.44444444444444442</v>
      </c>
      <c r="O1219" s="23" cm="1">
        <f t="array" ref="O1219">WordListCount(K1219,keywords!$A$2:$A$31)-WordListCount(K1219,keywords!$B$2:$B$31)</f>
        <v>0</v>
      </c>
      <c r="P1219" s="25">
        <f t="shared" si="39"/>
        <v>0.66230324074074076</v>
      </c>
      <c r="Q1219" s="23">
        <f>SUM($O$2:O1219)</f>
        <v>32</v>
      </c>
      <c r="Y1219" s="14"/>
      <c r="Z1219" s="13"/>
      <c r="AA1219"/>
    </row>
    <row r="1220" spans="1:27" x14ac:dyDescent="0.2">
      <c r="A1220" s="12" t="s">
        <v>3843</v>
      </c>
      <c r="B1220" t="s">
        <v>3844</v>
      </c>
      <c r="C1220" t="s">
        <v>3845</v>
      </c>
      <c r="D1220" t="s">
        <v>3846</v>
      </c>
      <c r="E1220" t="s">
        <v>13</v>
      </c>
      <c r="F1220">
        <v>14775</v>
      </c>
      <c r="G1220">
        <v>424</v>
      </c>
      <c r="H1220" s="5" t="s">
        <v>22</v>
      </c>
      <c r="I1220" s="5">
        <v>0</v>
      </c>
      <c r="J1220" s="5">
        <v>0</v>
      </c>
      <c r="K1220" t="s">
        <v>10672</v>
      </c>
      <c r="L1220" cm="1">
        <f t="array" ref="L1220">wordCount(K1220)</f>
        <v>22</v>
      </c>
      <c r="M1220">
        <f t="shared" si="38"/>
        <v>113</v>
      </c>
      <c r="N1220">
        <v>0.39393939393939392</v>
      </c>
      <c r="O1220" s="23" cm="1">
        <f t="array" ref="O1220">WordListCount(K1220,keywords!$A$2:$A$31)-WordListCount(K1220,keywords!$B$2:$B$31)</f>
        <v>0</v>
      </c>
      <c r="P1220" s="25">
        <f t="shared" si="39"/>
        <v>0.66232638888888895</v>
      </c>
      <c r="Q1220" s="23">
        <f>SUM($O$2:O1220)</f>
        <v>32</v>
      </c>
      <c r="Y1220" s="14"/>
      <c r="Z1220" s="13"/>
      <c r="AA1220"/>
    </row>
    <row r="1221" spans="1:27" x14ac:dyDescent="0.2">
      <c r="A1221" s="12" t="s">
        <v>3847</v>
      </c>
      <c r="B1221" t="s">
        <v>3848</v>
      </c>
      <c r="C1221" t="s">
        <v>3849</v>
      </c>
      <c r="D1221" t="s">
        <v>3850</v>
      </c>
      <c r="E1221" t="s">
        <v>13</v>
      </c>
      <c r="F1221">
        <v>1552</v>
      </c>
      <c r="G1221">
        <v>433</v>
      </c>
      <c r="H1221" s="5" t="s">
        <v>22</v>
      </c>
      <c r="I1221" s="5">
        <v>0</v>
      </c>
      <c r="J1221" s="5">
        <v>0</v>
      </c>
      <c r="K1221" t="s">
        <v>9395</v>
      </c>
      <c r="L1221" cm="1">
        <f t="array" ref="L1221">wordCount(K1221)</f>
        <v>15</v>
      </c>
      <c r="M1221">
        <f t="shared" si="38"/>
        <v>84</v>
      </c>
      <c r="N1221">
        <v>0.63636363636363635</v>
      </c>
      <c r="O1221" s="23" cm="1">
        <f t="array" ref="O1221">WordListCount(K1221,keywords!$A$2:$A$31)-WordListCount(K1221,keywords!$B$2:$B$31)</f>
        <v>1</v>
      </c>
      <c r="P1221" s="25">
        <f t="shared" si="39"/>
        <v>0.66291666666666671</v>
      </c>
      <c r="Q1221" s="23">
        <f>SUM($O$2:O1221)</f>
        <v>33</v>
      </c>
      <c r="Y1221" s="14"/>
      <c r="Z1221" s="13"/>
      <c r="AA1221"/>
    </row>
    <row r="1222" spans="1:27" x14ac:dyDescent="0.2">
      <c r="A1222" s="12" t="s">
        <v>3851</v>
      </c>
      <c r="B1222" t="s">
        <v>3852</v>
      </c>
      <c r="C1222" t="s">
        <v>3853</v>
      </c>
      <c r="D1222" t="s">
        <v>12</v>
      </c>
      <c r="E1222" t="s">
        <v>13</v>
      </c>
      <c r="F1222">
        <v>153</v>
      </c>
      <c r="G1222">
        <v>500</v>
      </c>
      <c r="H1222" s="5" t="s">
        <v>22</v>
      </c>
      <c r="I1222" s="5">
        <v>0</v>
      </c>
      <c r="J1222" s="5">
        <v>0</v>
      </c>
      <c r="K1222" t="s">
        <v>10673</v>
      </c>
      <c r="L1222" cm="1">
        <f t="array" ref="L1222">wordCount(K1222)</f>
        <v>21</v>
      </c>
      <c r="M1222">
        <f t="shared" si="38"/>
        <v>109</v>
      </c>
      <c r="N1222">
        <v>9.5238095238095233E-2</v>
      </c>
      <c r="O1222" s="23" cm="1">
        <f t="array" ref="O1222">WordListCount(K1222,keywords!$A$2:$A$31)-WordListCount(K1222,keywords!$B$2:$B$31)</f>
        <v>0</v>
      </c>
      <c r="P1222" s="25">
        <f t="shared" si="39"/>
        <v>0.66293981481481479</v>
      </c>
      <c r="Q1222" s="23">
        <f>SUM($O$2:O1222)</f>
        <v>33</v>
      </c>
      <c r="Y1222" s="14"/>
      <c r="Z1222" s="13"/>
      <c r="AA1222"/>
    </row>
    <row r="1223" spans="1:27" x14ac:dyDescent="0.2">
      <c r="A1223" s="12" t="s">
        <v>3854</v>
      </c>
      <c r="B1223" t="s">
        <v>3855</v>
      </c>
      <c r="C1223" t="s">
        <v>3856</v>
      </c>
      <c r="D1223" t="s">
        <v>1785</v>
      </c>
      <c r="E1223" t="s">
        <v>13</v>
      </c>
      <c r="F1223">
        <v>227</v>
      </c>
      <c r="G1223">
        <v>390</v>
      </c>
      <c r="H1223" s="5" t="s">
        <v>22</v>
      </c>
      <c r="I1223" s="5">
        <v>0</v>
      </c>
      <c r="J1223" s="5">
        <v>0</v>
      </c>
      <c r="K1223" t="s">
        <v>10674</v>
      </c>
      <c r="L1223" cm="1">
        <f t="array" ref="L1223">wordCount(K1223)</f>
        <v>8</v>
      </c>
      <c r="M1223">
        <f t="shared" si="38"/>
        <v>39</v>
      </c>
      <c r="N1223">
        <v>0.80952380952380953</v>
      </c>
      <c r="O1223" s="23" cm="1">
        <f t="array" ref="O1223">WordListCount(K1223,keywords!$A$2:$A$31)-WordListCount(K1223,keywords!$B$2:$B$31)</f>
        <v>0</v>
      </c>
      <c r="P1223" s="25">
        <f t="shared" si="39"/>
        <v>0.6633796296296296</v>
      </c>
      <c r="Q1223" s="23">
        <f>SUM($O$2:O1223)</f>
        <v>33</v>
      </c>
      <c r="Y1223" s="14"/>
      <c r="Z1223" s="13"/>
      <c r="AA1223"/>
    </row>
    <row r="1224" spans="1:27" x14ac:dyDescent="0.2">
      <c r="A1224" s="12" t="s">
        <v>3857</v>
      </c>
      <c r="B1224" t="s">
        <v>3858</v>
      </c>
      <c r="C1224" t="s">
        <v>3859</v>
      </c>
      <c r="D1224" t="s">
        <v>3860</v>
      </c>
      <c r="E1224" t="s">
        <v>13</v>
      </c>
      <c r="F1224">
        <v>188</v>
      </c>
      <c r="G1224">
        <v>109</v>
      </c>
      <c r="H1224" s="5" t="s">
        <v>22</v>
      </c>
      <c r="I1224" s="5">
        <v>0</v>
      </c>
      <c r="J1224" s="5">
        <v>0</v>
      </c>
      <c r="K1224" t="s">
        <v>10675</v>
      </c>
      <c r="L1224" cm="1">
        <f t="array" ref="L1224">wordCount(K1224)</f>
        <v>9</v>
      </c>
      <c r="M1224">
        <f t="shared" si="38"/>
        <v>41</v>
      </c>
      <c r="N1224">
        <v>0.66666666666666663</v>
      </c>
      <c r="O1224" s="23" cm="1">
        <f t="array" ref="O1224">WordListCount(K1224,keywords!$A$2:$A$31)-WordListCount(K1224,keywords!$B$2:$B$31)</f>
        <v>1</v>
      </c>
      <c r="P1224" s="25">
        <f t="shared" si="39"/>
        <v>0.663599537037037</v>
      </c>
      <c r="Q1224" s="23">
        <f>SUM($O$2:O1224)</f>
        <v>34</v>
      </c>
      <c r="Y1224" s="14"/>
      <c r="Z1224" s="13"/>
      <c r="AA1224"/>
    </row>
    <row r="1225" spans="1:27" x14ac:dyDescent="0.2">
      <c r="A1225" s="12" t="s">
        <v>3861</v>
      </c>
      <c r="B1225" t="s">
        <v>3862</v>
      </c>
      <c r="C1225" t="s">
        <v>3863</v>
      </c>
      <c r="D1225" t="s">
        <v>12</v>
      </c>
      <c r="E1225" t="s">
        <v>13</v>
      </c>
      <c r="F1225">
        <v>24</v>
      </c>
      <c r="G1225">
        <v>134</v>
      </c>
      <c r="H1225" s="5" t="s">
        <v>22</v>
      </c>
      <c r="I1225" s="5">
        <v>0</v>
      </c>
      <c r="J1225" s="5">
        <v>0</v>
      </c>
      <c r="K1225" t="s">
        <v>9396</v>
      </c>
      <c r="L1225" cm="1">
        <f t="array" ref="L1225">wordCount(K1225)</f>
        <v>15</v>
      </c>
      <c r="M1225">
        <f t="shared" si="38"/>
        <v>87</v>
      </c>
      <c r="N1225">
        <v>0.46153846153846156</v>
      </c>
      <c r="O1225" s="23" cm="1">
        <f t="array" ref="O1225">WordListCount(K1225,keywords!$A$2:$A$31)-WordListCount(K1225,keywords!$B$2:$B$31)</f>
        <v>0</v>
      </c>
      <c r="P1225" s="25">
        <f t="shared" si="39"/>
        <v>0.6636805555555555</v>
      </c>
      <c r="Q1225" s="23">
        <f>SUM($O$2:O1225)</f>
        <v>34</v>
      </c>
      <c r="Y1225" s="14"/>
      <c r="Z1225" s="13"/>
      <c r="AA1225"/>
    </row>
    <row r="1226" spans="1:27" x14ac:dyDescent="0.2">
      <c r="A1226" s="12" t="s">
        <v>3864</v>
      </c>
      <c r="B1226" t="s">
        <v>3865</v>
      </c>
      <c r="C1226" t="s">
        <v>3866</v>
      </c>
      <c r="D1226" t="s">
        <v>2970</v>
      </c>
      <c r="E1226" t="s">
        <v>13</v>
      </c>
      <c r="F1226">
        <v>14</v>
      </c>
      <c r="G1226">
        <v>36</v>
      </c>
      <c r="H1226" s="5" t="s">
        <v>22</v>
      </c>
      <c r="I1226" s="5">
        <v>0</v>
      </c>
      <c r="J1226" s="5">
        <v>0</v>
      </c>
      <c r="K1226" t="s">
        <v>10676</v>
      </c>
      <c r="L1226" cm="1">
        <f t="array" ref="L1226">wordCount(K1226)</f>
        <v>25</v>
      </c>
      <c r="M1226">
        <f t="shared" si="38"/>
        <v>107</v>
      </c>
      <c r="N1226">
        <v>0.16666666666666666</v>
      </c>
      <c r="O1226" s="23" cm="1">
        <f t="array" ref="O1226">WordListCount(K1226,keywords!$A$2:$A$31)-WordListCount(K1226,keywords!$B$2:$B$31)</f>
        <v>0</v>
      </c>
      <c r="P1226" s="25">
        <f t="shared" si="39"/>
        <v>0.66383101851851845</v>
      </c>
      <c r="Q1226" s="23">
        <f>SUM($O$2:O1226)</f>
        <v>34</v>
      </c>
      <c r="Y1226" s="14"/>
      <c r="Z1226" s="13"/>
      <c r="AA1226"/>
    </row>
    <row r="1227" spans="1:27" x14ac:dyDescent="0.2">
      <c r="A1227" s="12" t="s">
        <v>3867</v>
      </c>
      <c r="B1227" t="s">
        <v>3868</v>
      </c>
      <c r="C1227" t="s">
        <v>3869</v>
      </c>
      <c r="D1227" t="s">
        <v>697</v>
      </c>
      <c r="E1227" t="s">
        <v>13</v>
      </c>
      <c r="F1227">
        <v>19</v>
      </c>
      <c r="G1227">
        <v>112</v>
      </c>
      <c r="H1227" s="5" t="s">
        <v>22</v>
      </c>
      <c r="I1227" s="5">
        <v>0</v>
      </c>
      <c r="J1227" s="5">
        <v>0</v>
      </c>
      <c r="K1227" t="s">
        <v>10677</v>
      </c>
      <c r="L1227" cm="1">
        <f t="array" ref="L1227">wordCount(K1227)</f>
        <v>19</v>
      </c>
      <c r="M1227">
        <f t="shared" si="38"/>
        <v>106</v>
      </c>
      <c r="N1227">
        <v>0.29411764705882354</v>
      </c>
      <c r="O1227" s="23" cm="1">
        <f t="array" ref="O1227">WordListCount(K1227,keywords!$A$2:$A$31)-WordListCount(K1227,keywords!$B$2:$B$31)</f>
        <v>0</v>
      </c>
      <c r="P1227" s="25">
        <f t="shared" si="39"/>
        <v>0.66417824074074072</v>
      </c>
      <c r="Q1227" s="23">
        <f>SUM($O$2:O1227)</f>
        <v>34</v>
      </c>
      <c r="Y1227" s="14"/>
      <c r="Z1227" s="13"/>
      <c r="AA1227"/>
    </row>
    <row r="1228" spans="1:27" x14ac:dyDescent="0.2">
      <c r="A1228" s="12" t="s">
        <v>3870</v>
      </c>
      <c r="B1228" t="s">
        <v>3871</v>
      </c>
      <c r="C1228" t="s">
        <v>3872</v>
      </c>
      <c r="D1228" t="s">
        <v>3873</v>
      </c>
      <c r="E1228" t="s">
        <v>13</v>
      </c>
      <c r="F1228">
        <v>84</v>
      </c>
      <c r="G1228">
        <v>316</v>
      </c>
      <c r="H1228" s="5" t="s">
        <v>22</v>
      </c>
      <c r="I1228" s="5">
        <v>0</v>
      </c>
      <c r="J1228" s="5">
        <v>0</v>
      </c>
      <c r="K1228" t="s">
        <v>10678</v>
      </c>
      <c r="L1228" cm="1">
        <f t="array" ref="L1228">wordCount(K1228)</f>
        <v>25</v>
      </c>
      <c r="M1228">
        <f t="shared" si="38"/>
        <v>123</v>
      </c>
      <c r="N1228">
        <v>0.30769230769230771</v>
      </c>
      <c r="O1228" s="23" cm="1">
        <f t="array" ref="O1228">WordListCount(K1228,keywords!$A$2:$A$31)-WordListCount(K1228,keywords!$B$2:$B$31)</f>
        <v>-1</v>
      </c>
      <c r="P1228" s="25">
        <f t="shared" si="39"/>
        <v>0.66464120370370372</v>
      </c>
      <c r="Q1228" s="23">
        <f>SUM($O$2:O1228)</f>
        <v>33</v>
      </c>
      <c r="Y1228" s="14"/>
      <c r="Z1228" s="13"/>
      <c r="AA1228"/>
    </row>
    <row r="1229" spans="1:27" x14ac:dyDescent="0.2">
      <c r="A1229" s="12" t="s">
        <v>3874</v>
      </c>
      <c r="B1229" t="s">
        <v>3875</v>
      </c>
      <c r="C1229" t="s">
        <v>3876</v>
      </c>
      <c r="D1229" t="s">
        <v>12</v>
      </c>
      <c r="E1229" t="s">
        <v>13</v>
      </c>
      <c r="F1229">
        <v>7</v>
      </c>
      <c r="G1229">
        <v>58</v>
      </c>
      <c r="H1229" s="5" t="s">
        <v>22</v>
      </c>
      <c r="I1229" s="5">
        <v>0</v>
      </c>
      <c r="J1229" s="5">
        <v>0</v>
      </c>
      <c r="K1229" t="s">
        <v>10679</v>
      </c>
      <c r="L1229" cm="1">
        <f t="array" ref="L1229">wordCount(K1229)</f>
        <v>14</v>
      </c>
      <c r="M1229">
        <f t="shared" si="38"/>
        <v>67</v>
      </c>
      <c r="N1229">
        <v>0.64</v>
      </c>
      <c r="O1229" s="23" cm="1">
        <f t="array" ref="O1229">WordListCount(K1229,keywords!$A$2:$A$31)-WordListCount(K1229,keywords!$B$2:$B$31)</f>
        <v>0</v>
      </c>
      <c r="P1229" s="25">
        <f t="shared" si="39"/>
        <v>0.66475694444444444</v>
      </c>
      <c r="Q1229" s="23">
        <f>SUM($O$2:O1229)</f>
        <v>33</v>
      </c>
      <c r="Y1229" s="14"/>
      <c r="Z1229" s="13"/>
      <c r="AA1229"/>
    </row>
    <row r="1230" spans="1:27" x14ac:dyDescent="0.2">
      <c r="A1230" s="12" t="s">
        <v>3874</v>
      </c>
      <c r="B1230" t="s">
        <v>3877</v>
      </c>
      <c r="C1230" t="s">
        <v>3878</v>
      </c>
      <c r="D1230" t="s">
        <v>3879</v>
      </c>
      <c r="E1230" t="s">
        <v>13</v>
      </c>
      <c r="F1230">
        <v>183</v>
      </c>
      <c r="G1230">
        <v>358</v>
      </c>
      <c r="H1230" s="5" t="s">
        <v>22</v>
      </c>
      <c r="I1230" s="5">
        <v>0</v>
      </c>
      <c r="J1230" s="5">
        <v>0</v>
      </c>
      <c r="K1230" t="s">
        <v>10680</v>
      </c>
      <c r="L1230" cm="1">
        <f t="array" ref="L1230">wordCount(K1230)</f>
        <v>14</v>
      </c>
      <c r="M1230">
        <f t="shared" si="38"/>
        <v>60</v>
      </c>
      <c r="N1230">
        <v>0.5</v>
      </c>
      <c r="O1230" s="23" cm="1">
        <f t="array" ref="O1230">WordListCount(K1230,keywords!$A$2:$A$31)-WordListCount(K1230,keywords!$B$2:$B$31)</f>
        <v>0</v>
      </c>
      <c r="P1230" s="25">
        <f t="shared" si="39"/>
        <v>0.66475694444444444</v>
      </c>
      <c r="Q1230" s="23">
        <f>SUM($O$2:O1230)</f>
        <v>33</v>
      </c>
      <c r="Y1230" s="14"/>
      <c r="Z1230" s="13"/>
      <c r="AA1230"/>
    </row>
    <row r="1231" spans="1:27" x14ac:dyDescent="0.2">
      <c r="A1231" s="12" t="s">
        <v>3880</v>
      </c>
      <c r="B1231" t="s">
        <v>3881</v>
      </c>
      <c r="C1231" t="s">
        <v>2874</v>
      </c>
      <c r="D1231" t="s">
        <v>12</v>
      </c>
      <c r="E1231" t="s">
        <v>13</v>
      </c>
      <c r="F1231">
        <v>3</v>
      </c>
      <c r="G1231">
        <v>5</v>
      </c>
      <c r="H1231" s="5" t="s">
        <v>382</v>
      </c>
      <c r="I1231" s="5">
        <v>0</v>
      </c>
      <c r="J1231" s="5">
        <v>0</v>
      </c>
      <c r="K1231" t="s">
        <v>10681</v>
      </c>
      <c r="L1231" cm="1">
        <f t="array" ref="L1231">wordCount(K1231)</f>
        <v>9</v>
      </c>
      <c r="M1231">
        <f t="shared" si="38"/>
        <v>50</v>
      </c>
      <c r="N1231">
        <v>0.53846153846153844</v>
      </c>
      <c r="O1231" s="23" cm="1">
        <f t="array" ref="O1231">WordListCount(K1231,keywords!$A$2:$A$31)-WordListCount(K1231,keywords!$B$2:$B$31)</f>
        <v>0</v>
      </c>
      <c r="P1231" s="25">
        <f t="shared" si="39"/>
        <v>0.66493055555555558</v>
      </c>
      <c r="Q1231" s="23">
        <f>SUM($O$2:O1231)</f>
        <v>33</v>
      </c>
      <c r="Y1231" s="14"/>
      <c r="Z1231" s="13"/>
      <c r="AA1231"/>
    </row>
    <row r="1232" spans="1:27" x14ac:dyDescent="0.2">
      <c r="A1232" s="12" t="s">
        <v>3882</v>
      </c>
      <c r="B1232" t="s">
        <v>3883</v>
      </c>
      <c r="C1232" t="s">
        <v>3884</v>
      </c>
      <c r="D1232" t="s">
        <v>3885</v>
      </c>
      <c r="E1232" t="s">
        <v>13</v>
      </c>
      <c r="F1232">
        <v>813</v>
      </c>
      <c r="G1232">
        <v>789</v>
      </c>
      <c r="H1232" s="5" t="s">
        <v>22</v>
      </c>
      <c r="I1232" s="5">
        <v>0</v>
      </c>
      <c r="J1232" s="5">
        <v>0</v>
      </c>
      <c r="K1232" t="s">
        <v>10682</v>
      </c>
      <c r="L1232" cm="1">
        <f t="array" ref="L1232">wordCount(K1232)</f>
        <v>15</v>
      </c>
      <c r="M1232">
        <f t="shared" si="38"/>
        <v>68</v>
      </c>
      <c r="N1232">
        <v>0.6470588235294118</v>
      </c>
      <c r="O1232" s="23" cm="1">
        <f t="array" ref="O1232">WordListCount(K1232,keywords!$A$2:$A$31)-WordListCount(K1232,keywords!$B$2:$B$31)</f>
        <v>1</v>
      </c>
      <c r="P1232" s="25">
        <f t="shared" si="39"/>
        <v>0.66503472222222226</v>
      </c>
      <c r="Q1232" s="23">
        <f>SUM($O$2:O1232)</f>
        <v>34</v>
      </c>
      <c r="Y1232" s="14"/>
      <c r="Z1232" s="13"/>
      <c r="AA1232"/>
    </row>
    <row r="1233" spans="1:27" x14ac:dyDescent="0.2">
      <c r="A1233" s="12" t="s">
        <v>3886</v>
      </c>
      <c r="B1233" t="s">
        <v>3887</v>
      </c>
      <c r="C1233" t="s">
        <v>3888</v>
      </c>
      <c r="D1233" t="s">
        <v>3889</v>
      </c>
      <c r="E1233" t="s">
        <v>13</v>
      </c>
      <c r="F1233">
        <v>22</v>
      </c>
      <c r="G1233">
        <v>39</v>
      </c>
      <c r="H1233" s="5" t="s">
        <v>22</v>
      </c>
      <c r="I1233" s="5">
        <v>0</v>
      </c>
      <c r="J1233" s="5">
        <v>0</v>
      </c>
      <c r="K1233" t="s">
        <v>10683</v>
      </c>
      <c r="L1233" cm="1">
        <f t="array" ref="L1233">wordCount(K1233)</f>
        <v>16</v>
      </c>
      <c r="M1233">
        <f t="shared" si="38"/>
        <v>72</v>
      </c>
      <c r="N1233">
        <v>0.5714285714285714</v>
      </c>
      <c r="O1233" s="23" cm="1">
        <f t="array" ref="O1233">WordListCount(K1233,keywords!$A$2:$A$31)-WordListCount(K1233,keywords!$B$2:$B$31)</f>
        <v>0</v>
      </c>
      <c r="P1233" s="25">
        <f t="shared" si="39"/>
        <v>0.6651273148148148</v>
      </c>
      <c r="Q1233" s="23">
        <f>SUM($O$2:O1233)</f>
        <v>34</v>
      </c>
      <c r="Y1233" s="14"/>
      <c r="Z1233" s="13"/>
      <c r="AA1233"/>
    </row>
    <row r="1234" spans="1:27" x14ac:dyDescent="0.2">
      <c r="A1234" s="12" t="s">
        <v>3890</v>
      </c>
      <c r="B1234" t="s">
        <v>3891</v>
      </c>
      <c r="C1234" t="s">
        <v>3892</v>
      </c>
      <c r="D1234" t="s">
        <v>3893</v>
      </c>
      <c r="E1234" t="s">
        <v>13</v>
      </c>
      <c r="F1234">
        <v>157</v>
      </c>
      <c r="G1234">
        <v>234</v>
      </c>
      <c r="H1234" s="5" t="s">
        <v>22</v>
      </c>
      <c r="I1234" s="5">
        <v>0</v>
      </c>
      <c r="J1234" s="5">
        <v>0</v>
      </c>
      <c r="K1234" t="s">
        <v>10684</v>
      </c>
      <c r="L1234" cm="1">
        <f t="array" ref="L1234">wordCount(K1234)</f>
        <v>21</v>
      </c>
      <c r="M1234">
        <f t="shared" si="38"/>
        <v>74</v>
      </c>
      <c r="N1234">
        <v>0.5</v>
      </c>
      <c r="O1234" s="23" cm="1">
        <f t="array" ref="O1234">WordListCount(K1234,keywords!$A$2:$A$31)-WordListCount(K1234,keywords!$B$2:$B$31)</f>
        <v>0</v>
      </c>
      <c r="P1234" s="25">
        <f t="shared" si="39"/>
        <v>0.66513888888888884</v>
      </c>
      <c r="Q1234" s="23">
        <f>SUM($O$2:O1234)</f>
        <v>34</v>
      </c>
      <c r="Y1234" s="14"/>
      <c r="Z1234" s="13"/>
      <c r="AA1234"/>
    </row>
    <row r="1235" spans="1:27" x14ac:dyDescent="0.2">
      <c r="A1235" s="12" t="s">
        <v>3894</v>
      </c>
      <c r="B1235" t="s">
        <v>3895</v>
      </c>
      <c r="C1235" t="s">
        <v>3896</v>
      </c>
      <c r="D1235" t="s">
        <v>12</v>
      </c>
      <c r="E1235" t="s">
        <v>13</v>
      </c>
      <c r="F1235">
        <v>85</v>
      </c>
      <c r="G1235">
        <v>14</v>
      </c>
      <c r="H1235" s="5" t="s">
        <v>22</v>
      </c>
      <c r="I1235" s="5">
        <v>0</v>
      </c>
      <c r="J1235" s="5">
        <v>0</v>
      </c>
      <c r="K1235" t="s">
        <v>10685</v>
      </c>
      <c r="L1235" cm="1">
        <f t="array" ref="L1235">wordCount(K1235)</f>
        <v>16</v>
      </c>
      <c r="M1235">
        <f t="shared" si="38"/>
        <v>77</v>
      </c>
      <c r="N1235">
        <v>0.375</v>
      </c>
      <c r="O1235" s="23" cm="1">
        <f t="array" ref="O1235">WordListCount(K1235,keywords!$A$2:$A$31)-WordListCount(K1235,keywords!$B$2:$B$31)</f>
        <v>0</v>
      </c>
      <c r="P1235" s="25">
        <f t="shared" si="39"/>
        <v>0.6654282407407407</v>
      </c>
      <c r="Q1235" s="23">
        <f>SUM($O$2:O1235)</f>
        <v>34</v>
      </c>
      <c r="Y1235" s="14"/>
      <c r="Z1235" s="13"/>
      <c r="AA1235"/>
    </row>
    <row r="1236" spans="1:27" x14ac:dyDescent="0.2">
      <c r="A1236" s="12" t="s">
        <v>3897</v>
      </c>
      <c r="B1236" t="s">
        <v>3898</v>
      </c>
      <c r="C1236" t="s">
        <v>3899</v>
      </c>
      <c r="D1236" t="s">
        <v>3900</v>
      </c>
      <c r="E1236" t="s">
        <v>13</v>
      </c>
      <c r="F1236">
        <v>579</v>
      </c>
      <c r="G1236">
        <v>92</v>
      </c>
      <c r="H1236" s="5" t="s">
        <v>22</v>
      </c>
      <c r="I1236" s="5">
        <v>0</v>
      </c>
      <c r="J1236" s="5">
        <v>0</v>
      </c>
      <c r="K1236" t="s">
        <v>10686</v>
      </c>
      <c r="L1236" cm="1">
        <f t="array" ref="L1236">wordCount(K1236)</f>
        <v>11</v>
      </c>
      <c r="M1236">
        <f t="shared" si="38"/>
        <v>65</v>
      </c>
      <c r="N1236">
        <v>0.38461538461538464</v>
      </c>
      <c r="O1236" s="23" cm="1">
        <f t="array" ref="O1236">WordListCount(K1236,keywords!$A$2:$A$31)-WordListCount(K1236,keywords!$B$2:$B$31)</f>
        <v>0</v>
      </c>
      <c r="P1236" s="25">
        <f t="shared" si="39"/>
        <v>0.66577546296296297</v>
      </c>
      <c r="Q1236" s="23">
        <f>SUM($O$2:O1236)</f>
        <v>34</v>
      </c>
      <c r="Y1236" s="14"/>
      <c r="Z1236" s="13"/>
      <c r="AA1236"/>
    </row>
    <row r="1237" spans="1:27" x14ac:dyDescent="0.2">
      <c r="A1237" s="12" t="s">
        <v>3901</v>
      </c>
      <c r="B1237" t="s">
        <v>3902</v>
      </c>
      <c r="C1237" t="s">
        <v>3903</v>
      </c>
      <c r="D1237" t="s">
        <v>3904</v>
      </c>
      <c r="E1237" t="s">
        <v>13</v>
      </c>
      <c r="F1237">
        <v>1955</v>
      </c>
      <c r="G1237">
        <v>202</v>
      </c>
      <c r="H1237" s="5" t="s">
        <v>22</v>
      </c>
      <c r="I1237" s="5">
        <v>0</v>
      </c>
      <c r="J1237" s="5">
        <v>0</v>
      </c>
      <c r="K1237" t="s">
        <v>10687</v>
      </c>
      <c r="L1237" cm="1">
        <f t="array" ref="L1237">wordCount(K1237)</f>
        <v>5</v>
      </c>
      <c r="M1237">
        <f t="shared" si="38"/>
        <v>27</v>
      </c>
      <c r="N1237">
        <v>0.75</v>
      </c>
      <c r="O1237" s="23" cm="1">
        <f t="array" ref="O1237">WordListCount(K1237,keywords!$A$2:$A$31)-WordListCount(K1237,keywords!$B$2:$B$31)</f>
        <v>0</v>
      </c>
      <c r="P1237" s="25">
        <f t="shared" si="39"/>
        <v>0.66578703703703701</v>
      </c>
      <c r="Q1237" s="23">
        <f>SUM($O$2:O1237)</f>
        <v>34</v>
      </c>
      <c r="Y1237" s="14"/>
      <c r="Z1237" s="13"/>
      <c r="AA1237"/>
    </row>
    <row r="1238" spans="1:27" x14ac:dyDescent="0.2">
      <c r="A1238" s="12" t="s">
        <v>3905</v>
      </c>
      <c r="B1238" t="s">
        <v>3791</v>
      </c>
      <c r="C1238" t="s">
        <v>3792</v>
      </c>
      <c r="D1238" t="s">
        <v>12</v>
      </c>
      <c r="E1238" t="s">
        <v>13</v>
      </c>
      <c r="F1238">
        <v>138</v>
      </c>
      <c r="G1238">
        <v>150</v>
      </c>
      <c r="H1238" s="5" t="s">
        <v>22</v>
      </c>
      <c r="I1238" s="5">
        <v>0</v>
      </c>
      <c r="J1238" s="5">
        <v>0</v>
      </c>
      <c r="K1238" t="s">
        <v>10661</v>
      </c>
      <c r="L1238" cm="1">
        <f t="array" ref="L1238">wordCount(K1238)</f>
        <v>16</v>
      </c>
      <c r="M1238">
        <f t="shared" si="38"/>
        <v>80</v>
      </c>
      <c r="N1238">
        <v>1</v>
      </c>
      <c r="O1238" s="23" cm="1">
        <f t="array" ref="O1238">WordListCount(K1238,keywords!$A$2:$A$31)-WordListCount(K1238,keywords!$B$2:$B$31)</f>
        <v>1</v>
      </c>
      <c r="P1238" s="25">
        <f t="shared" si="39"/>
        <v>0.66583333333333339</v>
      </c>
      <c r="Q1238" s="23">
        <f>SUM($O$2:O1238)</f>
        <v>35</v>
      </c>
      <c r="Y1238" s="14"/>
      <c r="Z1238" s="13"/>
      <c r="AA1238"/>
    </row>
    <row r="1239" spans="1:27" x14ac:dyDescent="0.2">
      <c r="A1239" s="12" t="s">
        <v>3906</v>
      </c>
      <c r="B1239" t="s">
        <v>3907</v>
      </c>
      <c r="C1239" t="s">
        <v>3908</v>
      </c>
      <c r="D1239" t="s">
        <v>12</v>
      </c>
      <c r="E1239" t="s">
        <v>13</v>
      </c>
      <c r="F1239">
        <v>2</v>
      </c>
      <c r="G1239">
        <v>24</v>
      </c>
      <c r="H1239" s="5" t="s">
        <v>22</v>
      </c>
      <c r="I1239" s="5">
        <v>0</v>
      </c>
      <c r="J1239" s="5">
        <v>0</v>
      </c>
      <c r="K1239" t="s">
        <v>10688</v>
      </c>
      <c r="L1239" cm="1">
        <f t="array" ref="L1239">wordCount(K1239)</f>
        <v>15</v>
      </c>
      <c r="M1239">
        <f t="shared" si="38"/>
        <v>71</v>
      </c>
      <c r="N1239">
        <v>0.58333333333333337</v>
      </c>
      <c r="O1239" s="23" cm="1">
        <f t="array" ref="O1239">WordListCount(K1239,keywords!$A$2:$A$31)-WordListCount(K1239,keywords!$B$2:$B$31)</f>
        <v>-1</v>
      </c>
      <c r="P1239" s="25">
        <f t="shared" si="39"/>
        <v>0.66608796296296291</v>
      </c>
      <c r="Q1239" s="23">
        <f>SUM($O$2:O1239)</f>
        <v>34</v>
      </c>
      <c r="Y1239" s="14"/>
      <c r="Z1239" s="13"/>
      <c r="AA1239"/>
    </row>
    <row r="1240" spans="1:27" x14ac:dyDescent="0.2">
      <c r="A1240" s="12" t="s">
        <v>3909</v>
      </c>
      <c r="B1240" t="s">
        <v>3910</v>
      </c>
      <c r="C1240" t="s">
        <v>3911</v>
      </c>
      <c r="D1240" t="s">
        <v>3912</v>
      </c>
      <c r="E1240" t="s">
        <v>13</v>
      </c>
      <c r="F1240">
        <v>5038</v>
      </c>
      <c r="G1240">
        <v>289</v>
      </c>
      <c r="H1240" s="5" t="s">
        <v>22</v>
      </c>
      <c r="I1240" s="5">
        <v>0</v>
      </c>
      <c r="J1240" s="5">
        <v>0</v>
      </c>
      <c r="K1240" t="s">
        <v>10689</v>
      </c>
      <c r="L1240" cm="1">
        <f t="array" ref="L1240">wordCount(K1240)</f>
        <v>18</v>
      </c>
      <c r="M1240">
        <f t="shared" si="38"/>
        <v>109</v>
      </c>
      <c r="N1240">
        <v>0.38095238095238093</v>
      </c>
      <c r="O1240" s="23" cm="1">
        <f t="array" ref="O1240">WordListCount(K1240,keywords!$A$2:$A$31)-WordListCount(K1240,keywords!$B$2:$B$31)</f>
        <v>0</v>
      </c>
      <c r="P1240" s="25">
        <f t="shared" si="39"/>
        <v>0.6661921296296297</v>
      </c>
      <c r="Q1240" s="23">
        <f>SUM($O$2:O1240)</f>
        <v>34</v>
      </c>
      <c r="Y1240" s="14"/>
      <c r="Z1240" s="13"/>
      <c r="AA1240"/>
    </row>
    <row r="1241" spans="1:27" x14ac:dyDescent="0.2">
      <c r="A1241" s="12" t="s">
        <v>3913</v>
      </c>
      <c r="B1241" t="s">
        <v>3914</v>
      </c>
      <c r="C1241" t="s">
        <v>3915</v>
      </c>
      <c r="D1241" t="s">
        <v>3916</v>
      </c>
      <c r="E1241" t="s">
        <v>13</v>
      </c>
      <c r="F1241">
        <v>3326</v>
      </c>
      <c r="G1241">
        <v>1973</v>
      </c>
      <c r="H1241" s="5" t="s">
        <v>22</v>
      </c>
      <c r="I1241" s="5">
        <v>0</v>
      </c>
      <c r="J1241" s="5">
        <v>0</v>
      </c>
      <c r="K1241" t="s">
        <v>10690</v>
      </c>
      <c r="L1241" cm="1">
        <f t="array" ref="L1241">wordCount(K1241)</f>
        <v>13</v>
      </c>
      <c r="M1241">
        <f t="shared" si="38"/>
        <v>68</v>
      </c>
      <c r="N1241">
        <v>0.45</v>
      </c>
      <c r="O1241" s="23" cm="1">
        <f t="array" ref="O1241">WordListCount(K1241,keywords!$A$2:$A$31)-WordListCount(K1241,keywords!$B$2:$B$31)</f>
        <v>0</v>
      </c>
      <c r="P1241" s="25">
        <f t="shared" si="39"/>
        <v>0.66641203703703711</v>
      </c>
      <c r="Q1241" s="23">
        <f>SUM($O$2:O1241)</f>
        <v>34</v>
      </c>
      <c r="Y1241" s="14"/>
      <c r="Z1241" s="13"/>
      <c r="AA1241"/>
    </row>
    <row r="1242" spans="1:27" x14ac:dyDescent="0.2">
      <c r="A1242" s="12" t="s">
        <v>3917</v>
      </c>
      <c r="B1242" t="s">
        <v>3918</v>
      </c>
      <c r="C1242" t="s">
        <v>3919</v>
      </c>
      <c r="D1242" t="s">
        <v>3920</v>
      </c>
      <c r="E1242" t="s">
        <v>13</v>
      </c>
      <c r="F1242">
        <v>934</v>
      </c>
      <c r="G1242">
        <v>776</v>
      </c>
      <c r="H1242" s="5" t="s">
        <v>22</v>
      </c>
      <c r="I1242" s="5">
        <v>0</v>
      </c>
      <c r="J1242" s="5">
        <v>0</v>
      </c>
      <c r="K1242" t="s">
        <v>9397</v>
      </c>
      <c r="L1242" cm="1">
        <f t="array" ref="L1242">wordCount(K1242)</f>
        <v>13</v>
      </c>
      <c r="M1242">
        <f t="shared" si="38"/>
        <v>73</v>
      </c>
      <c r="N1242">
        <v>0.36842105263157893</v>
      </c>
      <c r="O1242" s="23" cm="1">
        <f t="array" ref="O1242">WordListCount(K1242,keywords!$A$2:$A$31)-WordListCount(K1242,keywords!$B$2:$B$31)</f>
        <v>0</v>
      </c>
      <c r="P1242" s="25">
        <f t="shared" si="39"/>
        <v>0.6665740740740741</v>
      </c>
      <c r="Q1242" s="23">
        <f>SUM($O$2:O1242)</f>
        <v>34</v>
      </c>
      <c r="Y1242" s="14"/>
      <c r="Z1242" s="13"/>
      <c r="AA1242"/>
    </row>
    <row r="1243" spans="1:27" x14ac:dyDescent="0.2">
      <c r="A1243" s="12" t="s">
        <v>3921</v>
      </c>
      <c r="B1243" t="s">
        <v>3922</v>
      </c>
      <c r="C1243" t="s">
        <v>3923</v>
      </c>
      <c r="D1243" t="s">
        <v>12</v>
      </c>
      <c r="E1243" t="s">
        <v>13</v>
      </c>
      <c r="F1243">
        <v>10901</v>
      </c>
      <c r="G1243">
        <v>566</v>
      </c>
      <c r="H1243" s="5" t="s">
        <v>22</v>
      </c>
      <c r="I1243" s="5">
        <v>0</v>
      </c>
      <c r="J1243" s="5">
        <v>0</v>
      </c>
      <c r="K1243" t="s">
        <v>10691</v>
      </c>
      <c r="L1243" cm="1">
        <f t="array" ref="L1243">wordCount(K1243)</f>
        <v>8</v>
      </c>
      <c r="M1243">
        <f t="shared" si="38"/>
        <v>38</v>
      </c>
      <c r="N1243">
        <v>0.8</v>
      </c>
      <c r="O1243" s="23" cm="1">
        <f t="array" ref="O1243">WordListCount(K1243,keywords!$A$2:$A$31)-WordListCount(K1243,keywords!$B$2:$B$31)</f>
        <v>0</v>
      </c>
      <c r="P1243" s="25">
        <f t="shared" si="39"/>
        <v>0.66663194444444451</v>
      </c>
      <c r="Q1243" s="23">
        <f>SUM($O$2:O1243)</f>
        <v>34</v>
      </c>
      <c r="Y1243" s="14"/>
      <c r="Z1243" s="13"/>
      <c r="AA1243"/>
    </row>
    <row r="1244" spans="1:27" x14ac:dyDescent="0.2">
      <c r="A1244" s="12" t="s">
        <v>3924</v>
      </c>
      <c r="B1244" t="s">
        <v>3925</v>
      </c>
      <c r="C1244" t="s">
        <v>3926</v>
      </c>
      <c r="D1244" t="s">
        <v>3927</v>
      </c>
      <c r="E1244" t="s">
        <v>13</v>
      </c>
      <c r="F1244">
        <v>1008</v>
      </c>
      <c r="G1244">
        <v>981</v>
      </c>
      <c r="H1244" s="5" t="s">
        <v>22</v>
      </c>
      <c r="I1244" s="5">
        <v>0</v>
      </c>
      <c r="J1244" s="5">
        <v>0</v>
      </c>
      <c r="K1244" t="s">
        <v>10692</v>
      </c>
      <c r="L1244" cm="1">
        <f t="array" ref="L1244">wordCount(K1244)</f>
        <v>20</v>
      </c>
      <c r="M1244">
        <f t="shared" si="38"/>
        <v>84</v>
      </c>
      <c r="N1244">
        <v>0.2857142857142857</v>
      </c>
      <c r="O1244" s="23" cm="1">
        <f t="array" ref="O1244">WordListCount(K1244,keywords!$A$2:$A$31)-WordListCount(K1244,keywords!$B$2:$B$31)</f>
        <v>-1</v>
      </c>
      <c r="P1244" s="25">
        <f t="shared" si="39"/>
        <v>0.66664351851851855</v>
      </c>
      <c r="Q1244" s="23">
        <f>SUM($O$2:O1244)</f>
        <v>33</v>
      </c>
      <c r="Y1244" s="14"/>
      <c r="Z1244" s="13"/>
      <c r="AA1244"/>
    </row>
    <row r="1245" spans="1:27" x14ac:dyDescent="0.2">
      <c r="A1245" s="12" t="s">
        <v>3928</v>
      </c>
      <c r="B1245" t="s">
        <v>3929</v>
      </c>
      <c r="C1245" t="s">
        <v>586</v>
      </c>
      <c r="D1245" t="s">
        <v>12</v>
      </c>
      <c r="E1245" t="s">
        <v>13</v>
      </c>
      <c r="F1245">
        <v>236</v>
      </c>
      <c r="G1245">
        <v>2</v>
      </c>
      <c r="H1245" s="5" t="s">
        <v>22</v>
      </c>
      <c r="I1245" s="5">
        <v>0</v>
      </c>
      <c r="J1245" s="5">
        <v>0</v>
      </c>
      <c r="K1245" t="s">
        <v>10693</v>
      </c>
      <c r="L1245" cm="1">
        <f t="array" ref="L1245">wordCount(K1245)</f>
        <v>19</v>
      </c>
      <c r="M1245">
        <f t="shared" si="38"/>
        <v>107</v>
      </c>
      <c r="N1245">
        <v>0.76190476190476186</v>
      </c>
      <c r="O1245" s="23" cm="1">
        <f t="array" ref="O1245">WordListCount(K1245,keywords!$A$2:$A$31)-WordListCount(K1245,keywords!$B$2:$B$31)</f>
        <v>0</v>
      </c>
      <c r="P1245" s="25">
        <f t="shared" si="39"/>
        <v>0.66666666666666663</v>
      </c>
      <c r="Q1245" s="23">
        <f>SUM($O$2:O1245)</f>
        <v>33</v>
      </c>
      <c r="Y1245" s="14"/>
      <c r="Z1245" s="13"/>
      <c r="AA1245"/>
    </row>
    <row r="1246" spans="1:27" x14ac:dyDescent="0.2">
      <c r="A1246" s="12" t="s">
        <v>3930</v>
      </c>
      <c r="B1246" t="s">
        <v>3932</v>
      </c>
      <c r="C1246" t="s">
        <v>589</v>
      </c>
      <c r="D1246" t="s">
        <v>590</v>
      </c>
      <c r="E1246" t="s">
        <v>13</v>
      </c>
      <c r="F1246">
        <v>385</v>
      </c>
      <c r="G1246">
        <v>72</v>
      </c>
      <c r="H1246" s="5" t="s">
        <v>22</v>
      </c>
      <c r="I1246" s="5">
        <v>0</v>
      </c>
      <c r="J1246" s="5">
        <v>0</v>
      </c>
      <c r="K1246" t="s">
        <v>10694</v>
      </c>
      <c r="L1246" cm="1">
        <f t="array" ref="L1246">wordCount(K1246)</f>
        <v>9</v>
      </c>
      <c r="M1246">
        <f t="shared" si="38"/>
        <v>56</v>
      </c>
      <c r="N1246">
        <v>0.81818181818181823</v>
      </c>
      <c r="O1246" s="23" cm="1">
        <f t="array" ref="O1246">WordListCount(K1246,keywords!$A$2:$A$31)-WordListCount(K1246,keywords!$B$2:$B$31)</f>
        <v>0</v>
      </c>
      <c r="P1246" s="25">
        <f t="shared" si="39"/>
        <v>0.66667824074074078</v>
      </c>
      <c r="Q1246" s="23">
        <f>SUM($O$2:O1246)</f>
        <v>33</v>
      </c>
      <c r="Y1246" s="14"/>
      <c r="Z1246" s="13"/>
      <c r="AA1246"/>
    </row>
    <row r="1247" spans="1:27" x14ac:dyDescent="0.2">
      <c r="A1247" s="12" t="s">
        <v>3930</v>
      </c>
      <c r="B1247" t="s">
        <v>3931</v>
      </c>
      <c r="C1247" t="s">
        <v>596</v>
      </c>
      <c r="D1247" t="s">
        <v>597</v>
      </c>
      <c r="E1247" t="s">
        <v>13</v>
      </c>
      <c r="F1247">
        <v>998</v>
      </c>
      <c r="G1247">
        <v>1</v>
      </c>
      <c r="H1247" s="5" t="s">
        <v>382</v>
      </c>
      <c r="I1247" s="5">
        <v>0</v>
      </c>
      <c r="J1247" s="5">
        <v>0</v>
      </c>
      <c r="K1247" t="s">
        <v>9398</v>
      </c>
      <c r="L1247" cm="1">
        <f t="array" ref="L1247">wordCount(K1247)</f>
        <v>5</v>
      </c>
      <c r="M1247">
        <f t="shared" si="38"/>
        <v>30</v>
      </c>
      <c r="N1247">
        <v>0.8</v>
      </c>
      <c r="O1247" s="23" cm="1">
        <f t="array" ref="O1247">WordListCount(K1247,keywords!$A$2:$A$31)-WordListCount(K1247,keywords!$B$2:$B$31)</f>
        <v>0</v>
      </c>
      <c r="P1247" s="25">
        <f t="shared" si="39"/>
        <v>0.66667824074074078</v>
      </c>
      <c r="Q1247" s="23">
        <f>SUM($O$2:O1247)</f>
        <v>33</v>
      </c>
      <c r="Y1247" s="14"/>
      <c r="Z1247" s="13"/>
      <c r="AA1247"/>
    </row>
    <row r="1248" spans="1:27" x14ac:dyDescent="0.2">
      <c r="A1248" s="12" t="s">
        <v>3933</v>
      </c>
      <c r="B1248" t="s">
        <v>3935</v>
      </c>
      <c r="C1248" t="s">
        <v>599</v>
      </c>
      <c r="D1248" t="s">
        <v>74</v>
      </c>
      <c r="E1248" t="s">
        <v>13</v>
      </c>
      <c r="F1248">
        <v>580</v>
      </c>
      <c r="G1248">
        <v>0</v>
      </c>
      <c r="H1248" s="5" t="s">
        <v>22</v>
      </c>
      <c r="I1248" s="5">
        <v>0</v>
      </c>
      <c r="J1248" s="5">
        <v>0</v>
      </c>
      <c r="K1248" t="s">
        <v>10695</v>
      </c>
      <c r="L1248" cm="1">
        <f t="array" ref="L1248">wordCount(K1248)</f>
        <v>11</v>
      </c>
      <c r="M1248">
        <f t="shared" si="38"/>
        <v>64</v>
      </c>
      <c r="N1248">
        <v>0.84615384615384615</v>
      </c>
      <c r="O1248" s="23" cm="1">
        <f t="array" ref="O1248">WordListCount(K1248,keywords!$A$2:$A$31)-WordListCount(K1248,keywords!$B$2:$B$31)</f>
        <v>0</v>
      </c>
      <c r="P1248" s="25">
        <f t="shared" si="39"/>
        <v>0.66668981481481471</v>
      </c>
      <c r="Q1248" s="23">
        <f>SUM($O$2:O1248)</f>
        <v>33</v>
      </c>
      <c r="Y1248" s="14"/>
      <c r="Z1248" s="13"/>
      <c r="AA1248"/>
    </row>
    <row r="1249" spans="1:27" x14ac:dyDescent="0.2">
      <c r="A1249" s="12" t="s">
        <v>3933</v>
      </c>
      <c r="B1249" t="s">
        <v>3934</v>
      </c>
      <c r="C1249" t="s">
        <v>862</v>
      </c>
      <c r="D1249" t="s">
        <v>597</v>
      </c>
      <c r="E1249" t="s">
        <v>13</v>
      </c>
      <c r="F1249">
        <v>1031</v>
      </c>
      <c r="G1249">
        <v>189</v>
      </c>
      <c r="H1249" s="5" t="s">
        <v>22</v>
      </c>
      <c r="I1249" s="5">
        <v>0</v>
      </c>
      <c r="J1249" s="5">
        <v>0</v>
      </c>
      <c r="K1249" t="s">
        <v>9399</v>
      </c>
      <c r="L1249" cm="1">
        <f t="array" ref="L1249">wordCount(K1249)</f>
        <v>8</v>
      </c>
      <c r="M1249">
        <f t="shared" si="38"/>
        <v>51</v>
      </c>
      <c r="N1249">
        <v>0.69230769230769229</v>
      </c>
      <c r="O1249" s="23" cm="1">
        <f t="array" ref="O1249">WordListCount(K1249,keywords!$A$2:$A$31)-WordListCount(K1249,keywords!$B$2:$B$31)</f>
        <v>0</v>
      </c>
      <c r="P1249" s="25">
        <f t="shared" si="39"/>
        <v>0.66668981481481471</v>
      </c>
      <c r="Q1249" s="23">
        <f>SUM($O$2:O1249)</f>
        <v>33</v>
      </c>
      <c r="Y1249" s="14"/>
      <c r="Z1249" s="13"/>
      <c r="AA1249"/>
    </row>
    <row r="1250" spans="1:27" x14ac:dyDescent="0.2">
      <c r="A1250" s="12" t="s">
        <v>3933</v>
      </c>
      <c r="B1250" t="s">
        <v>3936</v>
      </c>
      <c r="C1250" t="s">
        <v>306</v>
      </c>
      <c r="D1250" t="s">
        <v>307</v>
      </c>
      <c r="E1250" t="s">
        <v>13</v>
      </c>
      <c r="F1250">
        <v>228</v>
      </c>
      <c r="G1250">
        <v>1</v>
      </c>
      <c r="H1250" s="5" t="s">
        <v>22</v>
      </c>
      <c r="I1250" s="5">
        <v>0</v>
      </c>
      <c r="J1250" s="5">
        <v>0</v>
      </c>
      <c r="K1250" t="s">
        <v>9400</v>
      </c>
      <c r="L1250" cm="1">
        <f t="array" ref="L1250">wordCount(K1250)</f>
        <v>7</v>
      </c>
      <c r="M1250">
        <f t="shared" si="38"/>
        <v>105</v>
      </c>
      <c r="N1250">
        <v>0.53846153846153844</v>
      </c>
      <c r="O1250" s="23" cm="1">
        <f t="array" ref="O1250">WordListCount(K1250,keywords!$A$2:$A$31)-WordListCount(K1250,keywords!$B$2:$B$31)</f>
        <v>0</v>
      </c>
      <c r="P1250" s="25">
        <f t="shared" si="39"/>
        <v>0.66668981481481471</v>
      </c>
      <c r="Q1250" s="23">
        <f>SUM($O$2:O1250)</f>
        <v>33</v>
      </c>
      <c r="Y1250" s="14"/>
      <c r="Z1250" s="13"/>
      <c r="AA1250"/>
    </row>
    <row r="1251" spans="1:27" x14ac:dyDescent="0.2">
      <c r="A1251" s="12" t="s">
        <v>3937</v>
      </c>
      <c r="B1251" t="s">
        <v>3938</v>
      </c>
      <c r="C1251" t="s">
        <v>604</v>
      </c>
      <c r="D1251" t="s">
        <v>605</v>
      </c>
      <c r="E1251" t="s">
        <v>13</v>
      </c>
      <c r="F1251">
        <v>168</v>
      </c>
      <c r="G1251">
        <v>115</v>
      </c>
      <c r="H1251" s="5" t="s">
        <v>22</v>
      </c>
      <c r="I1251" s="5">
        <v>0</v>
      </c>
      <c r="J1251" s="5">
        <v>0</v>
      </c>
      <c r="K1251" t="s">
        <v>10696</v>
      </c>
      <c r="L1251" cm="1">
        <f t="array" ref="L1251">wordCount(K1251)</f>
        <v>13</v>
      </c>
      <c r="M1251">
        <f t="shared" si="38"/>
        <v>68</v>
      </c>
      <c r="N1251">
        <v>0.75</v>
      </c>
      <c r="O1251" s="23" cm="1">
        <f t="array" ref="O1251">WordListCount(K1251,keywords!$A$2:$A$31)-WordListCount(K1251,keywords!$B$2:$B$31)</f>
        <v>0</v>
      </c>
      <c r="P1251" s="25">
        <f t="shared" si="39"/>
        <v>0.66674768518518512</v>
      </c>
      <c r="Q1251" s="23">
        <f>SUM($O$2:O1251)</f>
        <v>33</v>
      </c>
      <c r="Y1251" s="14"/>
      <c r="Z1251" s="13"/>
      <c r="AA1251"/>
    </row>
    <row r="1252" spans="1:27" x14ac:dyDescent="0.2">
      <c r="A1252" s="12" t="s">
        <v>3937</v>
      </c>
      <c r="B1252" t="s">
        <v>3939</v>
      </c>
      <c r="C1252" t="s">
        <v>3940</v>
      </c>
      <c r="D1252" t="s">
        <v>776</v>
      </c>
      <c r="E1252" t="s">
        <v>13</v>
      </c>
      <c r="F1252">
        <v>210</v>
      </c>
      <c r="G1252">
        <v>273</v>
      </c>
      <c r="H1252" s="5" t="s">
        <v>22</v>
      </c>
      <c r="I1252" s="5">
        <v>0</v>
      </c>
      <c r="J1252" s="5">
        <v>0</v>
      </c>
      <c r="K1252" t="s">
        <v>10697</v>
      </c>
      <c r="L1252" cm="1">
        <f t="array" ref="L1252">wordCount(K1252)</f>
        <v>8</v>
      </c>
      <c r="M1252">
        <f t="shared" si="38"/>
        <v>39</v>
      </c>
      <c r="N1252">
        <v>0.5714285714285714</v>
      </c>
      <c r="O1252" s="23" cm="1">
        <f t="array" ref="O1252">WordListCount(K1252,keywords!$A$2:$A$31)-WordListCount(K1252,keywords!$B$2:$B$31)</f>
        <v>0</v>
      </c>
      <c r="P1252" s="25">
        <f t="shared" si="39"/>
        <v>0.66674768518518512</v>
      </c>
      <c r="Q1252" s="23">
        <f>SUM($O$2:O1252)</f>
        <v>33</v>
      </c>
      <c r="Y1252" s="14"/>
      <c r="Z1252" s="13"/>
      <c r="AA1252"/>
    </row>
    <row r="1253" spans="1:27" x14ac:dyDescent="0.2">
      <c r="A1253" s="12" t="s">
        <v>3941</v>
      </c>
      <c r="B1253" t="s">
        <v>3942</v>
      </c>
      <c r="C1253" t="s">
        <v>617</v>
      </c>
      <c r="D1253" t="s">
        <v>12</v>
      </c>
      <c r="E1253" t="s">
        <v>13</v>
      </c>
      <c r="F1253">
        <v>8726</v>
      </c>
      <c r="G1253">
        <v>268</v>
      </c>
      <c r="H1253" s="5" t="s">
        <v>22</v>
      </c>
      <c r="I1253" s="5">
        <v>0</v>
      </c>
      <c r="J1253" s="5">
        <v>0</v>
      </c>
      <c r="K1253" t="s">
        <v>10698</v>
      </c>
      <c r="L1253" cm="1">
        <f t="array" ref="L1253">wordCount(K1253)</f>
        <v>14</v>
      </c>
      <c r="M1253">
        <f t="shared" si="38"/>
        <v>101</v>
      </c>
      <c r="N1253">
        <v>0.8571428571428571</v>
      </c>
      <c r="O1253" s="23" cm="1">
        <f t="array" ref="O1253">WordListCount(K1253,keywords!$A$2:$A$31)-WordListCount(K1253,keywords!$B$2:$B$31)</f>
        <v>0</v>
      </c>
      <c r="P1253" s="25">
        <f t="shared" si="39"/>
        <v>0.66681712962962969</v>
      </c>
      <c r="Q1253" s="23">
        <f>SUM($O$2:O1253)</f>
        <v>33</v>
      </c>
      <c r="Y1253" s="14"/>
      <c r="Z1253" s="13"/>
      <c r="AA1253"/>
    </row>
    <row r="1254" spans="1:27" x14ac:dyDescent="0.2">
      <c r="A1254" s="12" t="s">
        <v>3943</v>
      </c>
      <c r="B1254" t="s">
        <v>3944</v>
      </c>
      <c r="C1254" t="s">
        <v>3945</v>
      </c>
      <c r="D1254" t="s">
        <v>12</v>
      </c>
      <c r="E1254" t="s">
        <v>13</v>
      </c>
      <c r="F1254">
        <v>28</v>
      </c>
      <c r="G1254">
        <v>42</v>
      </c>
      <c r="H1254" s="5" t="s">
        <v>14</v>
      </c>
      <c r="I1254" s="5">
        <v>0</v>
      </c>
      <c r="J1254" s="5">
        <v>0</v>
      </c>
      <c r="K1254" t="s">
        <v>9401</v>
      </c>
      <c r="L1254" cm="1">
        <f t="array" ref="L1254">wordCount(K1254)</f>
        <v>5</v>
      </c>
      <c r="M1254">
        <f t="shared" si="38"/>
        <v>28</v>
      </c>
      <c r="N1254">
        <v>0.83333333333333337</v>
      </c>
      <c r="O1254" s="23" cm="1">
        <f t="array" ref="O1254">WordListCount(K1254,keywords!$A$2:$A$31)-WordListCount(K1254,keywords!$B$2:$B$31)</f>
        <v>0</v>
      </c>
      <c r="P1254" s="25">
        <f t="shared" si="39"/>
        <v>0.66682870370370362</v>
      </c>
      <c r="Q1254" s="23">
        <f>SUM($O$2:O1254)</f>
        <v>33</v>
      </c>
      <c r="Y1254" s="14"/>
      <c r="Z1254" s="13"/>
      <c r="AA1254"/>
    </row>
    <row r="1255" spans="1:27" x14ac:dyDescent="0.2">
      <c r="A1255" s="12" t="s">
        <v>3946</v>
      </c>
      <c r="B1255" t="s">
        <v>3947</v>
      </c>
      <c r="C1255" t="s">
        <v>3948</v>
      </c>
      <c r="D1255" t="s">
        <v>186</v>
      </c>
      <c r="E1255" t="s">
        <v>13</v>
      </c>
      <c r="F1255">
        <v>96</v>
      </c>
      <c r="G1255">
        <v>73</v>
      </c>
      <c r="H1255" s="5" t="s">
        <v>22</v>
      </c>
      <c r="I1255" s="5">
        <v>0</v>
      </c>
      <c r="J1255" s="5">
        <v>0</v>
      </c>
      <c r="K1255" t="s">
        <v>10699</v>
      </c>
      <c r="L1255" cm="1">
        <f t="array" ref="L1255">wordCount(K1255)</f>
        <v>4</v>
      </c>
      <c r="M1255">
        <f t="shared" si="38"/>
        <v>21</v>
      </c>
      <c r="N1255">
        <v>0.875</v>
      </c>
      <c r="O1255" s="23" cm="1">
        <f t="array" ref="O1255">WordListCount(K1255,keywords!$A$2:$A$31)-WordListCount(K1255,keywords!$B$2:$B$31)</f>
        <v>1</v>
      </c>
      <c r="P1255" s="25">
        <f t="shared" si="39"/>
        <v>0.66690972222222211</v>
      </c>
      <c r="Q1255" s="23">
        <f>SUM($O$2:O1255)</f>
        <v>34</v>
      </c>
      <c r="Y1255" s="14"/>
      <c r="Z1255" s="13"/>
      <c r="AA1255"/>
    </row>
    <row r="1256" spans="1:27" x14ac:dyDescent="0.2">
      <c r="A1256" s="12" t="s">
        <v>3949</v>
      </c>
      <c r="B1256" t="s">
        <v>3950</v>
      </c>
      <c r="C1256" t="s">
        <v>631</v>
      </c>
      <c r="D1256" t="s">
        <v>12</v>
      </c>
      <c r="E1256" t="s">
        <v>13</v>
      </c>
      <c r="F1256">
        <v>93</v>
      </c>
      <c r="G1256">
        <v>2</v>
      </c>
      <c r="H1256" s="5" t="s">
        <v>86</v>
      </c>
      <c r="I1256" s="5">
        <v>0</v>
      </c>
      <c r="J1256" s="5">
        <v>0</v>
      </c>
      <c r="K1256" t="s">
        <v>9402</v>
      </c>
      <c r="L1256" cm="1">
        <f t="array" ref="L1256">wordCount(K1256)</f>
        <v>8</v>
      </c>
      <c r="M1256">
        <f t="shared" si="38"/>
        <v>43</v>
      </c>
      <c r="N1256">
        <v>0.77777777777777779</v>
      </c>
      <c r="O1256" s="23" cm="1">
        <f t="array" ref="O1256">WordListCount(K1256,keywords!$A$2:$A$31)-WordListCount(K1256,keywords!$B$2:$B$31)</f>
        <v>0</v>
      </c>
      <c r="P1256" s="25">
        <f t="shared" si="39"/>
        <v>0.66702546296296295</v>
      </c>
      <c r="Q1256" s="23">
        <f>SUM($O$2:O1256)</f>
        <v>34</v>
      </c>
      <c r="Y1256" s="14"/>
      <c r="Z1256" s="13"/>
      <c r="AA1256"/>
    </row>
    <row r="1257" spans="1:27" x14ac:dyDescent="0.2">
      <c r="A1257" s="12" t="s">
        <v>3951</v>
      </c>
      <c r="B1257" t="s">
        <v>3952</v>
      </c>
      <c r="C1257" t="s">
        <v>3953</v>
      </c>
      <c r="D1257" t="s">
        <v>2623</v>
      </c>
      <c r="E1257" t="s">
        <v>13</v>
      </c>
      <c r="F1257">
        <v>67</v>
      </c>
      <c r="G1257">
        <v>44</v>
      </c>
      <c r="H1257" s="5" t="s">
        <v>22</v>
      </c>
      <c r="I1257" s="5">
        <v>0</v>
      </c>
      <c r="J1257" s="5">
        <v>0</v>
      </c>
      <c r="K1257" t="s">
        <v>10700</v>
      </c>
      <c r="L1257" cm="1">
        <f t="array" ref="L1257">wordCount(K1257)</f>
        <v>17</v>
      </c>
      <c r="M1257">
        <f t="shared" si="38"/>
        <v>94</v>
      </c>
      <c r="N1257">
        <v>0.56756756756756754</v>
      </c>
      <c r="O1257" s="23" cm="1">
        <f t="array" ref="O1257">WordListCount(K1257,keywords!$A$2:$A$31)-WordListCount(K1257,keywords!$B$2:$B$31)</f>
        <v>-1</v>
      </c>
      <c r="P1257" s="25">
        <f t="shared" si="39"/>
        <v>0.66706018518518517</v>
      </c>
      <c r="Q1257" s="23">
        <f>SUM($O$2:O1257)</f>
        <v>33</v>
      </c>
      <c r="Y1257" s="14"/>
      <c r="Z1257" s="13"/>
      <c r="AA1257"/>
    </row>
    <row r="1258" spans="1:27" x14ac:dyDescent="0.2">
      <c r="A1258" s="12" t="s">
        <v>3954</v>
      </c>
      <c r="B1258" t="s">
        <v>3955</v>
      </c>
      <c r="C1258" t="s">
        <v>634</v>
      </c>
      <c r="D1258" t="s">
        <v>635</v>
      </c>
      <c r="E1258" t="s">
        <v>13</v>
      </c>
      <c r="F1258">
        <v>2121</v>
      </c>
      <c r="G1258">
        <v>4145</v>
      </c>
      <c r="H1258" s="5" t="s">
        <v>22</v>
      </c>
      <c r="I1258" s="5">
        <v>0</v>
      </c>
      <c r="J1258" s="5">
        <v>0</v>
      </c>
      <c r="K1258" t="s">
        <v>9403</v>
      </c>
      <c r="L1258" cm="1">
        <f t="array" ref="L1258">wordCount(K1258)</f>
        <v>21</v>
      </c>
      <c r="M1258">
        <f t="shared" si="38"/>
        <v>102</v>
      </c>
      <c r="N1258">
        <v>0.4</v>
      </c>
      <c r="O1258" s="23" cm="1">
        <f t="array" ref="O1258">WordListCount(K1258,keywords!$A$2:$A$31)-WordListCount(K1258,keywords!$B$2:$B$31)</f>
        <v>2</v>
      </c>
      <c r="P1258" s="25">
        <f t="shared" si="39"/>
        <v>0.66724537037037035</v>
      </c>
      <c r="Q1258" s="23">
        <f>SUM($O$2:O1258)</f>
        <v>35</v>
      </c>
      <c r="Y1258" s="14"/>
      <c r="Z1258" s="13"/>
      <c r="AA1258"/>
    </row>
    <row r="1259" spans="1:27" x14ac:dyDescent="0.2">
      <c r="A1259" s="12" t="s">
        <v>3956</v>
      </c>
      <c r="B1259" t="s">
        <v>3957</v>
      </c>
      <c r="C1259" t="s">
        <v>3958</v>
      </c>
      <c r="D1259" t="s">
        <v>1025</v>
      </c>
      <c r="E1259" t="s">
        <v>13</v>
      </c>
      <c r="F1259">
        <v>563</v>
      </c>
      <c r="G1259">
        <v>486</v>
      </c>
      <c r="H1259" s="5" t="s">
        <v>22</v>
      </c>
      <c r="I1259" s="5">
        <v>0</v>
      </c>
      <c r="J1259" s="5">
        <v>0</v>
      </c>
      <c r="K1259" t="s">
        <v>10701</v>
      </c>
      <c r="L1259" cm="1">
        <f t="array" ref="L1259">wordCount(K1259)</f>
        <v>15</v>
      </c>
      <c r="M1259">
        <f t="shared" si="38"/>
        <v>96</v>
      </c>
      <c r="N1259">
        <v>0.38095238095238093</v>
      </c>
      <c r="O1259" s="23" cm="1">
        <f t="array" ref="O1259">WordListCount(K1259,keywords!$A$2:$A$31)-WordListCount(K1259,keywords!$B$2:$B$31)</f>
        <v>0</v>
      </c>
      <c r="P1259" s="25">
        <f t="shared" si="39"/>
        <v>0.6672569444444445</v>
      </c>
      <c r="Q1259" s="23">
        <f>SUM($O$2:O1259)</f>
        <v>35</v>
      </c>
      <c r="Y1259" s="14"/>
      <c r="Z1259" s="13"/>
      <c r="AA1259"/>
    </row>
    <row r="1260" spans="1:27" x14ac:dyDescent="0.2">
      <c r="A1260" s="12" t="s">
        <v>3959</v>
      </c>
      <c r="B1260" t="s">
        <v>3960</v>
      </c>
      <c r="C1260" t="s">
        <v>3961</v>
      </c>
      <c r="D1260" t="s">
        <v>12</v>
      </c>
      <c r="E1260" t="s">
        <v>13</v>
      </c>
      <c r="F1260">
        <v>0</v>
      </c>
      <c r="G1260">
        <v>17</v>
      </c>
      <c r="H1260" s="5" t="s">
        <v>22</v>
      </c>
      <c r="I1260" s="5">
        <v>0</v>
      </c>
      <c r="J1260" s="5">
        <v>0</v>
      </c>
      <c r="K1260" t="s">
        <v>10702</v>
      </c>
      <c r="L1260" cm="1">
        <f t="array" ref="L1260">wordCount(K1260)</f>
        <v>22</v>
      </c>
      <c r="M1260">
        <f t="shared" si="38"/>
        <v>116</v>
      </c>
      <c r="N1260">
        <v>0.2</v>
      </c>
      <c r="O1260" s="23" cm="1">
        <f t="array" ref="O1260">WordListCount(K1260,keywords!$A$2:$A$31)-WordListCount(K1260,keywords!$B$2:$B$31)</f>
        <v>0</v>
      </c>
      <c r="P1260" s="25">
        <f t="shared" si="39"/>
        <v>0.66746527777777775</v>
      </c>
      <c r="Q1260" s="23">
        <f>SUM($O$2:O1260)</f>
        <v>35</v>
      </c>
      <c r="Y1260" s="14"/>
      <c r="Z1260" s="13"/>
      <c r="AA1260"/>
    </row>
    <row r="1261" spans="1:27" x14ac:dyDescent="0.2">
      <c r="A1261" s="12" t="s">
        <v>3962</v>
      </c>
      <c r="B1261" t="s">
        <v>3963</v>
      </c>
      <c r="C1261" t="s">
        <v>3964</v>
      </c>
      <c r="D1261" t="s">
        <v>1552</v>
      </c>
      <c r="E1261" t="s">
        <v>13</v>
      </c>
      <c r="F1261">
        <v>32</v>
      </c>
      <c r="G1261">
        <v>141</v>
      </c>
      <c r="H1261" s="5" t="s">
        <v>22</v>
      </c>
      <c r="I1261" s="5">
        <v>0</v>
      </c>
      <c r="J1261" s="5">
        <v>0</v>
      </c>
      <c r="K1261" t="s">
        <v>9404</v>
      </c>
      <c r="L1261" cm="1">
        <f t="array" ref="L1261">wordCount(K1261)</f>
        <v>7</v>
      </c>
      <c r="M1261">
        <f t="shared" si="38"/>
        <v>37</v>
      </c>
      <c r="N1261">
        <v>1</v>
      </c>
      <c r="O1261" s="23" cm="1">
        <f t="array" ref="O1261">WordListCount(K1261,keywords!$A$2:$A$31)-WordListCount(K1261,keywords!$B$2:$B$31)</f>
        <v>0</v>
      </c>
      <c r="P1261" s="25">
        <f t="shared" si="39"/>
        <v>0.66752314814814817</v>
      </c>
      <c r="Q1261" s="23">
        <f>SUM($O$2:O1261)</f>
        <v>35</v>
      </c>
      <c r="Y1261" s="14"/>
      <c r="Z1261" s="13"/>
      <c r="AA1261"/>
    </row>
    <row r="1262" spans="1:27" x14ac:dyDescent="0.2">
      <c r="A1262" s="12" t="s">
        <v>3965</v>
      </c>
      <c r="B1262" t="s">
        <v>3966</v>
      </c>
      <c r="C1262" t="s">
        <v>3967</v>
      </c>
      <c r="D1262" t="s">
        <v>3968</v>
      </c>
      <c r="E1262" t="s">
        <v>13</v>
      </c>
      <c r="F1262">
        <v>62</v>
      </c>
      <c r="G1262">
        <v>108</v>
      </c>
      <c r="H1262" s="5" t="s">
        <v>22</v>
      </c>
      <c r="I1262" s="5">
        <v>0</v>
      </c>
      <c r="J1262" s="5">
        <v>0</v>
      </c>
      <c r="K1262" t="s">
        <v>10703</v>
      </c>
      <c r="L1262" cm="1">
        <f t="array" ref="L1262">wordCount(K1262)</f>
        <v>13</v>
      </c>
      <c r="M1262">
        <f t="shared" si="38"/>
        <v>72</v>
      </c>
      <c r="N1262">
        <v>0.7</v>
      </c>
      <c r="O1262" s="23" cm="1">
        <f t="array" ref="O1262">WordListCount(K1262,keywords!$A$2:$A$31)-WordListCount(K1262,keywords!$B$2:$B$31)</f>
        <v>0</v>
      </c>
      <c r="P1262" s="25">
        <f t="shared" si="39"/>
        <v>0.66753472222222221</v>
      </c>
      <c r="Q1262" s="23">
        <f>SUM($O$2:O1262)</f>
        <v>35</v>
      </c>
      <c r="Y1262" s="14"/>
      <c r="Z1262" s="13"/>
      <c r="AA1262"/>
    </row>
    <row r="1263" spans="1:27" x14ac:dyDescent="0.2">
      <c r="A1263" s="12" t="s">
        <v>3969</v>
      </c>
      <c r="B1263" t="s">
        <v>3970</v>
      </c>
      <c r="C1263" t="s">
        <v>3971</v>
      </c>
      <c r="D1263" t="s">
        <v>12</v>
      </c>
      <c r="E1263" t="s">
        <v>13</v>
      </c>
      <c r="F1263">
        <v>246</v>
      </c>
      <c r="G1263">
        <v>71</v>
      </c>
      <c r="H1263" s="5" t="s">
        <v>22</v>
      </c>
      <c r="I1263" s="5">
        <v>0</v>
      </c>
      <c r="J1263" s="5">
        <v>0</v>
      </c>
      <c r="K1263" t="s">
        <v>10704</v>
      </c>
      <c r="L1263" cm="1">
        <f t="array" ref="L1263">wordCount(K1263)</f>
        <v>9</v>
      </c>
      <c r="M1263">
        <f t="shared" si="38"/>
        <v>40</v>
      </c>
      <c r="N1263">
        <v>0.73076923076923073</v>
      </c>
      <c r="O1263" s="23" cm="1">
        <f t="array" ref="O1263">WordListCount(K1263,keywords!$A$2:$A$31)-WordListCount(K1263,keywords!$B$2:$B$31)</f>
        <v>-1</v>
      </c>
      <c r="P1263" s="25">
        <f t="shared" si="39"/>
        <v>0.66773148148148154</v>
      </c>
      <c r="Q1263" s="23">
        <f>SUM($O$2:O1263)</f>
        <v>34</v>
      </c>
      <c r="Y1263" s="14"/>
      <c r="Z1263" s="13"/>
      <c r="AA1263"/>
    </row>
    <row r="1264" spans="1:27" x14ac:dyDescent="0.2">
      <c r="A1264" s="12" t="s">
        <v>3972</v>
      </c>
      <c r="B1264" t="s">
        <v>3973</v>
      </c>
      <c r="C1264" t="s">
        <v>3974</v>
      </c>
      <c r="D1264" t="s">
        <v>3975</v>
      </c>
      <c r="E1264" t="s">
        <v>13</v>
      </c>
      <c r="F1264">
        <v>33</v>
      </c>
      <c r="G1264">
        <v>293</v>
      </c>
      <c r="H1264" s="5" t="s">
        <v>22</v>
      </c>
      <c r="I1264" s="5">
        <v>0</v>
      </c>
      <c r="J1264" s="5">
        <v>0</v>
      </c>
      <c r="K1264" t="s">
        <v>9405</v>
      </c>
      <c r="L1264" cm="1">
        <f t="array" ref="L1264">wordCount(K1264)</f>
        <v>9</v>
      </c>
      <c r="M1264">
        <f t="shared" si="38"/>
        <v>42</v>
      </c>
      <c r="N1264">
        <v>0.66666666666666663</v>
      </c>
      <c r="O1264" s="23" cm="1">
        <f t="array" ref="O1264">WordListCount(K1264,keywords!$A$2:$A$31)-WordListCount(K1264,keywords!$B$2:$B$31)</f>
        <v>-1</v>
      </c>
      <c r="P1264" s="25">
        <f t="shared" si="39"/>
        <v>0.66774305555555558</v>
      </c>
      <c r="Q1264" s="23">
        <f>SUM($O$2:O1264)</f>
        <v>33</v>
      </c>
      <c r="Y1264" s="14"/>
      <c r="Z1264" s="13"/>
      <c r="AA1264"/>
    </row>
    <row r="1265" spans="1:27" x14ac:dyDescent="0.2">
      <c r="A1265" s="12" t="s">
        <v>3976</v>
      </c>
      <c r="B1265" t="s">
        <v>3979</v>
      </c>
      <c r="C1265" t="s">
        <v>3884</v>
      </c>
      <c r="D1265" t="s">
        <v>3885</v>
      </c>
      <c r="E1265" t="s">
        <v>13</v>
      </c>
      <c r="F1265">
        <v>813</v>
      </c>
      <c r="G1265">
        <v>789</v>
      </c>
      <c r="H1265" s="5" t="s">
        <v>22</v>
      </c>
      <c r="I1265" s="5">
        <v>0</v>
      </c>
      <c r="J1265" s="5">
        <v>0</v>
      </c>
      <c r="K1265" t="s">
        <v>9407</v>
      </c>
      <c r="L1265" cm="1">
        <f t="array" ref="L1265">wordCount(K1265)</f>
        <v>12</v>
      </c>
      <c r="M1265">
        <f t="shared" si="38"/>
        <v>63</v>
      </c>
      <c r="N1265">
        <v>0.52</v>
      </c>
      <c r="O1265" s="23" cm="1">
        <f t="array" ref="O1265">WordListCount(K1265,keywords!$A$2:$A$31)-WordListCount(K1265,keywords!$B$2:$B$31)</f>
        <v>0</v>
      </c>
      <c r="P1265" s="25">
        <f t="shared" si="39"/>
        <v>0.66778935185185195</v>
      </c>
      <c r="Q1265" s="23">
        <f>SUM($O$2:O1265)</f>
        <v>33</v>
      </c>
      <c r="Y1265" s="14"/>
      <c r="Z1265" s="13"/>
      <c r="AA1265"/>
    </row>
    <row r="1266" spans="1:27" x14ac:dyDescent="0.2">
      <c r="A1266" s="12" t="s">
        <v>3976</v>
      </c>
      <c r="B1266" t="s">
        <v>3977</v>
      </c>
      <c r="C1266" t="s">
        <v>3978</v>
      </c>
      <c r="D1266" t="s">
        <v>12</v>
      </c>
      <c r="E1266" t="s">
        <v>13</v>
      </c>
      <c r="F1266">
        <v>272</v>
      </c>
      <c r="G1266">
        <v>910</v>
      </c>
      <c r="H1266" s="5" t="s">
        <v>22</v>
      </c>
      <c r="I1266" s="5">
        <v>0</v>
      </c>
      <c r="J1266" s="5">
        <v>0</v>
      </c>
      <c r="K1266" t="s">
        <v>9406</v>
      </c>
      <c r="L1266" cm="1">
        <f t="array" ref="L1266">wordCount(K1266)</f>
        <v>8</v>
      </c>
      <c r="M1266">
        <f t="shared" si="38"/>
        <v>46</v>
      </c>
      <c r="N1266">
        <v>0.88235294117647056</v>
      </c>
      <c r="O1266" s="23" cm="1">
        <f t="array" ref="O1266">WordListCount(K1266,keywords!$A$2:$A$31)-WordListCount(K1266,keywords!$B$2:$B$31)</f>
        <v>0</v>
      </c>
      <c r="P1266" s="25">
        <f t="shared" si="39"/>
        <v>0.66778935185185195</v>
      </c>
      <c r="Q1266" s="23">
        <f>SUM($O$2:O1266)</f>
        <v>33</v>
      </c>
      <c r="Y1266" s="14"/>
      <c r="Z1266" s="13"/>
      <c r="AA1266"/>
    </row>
    <row r="1267" spans="1:27" x14ac:dyDescent="0.2">
      <c r="A1267" s="12" t="s">
        <v>3980</v>
      </c>
      <c r="B1267" t="s">
        <v>3981</v>
      </c>
      <c r="C1267" t="s">
        <v>1316</v>
      </c>
      <c r="D1267" t="s">
        <v>1317</v>
      </c>
      <c r="E1267" t="s">
        <v>13</v>
      </c>
      <c r="F1267">
        <v>427</v>
      </c>
      <c r="G1267">
        <v>768</v>
      </c>
      <c r="H1267" s="5" t="s">
        <v>22</v>
      </c>
      <c r="I1267" s="5">
        <v>0</v>
      </c>
      <c r="J1267" s="5">
        <v>0</v>
      </c>
      <c r="K1267" t="s">
        <v>10705</v>
      </c>
      <c r="L1267" cm="1">
        <f t="array" ref="L1267">wordCount(K1267)</f>
        <v>16</v>
      </c>
      <c r="M1267">
        <f t="shared" si="38"/>
        <v>94</v>
      </c>
      <c r="N1267">
        <v>0.1875</v>
      </c>
      <c r="O1267" s="23" cm="1">
        <f t="array" ref="O1267">WordListCount(K1267,keywords!$A$2:$A$31)-WordListCount(K1267,keywords!$B$2:$B$31)</f>
        <v>0</v>
      </c>
      <c r="P1267" s="25">
        <f t="shared" si="39"/>
        <v>0.6678587962962963</v>
      </c>
      <c r="Q1267" s="23">
        <f>SUM($O$2:O1267)</f>
        <v>33</v>
      </c>
      <c r="Y1267" s="14"/>
      <c r="Z1267" s="13"/>
      <c r="AA1267"/>
    </row>
    <row r="1268" spans="1:27" x14ac:dyDescent="0.2">
      <c r="A1268" s="12" t="s">
        <v>3982</v>
      </c>
      <c r="B1268" t="s">
        <v>3983</v>
      </c>
      <c r="C1268" t="s">
        <v>3984</v>
      </c>
      <c r="D1268" t="s">
        <v>3985</v>
      </c>
      <c r="E1268" t="s">
        <v>13</v>
      </c>
      <c r="F1268">
        <v>58</v>
      </c>
      <c r="G1268">
        <v>142</v>
      </c>
      <c r="H1268" s="5" t="s">
        <v>22</v>
      </c>
      <c r="I1268" s="5">
        <v>0</v>
      </c>
      <c r="J1268" s="5">
        <v>0</v>
      </c>
      <c r="K1268" t="s">
        <v>10706</v>
      </c>
      <c r="L1268" cm="1">
        <f t="array" ref="L1268">wordCount(K1268)</f>
        <v>4</v>
      </c>
      <c r="M1268">
        <f t="shared" si="38"/>
        <v>23</v>
      </c>
      <c r="N1268">
        <v>0.5714285714285714</v>
      </c>
      <c r="O1268" s="23" cm="1">
        <f t="array" ref="O1268">WordListCount(K1268,keywords!$A$2:$A$31)-WordListCount(K1268,keywords!$B$2:$B$31)</f>
        <v>0</v>
      </c>
      <c r="P1268" s="25">
        <f t="shared" si="39"/>
        <v>0.66788194444444438</v>
      </c>
      <c r="Q1268" s="23">
        <f>SUM($O$2:O1268)</f>
        <v>33</v>
      </c>
      <c r="Y1268" s="14"/>
      <c r="Z1268" s="13"/>
      <c r="AA1268"/>
    </row>
    <row r="1269" spans="1:27" x14ac:dyDescent="0.2">
      <c r="A1269" s="12" t="s">
        <v>3986</v>
      </c>
      <c r="B1269" t="s">
        <v>3977</v>
      </c>
      <c r="C1269" t="s">
        <v>3987</v>
      </c>
      <c r="D1269" t="s">
        <v>3988</v>
      </c>
      <c r="E1269" t="s">
        <v>13</v>
      </c>
      <c r="F1269">
        <v>858</v>
      </c>
      <c r="G1269">
        <v>1026</v>
      </c>
      <c r="H1269" s="5" t="s">
        <v>22</v>
      </c>
      <c r="I1269" s="5">
        <v>0</v>
      </c>
      <c r="J1269" s="5">
        <v>0</v>
      </c>
      <c r="K1269" t="s">
        <v>9406</v>
      </c>
      <c r="L1269" cm="1">
        <f t="array" ref="L1269">wordCount(K1269)</f>
        <v>8</v>
      </c>
      <c r="M1269">
        <f t="shared" si="38"/>
        <v>46</v>
      </c>
      <c r="N1269">
        <v>0.88888888888888884</v>
      </c>
      <c r="O1269" s="23" cm="1">
        <f t="array" ref="O1269">WordListCount(K1269,keywords!$A$2:$A$31)-WordListCount(K1269,keywords!$B$2:$B$31)</f>
        <v>0</v>
      </c>
      <c r="P1269" s="25">
        <f t="shared" si="39"/>
        <v>0.66828703703703696</v>
      </c>
      <c r="Q1269" s="23">
        <f>SUM($O$2:O1269)</f>
        <v>33</v>
      </c>
      <c r="Y1269" s="14"/>
      <c r="Z1269" s="13"/>
      <c r="AA1269"/>
    </row>
    <row r="1270" spans="1:27" x14ac:dyDescent="0.2">
      <c r="A1270" s="12" t="s">
        <v>3989</v>
      </c>
      <c r="B1270" t="s">
        <v>3990</v>
      </c>
      <c r="C1270" t="s">
        <v>3991</v>
      </c>
      <c r="D1270" t="s">
        <v>12</v>
      </c>
      <c r="E1270" t="s">
        <v>13</v>
      </c>
      <c r="F1270">
        <v>175</v>
      </c>
      <c r="G1270">
        <v>384</v>
      </c>
      <c r="H1270" s="5" t="s">
        <v>22</v>
      </c>
      <c r="I1270" s="5">
        <v>0</v>
      </c>
      <c r="J1270" s="5">
        <v>0</v>
      </c>
      <c r="K1270" t="s">
        <v>10707</v>
      </c>
      <c r="L1270" cm="1">
        <f t="array" ref="L1270">wordCount(K1270)</f>
        <v>19</v>
      </c>
      <c r="M1270">
        <f t="shared" si="38"/>
        <v>93</v>
      </c>
      <c r="N1270">
        <v>0.5625</v>
      </c>
      <c r="O1270" s="23" cm="1">
        <f t="array" ref="O1270">WordListCount(K1270,keywords!$A$2:$A$31)-WordListCount(K1270,keywords!$B$2:$B$31)</f>
        <v>1</v>
      </c>
      <c r="P1270" s="25">
        <f t="shared" si="39"/>
        <v>0.66853009259259266</v>
      </c>
      <c r="Q1270" s="23">
        <f>SUM($O$2:O1270)</f>
        <v>34</v>
      </c>
      <c r="Y1270" s="14"/>
      <c r="Z1270" s="13"/>
      <c r="AA1270"/>
    </row>
    <row r="1271" spans="1:27" x14ac:dyDescent="0.2">
      <c r="A1271" s="12" t="s">
        <v>3992</v>
      </c>
      <c r="B1271" t="s">
        <v>3993</v>
      </c>
      <c r="C1271" t="s">
        <v>3994</v>
      </c>
      <c r="D1271" t="s">
        <v>3995</v>
      </c>
      <c r="E1271" t="s">
        <v>13</v>
      </c>
      <c r="F1271">
        <v>3236</v>
      </c>
      <c r="G1271">
        <v>3407</v>
      </c>
      <c r="H1271" s="5" t="s">
        <v>22</v>
      </c>
      <c r="I1271" s="5">
        <v>0</v>
      </c>
      <c r="J1271" s="5">
        <v>0</v>
      </c>
      <c r="K1271" t="s">
        <v>9408</v>
      </c>
      <c r="L1271" cm="1">
        <f t="array" ref="L1271">wordCount(K1271)</f>
        <v>6</v>
      </c>
      <c r="M1271">
        <f t="shared" si="38"/>
        <v>35</v>
      </c>
      <c r="N1271">
        <v>0.69230769230769229</v>
      </c>
      <c r="O1271" s="23" cm="1">
        <f t="array" ref="O1271">WordListCount(K1271,keywords!$A$2:$A$31)-WordListCount(K1271,keywords!$B$2:$B$31)</f>
        <v>0</v>
      </c>
      <c r="P1271" s="25">
        <f t="shared" si="39"/>
        <v>0.66858796296296286</v>
      </c>
      <c r="Q1271" s="23">
        <f>SUM($O$2:O1271)</f>
        <v>34</v>
      </c>
      <c r="Y1271" s="14"/>
      <c r="Z1271" s="13"/>
      <c r="AA1271"/>
    </row>
    <row r="1272" spans="1:27" x14ac:dyDescent="0.2">
      <c r="A1272" s="12" t="s">
        <v>3996</v>
      </c>
      <c r="B1272" t="s">
        <v>3997</v>
      </c>
      <c r="C1272" t="s">
        <v>3998</v>
      </c>
      <c r="D1272" t="s">
        <v>12</v>
      </c>
      <c r="E1272" t="s">
        <v>13</v>
      </c>
      <c r="F1272">
        <v>17</v>
      </c>
      <c r="G1272">
        <v>43</v>
      </c>
      <c r="H1272" s="5" t="s">
        <v>22</v>
      </c>
      <c r="I1272" s="5">
        <v>0</v>
      </c>
      <c r="J1272" s="5">
        <v>0</v>
      </c>
      <c r="K1272" t="s">
        <v>9409</v>
      </c>
      <c r="L1272" cm="1">
        <f t="array" ref="L1272">wordCount(K1272)</f>
        <v>5</v>
      </c>
      <c r="M1272">
        <f t="shared" si="38"/>
        <v>31</v>
      </c>
      <c r="N1272">
        <v>0.86956521739130432</v>
      </c>
      <c r="O1272" s="23" cm="1">
        <f t="array" ref="O1272">WordListCount(K1272,keywords!$A$2:$A$31)-WordListCount(K1272,keywords!$B$2:$B$31)</f>
        <v>-2</v>
      </c>
      <c r="P1272" s="25">
        <f t="shared" si="39"/>
        <v>0.66859953703703701</v>
      </c>
      <c r="Q1272" s="23">
        <f>SUM($O$2:O1272)</f>
        <v>32</v>
      </c>
      <c r="Y1272" s="14"/>
      <c r="Z1272" s="13"/>
      <c r="AA1272"/>
    </row>
    <row r="1273" spans="1:27" x14ac:dyDescent="0.2">
      <c r="A1273" s="12" t="s">
        <v>3999</v>
      </c>
      <c r="B1273" t="s">
        <v>4000</v>
      </c>
      <c r="C1273" t="s">
        <v>4001</v>
      </c>
      <c r="D1273" t="s">
        <v>12</v>
      </c>
      <c r="E1273" t="s">
        <v>13</v>
      </c>
      <c r="F1273">
        <v>82</v>
      </c>
      <c r="G1273">
        <v>91</v>
      </c>
      <c r="H1273" s="5" t="s">
        <v>22</v>
      </c>
      <c r="I1273" s="5">
        <v>0</v>
      </c>
      <c r="J1273" s="5">
        <v>0</v>
      </c>
      <c r="K1273" t="s">
        <v>9410</v>
      </c>
      <c r="L1273" cm="1">
        <f t="array" ref="L1273">wordCount(K1273)</f>
        <v>12</v>
      </c>
      <c r="M1273">
        <f t="shared" si="38"/>
        <v>55</v>
      </c>
      <c r="N1273">
        <v>0.62962962962962965</v>
      </c>
      <c r="O1273" s="23" cm="1">
        <f t="array" ref="O1273">WordListCount(K1273,keywords!$A$2:$A$31)-WordListCount(K1273,keywords!$B$2:$B$31)</f>
        <v>0</v>
      </c>
      <c r="P1273" s="25">
        <f t="shared" si="39"/>
        <v>0.66875000000000007</v>
      </c>
      <c r="Q1273" s="23">
        <f>SUM($O$2:O1273)</f>
        <v>32</v>
      </c>
      <c r="Y1273" s="14"/>
      <c r="Z1273" s="13"/>
      <c r="AA1273"/>
    </row>
    <row r="1274" spans="1:27" x14ac:dyDescent="0.2">
      <c r="A1274" s="12" t="s">
        <v>4002</v>
      </c>
      <c r="B1274" t="s">
        <v>4003</v>
      </c>
      <c r="C1274" t="s">
        <v>4004</v>
      </c>
      <c r="D1274" t="s">
        <v>12</v>
      </c>
      <c r="E1274" t="s">
        <v>13</v>
      </c>
      <c r="F1274">
        <v>58</v>
      </c>
      <c r="G1274">
        <v>32</v>
      </c>
      <c r="H1274" s="5" t="s">
        <v>22</v>
      </c>
      <c r="I1274" s="5">
        <v>0</v>
      </c>
      <c r="J1274" s="5">
        <v>0</v>
      </c>
      <c r="K1274" t="s">
        <v>10708</v>
      </c>
      <c r="L1274" cm="1">
        <f t="array" ref="L1274">wordCount(K1274)</f>
        <v>10</v>
      </c>
      <c r="M1274">
        <f t="shared" si="38"/>
        <v>52</v>
      </c>
      <c r="N1274">
        <v>0.35714285714285715</v>
      </c>
      <c r="O1274" s="23" cm="1">
        <f t="array" ref="O1274">WordListCount(K1274,keywords!$A$2:$A$31)-WordListCount(K1274,keywords!$B$2:$B$31)</f>
        <v>0</v>
      </c>
      <c r="P1274" s="25">
        <f t="shared" si="39"/>
        <v>0.66886574074074068</v>
      </c>
      <c r="Q1274" s="23">
        <f>SUM($O$2:O1274)</f>
        <v>32</v>
      </c>
      <c r="Y1274" s="14"/>
      <c r="Z1274" s="13"/>
      <c r="AA1274"/>
    </row>
    <row r="1275" spans="1:27" x14ac:dyDescent="0.2">
      <c r="A1275" s="12" t="s">
        <v>4005</v>
      </c>
      <c r="B1275" t="s">
        <v>4006</v>
      </c>
      <c r="C1275" t="s">
        <v>713</v>
      </c>
      <c r="D1275" t="s">
        <v>714</v>
      </c>
      <c r="E1275" t="s">
        <v>13</v>
      </c>
      <c r="F1275">
        <v>4758</v>
      </c>
      <c r="G1275">
        <v>3442</v>
      </c>
      <c r="H1275" s="5" t="s">
        <v>22</v>
      </c>
      <c r="I1275" s="5">
        <v>0</v>
      </c>
      <c r="J1275" s="5">
        <v>0</v>
      </c>
      <c r="K1275" t="s">
        <v>9411</v>
      </c>
      <c r="L1275" cm="1">
        <f t="array" ref="L1275">wordCount(K1275)</f>
        <v>6</v>
      </c>
      <c r="M1275">
        <f t="shared" si="38"/>
        <v>36</v>
      </c>
      <c r="N1275">
        <v>0.875</v>
      </c>
      <c r="O1275" s="23" cm="1">
        <f t="array" ref="O1275">WordListCount(K1275,keywords!$A$2:$A$31)-WordListCount(K1275,keywords!$B$2:$B$31)</f>
        <v>0</v>
      </c>
      <c r="P1275" s="25">
        <f t="shared" si="39"/>
        <v>0.66888888888888898</v>
      </c>
      <c r="Q1275" s="23">
        <f>SUM($O$2:O1275)</f>
        <v>32</v>
      </c>
      <c r="Y1275" s="14"/>
      <c r="Z1275" s="13"/>
      <c r="AA1275"/>
    </row>
    <row r="1276" spans="1:27" x14ac:dyDescent="0.2">
      <c r="A1276" s="12" t="s">
        <v>4007</v>
      </c>
      <c r="B1276" t="s">
        <v>4008</v>
      </c>
      <c r="C1276" t="s">
        <v>651</v>
      </c>
      <c r="D1276" t="s">
        <v>652</v>
      </c>
      <c r="E1276" t="s">
        <v>13</v>
      </c>
      <c r="F1276">
        <v>13390</v>
      </c>
      <c r="G1276">
        <v>13241</v>
      </c>
      <c r="H1276" s="5" t="s">
        <v>22</v>
      </c>
      <c r="I1276" s="5">
        <v>0</v>
      </c>
      <c r="J1276" s="5">
        <v>0</v>
      </c>
      <c r="K1276" t="s">
        <v>9411</v>
      </c>
      <c r="L1276" cm="1">
        <f t="array" ref="L1276">wordCount(K1276)</f>
        <v>6</v>
      </c>
      <c r="M1276">
        <f t="shared" si="38"/>
        <v>36</v>
      </c>
      <c r="N1276">
        <v>0.8571428571428571</v>
      </c>
      <c r="O1276" s="23" cm="1">
        <f t="array" ref="O1276">WordListCount(K1276,keywords!$A$2:$A$31)-WordListCount(K1276,keywords!$B$2:$B$31)</f>
        <v>0</v>
      </c>
      <c r="P1276" s="25">
        <f t="shared" si="39"/>
        <v>0.66893518518518524</v>
      </c>
      <c r="Q1276" s="23">
        <f>SUM($O$2:O1276)</f>
        <v>32</v>
      </c>
      <c r="Y1276" s="14"/>
      <c r="Z1276" s="13"/>
      <c r="AA1276"/>
    </row>
    <row r="1277" spans="1:27" x14ac:dyDescent="0.2">
      <c r="A1277" s="12" t="s">
        <v>4009</v>
      </c>
      <c r="B1277" t="s">
        <v>3944</v>
      </c>
      <c r="C1277" t="s">
        <v>50</v>
      </c>
      <c r="D1277" t="s">
        <v>51</v>
      </c>
      <c r="E1277" t="s">
        <v>13</v>
      </c>
      <c r="F1277">
        <v>2057</v>
      </c>
      <c r="G1277">
        <v>453</v>
      </c>
      <c r="H1277" s="5" t="s">
        <v>22</v>
      </c>
      <c r="I1277" s="5">
        <v>0</v>
      </c>
      <c r="J1277" s="5">
        <v>0</v>
      </c>
      <c r="K1277" t="s">
        <v>9401</v>
      </c>
      <c r="L1277" cm="1">
        <f t="array" ref="L1277">wordCount(K1277)</f>
        <v>5</v>
      </c>
      <c r="M1277">
        <f t="shared" si="38"/>
        <v>28</v>
      </c>
      <c r="N1277">
        <v>0.83333333333333337</v>
      </c>
      <c r="O1277" s="23" cm="1">
        <f t="array" ref="O1277">WordListCount(K1277,keywords!$A$2:$A$31)-WordListCount(K1277,keywords!$B$2:$B$31)</f>
        <v>0</v>
      </c>
      <c r="P1277" s="25">
        <f t="shared" si="39"/>
        <v>0.66901620370370374</v>
      </c>
      <c r="Q1277" s="23">
        <f>SUM($O$2:O1277)</f>
        <v>32</v>
      </c>
      <c r="Y1277" s="14"/>
      <c r="Z1277" s="13"/>
      <c r="AA1277"/>
    </row>
    <row r="1278" spans="1:27" x14ac:dyDescent="0.2">
      <c r="A1278" s="12" t="s">
        <v>4010</v>
      </c>
      <c r="B1278" t="s">
        <v>4011</v>
      </c>
      <c r="C1278" t="s">
        <v>1355</v>
      </c>
      <c r="D1278" t="s">
        <v>1356</v>
      </c>
      <c r="E1278" t="s">
        <v>13</v>
      </c>
      <c r="F1278">
        <v>64</v>
      </c>
      <c r="G1278">
        <v>34</v>
      </c>
      <c r="H1278" s="5" t="s">
        <v>382</v>
      </c>
      <c r="I1278" s="5">
        <v>0</v>
      </c>
      <c r="J1278" s="5">
        <v>0</v>
      </c>
      <c r="K1278" t="s">
        <v>9412</v>
      </c>
      <c r="L1278" cm="1">
        <f t="array" ref="L1278">wordCount(K1278)</f>
        <v>3</v>
      </c>
      <c r="M1278">
        <f t="shared" si="38"/>
        <v>17</v>
      </c>
      <c r="N1278">
        <v>0.83333333333333337</v>
      </c>
      <c r="O1278" s="23" cm="1">
        <f t="array" ref="O1278">WordListCount(K1278,keywords!$A$2:$A$31)-WordListCount(K1278,keywords!$B$2:$B$31)</f>
        <v>0</v>
      </c>
      <c r="P1278" s="25">
        <f t="shared" si="39"/>
        <v>0.66950231481481481</v>
      </c>
      <c r="Q1278" s="23">
        <f>SUM($O$2:O1278)</f>
        <v>32</v>
      </c>
      <c r="Y1278" s="14"/>
      <c r="Z1278" s="13"/>
      <c r="AA1278"/>
    </row>
    <row r="1279" spans="1:27" x14ac:dyDescent="0.2">
      <c r="A1279" s="12" t="s">
        <v>4012</v>
      </c>
      <c r="B1279" t="s">
        <v>3944</v>
      </c>
      <c r="C1279" t="s">
        <v>21</v>
      </c>
      <c r="D1279" t="s">
        <v>12</v>
      </c>
      <c r="E1279" t="s">
        <v>13</v>
      </c>
      <c r="F1279">
        <v>44</v>
      </c>
      <c r="G1279">
        <v>9</v>
      </c>
      <c r="H1279" s="5" t="s">
        <v>22</v>
      </c>
      <c r="I1279" s="5">
        <v>0</v>
      </c>
      <c r="J1279" s="5">
        <v>0</v>
      </c>
      <c r="K1279" t="s">
        <v>9401</v>
      </c>
      <c r="L1279" cm="1">
        <f t="array" ref="L1279">wordCount(K1279)</f>
        <v>5</v>
      </c>
      <c r="M1279">
        <f t="shared" si="38"/>
        <v>28</v>
      </c>
      <c r="N1279">
        <v>0.83333333333333337</v>
      </c>
      <c r="O1279" s="23" cm="1">
        <f t="array" ref="O1279">WordListCount(K1279,keywords!$A$2:$A$31)-WordListCount(K1279,keywords!$B$2:$B$31)</f>
        <v>0</v>
      </c>
      <c r="P1279" s="25">
        <f t="shared" si="39"/>
        <v>0.66960648148148139</v>
      </c>
      <c r="Q1279" s="23">
        <f>SUM($O$2:O1279)</f>
        <v>32</v>
      </c>
      <c r="Y1279" s="14"/>
      <c r="Z1279" s="13"/>
      <c r="AA1279"/>
    </row>
    <row r="1280" spans="1:27" x14ac:dyDescent="0.2">
      <c r="A1280" s="12" t="s">
        <v>4013</v>
      </c>
      <c r="B1280" t="s">
        <v>4014</v>
      </c>
      <c r="C1280" t="s">
        <v>4015</v>
      </c>
      <c r="D1280" t="s">
        <v>4016</v>
      </c>
      <c r="E1280" t="s">
        <v>13</v>
      </c>
      <c r="F1280">
        <v>1586</v>
      </c>
      <c r="G1280">
        <v>500</v>
      </c>
      <c r="H1280" s="5" t="s">
        <v>22</v>
      </c>
      <c r="I1280" s="5">
        <v>0</v>
      </c>
      <c r="J1280" s="5">
        <v>0</v>
      </c>
      <c r="K1280" t="s">
        <v>9404</v>
      </c>
      <c r="L1280" cm="1">
        <f t="array" ref="L1280">wordCount(K1280)</f>
        <v>7</v>
      </c>
      <c r="M1280">
        <f t="shared" si="38"/>
        <v>37</v>
      </c>
      <c r="N1280">
        <v>1</v>
      </c>
      <c r="O1280" s="23" cm="1">
        <f t="array" ref="O1280">WordListCount(K1280,keywords!$A$2:$A$31)-WordListCount(K1280,keywords!$B$2:$B$31)</f>
        <v>0</v>
      </c>
      <c r="P1280" s="25">
        <f t="shared" si="39"/>
        <v>0.66961805555555554</v>
      </c>
      <c r="Q1280" s="23">
        <f>SUM($O$2:O1280)</f>
        <v>32</v>
      </c>
      <c r="Y1280" s="14"/>
      <c r="Z1280" s="13"/>
      <c r="AA1280"/>
    </row>
    <row r="1281" spans="1:27" x14ac:dyDescent="0.2">
      <c r="A1281" s="12" t="s">
        <v>4017</v>
      </c>
      <c r="B1281" t="s">
        <v>4018</v>
      </c>
      <c r="C1281" t="s">
        <v>4019</v>
      </c>
      <c r="D1281" t="s">
        <v>4020</v>
      </c>
      <c r="E1281" t="s">
        <v>13</v>
      </c>
      <c r="F1281">
        <v>13378</v>
      </c>
      <c r="G1281">
        <v>1958</v>
      </c>
      <c r="H1281" s="5" t="s">
        <v>22</v>
      </c>
      <c r="I1281" s="5">
        <v>0</v>
      </c>
      <c r="J1281" s="5">
        <v>0</v>
      </c>
      <c r="K1281" t="s">
        <v>10709</v>
      </c>
      <c r="L1281" cm="1">
        <f t="array" ref="L1281">wordCount(K1281)</f>
        <v>18</v>
      </c>
      <c r="M1281">
        <f t="shared" si="38"/>
        <v>89</v>
      </c>
      <c r="N1281">
        <v>0.44</v>
      </c>
      <c r="O1281" s="23" cm="1">
        <f t="array" ref="O1281">WordListCount(K1281,keywords!$A$2:$A$31)-WordListCount(K1281,keywords!$B$2:$B$31)</f>
        <v>0</v>
      </c>
      <c r="P1281" s="25">
        <f t="shared" si="39"/>
        <v>0.66962962962962969</v>
      </c>
      <c r="Q1281" s="23">
        <f>SUM($O$2:O1281)</f>
        <v>32</v>
      </c>
      <c r="Y1281" s="14"/>
      <c r="Z1281" s="13"/>
      <c r="AA1281"/>
    </row>
    <row r="1282" spans="1:27" x14ac:dyDescent="0.2">
      <c r="A1282" s="12" t="s">
        <v>4021</v>
      </c>
      <c r="B1282" t="s">
        <v>4022</v>
      </c>
      <c r="C1282" t="s">
        <v>4023</v>
      </c>
      <c r="D1282" t="s">
        <v>4024</v>
      </c>
      <c r="E1282" t="s">
        <v>13</v>
      </c>
      <c r="F1282">
        <v>639</v>
      </c>
      <c r="G1282">
        <v>181</v>
      </c>
      <c r="H1282" s="5" t="s">
        <v>22</v>
      </c>
      <c r="I1282" s="5">
        <v>0</v>
      </c>
      <c r="J1282" s="5">
        <v>0</v>
      </c>
      <c r="K1282" t="s">
        <v>10710</v>
      </c>
      <c r="L1282" cm="1">
        <f t="array" ref="L1282">wordCount(K1282)</f>
        <v>20</v>
      </c>
      <c r="M1282">
        <f t="shared" ref="M1282:M1345" si="40">LEN(K1282)</f>
        <v>119</v>
      </c>
      <c r="N1282">
        <v>0.375</v>
      </c>
      <c r="O1282" s="23" cm="1">
        <f t="array" ref="O1282">WordListCount(K1282,keywords!$A$2:$A$31)-WordListCount(K1282,keywords!$B$2:$B$31)</f>
        <v>0</v>
      </c>
      <c r="P1282" s="25">
        <f t="shared" ref="P1282:P1345" si="41">TIMEVALUE(RIGHT(A1282,8))</f>
        <v>0.66965277777777776</v>
      </c>
      <c r="Q1282" s="23">
        <f>SUM($O$2:O1282)</f>
        <v>32</v>
      </c>
      <c r="Y1282" s="14"/>
      <c r="Z1282" s="13"/>
      <c r="AA1282"/>
    </row>
    <row r="1283" spans="1:27" x14ac:dyDescent="0.2">
      <c r="A1283" s="12" t="s">
        <v>4021</v>
      </c>
      <c r="B1283" t="s">
        <v>4008</v>
      </c>
      <c r="C1283" t="s">
        <v>4025</v>
      </c>
      <c r="D1283" t="s">
        <v>4026</v>
      </c>
      <c r="E1283" t="s">
        <v>13</v>
      </c>
      <c r="F1283">
        <v>13390</v>
      </c>
      <c r="G1283">
        <v>2525</v>
      </c>
      <c r="H1283" s="5" t="s">
        <v>22</v>
      </c>
      <c r="I1283" s="5">
        <v>0</v>
      </c>
      <c r="J1283" s="5">
        <v>0</v>
      </c>
      <c r="K1283" t="s">
        <v>9411</v>
      </c>
      <c r="L1283" cm="1">
        <f t="array" ref="L1283">wordCount(K1283)</f>
        <v>6</v>
      </c>
      <c r="M1283">
        <f t="shared" si="40"/>
        <v>36</v>
      </c>
      <c r="N1283">
        <v>0.8571428571428571</v>
      </c>
      <c r="O1283" s="23" cm="1">
        <f t="array" ref="O1283">WordListCount(K1283,keywords!$A$2:$A$31)-WordListCount(K1283,keywords!$B$2:$B$31)</f>
        <v>0</v>
      </c>
      <c r="P1283" s="25">
        <f t="shared" si="41"/>
        <v>0.66965277777777776</v>
      </c>
      <c r="Q1283" s="23">
        <f>SUM($O$2:O1283)</f>
        <v>32</v>
      </c>
      <c r="Y1283" s="14"/>
      <c r="Z1283" s="13"/>
      <c r="AA1283"/>
    </row>
    <row r="1284" spans="1:27" x14ac:dyDescent="0.2">
      <c r="A1284" s="12" t="s">
        <v>4027</v>
      </c>
      <c r="B1284" t="s">
        <v>4028</v>
      </c>
      <c r="C1284" t="s">
        <v>4029</v>
      </c>
      <c r="D1284" t="s">
        <v>4030</v>
      </c>
      <c r="E1284" t="s">
        <v>13</v>
      </c>
      <c r="F1284">
        <v>93</v>
      </c>
      <c r="G1284">
        <v>65</v>
      </c>
      <c r="H1284" s="5" t="s">
        <v>22</v>
      </c>
      <c r="I1284" s="5">
        <v>0</v>
      </c>
      <c r="J1284" s="5">
        <v>0</v>
      </c>
      <c r="K1284" t="s">
        <v>10711</v>
      </c>
      <c r="L1284" cm="1">
        <f t="array" ref="L1284">wordCount(K1284)</f>
        <v>11</v>
      </c>
      <c r="M1284">
        <f t="shared" si="40"/>
        <v>55</v>
      </c>
      <c r="N1284">
        <v>0.66666666666666663</v>
      </c>
      <c r="O1284" s="23" cm="1">
        <f t="array" ref="O1284">WordListCount(K1284,keywords!$A$2:$A$31)-WordListCount(K1284,keywords!$B$2:$B$31)</f>
        <v>0</v>
      </c>
      <c r="P1284" s="25">
        <f t="shared" si="41"/>
        <v>0.66972222222222222</v>
      </c>
      <c r="Q1284" s="23">
        <f>SUM($O$2:O1284)</f>
        <v>32</v>
      </c>
      <c r="Y1284" s="14"/>
      <c r="Z1284" s="13"/>
      <c r="AA1284"/>
    </row>
    <row r="1285" spans="1:27" x14ac:dyDescent="0.2">
      <c r="A1285" s="12" t="s">
        <v>4031</v>
      </c>
      <c r="B1285" t="s">
        <v>4032</v>
      </c>
      <c r="C1285" t="s">
        <v>4033</v>
      </c>
      <c r="D1285" t="s">
        <v>74</v>
      </c>
      <c r="E1285" t="s">
        <v>13</v>
      </c>
      <c r="F1285">
        <v>208</v>
      </c>
      <c r="G1285">
        <v>80</v>
      </c>
      <c r="H1285" s="5" t="s">
        <v>22</v>
      </c>
      <c r="I1285" s="5">
        <v>0</v>
      </c>
      <c r="J1285" s="5">
        <v>0</v>
      </c>
      <c r="K1285" t="s">
        <v>10712</v>
      </c>
      <c r="L1285" cm="1">
        <f t="array" ref="L1285">wordCount(K1285)</f>
        <v>11</v>
      </c>
      <c r="M1285">
        <f t="shared" si="40"/>
        <v>50</v>
      </c>
      <c r="N1285">
        <v>0.66666666666666663</v>
      </c>
      <c r="O1285" s="23" cm="1">
        <f t="array" ref="O1285">WordListCount(K1285,keywords!$A$2:$A$31)-WordListCount(K1285,keywords!$B$2:$B$31)</f>
        <v>0</v>
      </c>
      <c r="P1285" s="25">
        <f t="shared" si="41"/>
        <v>0.6697685185185186</v>
      </c>
      <c r="Q1285" s="23">
        <f>SUM($O$2:O1285)</f>
        <v>32</v>
      </c>
      <c r="Y1285" s="14"/>
      <c r="Z1285" s="13"/>
      <c r="AA1285"/>
    </row>
    <row r="1286" spans="1:27" x14ac:dyDescent="0.2">
      <c r="A1286" s="12" t="s">
        <v>4034</v>
      </c>
      <c r="B1286" t="s">
        <v>4035</v>
      </c>
      <c r="C1286" t="s">
        <v>4036</v>
      </c>
      <c r="D1286" t="s">
        <v>12</v>
      </c>
      <c r="E1286" t="s">
        <v>13</v>
      </c>
      <c r="F1286">
        <v>2191</v>
      </c>
      <c r="G1286">
        <v>151</v>
      </c>
      <c r="H1286" s="5" t="s">
        <v>22</v>
      </c>
      <c r="I1286" s="5">
        <v>0</v>
      </c>
      <c r="J1286" s="5">
        <v>0</v>
      </c>
      <c r="K1286" t="s">
        <v>10713</v>
      </c>
      <c r="L1286" cm="1">
        <f t="array" ref="L1286">wordCount(K1286)</f>
        <v>18</v>
      </c>
      <c r="M1286">
        <f t="shared" si="40"/>
        <v>94</v>
      </c>
      <c r="N1286">
        <v>0.32</v>
      </c>
      <c r="O1286" s="23" cm="1">
        <f t="array" ref="O1286">WordListCount(K1286,keywords!$A$2:$A$31)-WordListCount(K1286,keywords!$B$2:$B$31)</f>
        <v>0</v>
      </c>
      <c r="P1286" s="25">
        <f t="shared" si="41"/>
        <v>0.669988425925926</v>
      </c>
      <c r="Q1286" s="23">
        <f>SUM($O$2:O1286)</f>
        <v>32</v>
      </c>
      <c r="Y1286" s="14"/>
      <c r="Z1286" s="13"/>
      <c r="AA1286"/>
    </row>
    <row r="1287" spans="1:27" x14ac:dyDescent="0.2">
      <c r="A1287" s="12" t="s">
        <v>4037</v>
      </c>
      <c r="B1287" t="s">
        <v>4038</v>
      </c>
      <c r="C1287" t="s">
        <v>4039</v>
      </c>
      <c r="D1287" t="s">
        <v>4040</v>
      </c>
      <c r="E1287" t="s">
        <v>13</v>
      </c>
      <c r="F1287">
        <v>65</v>
      </c>
      <c r="G1287">
        <v>102</v>
      </c>
      <c r="H1287" s="5" t="s">
        <v>22</v>
      </c>
      <c r="I1287" s="5">
        <v>0</v>
      </c>
      <c r="J1287" s="5">
        <v>0</v>
      </c>
      <c r="K1287" t="s">
        <v>10714</v>
      </c>
      <c r="L1287" cm="1">
        <f t="array" ref="L1287">wordCount(K1287)</f>
        <v>13</v>
      </c>
      <c r="M1287">
        <f t="shared" si="40"/>
        <v>69</v>
      </c>
      <c r="N1287">
        <v>0.2857142857142857</v>
      </c>
      <c r="O1287" s="23" cm="1">
        <f t="array" ref="O1287">WordListCount(K1287,keywords!$A$2:$A$31)-WordListCount(K1287,keywords!$B$2:$B$31)</f>
        <v>2</v>
      </c>
      <c r="P1287" s="25">
        <f t="shared" si="41"/>
        <v>0.6702893518518519</v>
      </c>
      <c r="Q1287" s="23">
        <f>SUM($O$2:O1287)</f>
        <v>34</v>
      </c>
      <c r="Y1287" s="14"/>
      <c r="Z1287" s="13"/>
      <c r="AA1287"/>
    </row>
    <row r="1288" spans="1:27" x14ac:dyDescent="0.2">
      <c r="A1288" s="12" t="s">
        <v>4041</v>
      </c>
      <c r="B1288" t="s">
        <v>4042</v>
      </c>
      <c r="C1288" t="s">
        <v>4043</v>
      </c>
      <c r="D1288" t="s">
        <v>4044</v>
      </c>
      <c r="E1288" t="s">
        <v>13</v>
      </c>
      <c r="F1288">
        <v>1135</v>
      </c>
      <c r="G1288">
        <v>336</v>
      </c>
      <c r="H1288" s="5" t="s">
        <v>22</v>
      </c>
      <c r="I1288" s="5">
        <v>0</v>
      </c>
      <c r="J1288" s="5">
        <v>0</v>
      </c>
      <c r="K1288" t="s">
        <v>9413</v>
      </c>
      <c r="L1288" cm="1">
        <f t="array" ref="L1288">wordCount(K1288)</f>
        <v>11</v>
      </c>
      <c r="M1288">
        <f t="shared" si="40"/>
        <v>60</v>
      </c>
      <c r="N1288">
        <v>0.375</v>
      </c>
      <c r="O1288" s="23" cm="1">
        <f t="array" ref="O1288">WordListCount(K1288,keywords!$A$2:$A$31)-WordListCount(K1288,keywords!$B$2:$B$31)</f>
        <v>0</v>
      </c>
      <c r="P1288" s="25">
        <f t="shared" si="41"/>
        <v>0.67033564814814817</v>
      </c>
      <c r="Q1288" s="23">
        <f>SUM($O$2:O1288)</f>
        <v>34</v>
      </c>
      <c r="Y1288" s="14"/>
      <c r="Z1288" s="13"/>
      <c r="AA1288"/>
    </row>
    <row r="1289" spans="1:27" x14ac:dyDescent="0.2">
      <c r="A1289" s="12" t="s">
        <v>4045</v>
      </c>
      <c r="B1289" t="s">
        <v>4046</v>
      </c>
      <c r="C1289" t="s">
        <v>657</v>
      </c>
      <c r="D1289" t="s">
        <v>658</v>
      </c>
      <c r="E1289" t="s">
        <v>13</v>
      </c>
      <c r="F1289">
        <v>3564</v>
      </c>
      <c r="G1289">
        <v>88</v>
      </c>
      <c r="H1289" s="5" t="s">
        <v>22</v>
      </c>
      <c r="I1289" s="5">
        <v>0</v>
      </c>
      <c r="J1289" s="5">
        <v>0</v>
      </c>
      <c r="K1289" t="s">
        <v>9404</v>
      </c>
      <c r="L1289" cm="1">
        <f t="array" ref="L1289">wordCount(K1289)</f>
        <v>7</v>
      </c>
      <c r="M1289">
        <f t="shared" si="40"/>
        <v>37</v>
      </c>
      <c r="N1289">
        <v>1</v>
      </c>
      <c r="O1289" s="23" cm="1">
        <f t="array" ref="O1289">WordListCount(K1289,keywords!$A$2:$A$31)-WordListCount(K1289,keywords!$B$2:$B$31)</f>
        <v>0</v>
      </c>
      <c r="P1289" s="25">
        <f t="shared" si="41"/>
        <v>0.67034722222222232</v>
      </c>
      <c r="Q1289" s="23">
        <f>SUM($O$2:O1289)</f>
        <v>34</v>
      </c>
      <c r="Y1289" s="14"/>
      <c r="Z1289" s="13"/>
      <c r="AA1289"/>
    </row>
    <row r="1290" spans="1:27" x14ac:dyDescent="0.2">
      <c r="A1290" s="12" t="s">
        <v>4047</v>
      </c>
      <c r="B1290" t="s">
        <v>4048</v>
      </c>
      <c r="C1290" t="s">
        <v>4049</v>
      </c>
      <c r="D1290" t="s">
        <v>12</v>
      </c>
      <c r="E1290" t="s">
        <v>13</v>
      </c>
      <c r="F1290">
        <v>91</v>
      </c>
      <c r="G1290">
        <v>83</v>
      </c>
      <c r="H1290" s="5" t="s">
        <v>22</v>
      </c>
      <c r="I1290" s="5">
        <v>0</v>
      </c>
      <c r="J1290" s="5">
        <v>0</v>
      </c>
      <c r="K1290" t="s">
        <v>10715</v>
      </c>
      <c r="L1290" cm="1">
        <f t="array" ref="L1290">wordCount(K1290)</f>
        <v>10</v>
      </c>
      <c r="M1290">
        <f t="shared" si="40"/>
        <v>38</v>
      </c>
      <c r="N1290">
        <v>0.6428571428571429</v>
      </c>
      <c r="O1290" s="23" cm="1">
        <f t="array" ref="O1290">WordListCount(K1290,keywords!$A$2:$A$31)-WordListCount(K1290,keywords!$B$2:$B$31)</f>
        <v>0</v>
      </c>
      <c r="P1290" s="25">
        <f t="shared" si="41"/>
        <v>0.67045138888888889</v>
      </c>
      <c r="Q1290" s="23">
        <f>SUM($O$2:O1290)</f>
        <v>34</v>
      </c>
      <c r="Y1290" s="14"/>
      <c r="Z1290" s="13"/>
      <c r="AA1290"/>
    </row>
    <row r="1291" spans="1:27" x14ac:dyDescent="0.2">
      <c r="A1291" s="12" t="s">
        <v>4050</v>
      </c>
      <c r="B1291" t="s">
        <v>4051</v>
      </c>
      <c r="C1291" t="s">
        <v>4052</v>
      </c>
      <c r="D1291" t="s">
        <v>12</v>
      </c>
      <c r="E1291" t="s">
        <v>13</v>
      </c>
      <c r="F1291">
        <v>594</v>
      </c>
      <c r="G1291">
        <v>236</v>
      </c>
      <c r="H1291" s="5" t="s">
        <v>22</v>
      </c>
      <c r="I1291" s="5">
        <v>0</v>
      </c>
      <c r="J1291" s="5">
        <v>0</v>
      </c>
      <c r="K1291" t="s">
        <v>10716</v>
      </c>
      <c r="L1291" cm="1">
        <f t="array" ref="L1291">wordCount(K1291)</f>
        <v>19</v>
      </c>
      <c r="M1291">
        <f t="shared" si="40"/>
        <v>102</v>
      </c>
      <c r="N1291">
        <v>0.58064516129032262</v>
      </c>
      <c r="O1291" s="23" cm="1">
        <f t="array" ref="O1291">WordListCount(K1291,keywords!$A$2:$A$31)-WordListCount(K1291,keywords!$B$2:$B$31)</f>
        <v>0</v>
      </c>
      <c r="P1291" s="25">
        <f t="shared" si="41"/>
        <v>0.67077546296296298</v>
      </c>
      <c r="Q1291" s="23">
        <f>SUM($O$2:O1291)</f>
        <v>34</v>
      </c>
      <c r="Y1291" s="14"/>
      <c r="Z1291" s="13"/>
      <c r="AA1291"/>
    </row>
    <row r="1292" spans="1:27" x14ac:dyDescent="0.2">
      <c r="A1292" s="12" t="s">
        <v>4053</v>
      </c>
      <c r="B1292" t="s">
        <v>4054</v>
      </c>
      <c r="C1292" t="s">
        <v>4055</v>
      </c>
      <c r="D1292" t="s">
        <v>4056</v>
      </c>
      <c r="E1292" t="s">
        <v>13</v>
      </c>
      <c r="F1292">
        <v>154</v>
      </c>
      <c r="G1292">
        <v>288</v>
      </c>
      <c r="H1292" s="5" t="s">
        <v>22</v>
      </c>
      <c r="I1292" s="5">
        <v>0</v>
      </c>
      <c r="J1292" s="5">
        <v>0</v>
      </c>
      <c r="K1292" t="s">
        <v>10717</v>
      </c>
      <c r="L1292" cm="1">
        <f t="array" ref="L1292">wordCount(K1292)</f>
        <v>10</v>
      </c>
      <c r="M1292">
        <f t="shared" si="40"/>
        <v>47</v>
      </c>
      <c r="N1292">
        <v>0.5714285714285714</v>
      </c>
      <c r="O1292" s="23" cm="1">
        <f t="array" ref="O1292">WordListCount(K1292,keywords!$A$2:$A$31)-WordListCount(K1292,keywords!$B$2:$B$31)</f>
        <v>0</v>
      </c>
      <c r="P1292" s="25">
        <f t="shared" si="41"/>
        <v>0.67099537037037038</v>
      </c>
      <c r="Q1292" s="23">
        <f>SUM($O$2:O1292)</f>
        <v>34</v>
      </c>
      <c r="Y1292" s="14"/>
      <c r="Z1292" s="13"/>
      <c r="AA1292"/>
    </row>
    <row r="1293" spans="1:27" x14ac:dyDescent="0.2">
      <c r="A1293" s="12" t="s">
        <v>4057</v>
      </c>
      <c r="B1293" t="s">
        <v>4058</v>
      </c>
      <c r="C1293" t="s">
        <v>4059</v>
      </c>
      <c r="D1293" t="s">
        <v>12</v>
      </c>
      <c r="E1293" t="s">
        <v>13</v>
      </c>
      <c r="F1293">
        <v>365</v>
      </c>
      <c r="G1293">
        <v>454</v>
      </c>
      <c r="H1293" s="5" t="s">
        <v>22</v>
      </c>
      <c r="I1293" s="5">
        <v>0</v>
      </c>
      <c r="J1293" s="5">
        <v>0</v>
      </c>
      <c r="K1293" t="s">
        <v>9414</v>
      </c>
      <c r="L1293" cm="1">
        <f t="array" ref="L1293">wordCount(K1293)</f>
        <v>19</v>
      </c>
      <c r="M1293">
        <f t="shared" si="40"/>
        <v>89</v>
      </c>
      <c r="N1293">
        <v>0.42857142857142855</v>
      </c>
      <c r="O1293" s="23" cm="1">
        <f t="array" ref="O1293">WordListCount(K1293,keywords!$A$2:$A$31)-WordListCount(K1293,keywords!$B$2:$B$31)</f>
        <v>0</v>
      </c>
      <c r="P1293" s="25">
        <f t="shared" si="41"/>
        <v>0.6710532407407408</v>
      </c>
      <c r="Q1293" s="23">
        <f>SUM($O$2:O1293)</f>
        <v>34</v>
      </c>
      <c r="Y1293" s="14"/>
      <c r="Z1293" s="13"/>
      <c r="AA1293"/>
    </row>
    <row r="1294" spans="1:27" x14ac:dyDescent="0.2">
      <c r="A1294" s="12" t="s">
        <v>4060</v>
      </c>
      <c r="B1294" t="s">
        <v>4061</v>
      </c>
      <c r="C1294" t="s">
        <v>310</v>
      </c>
      <c r="D1294" t="s">
        <v>12</v>
      </c>
      <c r="E1294" t="s">
        <v>13</v>
      </c>
      <c r="F1294">
        <v>3634</v>
      </c>
      <c r="G1294">
        <v>3732</v>
      </c>
      <c r="H1294" s="5" t="s">
        <v>22</v>
      </c>
      <c r="I1294" s="5">
        <v>0</v>
      </c>
      <c r="J1294" s="5">
        <v>0</v>
      </c>
      <c r="K1294" t="s">
        <v>9415</v>
      </c>
      <c r="L1294" cm="1">
        <f t="array" ref="L1294">wordCount(K1294)</f>
        <v>8</v>
      </c>
      <c r="M1294">
        <f t="shared" si="40"/>
        <v>53</v>
      </c>
      <c r="N1294">
        <v>0.63157894736842102</v>
      </c>
      <c r="O1294" s="23" cm="1">
        <f t="array" ref="O1294">WordListCount(K1294,keywords!$A$2:$A$31)-WordListCount(K1294,keywords!$B$2:$B$31)</f>
        <v>0</v>
      </c>
      <c r="P1294" s="25">
        <f t="shared" si="41"/>
        <v>0.67112268518518514</v>
      </c>
      <c r="Q1294" s="23">
        <f>SUM($O$2:O1294)</f>
        <v>34</v>
      </c>
      <c r="Y1294" s="14"/>
      <c r="Z1294" s="13"/>
      <c r="AA1294"/>
    </row>
    <row r="1295" spans="1:27" x14ac:dyDescent="0.2">
      <c r="A1295" s="12" t="s">
        <v>4062</v>
      </c>
      <c r="B1295" t="s">
        <v>4063</v>
      </c>
      <c r="C1295" t="s">
        <v>4064</v>
      </c>
      <c r="D1295" t="s">
        <v>4065</v>
      </c>
      <c r="E1295" t="s">
        <v>13</v>
      </c>
      <c r="F1295">
        <v>527</v>
      </c>
      <c r="G1295">
        <v>274</v>
      </c>
      <c r="H1295" s="5" t="s">
        <v>22</v>
      </c>
      <c r="I1295" s="5">
        <v>0</v>
      </c>
      <c r="J1295" s="5">
        <v>0</v>
      </c>
      <c r="K1295" t="s">
        <v>10718</v>
      </c>
      <c r="L1295" cm="1">
        <f t="array" ref="L1295">wordCount(K1295)</f>
        <v>15</v>
      </c>
      <c r="M1295">
        <f t="shared" si="40"/>
        <v>72</v>
      </c>
      <c r="N1295">
        <v>0.5</v>
      </c>
      <c r="O1295" s="23" cm="1">
        <f t="array" ref="O1295">WordListCount(K1295,keywords!$A$2:$A$31)-WordListCount(K1295,keywords!$B$2:$B$31)</f>
        <v>0</v>
      </c>
      <c r="P1295" s="25">
        <f t="shared" si="41"/>
        <v>0.67113425925925929</v>
      </c>
      <c r="Q1295" s="23">
        <f>SUM($O$2:O1295)</f>
        <v>34</v>
      </c>
      <c r="Y1295" s="14"/>
      <c r="Z1295" s="13"/>
      <c r="AA1295"/>
    </row>
    <row r="1296" spans="1:27" x14ac:dyDescent="0.2">
      <c r="A1296" s="12" t="s">
        <v>4066</v>
      </c>
      <c r="B1296" t="s">
        <v>4067</v>
      </c>
      <c r="C1296" t="s">
        <v>4068</v>
      </c>
      <c r="D1296" t="s">
        <v>4069</v>
      </c>
      <c r="E1296" t="s">
        <v>13</v>
      </c>
      <c r="F1296">
        <v>1</v>
      </c>
      <c r="G1296">
        <v>9</v>
      </c>
      <c r="H1296" s="5" t="s">
        <v>22</v>
      </c>
      <c r="I1296" s="5">
        <v>0</v>
      </c>
      <c r="J1296" s="5">
        <v>0</v>
      </c>
      <c r="K1296" t="s">
        <v>9416</v>
      </c>
      <c r="L1296" cm="1">
        <f t="array" ref="L1296">wordCount(K1296)</f>
        <v>4</v>
      </c>
      <c r="M1296">
        <f t="shared" si="40"/>
        <v>22</v>
      </c>
      <c r="N1296">
        <v>0.7</v>
      </c>
      <c r="O1296" s="23" cm="1">
        <f t="array" ref="O1296">WordListCount(K1296,keywords!$A$2:$A$31)-WordListCount(K1296,keywords!$B$2:$B$31)</f>
        <v>0</v>
      </c>
      <c r="P1296" s="25">
        <f t="shared" si="41"/>
        <v>0.67129629629629628</v>
      </c>
      <c r="Q1296" s="23">
        <f>SUM($O$2:O1296)</f>
        <v>34</v>
      </c>
      <c r="Y1296" s="14"/>
      <c r="Z1296" s="13"/>
      <c r="AA1296"/>
    </row>
    <row r="1297" spans="1:27" x14ac:dyDescent="0.2">
      <c r="A1297" s="12" t="s">
        <v>4070</v>
      </c>
      <c r="B1297" t="s">
        <v>4071</v>
      </c>
      <c r="C1297" t="s">
        <v>4072</v>
      </c>
      <c r="D1297" t="s">
        <v>3341</v>
      </c>
      <c r="E1297" t="s">
        <v>13</v>
      </c>
      <c r="F1297">
        <v>18</v>
      </c>
      <c r="G1297">
        <v>141</v>
      </c>
      <c r="H1297" s="5" t="s">
        <v>22</v>
      </c>
      <c r="I1297" s="5">
        <v>0</v>
      </c>
      <c r="J1297" s="5">
        <v>0</v>
      </c>
      <c r="K1297" t="s">
        <v>10719</v>
      </c>
      <c r="L1297" cm="1">
        <f t="array" ref="L1297">wordCount(K1297)</f>
        <v>22</v>
      </c>
      <c r="M1297">
        <f t="shared" si="40"/>
        <v>95</v>
      </c>
      <c r="N1297">
        <v>0.39285714285714285</v>
      </c>
      <c r="O1297" s="23" cm="1">
        <f t="array" ref="O1297">WordListCount(K1297,keywords!$A$2:$A$31)-WordListCount(K1297,keywords!$B$2:$B$31)</f>
        <v>0</v>
      </c>
      <c r="P1297" s="25">
        <f t="shared" si="41"/>
        <v>0.67133101851851851</v>
      </c>
      <c r="Q1297" s="23">
        <f>SUM($O$2:O1297)</f>
        <v>34</v>
      </c>
      <c r="Y1297" s="14"/>
      <c r="Z1297" s="13"/>
      <c r="AA1297"/>
    </row>
    <row r="1298" spans="1:27" x14ac:dyDescent="0.2">
      <c r="A1298" s="12" t="s">
        <v>4073</v>
      </c>
      <c r="B1298" t="s">
        <v>4074</v>
      </c>
      <c r="C1298" t="s">
        <v>4075</v>
      </c>
      <c r="D1298" t="s">
        <v>776</v>
      </c>
      <c r="E1298" t="s">
        <v>13</v>
      </c>
      <c r="F1298">
        <v>5264</v>
      </c>
      <c r="G1298">
        <v>130</v>
      </c>
      <c r="H1298" s="5" t="s">
        <v>22</v>
      </c>
      <c r="I1298" s="5">
        <v>0</v>
      </c>
      <c r="J1298" s="5">
        <v>0</v>
      </c>
      <c r="K1298" t="s">
        <v>10720</v>
      </c>
      <c r="L1298" cm="1">
        <f t="array" ref="L1298">wordCount(K1298)</f>
        <v>13</v>
      </c>
      <c r="M1298">
        <f t="shared" si="40"/>
        <v>69</v>
      </c>
      <c r="N1298">
        <v>0.375</v>
      </c>
      <c r="O1298" s="23" cm="1">
        <f t="array" ref="O1298">WordListCount(K1298,keywords!$A$2:$A$31)-WordListCount(K1298,keywords!$B$2:$B$31)</f>
        <v>1</v>
      </c>
      <c r="P1298" s="25">
        <f t="shared" si="41"/>
        <v>0.67140046296296296</v>
      </c>
      <c r="Q1298" s="23">
        <f>SUM($O$2:O1298)</f>
        <v>35</v>
      </c>
      <c r="Y1298" s="14"/>
      <c r="Z1298" s="13"/>
      <c r="AA1298"/>
    </row>
    <row r="1299" spans="1:27" x14ac:dyDescent="0.2">
      <c r="A1299" s="12" t="s">
        <v>4076</v>
      </c>
      <c r="B1299" t="s">
        <v>4077</v>
      </c>
      <c r="C1299" t="s">
        <v>4078</v>
      </c>
      <c r="D1299" t="s">
        <v>12</v>
      </c>
      <c r="E1299" t="s">
        <v>13</v>
      </c>
      <c r="F1299">
        <v>0</v>
      </c>
      <c r="G1299">
        <v>100</v>
      </c>
      <c r="H1299" s="5" t="s">
        <v>22</v>
      </c>
      <c r="I1299" s="5">
        <v>0</v>
      </c>
      <c r="J1299" s="5">
        <v>0</v>
      </c>
      <c r="K1299" t="s">
        <v>9047</v>
      </c>
      <c r="L1299" cm="1">
        <f t="array" ref="L1299">wordCount(K1299)</f>
        <v>1</v>
      </c>
      <c r="M1299">
        <f t="shared" si="40"/>
        <v>7</v>
      </c>
      <c r="N1299">
        <v>0.5</v>
      </c>
      <c r="O1299" s="23" cm="1">
        <f t="array" ref="O1299">WordListCount(K1299,keywords!$A$2:$A$31)-WordListCount(K1299,keywords!$B$2:$B$31)</f>
        <v>0</v>
      </c>
      <c r="P1299" s="25">
        <f t="shared" si="41"/>
        <v>0.67152777777777783</v>
      </c>
      <c r="Q1299" s="23">
        <f>SUM($O$2:O1299)</f>
        <v>35</v>
      </c>
      <c r="Y1299" s="14"/>
      <c r="Z1299" s="13"/>
      <c r="AA1299"/>
    </row>
    <row r="1300" spans="1:27" x14ac:dyDescent="0.2">
      <c r="A1300" s="12" t="s">
        <v>4079</v>
      </c>
      <c r="B1300" t="s">
        <v>4080</v>
      </c>
      <c r="C1300" t="s">
        <v>4081</v>
      </c>
      <c r="D1300" t="s">
        <v>231</v>
      </c>
      <c r="E1300" t="s">
        <v>13</v>
      </c>
      <c r="F1300">
        <v>153</v>
      </c>
      <c r="G1300">
        <v>151</v>
      </c>
      <c r="H1300" s="5" t="s">
        <v>22</v>
      </c>
      <c r="I1300" s="5">
        <v>0</v>
      </c>
      <c r="J1300" s="5">
        <v>0</v>
      </c>
      <c r="K1300" t="s">
        <v>10721</v>
      </c>
      <c r="L1300" cm="1">
        <f t="array" ref="L1300">wordCount(K1300)</f>
        <v>19</v>
      </c>
      <c r="M1300">
        <f t="shared" si="40"/>
        <v>112</v>
      </c>
      <c r="N1300">
        <v>0.29411764705882354</v>
      </c>
      <c r="O1300" s="23" cm="1">
        <f t="array" ref="O1300">WordListCount(K1300,keywords!$A$2:$A$31)-WordListCount(K1300,keywords!$B$2:$B$31)</f>
        <v>0</v>
      </c>
      <c r="P1300" s="25">
        <f t="shared" si="41"/>
        <v>0.67159722222222218</v>
      </c>
      <c r="Q1300" s="23">
        <f>SUM($O$2:O1300)</f>
        <v>35</v>
      </c>
      <c r="Y1300" s="14"/>
      <c r="Z1300" s="13"/>
      <c r="AA1300"/>
    </row>
    <row r="1301" spans="1:27" x14ac:dyDescent="0.2">
      <c r="A1301" s="12" t="s">
        <v>4082</v>
      </c>
      <c r="B1301" t="s">
        <v>4083</v>
      </c>
      <c r="C1301" t="s">
        <v>4084</v>
      </c>
      <c r="D1301" t="s">
        <v>4085</v>
      </c>
      <c r="E1301" t="s">
        <v>13</v>
      </c>
      <c r="F1301">
        <v>595</v>
      </c>
      <c r="G1301">
        <v>531</v>
      </c>
      <c r="H1301" s="5" t="s">
        <v>22</v>
      </c>
      <c r="I1301" s="5">
        <v>0</v>
      </c>
      <c r="J1301" s="5">
        <v>0</v>
      </c>
      <c r="K1301" t="s">
        <v>10722</v>
      </c>
      <c r="L1301" cm="1">
        <f t="array" ref="L1301">wordCount(K1301)</f>
        <v>15</v>
      </c>
      <c r="M1301">
        <f t="shared" si="40"/>
        <v>75</v>
      </c>
      <c r="N1301">
        <v>0.48</v>
      </c>
      <c r="O1301" s="23" cm="1">
        <f t="array" ref="O1301">WordListCount(K1301,keywords!$A$2:$A$31)-WordListCount(K1301,keywords!$B$2:$B$31)</f>
        <v>0</v>
      </c>
      <c r="P1301" s="25">
        <f t="shared" si="41"/>
        <v>0.67163194444444452</v>
      </c>
      <c r="Q1301" s="23">
        <f>SUM($O$2:O1301)</f>
        <v>35</v>
      </c>
      <c r="Y1301" s="14"/>
      <c r="Z1301" s="13"/>
      <c r="AA1301"/>
    </row>
    <row r="1302" spans="1:27" x14ac:dyDescent="0.2">
      <c r="A1302" s="12" t="s">
        <v>4086</v>
      </c>
      <c r="B1302" t="s">
        <v>4087</v>
      </c>
      <c r="C1302" t="s">
        <v>4088</v>
      </c>
      <c r="D1302" t="s">
        <v>120</v>
      </c>
      <c r="E1302" t="s">
        <v>13</v>
      </c>
      <c r="F1302">
        <v>774</v>
      </c>
      <c r="G1302">
        <v>626</v>
      </c>
      <c r="H1302" s="5" t="s">
        <v>22</v>
      </c>
      <c r="I1302" s="5">
        <v>0</v>
      </c>
      <c r="J1302" s="5">
        <v>0</v>
      </c>
      <c r="K1302" t="s">
        <v>10723</v>
      </c>
      <c r="L1302" cm="1">
        <f t="array" ref="L1302">wordCount(K1302)</f>
        <v>17</v>
      </c>
      <c r="M1302">
        <f t="shared" si="40"/>
        <v>86</v>
      </c>
      <c r="N1302">
        <v>0.54545454545454541</v>
      </c>
      <c r="O1302" s="23" cm="1">
        <f t="array" ref="O1302">WordListCount(K1302,keywords!$A$2:$A$31)-WordListCount(K1302,keywords!$B$2:$B$31)</f>
        <v>0</v>
      </c>
      <c r="P1302" s="25">
        <f t="shared" si="41"/>
        <v>0.6716550925925926</v>
      </c>
      <c r="Q1302" s="23">
        <f>SUM($O$2:O1302)</f>
        <v>35</v>
      </c>
      <c r="Y1302" s="14"/>
      <c r="Z1302" s="13"/>
      <c r="AA1302"/>
    </row>
    <row r="1303" spans="1:27" x14ac:dyDescent="0.2">
      <c r="A1303" s="12" t="s">
        <v>4089</v>
      </c>
      <c r="B1303" t="s">
        <v>4090</v>
      </c>
      <c r="C1303" t="s">
        <v>4091</v>
      </c>
      <c r="D1303" t="s">
        <v>4092</v>
      </c>
      <c r="E1303" t="s">
        <v>13</v>
      </c>
      <c r="F1303">
        <v>1047</v>
      </c>
      <c r="G1303">
        <v>2009</v>
      </c>
      <c r="H1303" s="5" t="s">
        <v>22</v>
      </c>
      <c r="I1303" s="5">
        <v>0</v>
      </c>
      <c r="J1303" s="5">
        <v>0</v>
      </c>
      <c r="K1303" t="s">
        <v>10724</v>
      </c>
      <c r="L1303" cm="1">
        <f t="array" ref="L1303">wordCount(K1303)</f>
        <v>10</v>
      </c>
      <c r="M1303">
        <f t="shared" si="40"/>
        <v>51</v>
      </c>
      <c r="N1303">
        <v>0.55555555555555558</v>
      </c>
      <c r="O1303" s="23" cm="1">
        <f t="array" ref="O1303">WordListCount(K1303,keywords!$A$2:$A$31)-WordListCount(K1303,keywords!$B$2:$B$31)</f>
        <v>0</v>
      </c>
      <c r="P1303" s="25">
        <f t="shared" si="41"/>
        <v>0.67182870370370373</v>
      </c>
      <c r="Q1303" s="23">
        <f>SUM($O$2:O1303)</f>
        <v>35</v>
      </c>
      <c r="Y1303" s="14"/>
      <c r="Z1303" s="13"/>
      <c r="AA1303"/>
    </row>
    <row r="1304" spans="1:27" x14ac:dyDescent="0.2">
      <c r="A1304" s="12" t="s">
        <v>4093</v>
      </c>
      <c r="B1304" t="s">
        <v>4094</v>
      </c>
      <c r="C1304" t="s">
        <v>4095</v>
      </c>
      <c r="D1304" t="s">
        <v>12</v>
      </c>
      <c r="E1304" t="s">
        <v>13</v>
      </c>
      <c r="F1304">
        <v>14</v>
      </c>
      <c r="G1304">
        <v>5</v>
      </c>
      <c r="H1304" s="5" t="s">
        <v>22</v>
      </c>
      <c r="I1304" s="5">
        <v>0</v>
      </c>
      <c r="J1304" s="5">
        <v>0</v>
      </c>
      <c r="K1304" t="s">
        <v>10725</v>
      </c>
      <c r="L1304" cm="1">
        <f t="array" ref="L1304">wordCount(K1304)</f>
        <v>10</v>
      </c>
      <c r="M1304">
        <f t="shared" si="40"/>
        <v>44</v>
      </c>
      <c r="N1304">
        <v>0.625</v>
      </c>
      <c r="O1304" s="23" cm="1">
        <f t="array" ref="O1304">WordListCount(K1304,keywords!$A$2:$A$31)-WordListCount(K1304,keywords!$B$2:$B$31)</f>
        <v>0</v>
      </c>
      <c r="P1304" s="25">
        <f t="shared" si="41"/>
        <v>0.67204861111111114</v>
      </c>
      <c r="Q1304" s="23">
        <f>SUM($O$2:O1304)</f>
        <v>35</v>
      </c>
      <c r="Y1304" s="14"/>
      <c r="Z1304" s="13"/>
      <c r="AA1304"/>
    </row>
    <row r="1305" spans="1:27" x14ac:dyDescent="0.2">
      <c r="A1305" s="12" t="s">
        <v>4096</v>
      </c>
      <c r="B1305" t="s">
        <v>4097</v>
      </c>
      <c r="C1305" t="s">
        <v>4098</v>
      </c>
      <c r="D1305" t="s">
        <v>4099</v>
      </c>
      <c r="E1305" t="s">
        <v>13</v>
      </c>
      <c r="F1305">
        <v>7</v>
      </c>
      <c r="G1305">
        <v>13</v>
      </c>
      <c r="H1305" s="5" t="s">
        <v>2377</v>
      </c>
      <c r="I1305" s="5">
        <v>0</v>
      </c>
      <c r="J1305" s="5">
        <v>0</v>
      </c>
      <c r="K1305" t="s">
        <v>10726</v>
      </c>
      <c r="L1305" cm="1">
        <f t="array" ref="L1305">wordCount(K1305)</f>
        <v>13</v>
      </c>
      <c r="M1305">
        <f t="shared" si="40"/>
        <v>63</v>
      </c>
      <c r="N1305">
        <v>0.7142857142857143</v>
      </c>
      <c r="O1305" s="23" cm="1">
        <f t="array" ref="O1305">WordListCount(K1305,keywords!$A$2:$A$31)-WordListCount(K1305,keywords!$B$2:$B$31)</f>
        <v>0</v>
      </c>
      <c r="P1305" s="25">
        <f t="shared" si="41"/>
        <v>0.6721759259259259</v>
      </c>
      <c r="Q1305" s="23">
        <f>SUM($O$2:O1305)</f>
        <v>35</v>
      </c>
      <c r="Y1305" s="14"/>
      <c r="Z1305" s="13"/>
      <c r="AA1305"/>
    </row>
    <row r="1306" spans="1:27" x14ac:dyDescent="0.2">
      <c r="A1306" s="12" t="s">
        <v>4100</v>
      </c>
      <c r="B1306" t="s">
        <v>4101</v>
      </c>
      <c r="C1306" t="s">
        <v>4102</v>
      </c>
      <c r="D1306" t="s">
        <v>12</v>
      </c>
      <c r="E1306" t="s">
        <v>13</v>
      </c>
      <c r="F1306">
        <v>226</v>
      </c>
      <c r="G1306">
        <v>70</v>
      </c>
      <c r="H1306" s="5" t="s">
        <v>22</v>
      </c>
      <c r="I1306" s="5">
        <v>0</v>
      </c>
      <c r="J1306" s="5">
        <v>0</v>
      </c>
      <c r="K1306" t="s">
        <v>10727</v>
      </c>
      <c r="L1306" cm="1">
        <f t="array" ref="L1306">wordCount(K1306)</f>
        <v>19</v>
      </c>
      <c r="M1306">
        <f t="shared" si="40"/>
        <v>89</v>
      </c>
      <c r="N1306">
        <v>0.26315789473684209</v>
      </c>
      <c r="O1306" s="23" cm="1">
        <f t="array" ref="O1306">WordListCount(K1306,keywords!$A$2:$A$31)-WordListCount(K1306,keywords!$B$2:$B$31)</f>
        <v>0</v>
      </c>
      <c r="P1306" s="25">
        <f t="shared" si="41"/>
        <v>0.67237268518518523</v>
      </c>
      <c r="Q1306" s="23">
        <f>SUM($O$2:O1306)</f>
        <v>35</v>
      </c>
      <c r="Y1306" s="14"/>
      <c r="Z1306" s="13"/>
      <c r="AA1306"/>
    </row>
    <row r="1307" spans="1:27" x14ac:dyDescent="0.2">
      <c r="A1307" s="12" t="s">
        <v>4103</v>
      </c>
      <c r="B1307" t="s">
        <v>4104</v>
      </c>
      <c r="C1307" t="s">
        <v>1346</v>
      </c>
      <c r="D1307" t="s">
        <v>74</v>
      </c>
      <c r="E1307" t="s">
        <v>13</v>
      </c>
      <c r="F1307">
        <v>36</v>
      </c>
      <c r="G1307">
        <v>0</v>
      </c>
      <c r="H1307" s="5" t="s">
        <v>22</v>
      </c>
      <c r="I1307" s="5">
        <v>0</v>
      </c>
      <c r="J1307" s="5">
        <v>0</v>
      </c>
      <c r="K1307" t="s">
        <v>10728</v>
      </c>
      <c r="L1307" cm="1">
        <f t="array" ref="L1307">wordCount(K1307)</f>
        <v>10</v>
      </c>
      <c r="M1307">
        <f t="shared" si="40"/>
        <v>59</v>
      </c>
      <c r="N1307">
        <v>0.41176470588235292</v>
      </c>
      <c r="O1307" s="23" cm="1">
        <f t="array" ref="O1307">WordListCount(K1307,keywords!$A$2:$A$31)-WordListCount(K1307,keywords!$B$2:$B$31)</f>
        <v>0</v>
      </c>
      <c r="P1307" s="25">
        <f t="shared" si="41"/>
        <v>0.6729398148148148</v>
      </c>
      <c r="Q1307" s="23">
        <f>SUM($O$2:O1307)</f>
        <v>35</v>
      </c>
      <c r="Y1307" s="14"/>
      <c r="Z1307" s="13"/>
      <c r="AA1307"/>
    </row>
    <row r="1308" spans="1:27" x14ac:dyDescent="0.2">
      <c r="A1308" s="12" t="s">
        <v>4105</v>
      </c>
      <c r="B1308" t="s">
        <v>4106</v>
      </c>
      <c r="C1308" t="s">
        <v>4107</v>
      </c>
      <c r="D1308" t="s">
        <v>564</v>
      </c>
      <c r="E1308" t="s">
        <v>13</v>
      </c>
      <c r="F1308">
        <v>126</v>
      </c>
      <c r="G1308">
        <v>240</v>
      </c>
      <c r="H1308" s="5" t="s">
        <v>22</v>
      </c>
      <c r="I1308" s="5">
        <v>0</v>
      </c>
      <c r="J1308" s="5">
        <v>0</v>
      </c>
      <c r="K1308" t="s">
        <v>10729</v>
      </c>
      <c r="L1308" cm="1">
        <f t="array" ref="L1308">wordCount(K1308)</f>
        <v>20</v>
      </c>
      <c r="M1308">
        <f t="shared" si="40"/>
        <v>91</v>
      </c>
      <c r="N1308">
        <v>0.44444444444444442</v>
      </c>
      <c r="O1308" s="23" cm="1">
        <f t="array" ref="O1308">WordListCount(K1308,keywords!$A$2:$A$31)-WordListCount(K1308,keywords!$B$2:$B$31)</f>
        <v>0</v>
      </c>
      <c r="P1308" s="25">
        <f t="shared" si="41"/>
        <v>0.67302083333333329</v>
      </c>
      <c r="Q1308" s="23">
        <f>SUM($O$2:O1308)</f>
        <v>35</v>
      </c>
      <c r="Y1308" s="14"/>
      <c r="Z1308" s="13"/>
      <c r="AA1308"/>
    </row>
    <row r="1309" spans="1:27" x14ac:dyDescent="0.2">
      <c r="A1309" s="12" t="s">
        <v>4108</v>
      </c>
      <c r="B1309" t="s">
        <v>4109</v>
      </c>
      <c r="C1309" t="s">
        <v>4110</v>
      </c>
      <c r="D1309" t="s">
        <v>12</v>
      </c>
      <c r="E1309" t="s">
        <v>13</v>
      </c>
      <c r="F1309">
        <v>502</v>
      </c>
      <c r="G1309">
        <v>1865</v>
      </c>
      <c r="H1309" s="5" t="s">
        <v>22</v>
      </c>
      <c r="I1309" s="5">
        <v>0</v>
      </c>
      <c r="J1309" s="5">
        <v>0</v>
      </c>
      <c r="K1309" t="s">
        <v>10730</v>
      </c>
      <c r="L1309" cm="1">
        <f t="array" ref="L1309">wordCount(K1309)</f>
        <v>27</v>
      </c>
      <c r="M1309">
        <f t="shared" si="40"/>
        <v>124</v>
      </c>
      <c r="N1309">
        <v>0.55000000000000004</v>
      </c>
      <c r="O1309" s="23" cm="1">
        <f t="array" ref="O1309">WordListCount(K1309,keywords!$A$2:$A$31)-WordListCount(K1309,keywords!$B$2:$B$31)</f>
        <v>-1</v>
      </c>
      <c r="P1309" s="25">
        <f t="shared" si="41"/>
        <v>0.6732407407407407</v>
      </c>
      <c r="Q1309" s="23">
        <f>SUM($O$2:O1309)</f>
        <v>34</v>
      </c>
      <c r="Y1309" s="14"/>
      <c r="Z1309" s="13"/>
      <c r="AA1309"/>
    </row>
    <row r="1310" spans="1:27" x14ac:dyDescent="0.2">
      <c r="A1310" s="12" t="s">
        <v>4111</v>
      </c>
      <c r="B1310" t="s">
        <v>4112</v>
      </c>
      <c r="C1310" t="s">
        <v>111</v>
      </c>
      <c r="D1310" t="s">
        <v>112</v>
      </c>
      <c r="E1310" t="s">
        <v>13</v>
      </c>
      <c r="F1310">
        <v>526</v>
      </c>
      <c r="G1310">
        <v>558</v>
      </c>
      <c r="H1310" s="5" t="s">
        <v>42</v>
      </c>
      <c r="I1310" s="5">
        <v>0</v>
      </c>
      <c r="J1310" s="5">
        <v>0</v>
      </c>
      <c r="K1310" t="s">
        <v>9417</v>
      </c>
      <c r="L1310" cm="1">
        <f t="array" ref="L1310">wordCount(K1310)</f>
        <v>18</v>
      </c>
      <c r="M1310">
        <f t="shared" si="40"/>
        <v>99</v>
      </c>
      <c r="N1310">
        <v>0.34615384615384615</v>
      </c>
      <c r="O1310" s="23" cm="1">
        <f t="array" ref="O1310">WordListCount(K1310,keywords!$A$2:$A$31)-WordListCount(K1310,keywords!$B$2:$B$31)</f>
        <v>0</v>
      </c>
      <c r="P1310" s="25">
        <f t="shared" si="41"/>
        <v>0.67332175925925919</v>
      </c>
      <c r="Q1310" s="23">
        <f>SUM($O$2:O1310)</f>
        <v>34</v>
      </c>
      <c r="Y1310" s="14"/>
      <c r="Z1310" s="13"/>
      <c r="AA1310"/>
    </row>
    <row r="1311" spans="1:27" x14ac:dyDescent="0.2">
      <c r="A1311" s="12" t="s">
        <v>4113</v>
      </c>
      <c r="B1311" t="s">
        <v>4114</v>
      </c>
      <c r="C1311" t="s">
        <v>4115</v>
      </c>
      <c r="D1311" t="s">
        <v>2546</v>
      </c>
      <c r="E1311" t="s">
        <v>13</v>
      </c>
      <c r="F1311">
        <v>797</v>
      </c>
      <c r="G1311">
        <v>1614</v>
      </c>
      <c r="H1311" s="5" t="s">
        <v>22</v>
      </c>
      <c r="I1311" s="5">
        <v>0</v>
      </c>
      <c r="J1311" s="5">
        <v>0</v>
      </c>
      <c r="K1311" t="s">
        <v>10731</v>
      </c>
      <c r="L1311" cm="1">
        <f t="array" ref="L1311">wordCount(K1311)</f>
        <v>17</v>
      </c>
      <c r="M1311">
        <f t="shared" si="40"/>
        <v>95</v>
      </c>
      <c r="N1311">
        <v>0.44</v>
      </c>
      <c r="O1311" s="23" cm="1">
        <f t="array" ref="O1311">WordListCount(K1311,keywords!$A$2:$A$31)-WordListCount(K1311,keywords!$B$2:$B$31)</f>
        <v>0</v>
      </c>
      <c r="P1311" s="25">
        <f t="shared" si="41"/>
        <v>0.67335648148148142</v>
      </c>
      <c r="Q1311" s="23">
        <f>SUM($O$2:O1311)</f>
        <v>34</v>
      </c>
      <c r="Y1311" s="14"/>
      <c r="Z1311" s="13"/>
      <c r="AA1311"/>
    </row>
    <row r="1312" spans="1:27" x14ac:dyDescent="0.2">
      <c r="A1312" s="12" t="s">
        <v>4116</v>
      </c>
      <c r="B1312" t="s">
        <v>4117</v>
      </c>
      <c r="C1312" t="s">
        <v>4118</v>
      </c>
      <c r="D1312" t="s">
        <v>4119</v>
      </c>
      <c r="E1312" t="s">
        <v>13</v>
      </c>
      <c r="F1312">
        <v>2688</v>
      </c>
      <c r="G1312">
        <v>560</v>
      </c>
      <c r="H1312" s="5" t="s">
        <v>22</v>
      </c>
      <c r="I1312" s="5">
        <v>0</v>
      </c>
      <c r="J1312" s="5">
        <v>0</v>
      </c>
      <c r="K1312" t="s">
        <v>10732</v>
      </c>
      <c r="L1312" cm="1">
        <f t="array" ref="L1312">wordCount(K1312)</f>
        <v>16</v>
      </c>
      <c r="M1312">
        <f t="shared" si="40"/>
        <v>70</v>
      </c>
      <c r="N1312">
        <v>0.23529411764705882</v>
      </c>
      <c r="O1312" s="23" cm="1">
        <f t="array" ref="O1312">WordListCount(K1312,keywords!$A$2:$A$31)-WordListCount(K1312,keywords!$B$2:$B$31)</f>
        <v>1</v>
      </c>
      <c r="P1312" s="25">
        <f t="shared" si="41"/>
        <v>0.67336805555555557</v>
      </c>
      <c r="Q1312" s="23">
        <f>SUM($O$2:O1312)</f>
        <v>35</v>
      </c>
      <c r="Y1312" s="14"/>
      <c r="Z1312" s="13"/>
      <c r="AA1312"/>
    </row>
    <row r="1313" spans="1:27" x14ac:dyDescent="0.2">
      <c r="A1313" s="12" t="s">
        <v>4120</v>
      </c>
      <c r="B1313" t="s">
        <v>4121</v>
      </c>
      <c r="C1313" t="s">
        <v>4122</v>
      </c>
      <c r="D1313" t="s">
        <v>4123</v>
      </c>
      <c r="E1313" t="s">
        <v>13</v>
      </c>
      <c r="F1313">
        <v>472</v>
      </c>
      <c r="G1313">
        <v>366</v>
      </c>
      <c r="H1313" s="5" t="s">
        <v>22</v>
      </c>
      <c r="I1313" s="5">
        <v>0</v>
      </c>
      <c r="J1313" s="5">
        <v>0</v>
      </c>
      <c r="K1313" t="s">
        <v>10733</v>
      </c>
      <c r="L1313" cm="1">
        <f t="array" ref="L1313">wordCount(K1313)</f>
        <v>21</v>
      </c>
      <c r="M1313">
        <f t="shared" si="40"/>
        <v>97</v>
      </c>
      <c r="N1313">
        <v>0.42307692307692307</v>
      </c>
      <c r="O1313" s="23" cm="1">
        <f t="array" ref="O1313">WordListCount(K1313,keywords!$A$2:$A$31)-WordListCount(K1313,keywords!$B$2:$B$31)</f>
        <v>-1</v>
      </c>
      <c r="P1313" s="25">
        <f t="shared" si="41"/>
        <v>0.67342592592592598</v>
      </c>
      <c r="Q1313" s="23">
        <f>SUM($O$2:O1313)</f>
        <v>34</v>
      </c>
      <c r="Y1313" s="14"/>
      <c r="Z1313" s="13"/>
      <c r="AA1313"/>
    </row>
    <row r="1314" spans="1:27" x14ac:dyDescent="0.2">
      <c r="A1314" s="12" t="s">
        <v>4124</v>
      </c>
      <c r="B1314" t="s">
        <v>4125</v>
      </c>
      <c r="C1314" t="s">
        <v>4088</v>
      </c>
      <c r="D1314" t="s">
        <v>120</v>
      </c>
      <c r="E1314" t="s">
        <v>13</v>
      </c>
      <c r="F1314">
        <v>774</v>
      </c>
      <c r="G1314">
        <v>626</v>
      </c>
      <c r="H1314" s="5" t="s">
        <v>22</v>
      </c>
      <c r="I1314" s="5">
        <v>0</v>
      </c>
      <c r="J1314" s="5">
        <v>0</v>
      </c>
      <c r="K1314" t="s">
        <v>10734</v>
      </c>
      <c r="L1314" cm="1">
        <f t="array" ref="L1314">wordCount(K1314)</f>
        <v>11</v>
      </c>
      <c r="M1314">
        <f t="shared" si="40"/>
        <v>58</v>
      </c>
      <c r="N1314">
        <v>0.52631578947368418</v>
      </c>
      <c r="O1314" s="23" cm="1">
        <f t="array" ref="O1314">WordListCount(K1314,keywords!$A$2:$A$31)-WordListCount(K1314,keywords!$B$2:$B$31)</f>
        <v>0</v>
      </c>
      <c r="P1314" s="25">
        <f t="shared" si="41"/>
        <v>0.6734837962962964</v>
      </c>
      <c r="Q1314" s="23">
        <f>SUM($O$2:O1314)</f>
        <v>34</v>
      </c>
      <c r="Y1314" s="14"/>
      <c r="Z1314" s="13"/>
      <c r="AA1314"/>
    </row>
    <row r="1315" spans="1:27" x14ac:dyDescent="0.2">
      <c r="A1315" s="12" t="s">
        <v>4126</v>
      </c>
      <c r="B1315" t="s">
        <v>4127</v>
      </c>
      <c r="C1315" t="s">
        <v>119</v>
      </c>
      <c r="D1315" t="s">
        <v>120</v>
      </c>
      <c r="E1315" t="s">
        <v>13</v>
      </c>
      <c r="F1315">
        <v>16</v>
      </c>
      <c r="G1315">
        <v>39</v>
      </c>
      <c r="H1315" s="5" t="s">
        <v>22</v>
      </c>
      <c r="I1315" s="5">
        <v>0</v>
      </c>
      <c r="J1315" s="5">
        <v>0</v>
      </c>
      <c r="K1315" t="s">
        <v>9914</v>
      </c>
      <c r="L1315" cm="1">
        <f t="array" ref="L1315">wordCount(K1315)</f>
        <v>10</v>
      </c>
      <c r="M1315">
        <f t="shared" si="40"/>
        <v>49</v>
      </c>
      <c r="N1315">
        <v>0.9</v>
      </c>
      <c r="O1315" s="23" cm="1">
        <f t="array" ref="O1315">WordListCount(K1315,keywords!$A$2:$A$31)-WordListCount(K1315,keywords!$B$2:$B$31)</f>
        <v>0</v>
      </c>
      <c r="P1315" s="25">
        <f t="shared" si="41"/>
        <v>0.67363425925925924</v>
      </c>
      <c r="Q1315" s="23">
        <f>SUM($O$2:O1315)</f>
        <v>34</v>
      </c>
      <c r="Y1315" s="14"/>
      <c r="Z1315" s="13"/>
      <c r="AA1315"/>
    </row>
    <row r="1316" spans="1:27" x14ac:dyDescent="0.2">
      <c r="A1316" s="33" t="s">
        <v>4128</v>
      </c>
      <c r="B1316" s="34" t="s">
        <v>4132</v>
      </c>
      <c r="C1316" s="34" t="s">
        <v>123</v>
      </c>
      <c r="D1316" s="34" t="s">
        <v>124</v>
      </c>
      <c r="E1316" s="34" t="s">
        <v>13</v>
      </c>
      <c r="F1316" s="34">
        <v>838</v>
      </c>
      <c r="G1316" s="34">
        <v>899</v>
      </c>
      <c r="H1316" s="35" t="s">
        <v>125</v>
      </c>
      <c r="I1316" s="35">
        <v>0</v>
      </c>
      <c r="J1316" s="35">
        <v>0</v>
      </c>
      <c r="K1316" s="34" t="s">
        <v>9418</v>
      </c>
      <c r="L1316" s="34" cm="1">
        <f t="array" ref="L1316">wordCount(K1316)</f>
        <v>20</v>
      </c>
      <c r="M1316" s="34">
        <f t="shared" si="40"/>
        <v>90</v>
      </c>
      <c r="N1316" s="34">
        <v>0.8</v>
      </c>
      <c r="O1316" s="36" cm="1">
        <f t="array" ref="O1316">WordListCount(K1316,keywords!$A$2:$A$31)-WordListCount(K1316,keywords!$B$2:$B$31)</f>
        <v>0</v>
      </c>
      <c r="P1316" s="37">
        <f t="shared" si="41"/>
        <v>0.67365740740740743</v>
      </c>
      <c r="Q1316" s="23">
        <f>SUM($O$2:O1316)</f>
        <v>34</v>
      </c>
    </row>
    <row r="1317" spans="1:27" x14ac:dyDescent="0.2">
      <c r="A1317" s="12" t="s">
        <v>4128</v>
      </c>
      <c r="B1317" t="s">
        <v>4129</v>
      </c>
      <c r="C1317" t="s">
        <v>4130</v>
      </c>
      <c r="D1317" t="s">
        <v>4131</v>
      </c>
      <c r="E1317" t="s">
        <v>13</v>
      </c>
      <c r="F1317">
        <v>138</v>
      </c>
      <c r="G1317">
        <v>98</v>
      </c>
      <c r="H1317" s="5" t="s">
        <v>22</v>
      </c>
      <c r="I1317" s="5">
        <v>0</v>
      </c>
      <c r="J1317" s="5">
        <v>0</v>
      </c>
      <c r="K1317" t="s">
        <v>10735</v>
      </c>
      <c r="L1317" cm="1">
        <f t="array" ref="L1317">wordCount(K1317)</f>
        <v>9</v>
      </c>
      <c r="M1317">
        <f t="shared" si="40"/>
        <v>39</v>
      </c>
      <c r="N1317">
        <v>0.63157894736842102</v>
      </c>
      <c r="O1317" s="23" cm="1">
        <f t="array" ref="O1317">WordListCount(K1317,keywords!$A$2:$A$31)-WordListCount(K1317,keywords!$B$2:$B$31)</f>
        <v>0</v>
      </c>
      <c r="P1317" s="25">
        <f t="shared" si="41"/>
        <v>0.67365740740740743</v>
      </c>
      <c r="Q1317" s="23">
        <f>SUM($O$2:O1317)</f>
        <v>34</v>
      </c>
      <c r="Y1317" s="14"/>
      <c r="Z1317" s="13"/>
      <c r="AA1317"/>
    </row>
    <row r="1318" spans="1:27" x14ac:dyDescent="0.2">
      <c r="A1318" s="12" t="s">
        <v>4133</v>
      </c>
      <c r="B1318" t="s">
        <v>127</v>
      </c>
      <c r="C1318" t="s">
        <v>119</v>
      </c>
      <c r="D1318" t="s">
        <v>120</v>
      </c>
      <c r="E1318" t="s">
        <v>13</v>
      </c>
      <c r="F1318">
        <v>16</v>
      </c>
      <c r="G1318">
        <v>39</v>
      </c>
      <c r="H1318" s="5" t="s">
        <v>22</v>
      </c>
      <c r="I1318" s="5">
        <v>0</v>
      </c>
      <c r="J1318" s="5">
        <v>0</v>
      </c>
      <c r="K1318" t="s">
        <v>9914</v>
      </c>
      <c r="L1318" cm="1">
        <f t="array" ref="L1318">wordCount(K1318)</f>
        <v>10</v>
      </c>
      <c r="M1318">
        <f t="shared" si="40"/>
        <v>49</v>
      </c>
      <c r="N1318">
        <v>0.9</v>
      </c>
      <c r="O1318" s="23" cm="1">
        <f t="array" ref="O1318">WordListCount(K1318,keywords!$A$2:$A$31)-WordListCount(K1318,keywords!$B$2:$B$31)</f>
        <v>0</v>
      </c>
      <c r="P1318" s="25">
        <f t="shared" si="41"/>
        <v>0.67375000000000007</v>
      </c>
      <c r="Q1318" s="23">
        <f>SUM($O$2:O1318)</f>
        <v>34</v>
      </c>
      <c r="Y1318" s="14"/>
      <c r="Z1318" s="13"/>
      <c r="AA1318"/>
    </row>
    <row r="1319" spans="1:27" x14ac:dyDescent="0.2">
      <c r="A1319" s="12" t="s">
        <v>4134</v>
      </c>
      <c r="B1319" t="s">
        <v>4135</v>
      </c>
      <c r="C1319" t="s">
        <v>119</v>
      </c>
      <c r="D1319" t="s">
        <v>120</v>
      </c>
      <c r="E1319" t="s">
        <v>13</v>
      </c>
      <c r="F1319">
        <v>16</v>
      </c>
      <c r="G1319">
        <v>39</v>
      </c>
      <c r="H1319" s="5" t="s">
        <v>22</v>
      </c>
      <c r="I1319" s="5">
        <v>0</v>
      </c>
      <c r="J1319" s="5">
        <v>0</v>
      </c>
      <c r="K1319" t="s">
        <v>9914</v>
      </c>
      <c r="L1319" cm="1">
        <f t="array" ref="L1319">wordCount(K1319)</f>
        <v>10</v>
      </c>
      <c r="M1319">
        <f t="shared" si="40"/>
        <v>49</v>
      </c>
      <c r="N1319">
        <v>0.9</v>
      </c>
      <c r="O1319" s="23" cm="1">
        <f t="array" ref="O1319">WordListCount(K1319,keywords!$A$2:$A$31)-WordListCount(K1319,keywords!$B$2:$B$31)</f>
        <v>0</v>
      </c>
      <c r="P1319" s="25">
        <f t="shared" si="41"/>
        <v>0.6737847222222223</v>
      </c>
      <c r="Q1319" s="23">
        <f>SUM($O$2:O1319)</f>
        <v>34</v>
      </c>
      <c r="Y1319" s="14"/>
      <c r="Z1319" s="13"/>
      <c r="AA1319"/>
    </row>
    <row r="1320" spans="1:27" x14ac:dyDescent="0.2">
      <c r="A1320" s="12" t="s">
        <v>4136</v>
      </c>
      <c r="B1320" t="s">
        <v>4137</v>
      </c>
      <c r="C1320" t="s">
        <v>130</v>
      </c>
      <c r="D1320" t="s">
        <v>131</v>
      </c>
      <c r="E1320" t="s">
        <v>13</v>
      </c>
      <c r="F1320">
        <v>92</v>
      </c>
      <c r="G1320">
        <v>202</v>
      </c>
      <c r="H1320" s="5" t="s">
        <v>22</v>
      </c>
      <c r="I1320" s="5">
        <v>0</v>
      </c>
      <c r="J1320" s="5">
        <v>0</v>
      </c>
      <c r="K1320" t="s">
        <v>10736</v>
      </c>
      <c r="L1320" cm="1">
        <f t="array" ref="L1320">wordCount(K1320)</f>
        <v>20</v>
      </c>
      <c r="M1320">
        <f t="shared" si="40"/>
        <v>95</v>
      </c>
      <c r="N1320">
        <v>0.5</v>
      </c>
      <c r="O1320" s="23" cm="1">
        <f t="array" ref="O1320">WordListCount(K1320,keywords!$A$2:$A$31)-WordListCount(K1320,keywords!$B$2:$B$31)</f>
        <v>0</v>
      </c>
      <c r="P1320" s="25">
        <f t="shared" si="41"/>
        <v>0.67379629629629623</v>
      </c>
      <c r="Q1320" s="23">
        <f>SUM($O$2:O1320)</f>
        <v>34</v>
      </c>
      <c r="Y1320" s="14"/>
      <c r="Z1320" s="13"/>
      <c r="AA1320"/>
    </row>
    <row r="1321" spans="1:27" x14ac:dyDescent="0.2">
      <c r="A1321" s="12" t="s">
        <v>4138</v>
      </c>
      <c r="B1321" t="s">
        <v>4139</v>
      </c>
      <c r="C1321" t="s">
        <v>4122</v>
      </c>
      <c r="D1321" t="s">
        <v>4123</v>
      </c>
      <c r="E1321" t="s">
        <v>13</v>
      </c>
      <c r="F1321">
        <v>472</v>
      </c>
      <c r="G1321">
        <v>366</v>
      </c>
      <c r="H1321" s="5" t="s">
        <v>22</v>
      </c>
      <c r="I1321" s="5">
        <v>0</v>
      </c>
      <c r="J1321" s="5">
        <v>0</v>
      </c>
      <c r="K1321" t="s">
        <v>10737</v>
      </c>
      <c r="L1321" cm="1">
        <f t="array" ref="L1321">wordCount(K1321)</f>
        <v>21</v>
      </c>
      <c r="M1321">
        <f t="shared" si="40"/>
        <v>99</v>
      </c>
      <c r="N1321">
        <v>0.8571428571428571</v>
      </c>
      <c r="O1321" s="23" cm="1">
        <f t="array" ref="O1321">WordListCount(K1321,keywords!$A$2:$A$31)-WordListCount(K1321,keywords!$B$2:$B$31)</f>
        <v>-1</v>
      </c>
      <c r="P1321" s="25">
        <f t="shared" si="41"/>
        <v>0.67388888888888887</v>
      </c>
      <c r="Q1321" s="23">
        <f>SUM($O$2:O1321)</f>
        <v>33</v>
      </c>
      <c r="Y1321" s="14"/>
      <c r="Z1321" s="13"/>
      <c r="AA1321"/>
    </row>
    <row r="1322" spans="1:27" x14ac:dyDescent="0.2">
      <c r="A1322" s="12" t="s">
        <v>4140</v>
      </c>
      <c r="B1322" t="s">
        <v>4141</v>
      </c>
      <c r="C1322" t="s">
        <v>4142</v>
      </c>
      <c r="D1322" t="s">
        <v>12</v>
      </c>
      <c r="E1322" t="s">
        <v>13</v>
      </c>
      <c r="F1322">
        <v>652</v>
      </c>
      <c r="G1322">
        <v>270</v>
      </c>
      <c r="H1322" s="5" t="s">
        <v>22</v>
      </c>
      <c r="I1322" s="5">
        <v>0</v>
      </c>
      <c r="J1322" s="5">
        <v>0</v>
      </c>
      <c r="K1322" t="s">
        <v>9419</v>
      </c>
      <c r="L1322" cm="1">
        <f t="array" ref="L1322">wordCount(K1322)</f>
        <v>10</v>
      </c>
      <c r="M1322">
        <f t="shared" si="40"/>
        <v>48</v>
      </c>
      <c r="N1322">
        <v>0.36363636363636365</v>
      </c>
      <c r="O1322" s="23" cm="1">
        <f t="array" ref="O1322">WordListCount(K1322,keywords!$A$2:$A$31)-WordListCount(K1322,keywords!$B$2:$B$31)</f>
        <v>0</v>
      </c>
      <c r="P1322" s="25">
        <f t="shared" si="41"/>
        <v>0.6739814814814814</v>
      </c>
      <c r="Q1322" s="23">
        <f>SUM($O$2:O1322)</f>
        <v>33</v>
      </c>
      <c r="Y1322" s="14"/>
      <c r="Z1322" s="13"/>
      <c r="AA1322"/>
    </row>
    <row r="1323" spans="1:27" x14ac:dyDescent="0.2">
      <c r="A1323" s="12" t="s">
        <v>4143</v>
      </c>
      <c r="B1323" t="s">
        <v>4145</v>
      </c>
      <c r="C1323" t="s">
        <v>4146</v>
      </c>
      <c r="D1323" t="s">
        <v>12</v>
      </c>
      <c r="E1323" t="s">
        <v>13</v>
      </c>
      <c r="F1323">
        <v>423</v>
      </c>
      <c r="G1323">
        <v>241</v>
      </c>
      <c r="H1323" s="5" t="s">
        <v>22</v>
      </c>
      <c r="I1323" s="5">
        <v>0</v>
      </c>
      <c r="J1323" s="5">
        <v>0</v>
      </c>
      <c r="K1323" t="s">
        <v>10739</v>
      </c>
      <c r="L1323" cm="1">
        <f t="array" ref="L1323">wordCount(K1323)</f>
        <v>21</v>
      </c>
      <c r="M1323">
        <f t="shared" si="40"/>
        <v>100</v>
      </c>
      <c r="N1323">
        <v>0.5</v>
      </c>
      <c r="O1323" s="23" cm="1">
        <f t="array" ref="O1323">WordListCount(K1323,keywords!$A$2:$A$31)-WordListCount(K1323,keywords!$B$2:$B$31)</f>
        <v>1</v>
      </c>
      <c r="P1323" s="25">
        <f t="shared" si="41"/>
        <v>0.67414351851851861</v>
      </c>
      <c r="Q1323" s="23">
        <f>SUM($O$2:O1323)</f>
        <v>34</v>
      </c>
      <c r="Y1323" s="14"/>
      <c r="Z1323" s="13"/>
      <c r="AA1323"/>
    </row>
    <row r="1324" spans="1:27" x14ac:dyDescent="0.2">
      <c r="A1324" s="12" t="s">
        <v>4143</v>
      </c>
      <c r="B1324" t="s">
        <v>4144</v>
      </c>
      <c r="C1324" t="s">
        <v>4052</v>
      </c>
      <c r="D1324" t="s">
        <v>12</v>
      </c>
      <c r="E1324" t="s">
        <v>13</v>
      </c>
      <c r="F1324">
        <v>594</v>
      </c>
      <c r="G1324">
        <v>236</v>
      </c>
      <c r="H1324" s="5" t="s">
        <v>22</v>
      </c>
      <c r="I1324" s="5">
        <v>0</v>
      </c>
      <c r="J1324" s="5">
        <v>0</v>
      </c>
      <c r="K1324" t="s">
        <v>10738</v>
      </c>
      <c r="L1324" cm="1">
        <f t="array" ref="L1324">wordCount(K1324)</f>
        <v>26</v>
      </c>
      <c r="M1324">
        <f t="shared" si="40"/>
        <v>126</v>
      </c>
      <c r="N1324">
        <v>0.44117647058823528</v>
      </c>
      <c r="O1324" s="23" cm="1">
        <f t="array" ref="O1324">WordListCount(K1324,keywords!$A$2:$A$31)-WordListCount(K1324,keywords!$B$2:$B$31)</f>
        <v>1</v>
      </c>
      <c r="P1324" s="25">
        <f t="shared" si="41"/>
        <v>0.67414351851851861</v>
      </c>
      <c r="Q1324" s="23">
        <f>SUM($O$2:O1324)</f>
        <v>35</v>
      </c>
      <c r="Y1324" s="14"/>
      <c r="Z1324" s="13"/>
      <c r="AA1324"/>
    </row>
    <row r="1325" spans="1:27" x14ac:dyDescent="0.2">
      <c r="A1325" s="12" t="s">
        <v>4147</v>
      </c>
      <c r="B1325" t="s">
        <v>4148</v>
      </c>
      <c r="C1325" t="s">
        <v>4149</v>
      </c>
      <c r="D1325" t="s">
        <v>4150</v>
      </c>
      <c r="E1325" t="s">
        <v>13</v>
      </c>
      <c r="F1325">
        <v>116</v>
      </c>
      <c r="G1325">
        <v>250</v>
      </c>
      <c r="H1325" s="5" t="s">
        <v>125</v>
      </c>
      <c r="I1325" s="5">
        <v>0</v>
      </c>
      <c r="J1325" s="5">
        <v>0</v>
      </c>
      <c r="K1325" t="s">
        <v>10740</v>
      </c>
      <c r="L1325" cm="1">
        <f t="array" ref="L1325">wordCount(K1325)</f>
        <v>2</v>
      </c>
      <c r="M1325">
        <f t="shared" si="40"/>
        <v>14</v>
      </c>
      <c r="N1325">
        <v>0.66666666666666663</v>
      </c>
      <c r="O1325" s="23" cm="1">
        <f t="array" ref="O1325">WordListCount(K1325,keywords!$A$2:$A$31)-WordListCount(K1325,keywords!$B$2:$B$31)</f>
        <v>0</v>
      </c>
      <c r="P1325" s="25">
        <f t="shared" si="41"/>
        <v>0.67424768518518519</v>
      </c>
      <c r="Q1325" s="23">
        <f>SUM($O$2:O1325)</f>
        <v>35</v>
      </c>
      <c r="Y1325" s="14"/>
      <c r="Z1325" s="13"/>
      <c r="AA1325"/>
    </row>
    <row r="1326" spans="1:27" x14ac:dyDescent="0.2">
      <c r="A1326" s="12" t="s">
        <v>4151</v>
      </c>
      <c r="B1326" t="s">
        <v>4152</v>
      </c>
      <c r="C1326" t="s">
        <v>511</v>
      </c>
      <c r="D1326" t="s">
        <v>512</v>
      </c>
      <c r="E1326" t="s">
        <v>13</v>
      </c>
      <c r="F1326">
        <v>1899</v>
      </c>
      <c r="G1326">
        <v>540</v>
      </c>
      <c r="H1326" s="5" t="s">
        <v>22</v>
      </c>
      <c r="I1326" s="5">
        <v>0</v>
      </c>
      <c r="J1326" s="5">
        <v>0</v>
      </c>
      <c r="K1326" t="s">
        <v>9420</v>
      </c>
      <c r="L1326" cm="1">
        <f t="array" ref="L1326">wordCount(K1326)</f>
        <v>9</v>
      </c>
      <c r="M1326">
        <f t="shared" si="40"/>
        <v>44</v>
      </c>
      <c r="N1326">
        <v>0.88888888888888884</v>
      </c>
      <c r="O1326" s="23" cm="1">
        <f t="array" ref="O1326">WordListCount(K1326,keywords!$A$2:$A$31)-WordListCount(K1326,keywords!$B$2:$B$31)</f>
        <v>0</v>
      </c>
      <c r="P1326" s="25">
        <f t="shared" si="41"/>
        <v>0.67434027777777772</v>
      </c>
      <c r="Q1326" s="23">
        <f>SUM($O$2:O1326)</f>
        <v>35</v>
      </c>
      <c r="Y1326" s="14"/>
      <c r="Z1326" s="13"/>
      <c r="AA1326"/>
    </row>
    <row r="1327" spans="1:27" x14ac:dyDescent="0.2">
      <c r="A1327" s="12" t="s">
        <v>4153</v>
      </c>
      <c r="B1327" t="s">
        <v>4154</v>
      </c>
      <c r="C1327" t="s">
        <v>4155</v>
      </c>
      <c r="D1327" t="s">
        <v>445</v>
      </c>
      <c r="E1327" t="s">
        <v>13</v>
      </c>
      <c r="F1327">
        <v>100</v>
      </c>
      <c r="G1327">
        <v>258</v>
      </c>
      <c r="H1327" s="5" t="s">
        <v>22</v>
      </c>
      <c r="I1327" s="5">
        <v>0</v>
      </c>
      <c r="J1327" s="5">
        <v>0</v>
      </c>
      <c r="K1327" t="s">
        <v>10741</v>
      </c>
      <c r="L1327" cm="1">
        <f t="array" ref="L1327">wordCount(K1327)</f>
        <v>24</v>
      </c>
      <c r="M1327">
        <f t="shared" si="40"/>
        <v>115</v>
      </c>
      <c r="N1327">
        <v>0.4838709677419355</v>
      </c>
      <c r="O1327" s="23" cm="1">
        <f t="array" ref="O1327">WordListCount(K1327,keywords!$A$2:$A$31)-WordListCount(K1327,keywords!$B$2:$B$31)</f>
        <v>-1</v>
      </c>
      <c r="P1327" s="25">
        <f t="shared" si="41"/>
        <v>0.67452546296296301</v>
      </c>
      <c r="Q1327" s="23">
        <f>SUM($O$2:O1327)</f>
        <v>34</v>
      </c>
      <c r="Y1327" s="14"/>
      <c r="Z1327" s="13"/>
      <c r="AA1327"/>
    </row>
    <row r="1328" spans="1:27" x14ac:dyDescent="0.2">
      <c r="A1328" s="12" t="s">
        <v>4156</v>
      </c>
      <c r="B1328" t="s">
        <v>4157</v>
      </c>
      <c r="C1328" t="s">
        <v>4158</v>
      </c>
      <c r="D1328" t="s">
        <v>12</v>
      </c>
      <c r="E1328" t="s">
        <v>13</v>
      </c>
      <c r="F1328">
        <v>217</v>
      </c>
      <c r="G1328">
        <v>238</v>
      </c>
      <c r="H1328" s="5" t="s">
        <v>22</v>
      </c>
      <c r="I1328" s="5">
        <v>0</v>
      </c>
      <c r="J1328" s="5">
        <v>0</v>
      </c>
      <c r="K1328" t="s">
        <v>10742</v>
      </c>
      <c r="L1328" cm="1">
        <f t="array" ref="L1328">wordCount(K1328)</f>
        <v>18</v>
      </c>
      <c r="M1328">
        <f t="shared" si="40"/>
        <v>112</v>
      </c>
      <c r="N1328">
        <v>0.11764705882352941</v>
      </c>
      <c r="O1328" s="23" cm="1">
        <f t="array" ref="O1328">WordListCount(K1328,keywords!$A$2:$A$31)-WordListCount(K1328,keywords!$B$2:$B$31)</f>
        <v>0</v>
      </c>
      <c r="P1328" s="25">
        <f t="shared" si="41"/>
        <v>0.67459490740740735</v>
      </c>
      <c r="Q1328" s="23">
        <f>SUM($O$2:O1328)</f>
        <v>34</v>
      </c>
      <c r="Y1328" s="14"/>
      <c r="Z1328" s="13"/>
      <c r="AA1328"/>
    </row>
    <row r="1329" spans="1:27" x14ac:dyDescent="0.2">
      <c r="A1329" s="12" t="s">
        <v>4159</v>
      </c>
      <c r="B1329" t="s">
        <v>4160</v>
      </c>
      <c r="C1329" t="s">
        <v>4081</v>
      </c>
      <c r="D1329" t="s">
        <v>231</v>
      </c>
      <c r="E1329" t="s">
        <v>13</v>
      </c>
      <c r="F1329">
        <v>153</v>
      </c>
      <c r="G1329">
        <v>151</v>
      </c>
      <c r="H1329" s="5" t="s">
        <v>22</v>
      </c>
      <c r="I1329" s="5">
        <v>0</v>
      </c>
      <c r="J1329" s="5">
        <v>0</v>
      </c>
      <c r="K1329" t="s">
        <v>10743</v>
      </c>
      <c r="L1329" cm="1">
        <f t="array" ref="L1329">wordCount(K1329)</f>
        <v>28</v>
      </c>
      <c r="M1329">
        <f t="shared" si="40"/>
        <v>128</v>
      </c>
      <c r="N1329">
        <v>0.41379310344827586</v>
      </c>
      <c r="O1329" s="23" cm="1">
        <f t="array" ref="O1329">WordListCount(K1329,keywords!$A$2:$A$31)-WordListCount(K1329,keywords!$B$2:$B$31)</f>
        <v>0</v>
      </c>
      <c r="P1329" s="25">
        <f t="shared" si="41"/>
        <v>0.67489583333333336</v>
      </c>
      <c r="Q1329" s="23">
        <f>SUM($O$2:O1329)</f>
        <v>34</v>
      </c>
      <c r="Y1329" s="14"/>
      <c r="Z1329" s="13"/>
      <c r="AA1329"/>
    </row>
    <row r="1330" spans="1:27" x14ac:dyDescent="0.2">
      <c r="A1330" s="12" t="s">
        <v>4161</v>
      </c>
      <c r="B1330" t="s">
        <v>4162</v>
      </c>
      <c r="C1330" t="s">
        <v>4163</v>
      </c>
      <c r="D1330" t="s">
        <v>4164</v>
      </c>
      <c r="E1330" t="s">
        <v>13</v>
      </c>
      <c r="F1330">
        <v>2771</v>
      </c>
      <c r="G1330">
        <v>457</v>
      </c>
      <c r="H1330" s="5" t="s">
        <v>22</v>
      </c>
      <c r="I1330" s="5">
        <v>0</v>
      </c>
      <c r="J1330" s="5">
        <v>0</v>
      </c>
      <c r="K1330" t="s">
        <v>9421</v>
      </c>
      <c r="L1330" cm="1">
        <f t="array" ref="L1330">wordCount(K1330)</f>
        <v>21</v>
      </c>
      <c r="M1330">
        <f t="shared" si="40"/>
        <v>105</v>
      </c>
      <c r="N1330">
        <v>0.45454545454545453</v>
      </c>
      <c r="O1330" s="23" cm="1">
        <f t="array" ref="O1330">WordListCount(K1330,keywords!$A$2:$A$31)-WordListCount(K1330,keywords!$B$2:$B$31)</f>
        <v>0</v>
      </c>
      <c r="P1330" s="25">
        <f t="shared" si="41"/>
        <v>0.67498842592592589</v>
      </c>
      <c r="Q1330" s="23">
        <f>SUM($O$2:O1330)</f>
        <v>34</v>
      </c>
      <c r="Y1330" s="14"/>
      <c r="Z1330" s="13"/>
      <c r="AA1330"/>
    </row>
    <row r="1331" spans="1:27" x14ac:dyDescent="0.2">
      <c r="A1331" s="12" t="s">
        <v>4165</v>
      </c>
      <c r="B1331" t="s">
        <v>4166</v>
      </c>
      <c r="C1331" t="s">
        <v>4167</v>
      </c>
      <c r="D1331" t="s">
        <v>3125</v>
      </c>
      <c r="E1331" t="s">
        <v>13</v>
      </c>
      <c r="F1331">
        <v>227</v>
      </c>
      <c r="G1331">
        <v>219</v>
      </c>
      <c r="H1331" s="5" t="s">
        <v>22</v>
      </c>
      <c r="I1331" s="5">
        <v>0</v>
      </c>
      <c r="J1331" s="5">
        <v>0</v>
      </c>
      <c r="K1331" t="s">
        <v>9422</v>
      </c>
      <c r="L1331" cm="1">
        <f t="array" ref="L1331">wordCount(K1331)</f>
        <v>9</v>
      </c>
      <c r="M1331">
        <f t="shared" si="40"/>
        <v>54</v>
      </c>
      <c r="N1331">
        <v>0.76923076923076927</v>
      </c>
      <c r="O1331" s="23" cm="1">
        <f t="array" ref="O1331">WordListCount(K1331,keywords!$A$2:$A$31)-WordListCount(K1331,keywords!$B$2:$B$31)</f>
        <v>-1</v>
      </c>
      <c r="P1331" s="25">
        <f t="shared" si="41"/>
        <v>0.67512731481481481</v>
      </c>
      <c r="Q1331" s="23">
        <f>SUM($O$2:O1331)</f>
        <v>33</v>
      </c>
      <c r="Y1331" s="14"/>
      <c r="Z1331" s="13"/>
      <c r="AA1331"/>
    </row>
    <row r="1332" spans="1:27" x14ac:dyDescent="0.2">
      <c r="A1332" s="12" t="s">
        <v>4168</v>
      </c>
      <c r="B1332" t="s">
        <v>4169</v>
      </c>
      <c r="C1332" t="s">
        <v>4170</v>
      </c>
      <c r="D1332" t="s">
        <v>2363</v>
      </c>
      <c r="E1332" t="s">
        <v>13</v>
      </c>
      <c r="F1332">
        <v>36</v>
      </c>
      <c r="G1332">
        <v>175</v>
      </c>
      <c r="H1332" s="5" t="s">
        <v>22</v>
      </c>
      <c r="I1332" s="5">
        <v>0</v>
      </c>
      <c r="J1332" s="5">
        <v>0</v>
      </c>
      <c r="K1332" t="s">
        <v>10744</v>
      </c>
      <c r="L1332" cm="1">
        <f t="array" ref="L1332">wordCount(K1332)</f>
        <v>20</v>
      </c>
      <c r="M1332">
        <f t="shared" si="40"/>
        <v>73</v>
      </c>
      <c r="N1332">
        <v>0.39130434782608697</v>
      </c>
      <c r="O1332" s="23" cm="1">
        <f t="array" ref="O1332">WordListCount(K1332,keywords!$A$2:$A$31)-WordListCount(K1332,keywords!$B$2:$B$31)</f>
        <v>0</v>
      </c>
      <c r="P1332" s="25">
        <f t="shared" si="41"/>
        <v>0.6755902777777778</v>
      </c>
      <c r="Q1332" s="23">
        <f>SUM($O$2:O1332)</f>
        <v>33</v>
      </c>
      <c r="Y1332" s="14"/>
      <c r="Z1332" s="13"/>
      <c r="AA1332"/>
    </row>
    <row r="1333" spans="1:27" x14ac:dyDescent="0.2">
      <c r="A1333" s="12" t="s">
        <v>4171</v>
      </c>
      <c r="B1333" t="s">
        <v>4172</v>
      </c>
      <c r="C1333" t="s">
        <v>4173</v>
      </c>
      <c r="D1333" t="s">
        <v>4174</v>
      </c>
      <c r="E1333" t="s">
        <v>13</v>
      </c>
      <c r="F1333">
        <v>39272</v>
      </c>
      <c r="G1333">
        <v>193</v>
      </c>
      <c r="H1333" s="5" t="s">
        <v>22</v>
      </c>
      <c r="I1333" s="5">
        <v>0</v>
      </c>
      <c r="J1333" s="5">
        <v>0</v>
      </c>
      <c r="K1333" t="s">
        <v>10745</v>
      </c>
      <c r="L1333" cm="1">
        <f t="array" ref="L1333">wordCount(K1333)</f>
        <v>13</v>
      </c>
      <c r="M1333">
        <f t="shared" si="40"/>
        <v>55</v>
      </c>
      <c r="N1333">
        <v>0.33333333333333331</v>
      </c>
      <c r="O1333" s="23" cm="1">
        <f t="array" ref="O1333">WordListCount(K1333,keywords!$A$2:$A$31)-WordListCount(K1333,keywords!$B$2:$B$31)</f>
        <v>0</v>
      </c>
      <c r="P1333" s="25">
        <f t="shared" si="41"/>
        <v>0.67560185185185195</v>
      </c>
      <c r="Q1333" s="23">
        <f>SUM($O$2:O1333)</f>
        <v>33</v>
      </c>
      <c r="Y1333" s="14"/>
      <c r="Z1333" s="13"/>
      <c r="AA1333"/>
    </row>
    <row r="1334" spans="1:27" x14ac:dyDescent="0.2">
      <c r="A1334" s="12" t="s">
        <v>4175</v>
      </c>
      <c r="B1334" t="s">
        <v>4176</v>
      </c>
      <c r="C1334" t="s">
        <v>4177</v>
      </c>
      <c r="D1334" t="s">
        <v>4030</v>
      </c>
      <c r="E1334" t="s">
        <v>13</v>
      </c>
      <c r="F1334">
        <v>78</v>
      </c>
      <c r="G1334">
        <v>124</v>
      </c>
      <c r="H1334" s="5" t="s">
        <v>22</v>
      </c>
      <c r="I1334" s="5">
        <v>0</v>
      </c>
      <c r="J1334" s="5">
        <v>0</v>
      </c>
      <c r="K1334" t="s">
        <v>9423</v>
      </c>
      <c r="L1334" cm="1">
        <f t="array" ref="L1334">wordCount(K1334)</f>
        <v>13</v>
      </c>
      <c r="M1334">
        <f t="shared" si="40"/>
        <v>66</v>
      </c>
      <c r="N1334">
        <v>0.5714285714285714</v>
      </c>
      <c r="O1334" s="23" cm="1">
        <f t="array" ref="O1334">WordListCount(K1334,keywords!$A$2:$A$31)-WordListCount(K1334,keywords!$B$2:$B$31)</f>
        <v>0</v>
      </c>
      <c r="P1334" s="25">
        <f t="shared" si="41"/>
        <v>0.67599537037037039</v>
      </c>
      <c r="Q1334" s="23">
        <f>SUM($O$2:O1334)</f>
        <v>33</v>
      </c>
      <c r="Y1334" s="14"/>
      <c r="Z1334" s="13"/>
      <c r="AA1334"/>
    </row>
    <row r="1335" spans="1:27" x14ac:dyDescent="0.2">
      <c r="A1335" s="12" t="s">
        <v>4178</v>
      </c>
      <c r="B1335" t="s">
        <v>4179</v>
      </c>
      <c r="C1335" t="s">
        <v>4180</v>
      </c>
      <c r="D1335" t="s">
        <v>12</v>
      </c>
      <c r="E1335" t="s">
        <v>13</v>
      </c>
      <c r="F1335">
        <v>0</v>
      </c>
      <c r="G1335">
        <v>5</v>
      </c>
      <c r="H1335" s="5" t="s">
        <v>22</v>
      </c>
      <c r="I1335" s="5">
        <v>0</v>
      </c>
      <c r="J1335" s="5">
        <v>0</v>
      </c>
      <c r="K1335" t="s">
        <v>10746</v>
      </c>
      <c r="L1335" cm="1">
        <f t="array" ref="L1335">wordCount(K1335)</f>
        <v>5</v>
      </c>
      <c r="M1335">
        <f t="shared" si="40"/>
        <v>24</v>
      </c>
      <c r="N1335">
        <v>0.73333333333333328</v>
      </c>
      <c r="O1335" s="23" cm="1">
        <f t="array" ref="O1335">WordListCount(K1335,keywords!$A$2:$A$31)-WordListCount(K1335,keywords!$B$2:$B$31)</f>
        <v>0</v>
      </c>
      <c r="P1335" s="25">
        <f t="shared" si="41"/>
        <v>0.67623842592592587</v>
      </c>
      <c r="Q1335" s="23">
        <f>SUM($O$2:O1335)</f>
        <v>33</v>
      </c>
      <c r="Y1335" s="14"/>
      <c r="Z1335" s="13"/>
      <c r="AA1335"/>
    </row>
    <row r="1336" spans="1:27" x14ac:dyDescent="0.2">
      <c r="A1336" s="12" t="s">
        <v>4181</v>
      </c>
      <c r="B1336" t="s">
        <v>4182</v>
      </c>
      <c r="C1336" t="s">
        <v>205</v>
      </c>
      <c r="D1336" t="s">
        <v>12</v>
      </c>
      <c r="E1336" t="s">
        <v>13</v>
      </c>
      <c r="F1336">
        <v>2868</v>
      </c>
      <c r="G1336">
        <v>6</v>
      </c>
      <c r="H1336" s="5" t="s">
        <v>22</v>
      </c>
      <c r="I1336" s="5">
        <v>0</v>
      </c>
      <c r="J1336" s="5">
        <v>0</v>
      </c>
      <c r="K1336" t="s">
        <v>9424</v>
      </c>
      <c r="L1336" cm="1">
        <f t="array" ref="L1336">wordCount(K1336)</f>
        <v>8</v>
      </c>
      <c r="M1336">
        <f t="shared" si="40"/>
        <v>55</v>
      </c>
      <c r="N1336">
        <v>0.77777777777777779</v>
      </c>
      <c r="O1336" s="23" cm="1">
        <f t="array" ref="O1336">WordListCount(K1336,keywords!$A$2:$A$31)-WordListCount(K1336,keywords!$B$2:$B$31)</f>
        <v>0</v>
      </c>
      <c r="P1336" s="25">
        <f t="shared" si="41"/>
        <v>0.67638888888888893</v>
      </c>
      <c r="Q1336" s="23">
        <f>SUM($O$2:O1336)</f>
        <v>33</v>
      </c>
      <c r="Y1336" s="14"/>
      <c r="Z1336" s="13"/>
      <c r="AA1336"/>
    </row>
    <row r="1337" spans="1:27" x14ac:dyDescent="0.2">
      <c r="A1337" s="12" t="s">
        <v>4183</v>
      </c>
      <c r="B1337" t="s">
        <v>4184</v>
      </c>
      <c r="C1337" t="s">
        <v>4185</v>
      </c>
      <c r="D1337" t="s">
        <v>1963</v>
      </c>
      <c r="E1337" t="s">
        <v>13</v>
      </c>
      <c r="F1337">
        <v>379</v>
      </c>
      <c r="G1337">
        <v>1030</v>
      </c>
      <c r="H1337" s="5" t="s">
        <v>22</v>
      </c>
      <c r="I1337" s="5">
        <v>0</v>
      </c>
      <c r="J1337" s="5">
        <v>0</v>
      </c>
      <c r="K1337" t="s">
        <v>10747</v>
      </c>
      <c r="L1337" cm="1">
        <f t="array" ref="L1337">wordCount(K1337)</f>
        <v>13</v>
      </c>
      <c r="M1337">
        <f t="shared" si="40"/>
        <v>69</v>
      </c>
      <c r="N1337">
        <v>0.6071428571428571</v>
      </c>
      <c r="O1337" s="23" cm="1">
        <f t="array" ref="O1337">WordListCount(K1337,keywords!$A$2:$A$31)-WordListCount(K1337,keywords!$B$2:$B$31)</f>
        <v>0</v>
      </c>
      <c r="P1337" s="25">
        <f t="shared" si="41"/>
        <v>0.67644675925925923</v>
      </c>
      <c r="Q1337" s="23">
        <f>SUM($O$2:O1337)</f>
        <v>33</v>
      </c>
      <c r="Y1337" s="14"/>
      <c r="Z1337" s="13"/>
      <c r="AA1337"/>
    </row>
    <row r="1338" spans="1:27" x14ac:dyDescent="0.2">
      <c r="A1338" s="12" t="s">
        <v>4186</v>
      </c>
      <c r="B1338" t="s">
        <v>4187</v>
      </c>
      <c r="C1338" t="s">
        <v>4064</v>
      </c>
      <c r="D1338" t="s">
        <v>4065</v>
      </c>
      <c r="E1338" t="s">
        <v>13</v>
      </c>
      <c r="F1338">
        <v>527</v>
      </c>
      <c r="G1338">
        <v>274</v>
      </c>
      <c r="H1338" s="5" t="s">
        <v>22</v>
      </c>
      <c r="I1338" s="5">
        <v>0</v>
      </c>
      <c r="J1338" s="5">
        <v>0</v>
      </c>
      <c r="K1338" t="s">
        <v>10748</v>
      </c>
      <c r="L1338" cm="1">
        <f t="array" ref="L1338">wordCount(K1338)</f>
        <v>8</v>
      </c>
      <c r="M1338">
        <f t="shared" si="40"/>
        <v>54</v>
      </c>
      <c r="N1338">
        <v>0.22222222222222221</v>
      </c>
      <c r="O1338" s="23" cm="1">
        <f t="array" ref="O1338">WordListCount(K1338,keywords!$A$2:$A$31)-WordListCount(K1338,keywords!$B$2:$B$31)</f>
        <v>0</v>
      </c>
      <c r="P1338" s="25">
        <f t="shared" si="41"/>
        <v>0.67650462962962965</v>
      </c>
      <c r="Q1338" s="23">
        <f>SUM($O$2:O1338)</f>
        <v>33</v>
      </c>
      <c r="Y1338" s="14"/>
      <c r="Z1338" s="13"/>
      <c r="AA1338"/>
    </row>
    <row r="1339" spans="1:27" x14ac:dyDescent="0.2">
      <c r="A1339" s="12" t="s">
        <v>4188</v>
      </c>
      <c r="B1339" t="s">
        <v>4189</v>
      </c>
      <c r="C1339" t="s">
        <v>4190</v>
      </c>
      <c r="D1339" t="s">
        <v>282</v>
      </c>
      <c r="E1339" t="s">
        <v>13</v>
      </c>
      <c r="F1339">
        <v>5477</v>
      </c>
      <c r="G1339">
        <v>109</v>
      </c>
      <c r="H1339" s="5" t="s">
        <v>22</v>
      </c>
      <c r="I1339" s="5">
        <v>0</v>
      </c>
      <c r="J1339" s="5">
        <v>0</v>
      </c>
      <c r="K1339" t="s">
        <v>10749</v>
      </c>
      <c r="L1339" cm="1">
        <f t="array" ref="L1339">wordCount(K1339)</f>
        <v>5</v>
      </c>
      <c r="M1339">
        <f t="shared" si="40"/>
        <v>20</v>
      </c>
      <c r="N1339">
        <v>0.72727272727272729</v>
      </c>
      <c r="O1339" s="23" cm="1">
        <f t="array" ref="O1339">WordListCount(K1339,keywords!$A$2:$A$31)-WordListCount(K1339,keywords!$B$2:$B$31)</f>
        <v>0</v>
      </c>
      <c r="P1339" s="25">
        <f t="shared" si="41"/>
        <v>0.67655092592592592</v>
      </c>
      <c r="Q1339" s="23">
        <f>SUM($O$2:O1339)</f>
        <v>33</v>
      </c>
      <c r="Y1339" s="14"/>
      <c r="Z1339" s="13"/>
      <c r="AA1339"/>
    </row>
    <row r="1340" spans="1:27" x14ac:dyDescent="0.2">
      <c r="A1340" s="12" t="s">
        <v>4191</v>
      </c>
      <c r="B1340" t="s">
        <v>4192</v>
      </c>
      <c r="C1340" t="s">
        <v>4193</v>
      </c>
      <c r="D1340" t="s">
        <v>4194</v>
      </c>
      <c r="E1340" t="s">
        <v>13</v>
      </c>
      <c r="F1340">
        <v>1025</v>
      </c>
      <c r="G1340">
        <v>2962</v>
      </c>
      <c r="H1340" s="5" t="s">
        <v>22</v>
      </c>
      <c r="I1340" s="5">
        <v>0</v>
      </c>
      <c r="J1340" s="5">
        <v>0</v>
      </c>
      <c r="K1340" t="s">
        <v>10750</v>
      </c>
      <c r="L1340" cm="1">
        <f t="array" ref="L1340">wordCount(K1340)</f>
        <v>9</v>
      </c>
      <c r="M1340">
        <f t="shared" si="40"/>
        <v>37</v>
      </c>
      <c r="N1340">
        <v>0.81818181818181823</v>
      </c>
      <c r="O1340" s="23" cm="1">
        <f t="array" ref="O1340">WordListCount(K1340,keywords!$A$2:$A$31)-WordListCount(K1340,keywords!$B$2:$B$31)</f>
        <v>1</v>
      </c>
      <c r="P1340" s="25">
        <f t="shared" si="41"/>
        <v>0.67660879629629633</v>
      </c>
      <c r="Q1340" s="23">
        <f>SUM($O$2:O1340)</f>
        <v>34</v>
      </c>
      <c r="Y1340" s="14"/>
      <c r="Z1340" s="13"/>
      <c r="AA1340"/>
    </row>
    <row r="1341" spans="1:27" x14ac:dyDescent="0.2">
      <c r="A1341" s="12" t="s">
        <v>4195</v>
      </c>
      <c r="B1341" t="s">
        <v>4196</v>
      </c>
      <c r="C1341" t="s">
        <v>4197</v>
      </c>
      <c r="D1341" t="s">
        <v>12</v>
      </c>
      <c r="E1341" t="s">
        <v>13</v>
      </c>
      <c r="F1341">
        <v>67</v>
      </c>
      <c r="G1341">
        <v>366</v>
      </c>
      <c r="H1341" s="5" t="s">
        <v>22</v>
      </c>
      <c r="I1341" s="5">
        <v>0</v>
      </c>
      <c r="J1341" s="5">
        <v>0</v>
      </c>
      <c r="K1341" t="s">
        <v>9425</v>
      </c>
      <c r="L1341" cm="1">
        <f t="array" ref="L1341">wordCount(K1341)</f>
        <v>5</v>
      </c>
      <c r="M1341">
        <f t="shared" si="40"/>
        <v>27</v>
      </c>
      <c r="N1341">
        <v>0.5</v>
      </c>
      <c r="O1341" s="23" cm="1">
        <f t="array" ref="O1341">WordListCount(K1341,keywords!$A$2:$A$31)-WordListCount(K1341,keywords!$B$2:$B$31)</f>
        <v>0</v>
      </c>
      <c r="P1341" s="25">
        <f t="shared" si="41"/>
        <v>0.67667824074074068</v>
      </c>
      <c r="Q1341" s="23">
        <f>SUM($O$2:O1341)</f>
        <v>34</v>
      </c>
      <c r="Y1341" s="14"/>
      <c r="Z1341" s="13"/>
      <c r="AA1341"/>
    </row>
    <row r="1342" spans="1:27" x14ac:dyDescent="0.2">
      <c r="A1342" s="12" t="s">
        <v>4198</v>
      </c>
      <c r="B1342" t="s">
        <v>4199</v>
      </c>
      <c r="C1342" t="s">
        <v>4200</v>
      </c>
      <c r="D1342" t="s">
        <v>12</v>
      </c>
      <c r="E1342" t="s">
        <v>13</v>
      </c>
      <c r="F1342">
        <v>62</v>
      </c>
      <c r="G1342">
        <v>332</v>
      </c>
      <c r="H1342" s="5" t="s">
        <v>22</v>
      </c>
      <c r="I1342" s="5">
        <v>0</v>
      </c>
      <c r="J1342" s="5">
        <v>0</v>
      </c>
      <c r="K1342" t="s">
        <v>10751</v>
      </c>
      <c r="L1342" cm="1">
        <f t="array" ref="L1342">wordCount(K1342)</f>
        <v>17</v>
      </c>
      <c r="M1342">
        <f t="shared" si="40"/>
        <v>90</v>
      </c>
      <c r="N1342">
        <v>0.34782608695652173</v>
      </c>
      <c r="O1342" s="23" cm="1">
        <f t="array" ref="O1342">WordListCount(K1342,keywords!$A$2:$A$31)-WordListCount(K1342,keywords!$B$2:$B$31)</f>
        <v>0</v>
      </c>
      <c r="P1342" s="25">
        <f t="shared" si="41"/>
        <v>0.67671296296296291</v>
      </c>
      <c r="Q1342" s="23">
        <f>SUM($O$2:O1342)</f>
        <v>34</v>
      </c>
      <c r="Y1342" s="14"/>
      <c r="Z1342" s="13"/>
      <c r="AA1342"/>
    </row>
    <row r="1343" spans="1:27" x14ac:dyDescent="0.2">
      <c r="A1343" s="12" t="s">
        <v>4201</v>
      </c>
      <c r="B1343" t="s">
        <v>4202</v>
      </c>
      <c r="C1343" t="s">
        <v>511</v>
      </c>
      <c r="D1343" t="s">
        <v>512</v>
      </c>
      <c r="E1343" t="s">
        <v>13</v>
      </c>
      <c r="F1343">
        <v>1899</v>
      </c>
      <c r="G1343">
        <v>540</v>
      </c>
      <c r="H1343" s="5" t="s">
        <v>22</v>
      </c>
      <c r="I1343" s="5">
        <v>0</v>
      </c>
      <c r="J1343" s="5">
        <v>0</v>
      </c>
      <c r="K1343" t="s">
        <v>9426</v>
      </c>
      <c r="L1343" cm="1">
        <f t="array" ref="L1343">wordCount(K1343)</f>
        <v>11</v>
      </c>
      <c r="M1343">
        <f t="shared" si="40"/>
        <v>55</v>
      </c>
      <c r="N1343">
        <v>0.90909090909090906</v>
      </c>
      <c r="O1343" s="23" cm="1">
        <f t="array" ref="O1343">WordListCount(K1343,keywords!$A$2:$A$31)-WordListCount(K1343,keywords!$B$2:$B$31)</f>
        <v>0</v>
      </c>
      <c r="P1343" s="25">
        <f t="shared" si="41"/>
        <v>0.67677083333333332</v>
      </c>
      <c r="Q1343" s="23">
        <f>SUM($O$2:O1343)</f>
        <v>34</v>
      </c>
      <c r="Y1343" s="14"/>
      <c r="Z1343" s="13"/>
      <c r="AA1343"/>
    </row>
    <row r="1344" spans="1:27" x14ac:dyDescent="0.2">
      <c r="A1344" s="12" t="s">
        <v>4203</v>
      </c>
      <c r="B1344" t="s">
        <v>4207</v>
      </c>
      <c r="C1344" t="s">
        <v>4208</v>
      </c>
      <c r="D1344" t="s">
        <v>4209</v>
      </c>
      <c r="E1344" t="s">
        <v>13</v>
      </c>
      <c r="F1344">
        <v>72</v>
      </c>
      <c r="G1344">
        <v>403</v>
      </c>
      <c r="H1344" s="5" t="s">
        <v>22</v>
      </c>
      <c r="I1344" s="5">
        <v>0</v>
      </c>
      <c r="J1344" s="5">
        <v>0</v>
      </c>
      <c r="K1344" t="s">
        <v>9428</v>
      </c>
      <c r="L1344" cm="1">
        <f t="array" ref="L1344">wordCount(K1344)</f>
        <v>9</v>
      </c>
      <c r="M1344">
        <f t="shared" si="40"/>
        <v>36</v>
      </c>
      <c r="N1344">
        <v>0.7142857142857143</v>
      </c>
      <c r="O1344" s="23" cm="1">
        <f t="array" ref="O1344">WordListCount(K1344,keywords!$A$2:$A$31)-WordListCount(K1344,keywords!$B$2:$B$31)</f>
        <v>0</v>
      </c>
      <c r="P1344" s="25">
        <f t="shared" si="41"/>
        <v>0.67689814814814808</v>
      </c>
      <c r="Q1344" s="23">
        <f>SUM($O$2:O1344)</f>
        <v>34</v>
      </c>
      <c r="Y1344" s="14"/>
      <c r="Z1344" s="13"/>
      <c r="AA1344"/>
    </row>
    <row r="1345" spans="1:27" x14ac:dyDescent="0.2">
      <c r="A1345" s="12" t="s">
        <v>4203</v>
      </c>
      <c r="B1345" t="s">
        <v>4204</v>
      </c>
      <c r="C1345" t="s">
        <v>4205</v>
      </c>
      <c r="D1345" t="s">
        <v>4206</v>
      </c>
      <c r="E1345" t="s">
        <v>13</v>
      </c>
      <c r="F1345">
        <v>15</v>
      </c>
      <c r="G1345">
        <v>84</v>
      </c>
      <c r="H1345" s="5" t="s">
        <v>22</v>
      </c>
      <c r="I1345" s="5">
        <v>0</v>
      </c>
      <c r="J1345" s="5">
        <v>0</v>
      </c>
      <c r="K1345" t="s">
        <v>9427</v>
      </c>
      <c r="L1345" cm="1">
        <f t="array" ref="L1345">wordCount(K1345)</f>
        <v>5</v>
      </c>
      <c r="M1345">
        <f t="shared" si="40"/>
        <v>24</v>
      </c>
      <c r="N1345">
        <v>0.91304347826086951</v>
      </c>
      <c r="O1345" s="23" cm="1">
        <f t="array" ref="O1345">WordListCount(K1345,keywords!$A$2:$A$31)-WordListCount(K1345,keywords!$B$2:$B$31)</f>
        <v>-1</v>
      </c>
      <c r="P1345" s="25">
        <f t="shared" si="41"/>
        <v>0.67689814814814808</v>
      </c>
      <c r="Q1345" s="23">
        <f>SUM($O$2:O1345)</f>
        <v>33</v>
      </c>
      <c r="Y1345" s="14"/>
      <c r="Z1345" s="13"/>
      <c r="AA1345"/>
    </row>
    <row r="1346" spans="1:27" x14ac:dyDescent="0.2">
      <c r="A1346" s="12" t="s">
        <v>4210</v>
      </c>
      <c r="B1346" t="s">
        <v>4211</v>
      </c>
      <c r="C1346" t="s">
        <v>179</v>
      </c>
      <c r="D1346" t="s">
        <v>180</v>
      </c>
      <c r="E1346" t="s">
        <v>13</v>
      </c>
      <c r="F1346">
        <v>972</v>
      </c>
      <c r="G1346">
        <v>180</v>
      </c>
      <c r="H1346" s="5" t="s">
        <v>22</v>
      </c>
      <c r="I1346" s="5">
        <v>0</v>
      </c>
      <c r="J1346" s="5">
        <v>0</v>
      </c>
      <c r="K1346" t="s">
        <v>10752</v>
      </c>
      <c r="L1346" cm="1">
        <f t="array" ref="L1346">wordCount(K1346)</f>
        <v>17</v>
      </c>
      <c r="M1346">
        <f t="shared" ref="M1346:M1409" si="42">LEN(K1346)</f>
        <v>96</v>
      </c>
      <c r="N1346">
        <v>0.75</v>
      </c>
      <c r="O1346" s="23" cm="1">
        <f t="array" ref="O1346">WordListCount(K1346,keywords!$A$2:$A$31)-WordListCount(K1346,keywords!$B$2:$B$31)</f>
        <v>0</v>
      </c>
      <c r="P1346" s="25">
        <f t="shared" ref="P1346:P1409" si="43">TIMEVALUE(RIGHT(A1346,8))</f>
        <v>0.67709490740740741</v>
      </c>
      <c r="Q1346" s="23">
        <f>SUM($O$2:O1346)</f>
        <v>33</v>
      </c>
      <c r="Y1346" s="14"/>
      <c r="Z1346" s="13"/>
      <c r="AA1346"/>
    </row>
    <row r="1347" spans="1:27" x14ac:dyDescent="0.2">
      <c r="A1347" s="12" t="s">
        <v>4212</v>
      </c>
      <c r="B1347" t="s">
        <v>4213</v>
      </c>
      <c r="C1347" t="s">
        <v>1277</v>
      </c>
      <c r="D1347" t="s">
        <v>1278</v>
      </c>
      <c r="E1347" t="s">
        <v>13</v>
      </c>
      <c r="F1347">
        <v>7992</v>
      </c>
      <c r="G1347">
        <v>410</v>
      </c>
      <c r="H1347" s="5" t="s">
        <v>22</v>
      </c>
      <c r="I1347" s="5">
        <v>0</v>
      </c>
      <c r="J1347" s="5">
        <v>0</v>
      </c>
      <c r="K1347" t="s">
        <v>10753</v>
      </c>
      <c r="L1347" cm="1">
        <f t="array" ref="L1347">wordCount(K1347)</f>
        <v>16</v>
      </c>
      <c r="M1347">
        <f t="shared" si="42"/>
        <v>89</v>
      </c>
      <c r="N1347">
        <v>0.4</v>
      </c>
      <c r="O1347" s="23" cm="1">
        <f t="array" ref="O1347">WordListCount(K1347,keywords!$A$2:$A$31)-WordListCount(K1347,keywords!$B$2:$B$31)</f>
        <v>0</v>
      </c>
      <c r="P1347" s="25">
        <f t="shared" si="43"/>
        <v>0.67716435185185186</v>
      </c>
      <c r="Q1347" s="23">
        <f>SUM($O$2:O1347)</f>
        <v>33</v>
      </c>
      <c r="Y1347" s="14"/>
      <c r="Z1347" s="13"/>
      <c r="AA1347"/>
    </row>
    <row r="1348" spans="1:27" x14ac:dyDescent="0.2">
      <c r="A1348" s="12" t="s">
        <v>4214</v>
      </c>
      <c r="B1348" t="s">
        <v>4215</v>
      </c>
      <c r="C1348" t="s">
        <v>4216</v>
      </c>
      <c r="D1348" t="s">
        <v>4217</v>
      </c>
      <c r="E1348" t="s">
        <v>13</v>
      </c>
      <c r="F1348">
        <v>704</v>
      </c>
      <c r="G1348">
        <v>525</v>
      </c>
      <c r="H1348" s="5" t="s">
        <v>125</v>
      </c>
      <c r="I1348" s="5">
        <v>0</v>
      </c>
      <c r="J1348" s="5">
        <v>0</v>
      </c>
      <c r="K1348" t="s">
        <v>10754</v>
      </c>
      <c r="L1348" cm="1">
        <f t="array" ref="L1348">wordCount(K1348)</f>
        <v>21</v>
      </c>
      <c r="M1348">
        <f t="shared" si="42"/>
        <v>124</v>
      </c>
      <c r="N1348">
        <v>0.47058823529411764</v>
      </c>
      <c r="O1348" s="23" cm="1">
        <f t="array" ref="O1348">WordListCount(K1348,keywords!$A$2:$A$31)-WordListCount(K1348,keywords!$B$2:$B$31)</f>
        <v>1</v>
      </c>
      <c r="P1348" s="25">
        <f t="shared" si="43"/>
        <v>0.67724537037037036</v>
      </c>
      <c r="Q1348" s="23">
        <f>SUM($O$2:O1348)</f>
        <v>34</v>
      </c>
      <c r="Y1348" s="14"/>
      <c r="Z1348" s="13"/>
      <c r="AA1348"/>
    </row>
    <row r="1349" spans="1:27" x14ac:dyDescent="0.2">
      <c r="A1349" s="12" t="s">
        <v>4218</v>
      </c>
      <c r="B1349" t="s">
        <v>4219</v>
      </c>
      <c r="C1349" t="s">
        <v>4220</v>
      </c>
      <c r="D1349" t="s">
        <v>4221</v>
      </c>
      <c r="E1349" t="s">
        <v>13</v>
      </c>
      <c r="F1349">
        <v>126820</v>
      </c>
      <c r="G1349">
        <v>638</v>
      </c>
      <c r="H1349" s="5" t="s">
        <v>22</v>
      </c>
      <c r="I1349" s="5">
        <v>0</v>
      </c>
      <c r="J1349" s="5">
        <v>0</v>
      </c>
      <c r="K1349" t="s">
        <v>9429</v>
      </c>
      <c r="L1349" cm="1">
        <f t="array" ref="L1349">wordCount(K1349)</f>
        <v>15</v>
      </c>
      <c r="M1349">
        <f t="shared" si="42"/>
        <v>64</v>
      </c>
      <c r="N1349">
        <v>0.56666666666666665</v>
      </c>
      <c r="O1349" s="23" cm="1">
        <f t="array" ref="O1349">WordListCount(K1349,keywords!$A$2:$A$31)-WordListCount(K1349,keywords!$B$2:$B$31)</f>
        <v>1</v>
      </c>
      <c r="P1349" s="25">
        <f t="shared" si="43"/>
        <v>0.67731481481481481</v>
      </c>
      <c r="Q1349" s="23">
        <f>SUM($O$2:O1349)</f>
        <v>35</v>
      </c>
      <c r="Y1349" s="14"/>
      <c r="Z1349" s="13"/>
      <c r="AA1349"/>
    </row>
    <row r="1350" spans="1:27" x14ac:dyDescent="0.2">
      <c r="A1350" s="12" t="s">
        <v>4222</v>
      </c>
      <c r="B1350" t="s">
        <v>4223</v>
      </c>
      <c r="C1350" t="s">
        <v>4224</v>
      </c>
      <c r="D1350" t="s">
        <v>4225</v>
      </c>
      <c r="E1350" t="s">
        <v>13</v>
      </c>
      <c r="F1350">
        <v>47</v>
      </c>
      <c r="G1350">
        <v>151</v>
      </c>
      <c r="H1350" s="5" t="s">
        <v>22</v>
      </c>
      <c r="I1350" s="5">
        <v>0</v>
      </c>
      <c r="J1350" s="5">
        <v>0</v>
      </c>
      <c r="K1350" t="s">
        <v>9430</v>
      </c>
      <c r="L1350" cm="1">
        <f t="array" ref="L1350">wordCount(K1350)</f>
        <v>10</v>
      </c>
      <c r="M1350">
        <f t="shared" si="42"/>
        <v>50</v>
      </c>
      <c r="N1350">
        <v>0.60869565217391308</v>
      </c>
      <c r="O1350" s="23" cm="1">
        <f t="array" ref="O1350">WordListCount(K1350,keywords!$A$2:$A$31)-WordListCount(K1350,keywords!$B$2:$B$31)</f>
        <v>0</v>
      </c>
      <c r="P1350" s="25">
        <f t="shared" si="43"/>
        <v>0.67733796296296289</v>
      </c>
      <c r="Q1350" s="23">
        <f>SUM($O$2:O1350)</f>
        <v>35</v>
      </c>
      <c r="Y1350" s="14"/>
      <c r="Z1350" s="13"/>
      <c r="AA1350"/>
    </row>
    <row r="1351" spans="1:27" x14ac:dyDescent="0.2">
      <c r="A1351" s="12" t="s">
        <v>4226</v>
      </c>
      <c r="B1351" t="s">
        <v>4227</v>
      </c>
      <c r="C1351" t="s">
        <v>4228</v>
      </c>
      <c r="D1351" t="s">
        <v>4229</v>
      </c>
      <c r="E1351" t="s">
        <v>13</v>
      </c>
      <c r="F1351">
        <v>508</v>
      </c>
      <c r="G1351">
        <v>1189</v>
      </c>
      <c r="H1351" s="5" t="s">
        <v>22</v>
      </c>
      <c r="I1351" s="5">
        <v>0</v>
      </c>
      <c r="J1351" s="5">
        <v>0</v>
      </c>
      <c r="K1351" t="s">
        <v>10755</v>
      </c>
      <c r="L1351" cm="1">
        <f t="array" ref="L1351">wordCount(K1351)</f>
        <v>7</v>
      </c>
      <c r="M1351">
        <f t="shared" si="42"/>
        <v>35</v>
      </c>
      <c r="N1351">
        <v>0.6875</v>
      </c>
      <c r="O1351" s="23" cm="1">
        <f t="array" ref="O1351">WordListCount(K1351,keywords!$A$2:$A$31)-WordListCount(K1351,keywords!$B$2:$B$31)</f>
        <v>0</v>
      </c>
      <c r="P1351" s="25">
        <f t="shared" si="43"/>
        <v>0.67761574074074071</v>
      </c>
      <c r="Q1351" s="23">
        <f>SUM($O$2:O1351)</f>
        <v>35</v>
      </c>
      <c r="Y1351" s="14"/>
      <c r="Z1351" s="13"/>
      <c r="AA1351"/>
    </row>
    <row r="1352" spans="1:27" x14ac:dyDescent="0.2">
      <c r="A1352" s="12" t="s">
        <v>4230</v>
      </c>
      <c r="B1352" t="s">
        <v>4231</v>
      </c>
      <c r="C1352" t="s">
        <v>4232</v>
      </c>
      <c r="D1352" t="s">
        <v>4233</v>
      </c>
      <c r="E1352" t="s">
        <v>13</v>
      </c>
      <c r="F1352">
        <v>80</v>
      </c>
      <c r="G1352">
        <v>266</v>
      </c>
      <c r="H1352" s="5" t="s">
        <v>677</v>
      </c>
      <c r="I1352" s="5">
        <v>0</v>
      </c>
      <c r="J1352" s="5">
        <v>0</v>
      </c>
      <c r="K1352" t="s">
        <v>10756</v>
      </c>
      <c r="L1352" cm="1">
        <f t="array" ref="L1352">wordCount(K1352)</f>
        <v>4</v>
      </c>
      <c r="M1352">
        <f t="shared" si="42"/>
        <v>18</v>
      </c>
      <c r="N1352">
        <v>0.83333333333333337</v>
      </c>
      <c r="O1352" s="23" cm="1">
        <f t="array" ref="O1352">WordListCount(K1352,keywords!$A$2:$A$31)-WordListCount(K1352,keywords!$B$2:$B$31)</f>
        <v>0</v>
      </c>
      <c r="P1352" s="25">
        <f t="shared" si="43"/>
        <v>0.67806712962962967</v>
      </c>
      <c r="Q1352" s="23">
        <f>SUM($O$2:O1352)</f>
        <v>35</v>
      </c>
      <c r="Y1352" s="14"/>
      <c r="Z1352" s="13"/>
      <c r="AA1352"/>
    </row>
    <row r="1353" spans="1:27" x14ac:dyDescent="0.2">
      <c r="A1353" s="12" t="s">
        <v>4234</v>
      </c>
      <c r="B1353" t="s">
        <v>4235</v>
      </c>
      <c r="C1353" t="s">
        <v>4236</v>
      </c>
      <c r="D1353" t="s">
        <v>12</v>
      </c>
      <c r="E1353" t="s">
        <v>13</v>
      </c>
      <c r="F1353">
        <v>340</v>
      </c>
      <c r="G1353">
        <v>115</v>
      </c>
      <c r="H1353" s="5" t="s">
        <v>22</v>
      </c>
      <c r="I1353" s="5">
        <v>0</v>
      </c>
      <c r="J1353" s="5">
        <v>0</v>
      </c>
      <c r="K1353" t="s">
        <v>9431</v>
      </c>
      <c r="L1353" cm="1">
        <f t="array" ref="L1353">wordCount(K1353)</f>
        <v>14</v>
      </c>
      <c r="M1353">
        <f t="shared" si="42"/>
        <v>65</v>
      </c>
      <c r="N1353">
        <v>0.38095238095238093</v>
      </c>
      <c r="O1353" s="23" cm="1">
        <f t="array" ref="O1353">WordListCount(K1353,keywords!$A$2:$A$31)-WordListCount(K1353,keywords!$B$2:$B$31)</f>
        <v>0</v>
      </c>
      <c r="P1353" s="25">
        <f t="shared" si="43"/>
        <v>0.67812499999999998</v>
      </c>
      <c r="Q1353" s="23">
        <f>SUM($O$2:O1353)</f>
        <v>35</v>
      </c>
      <c r="Y1353" s="14"/>
      <c r="Z1353" s="13"/>
      <c r="AA1353"/>
    </row>
    <row r="1354" spans="1:27" x14ac:dyDescent="0.2">
      <c r="A1354" s="12" t="s">
        <v>4237</v>
      </c>
      <c r="B1354" t="s">
        <v>4238</v>
      </c>
      <c r="C1354" t="s">
        <v>4228</v>
      </c>
      <c r="D1354" t="s">
        <v>4229</v>
      </c>
      <c r="E1354" t="s">
        <v>13</v>
      </c>
      <c r="F1354">
        <v>508</v>
      </c>
      <c r="G1354">
        <v>1189</v>
      </c>
      <c r="H1354" s="5" t="s">
        <v>22</v>
      </c>
      <c r="I1354" s="5">
        <v>0</v>
      </c>
      <c r="J1354" s="5">
        <v>0</v>
      </c>
      <c r="K1354" t="s">
        <v>10757</v>
      </c>
      <c r="L1354" cm="1">
        <f t="array" ref="L1354">wordCount(K1354)</f>
        <v>10</v>
      </c>
      <c r="M1354">
        <f t="shared" si="42"/>
        <v>39</v>
      </c>
      <c r="N1354">
        <v>0.8571428571428571</v>
      </c>
      <c r="O1354" s="23" cm="1">
        <f t="array" ref="O1354">WordListCount(K1354,keywords!$A$2:$A$31)-WordListCount(K1354,keywords!$B$2:$B$31)</f>
        <v>0</v>
      </c>
      <c r="P1354" s="25">
        <f t="shared" si="43"/>
        <v>0.67814814814814817</v>
      </c>
      <c r="Q1354" s="23">
        <f>SUM($O$2:O1354)</f>
        <v>35</v>
      </c>
      <c r="Y1354" s="14"/>
      <c r="Z1354" s="13"/>
      <c r="AA1354"/>
    </row>
    <row r="1355" spans="1:27" x14ac:dyDescent="0.2">
      <c r="A1355" s="12" t="s">
        <v>4239</v>
      </c>
      <c r="B1355" t="s">
        <v>4240</v>
      </c>
      <c r="C1355" t="s">
        <v>4241</v>
      </c>
      <c r="D1355" t="s">
        <v>12</v>
      </c>
      <c r="E1355" t="s">
        <v>13</v>
      </c>
      <c r="F1355">
        <v>25</v>
      </c>
      <c r="G1355">
        <v>20</v>
      </c>
      <c r="H1355" s="5" t="s">
        <v>22</v>
      </c>
      <c r="I1355" s="5">
        <v>0</v>
      </c>
      <c r="J1355" s="5">
        <v>0</v>
      </c>
      <c r="K1355" t="s">
        <v>9432</v>
      </c>
      <c r="L1355" cm="1">
        <f t="array" ref="L1355">wordCount(K1355)</f>
        <v>16</v>
      </c>
      <c r="M1355">
        <f t="shared" si="42"/>
        <v>83</v>
      </c>
      <c r="N1355">
        <v>0.4</v>
      </c>
      <c r="O1355" s="23" cm="1">
        <f t="array" ref="O1355">WordListCount(K1355,keywords!$A$2:$A$31)-WordListCount(K1355,keywords!$B$2:$B$31)</f>
        <v>1</v>
      </c>
      <c r="P1355" s="25">
        <f t="shared" si="43"/>
        <v>0.67828703703703708</v>
      </c>
      <c r="Q1355" s="23">
        <f>SUM($O$2:O1355)</f>
        <v>36</v>
      </c>
      <c r="Y1355" s="14"/>
      <c r="Z1355" s="13"/>
      <c r="AA1355"/>
    </row>
    <row r="1356" spans="1:27" x14ac:dyDescent="0.2">
      <c r="A1356" s="33" t="s">
        <v>4242</v>
      </c>
      <c r="B1356" s="34" t="s">
        <v>4243</v>
      </c>
      <c r="C1356" s="34" t="s">
        <v>123</v>
      </c>
      <c r="D1356" s="34" t="s">
        <v>124</v>
      </c>
      <c r="E1356" s="34" t="s">
        <v>13</v>
      </c>
      <c r="F1356" s="34">
        <v>838</v>
      </c>
      <c r="G1356" s="34">
        <v>899</v>
      </c>
      <c r="H1356" s="35" t="s">
        <v>125</v>
      </c>
      <c r="I1356" s="35">
        <v>0</v>
      </c>
      <c r="J1356" s="35">
        <v>0</v>
      </c>
      <c r="K1356" s="34" t="s">
        <v>9433</v>
      </c>
      <c r="L1356" s="34" cm="1">
        <f t="array" ref="L1356">wordCount(K1356)</f>
        <v>21</v>
      </c>
      <c r="M1356" s="34">
        <f t="shared" si="42"/>
        <v>99</v>
      </c>
      <c r="N1356" s="34">
        <v>0.81818181818181823</v>
      </c>
      <c r="O1356" s="36" cm="1">
        <f t="array" ref="O1356">WordListCount(K1356,keywords!$A$2:$A$31)-WordListCount(K1356,keywords!$B$2:$B$31)</f>
        <v>0</v>
      </c>
      <c r="P1356" s="37">
        <f t="shared" si="43"/>
        <v>0.67851851851851841</v>
      </c>
      <c r="Q1356" s="23">
        <f>SUM($O$2:O1356)</f>
        <v>36</v>
      </c>
    </row>
    <row r="1357" spans="1:27" x14ac:dyDescent="0.2">
      <c r="A1357" s="12" t="s">
        <v>4244</v>
      </c>
      <c r="B1357" t="s">
        <v>4245</v>
      </c>
      <c r="C1357" t="s">
        <v>4246</v>
      </c>
      <c r="D1357" t="s">
        <v>4247</v>
      </c>
      <c r="E1357" t="s">
        <v>13</v>
      </c>
      <c r="F1357">
        <v>37</v>
      </c>
      <c r="G1357">
        <v>92</v>
      </c>
      <c r="H1357" s="5" t="s">
        <v>22</v>
      </c>
      <c r="I1357" s="5">
        <v>0</v>
      </c>
      <c r="J1357" s="5">
        <v>0</v>
      </c>
      <c r="K1357" t="s">
        <v>10758</v>
      </c>
      <c r="L1357" cm="1">
        <f t="array" ref="L1357">wordCount(K1357)</f>
        <v>20</v>
      </c>
      <c r="M1357">
        <f t="shared" si="42"/>
        <v>87</v>
      </c>
      <c r="N1357">
        <v>0.67567567567567566</v>
      </c>
      <c r="O1357" s="23" cm="1">
        <f t="array" ref="O1357">WordListCount(K1357,keywords!$A$2:$A$31)-WordListCount(K1357,keywords!$B$2:$B$31)</f>
        <v>-1</v>
      </c>
      <c r="P1357" s="25">
        <f t="shared" si="43"/>
        <v>0.67924768518518519</v>
      </c>
      <c r="Q1357" s="23">
        <f>SUM($O$2:O1357)</f>
        <v>35</v>
      </c>
      <c r="Y1357" s="14"/>
      <c r="Z1357" s="13"/>
      <c r="AA1357"/>
    </row>
    <row r="1358" spans="1:27" x14ac:dyDescent="0.2">
      <c r="A1358" s="12" t="s">
        <v>4248</v>
      </c>
      <c r="B1358" t="s">
        <v>4249</v>
      </c>
      <c r="C1358" t="s">
        <v>4250</v>
      </c>
      <c r="D1358" t="s">
        <v>4251</v>
      </c>
      <c r="E1358" t="s">
        <v>13</v>
      </c>
      <c r="F1358">
        <v>16</v>
      </c>
      <c r="G1358">
        <v>100</v>
      </c>
      <c r="H1358" s="5" t="s">
        <v>22</v>
      </c>
      <c r="I1358" s="5">
        <v>0</v>
      </c>
      <c r="J1358" s="5">
        <v>0</v>
      </c>
      <c r="K1358" t="s">
        <v>10759</v>
      </c>
      <c r="L1358" cm="1">
        <f t="array" ref="L1358">wordCount(K1358)</f>
        <v>10</v>
      </c>
      <c r="M1358">
        <f t="shared" si="42"/>
        <v>53</v>
      </c>
      <c r="N1358">
        <v>0.70833333333333337</v>
      </c>
      <c r="O1358" s="23" cm="1">
        <f t="array" ref="O1358">WordListCount(K1358,keywords!$A$2:$A$31)-WordListCount(K1358,keywords!$B$2:$B$31)</f>
        <v>0</v>
      </c>
      <c r="P1358" s="25">
        <f t="shared" si="43"/>
        <v>0.67927083333333327</v>
      </c>
      <c r="Q1358" s="23">
        <f>SUM($O$2:O1358)</f>
        <v>35</v>
      </c>
      <c r="Y1358" s="14"/>
      <c r="Z1358" s="13"/>
      <c r="AA1358"/>
    </row>
    <row r="1359" spans="1:27" x14ac:dyDescent="0.2">
      <c r="A1359" s="12" t="s">
        <v>4252</v>
      </c>
      <c r="B1359" t="s">
        <v>4253</v>
      </c>
      <c r="C1359" t="s">
        <v>4254</v>
      </c>
      <c r="D1359" t="s">
        <v>4255</v>
      </c>
      <c r="E1359" t="s">
        <v>13</v>
      </c>
      <c r="F1359">
        <v>19</v>
      </c>
      <c r="G1359">
        <v>8</v>
      </c>
      <c r="H1359" s="5" t="s">
        <v>22</v>
      </c>
      <c r="I1359" s="5">
        <v>0</v>
      </c>
      <c r="J1359" s="5">
        <v>0</v>
      </c>
      <c r="K1359" t="s">
        <v>9434</v>
      </c>
      <c r="L1359" cm="1">
        <f t="array" ref="L1359">wordCount(K1359)</f>
        <v>4</v>
      </c>
      <c r="M1359">
        <f t="shared" si="42"/>
        <v>26</v>
      </c>
      <c r="N1359">
        <v>0.76923076923076927</v>
      </c>
      <c r="O1359" s="23" cm="1">
        <f t="array" ref="O1359">WordListCount(K1359,keywords!$A$2:$A$31)-WordListCount(K1359,keywords!$B$2:$B$31)</f>
        <v>0</v>
      </c>
      <c r="P1359" s="25">
        <f t="shared" si="43"/>
        <v>0.67934027777777783</v>
      </c>
      <c r="Q1359" s="23">
        <f>SUM($O$2:O1359)</f>
        <v>35</v>
      </c>
      <c r="Y1359" s="14"/>
      <c r="Z1359" s="13"/>
      <c r="AA1359"/>
    </row>
    <row r="1360" spans="1:27" x14ac:dyDescent="0.2">
      <c r="A1360" s="12" t="s">
        <v>4256</v>
      </c>
      <c r="B1360" t="s">
        <v>4257</v>
      </c>
      <c r="C1360" t="s">
        <v>4258</v>
      </c>
      <c r="D1360" t="s">
        <v>4259</v>
      </c>
      <c r="E1360" t="s">
        <v>13</v>
      </c>
      <c r="F1360">
        <v>810</v>
      </c>
      <c r="G1360">
        <v>2979</v>
      </c>
      <c r="H1360" s="5" t="s">
        <v>22</v>
      </c>
      <c r="I1360" s="5">
        <v>0</v>
      </c>
      <c r="J1360" s="5">
        <v>0</v>
      </c>
      <c r="K1360" t="s">
        <v>9435</v>
      </c>
      <c r="L1360" cm="1">
        <f t="array" ref="L1360">wordCount(K1360)</f>
        <v>5</v>
      </c>
      <c r="M1360">
        <f t="shared" si="42"/>
        <v>35</v>
      </c>
      <c r="N1360">
        <v>0.83333333333333337</v>
      </c>
      <c r="O1360" s="23" cm="1">
        <f t="array" ref="O1360">WordListCount(K1360,keywords!$A$2:$A$31)-WordListCount(K1360,keywords!$B$2:$B$31)</f>
        <v>0</v>
      </c>
      <c r="P1360" s="25">
        <f t="shared" si="43"/>
        <v>0.67937499999999995</v>
      </c>
      <c r="Q1360" s="23">
        <f>SUM($O$2:O1360)</f>
        <v>35</v>
      </c>
      <c r="Y1360" s="14"/>
      <c r="Z1360" s="13"/>
      <c r="AA1360"/>
    </row>
    <row r="1361" spans="1:27" x14ac:dyDescent="0.2">
      <c r="A1361" s="12" t="s">
        <v>4260</v>
      </c>
      <c r="B1361" t="s">
        <v>4261</v>
      </c>
      <c r="C1361" t="s">
        <v>4262</v>
      </c>
      <c r="D1361" t="s">
        <v>4263</v>
      </c>
      <c r="E1361" t="s">
        <v>13</v>
      </c>
      <c r="F1361">
        <v>178</v>
      </c>
      <c r="G1361">
        <v>399</v>
      </c>
      <c r="H1361" s="5" t="s">
        <v>22</v>
      </c>
      <c r="I1361" s="5">
        <v>0</v>
      </c>
      <c r="J1361" s="5">
        <v>0</v>
      </c>
      <c r="K1361" t="s">
        <v>9436</v>
      </c>
      <c r="L1361" cm="1">
        <f t="array" ref="L1361">wordCount(K1361)</f>
        <v>4</v>
      </c>
      <c r="M1361">
        <f t="shared" si="42"/>
        <v>22</v>
      </c>
      <c r="N1361">
        <v>0.95</v>
      </c>
      <c r="O1361" s="23" cm="1">
        <f t="array" ref="O1361">WordListCount(K1361,keywords!$A$2:$A$31)-WordListCount(K1361,keywords!$B$2:$B$31)</f>
        <v>1</v>
      </c>
      <c r="P1361" s="25">
        <f t="shared" si="43"/>
        <v>0.68008101851851854</v>
      </c>
      <c r="Q1361" s="23">
        <f>SUM($O$2:O1361)</f>
        <v>36</v>
      </c>
      <c r="Y1361" s="14"/>
      <c r="Z1361" s="13"/>
      <c r="AA1361"/>
    </row>
    <row r="1362" spans="1:27" x14ac:dyDescent="0.2">
      <c r="A1362" s="12" t="s">
        <v>4264</v>
      </c>
      <c r="B1362" t="s">
        <v>4265</v>
      </c>
      <c r="C1362" t="s">
        <v>4266</v>
      </c>
      <c r="D1362" t="s">
        <v>1061</v>
      </c>
      <c r="E1362" t="s">
        <v>13</v>
      </c>
      <c r="F1362">
        <v>2446</v>
      </c>
      <c r="G1362">
        <v>208</v>
      </c>
      <c r="H1362" s="5" t="s">
        <v>22</v>
      </c>
      <c r="I1362" s="5">
        <v>0</v>
      </c>
      <c r="J1362" s="5">
        <v>0</v>
      </c>
      <c r="K1362" t="s">
        <v>10760</v>
      </c>
      <c r="L1362" cm="1">
        <f t="array" ref="L1362">wordCount(K1362)</f>
        <v>13</v>
      </c>
      <c r="M1362">
        <f t="shared" si="42"/>
        <v>61</v>
      </c>
      <c r="N1362">
        <v>0.26666666666666666</v>
      </c>
      <c r="O1362" s="23" cm="1">
        <f t="array" ref="O1362">WordListCount(K1362,keywords!$A$2:$A$31)-WordListCount(K1362,keywords!$B$2:$B$31)</f>
        <v>0</v>
      </c>
      <c r="P1362" s="25">
        <f t="shared" si="43"/>
        <v>0.68042824074074071</v>
      </c>
      <c r="Q1362" s="23">
        <f>SUM($O$2:O1362)</f>
        <v>36</v>
      </c>
      <c r="Y1362" s="14"/>
      <c r="Z1362" s="13"/>
      <c r="AA1362"/>
    </row>
    <row r="1363" spans="1:27" x14ac:dyDescent="0.2">
      <c r="A1363" s="12" t="s">
        <v>4267</v>
      </c>
      <c r="B1363" t="s">
        <v>4268</v>
      </c>
      <c r="C1363" t="s">
        <v>4269</v>
      </c>
      <c r="D1363" t="s">
        <v>1479</v>
      </c>
      <c r="E1363" t="s">
        <v>13</v>
      </c>
      <c r="F1363">
        <v>73</v>
      </c>
      <c r="G1363">
        <v>420</v>
      </c>
      <c r="H1363" s="5" t="s">
        <v>22</v>
      </c>
      <c r="I1363" s="5">
        <v>0</v>
      </c>
      <c r="J1363" s="5">
        <v>0</v>
      </c>
      <c r="K1363" t="s">
        <v>10761</v>
      </c>
      <c r="L1363" cm="1">
        <f t="array" ref="L1363">wordCount(K1363)</f>
        <v>5</v>
      </c>
      <c r="M1363">
        <f t="shared" si="42"/>
        <v>15</v>
      </c>
      <c r="N1363">
        <v>0.5</v>
      </c>
      <c r="O1363" s="23" cm="1">
        <f t="array" ref="O1363">WordListCount(K1363,keywords!$A$2:$A$31)-WordListCount(K1363,keywords!$B$2:$B$31)</f>
        <v>0</v>
      </c>
      <c r="P1363" s="25">
        <f t="shared" si="43"/>
        <v>0.68059027777777781</v>
      </c>
      <c r="Q1363" s="23">
        <f>SUM($O$2:O1363)</f>
        <v>36</v>
      </c>
      <c r="Y1363" s="14"/>
      <c r="Z1363" s="13"/>
      <c r="AA1363"/>
    </row>
    <row r="1364" spans="1:27" x14ac:dyDescent="0.2">
      <c r="A1364" s="12" t="s">
        <v>4270</v>
      </c>
      <c r="B1364" t="s">
        <v>4271</v>
      </c>
      <c r="C1364" t="s">
        <v>4272</v>
      </c>
      <c r="D1364" t="s">
        <v>4273</v>
      </c>
      <c r="E1364" t="s">
        <v>13</v>
      </c>
      <c r="F1364">
        <v>33</v>
      </c>
      <c r="G1364">
        <v>69</v>
      </c>
      <c r="H1364" s="5" t="s">
        <v>22</v>
      </c>
      <c r="I1364" s="5">
        <v>0</v>
      </c>
      <c r="J1364" s="5">
        <v>0</v>
      </c>
      <c r="K1364" t="s">
        <v>10762</v>
      </c>
      <c r="L1364" cm="1">
        <f t="array" ref="L1364">wordCount(K1364)</f>
        <v>18</v>
      </c>
      <c r="M1364">
        <f t="shared" si="42"/>
        <v>67</v>
      </c>
      <c r="N1364">
        <v>0.3</v>
      </c>
      <c r="O1364" s="23" cm="1">
        <f t="array" ref="O1364">WordListCount(K1364,keywords!$A$2:$A$31)-WordListCount(K1364,keywords!$B$2:$B$31)</f>
        <v>0</v>
      </c>
      <c r="P1364" s="25">
        <f t="shared" si="43"/>
        <v>0.68079861111111117</v>
      </c>
      <c r="Q1364" s="23">
        <f>SUM($O$2:O1364)</f>
        <v>36</v>
      </c>
      <c r="Y1364" s="14"/>
      <c r="Z1364" s="13"/>
      <c r="AA1364"/>
    </row>
    <row r="1365" spans="1:27" x14ac:dyDescent="0.2">
      <c r="A1365" s="12" t="s">
        <v>4274</v>
      </c>
      <c r="B1365" t="s">
        <v>4275</v>
      </c>
      <c r="C1365" t="s">
        <v>4276</v>
      </c>
      <c r="D1365" t="s">
        <v>1767</v>
      </c>
      <c r="E1365" t="s">
        <v>13</v>
      </c>
      <c r="F1365">
        <v>79</v>
      </c>
      <c r="G1365">
        <v>569</v>
      </c>
      <c r="H1365" s="5" t="s">
        <v>22</v>
      </c>
      <c r="I1365" s="5">
        <v>0</v>
      </c>
      <c r="J1365" s="5">
        <v>0</v>
      </c>
      <c r="K1365" t="s">
        <v>10763</v>
      </c>
      <c r="L1365" cm="1">
        <f t="array" ref="L1365">wordCount(K1365)</f>
        <v>10</v>
      </c>
      <c r="M1365">
        <f t="shared" si="42"/>
        <v>57</v>
      </c>
      <c r="N1365">
        <v>0.61904761904761907</v>
      </c>
      <c r="O1365" s="23" cm="1">
        <f t="array" ref="O1365">WordListCount(K1365,keywords!$A$2:$A$31)-WordListCount(K1365,keywords!$B$2:$B$31)</f>
        <v>0</v>
      </c>
      <c r="P1365" s="25">
        <f t="shared" si="43"/>
        <v>0.68103009259259262</v>
      </c>
      <c r="Q1365" s="23">
        <f>SUM($O$2:O1365)</f>
        <v>36</v>
      </c>
      <c r="Y1365" s="14"/>
      <c r="Z1365" s="13"/>
      <c r="AA1365"/>
    </row>
    <row r="1366" spans="1:27" x14ac:dyDescent="0.2">
      <c r="A1366" s="12" t="s">
        <v>4277</v>
      </c>
      <c r="B1366" t="s">
        <v>4278</v>
      </c>
      <c r="C1366" t="s">
        <v>4279</v>
      </c>
      <c r="D1366" t="s">
        <v>4280</v>
      </c>
      <c r="E1366" t="s">
        <v>13</v>
      </c>
      <c r="F1366">
        <v>2014</v>
      </c>
      <c r="G1366">
        <v>402</v>
      </c>
      <c r="H1366" s="5" t="s">
        <v>22</v>
      </c>
      <c r="I1366" s="5">
        <v>0</v>
      </c>
      <c r="J1366" s="5">
        <v>0</v>
      </c>
      <c r="K1366" t="s">
        <v>10764</v>
      </c>
      <c r="L1366" cm="1">
        <f t="array" ref="L1366">wordCount(K1366)</f>
        <v>12</v>
      </c>
      <c r="M1366">
        <f t="shared" si="42"/>
        <v>54</v>
      </c>
      <c r="N1366">
        <v>0.68965517241379315</v>
      </c>
      <c r="O1366" s="23" cm="1">
        <f t="array" ref="O1366">WordListCount(K1366,keywords!$A$2:$A$31)-WordListCount(K1366,keywords!$B$2:$B$31)</f>
        <v>0</v>
      </c>
      <c r="P1366" s="25">
        <f t="shared" si="43"/>
        <v>0.68140046296296297</v>
      </c>
      <c r="Q1366" s="23">
        <f>SUM($O$2:O1366)</f>
        <v>36</v>
      </c>
      <c r="Y1366" s="14"/>
      <c r="Z1366" s="13"/>
      <c r="AA1366"/>
    </row>
    <row r="1367" spans="1:27" x14ac:dyDescent="0.2">
      <c r="A1367" s="12" t="s">
        <v>4281</v>
      </c>
      <c r="B1367" t="s">
        <v>4282</v>
      </c>
      <c r="C1367" t="s">
        <v>4283</v>
      </c>
      <c r="D1367" t="s">
        <v>2327</v>
      </c>
      <c r="E1367" t="s">
        <v>13</v>
      </c>
      <c r="F1367">
        <v>197</v>
      </c>
      <c r="G1367">
        <v>403</v>
      </c>
      <c r="H1367" s="5" t="s">
        <v>22</v>
      </c>
      <c r="I1367" s="5">
        <v>0</v>
      </c>
      <c r="J1367" s="5">
        <v>0</v>
      </c>
      <c r="K1367" t="s">
        <v>9437</v>
      </c>
      <c r="L1367" cm="1">
        <f t="array" ref="L1367">wordCount(K1367)</f>
        <v>7</v>
      </c>
      <c r="M1367">
        <f t="shared" si="42"/>
        <v>27</v>
      </c>
      <c r="N1367">
        <v>0.77272727272727271</v>
      </c>
      <c r="O1367" s="23" cm="1">
        <f t="array" ref="O1367">WordListCount(K1367,keywords!$A$2:$A$31)-WordListCount(K1367,keywords!$B$2:$B$31)</f>
        <v>0</v>
      </c>
      <c r="P1367" s="25">
        <f t="shared" si="43"/>
        <v>0.68172453703703706</v>
      </c>
      <c r="Q1367" s="23">
        <f>SUM($O$2:O1367)</f>
        <v>36</v>
      </c>
      <c r="Y1367" s="14"/>
      <c r="Z1367" s="13"/>
      <c r="AA1367"/>
    </row>
    <row r="1368" spans="1:27" x14ac:dyDescent="0.2">
      <c r="A1368" s="12" t="s">
        <v>4284</v>
      </c>
      <c r="B1368" t="s">
        <v>4285</v>
      </c>
      <c r="C1368" t="s">
        <v>4286</v>
      </c>
      <c r="D1368" t="s">
        <v>1448</v>
      </c>
      <c r="E1368" t="s">
        <v>13</v>
      </c>
      <c r="F1368">
        <v>171</v>
      </c>
      <c r="G1368">
        <v>416</v>
      </c>
      <c r="H1368" s="5" t="s">
        <v>22</v>
      </c>
      <c r="I1368" s="5">
        <v>0</v>
      </c>
      <c r="J1368" s="5">
        <v>0</v>
      </c>
      <c r="K1368" t="s">
        <v>10765</v>
      </c>
      <c r="L1368" cm="1">
        <f t="array" ref="L1368">wordCount(K1368)</f>
        <v>9</v>
      </c>
      <c r="M1368">
        <f t="shared" si="42"/>
        <v>27</v>
      </c>
      <c r="N1368">
        <v>0.44444444444444442</v>
      </c>
      <c r="O1368" s="23" cm="1">
        <f t="array" ref="O1368">WordListCount(K1368,keywords!$A$2:$A$31)-WordListCount(K1368,keywords!$B$2:$B$31)</f>
        <v>0</v>
      </c>
      <c r="P1368" s="25">
        <f t="shared" si="43"/>
        <v>0.68185185185185182</v>
      </c>
      <c r="Q1368" s="23">
        <f>SUM($O$2:O1368)</f>
        <v>36</v>
      </c>
      <c r="Y1368" s="14"/>
      <c r="Z1368" s="13"/>
      <c r="AA1368"/>
    </row>
    <row r="1369" spans="1:27" x14ac:dyDescent="0.2">
      <c r="A1369" s="12" t="s">
        <v>4287</v>
      </c>
      <c r="B1369" t="s">
        <v>4288</v>
      </c>
      <c r="C1369" t="s">
        <v>4289</v>
      </c>
      <c r="D1369" t="s">
        <v>4290</v>
      </c>
      <c r="E1369" t="s">
        <v>13</v>
      </c>
      <c r="F1369">
        <v>85</v>
      </c>
      <c r="G1369">
        <v>342</v>
      </c>
      <c r="H1369" s="5" t="s">
        <v>22</v>
      </c>
      <c r="I1369" s="5">
        <v>0</v>
      </c>
      <c r="J1369" s="5">
        <v>0</v>
      </c>
      <c r="K1369" t="s">
        <v>10766</v>
      </c>
      <c r="L1369" cm="1">
        <f t="array" ref="L1369">wordCount(K1369)</f>
        <v>14</v>
      </c>
      <c r="M1369">
        <f t="shared" si="42"/>
        <v>80</v>
      </c>
      <c r="N1369">
        <v>0.29411764705882354</v>
      </c>
      <c r="O1369" s="23" cm="1">
        <f t="array" ref="O1369">WordListCount(K1369,keywords!$A$2:$A$31)-WordListCount(K1369,keywords!$B$2:$B$31)</f>
        <v>-1</v>
      </c>
      <c r="P1369" s="25">
        <f t="shared" si="43"/>
        <v>0.68190972222222224</v>
      </c>
      <c r="Q1369" s="23">
        <f>SUM($O$2:O1369)</f>
        <v>35</v>
      </c>
      <c r="Y1369" s="14"/>
      <c r="Z1369" s="13"/>
      <c r="AA1369"/>
    </row>
    <row r="1370" spans="1:27" x14ac:dyDescent="0.2">
      <c r="A1370" s="12" t="s">
        <v>4291</v>
      </c>
      <c r="B1370" t="s">
        <v>4292</v>
      </c>
      <c r="C1370" t="s">
        <v>4293</v>
      </c>
      <c r="D1370" t="s">
        <v>257</v>
      </c>
      <c r="E1370" t="s">
        <v>13</v>
      </c>
      <c r="F1370">
        <v>95</v>
      </c>
      <c r="G1370">
        <v>68</v>
      </c>
      <c r="H1370" s="5" t="s">
        <v>22</v>
      </c>
      <c r="I1370" s="5">
        <v>0</v>
      </c>
      <c r="J1370" s="5">
        <v>0</v>
      </c>
      <c r="K1370" t="s">
        <v>10767</v>
      </c>
      <c r="L1370" cm="1">
        <f t="array" ref="L1370">wordCount(K1370)</f>
        <v>18</v>
      </c>
      <c r="M1370">
        <f t="shared" si="42"/>
        <v>78</v>
      </c>
      <c r="N1370">
        <v>0.35</v>
      </c>
      <c r="O1370" s="23" cm="1">
        <f t="array" ref="O1370">WordListCount(K1370,keywords!$A$2:$A$31)-WordListCount(K1370,keywords!$B$2:$B$31)</f>
        <v>0</v>
      </c>
      <c r="P1370" s="25">
        <f t="shared" si="43"/>
        <v>0.68204861111111104</v>
      </c>
      <c r="Q1370" s="23">
        <f>SUM($O$2:O1370)</f>
        <v>35</v>
      </c>
      <c r="Y1370" s="14"/>
      <c r="Z1370" s="13"/>
      <c r="AA1370"/>
    </row>
    <row r="1371" spans="1:27" x14ac:dyDescent="0.2">
      <c r="A1371" s="12" t="s">
        <v>4294</v>
      </c>
      <c r="B1371" t="s">
        <v>4295</v>
      </c>
      <c r="C1371" t="s">
        <v>4296</v>
      </c>
      <c r="D1371" t="s">
        <v>12</v>
      </c>
      <c r="E1371" t="s">
        <v>13</v>
      </c>
      <c r="F1371">
        <v>41</v>
      </c>
      <c r="G1371">
        <v>42</v>
      </c>
      <c r="H1371" s="5" t="s">
        <v>22</v>
      </c>
      <c r="I1371" s="5">
        <v>0</v>
      </c>
      <c r="J1371" s="5">
        <v>0</v>
      </c>
      <c r="K1371" t="s">
        <v>9438</v>
      </c>
      <c r="L1371" cm="1">
        <f t="array" ref="L1371">wordCount(K1371)</f>
        <v>4</v>
      </c>
      <c r="M1371">
        <f t="shared" si="42"/>
        <v>16</v>
      </c>
      <c r="N1371">
        <v>0.78947368421052633</v>
      </c>
      <c r="O1371" s="23" cm="1">
        <f t="array" ref="O1371">WordListCount(K1371,keywords!$A$2:$A$31)-WordListCount(K1371,keywords!$B$2:$B$31)</f>
        <v>0</v>
      </c>
      <c r="P1371" s="25">
        <f t="shared" si="43"/>
        <v>0.68223379629629621</v>
      </c>
      <c r="Q1371" s="23">
        <f>SUM($O$2:O1371)</f>
        <v>35</v>
      </c>
      <c r="Y1371" s="14"/>
      <c r="Z1371" s="13"/>
      <c r="AA1371"/>
    </row>
    <row r="1372" spans="1:27" x14ac:dyDescent="0.2">
      <c r="A1372" s="12" t="s">
        <v>4297</v>
      </c>
      <c r="B1372" t="s">
        <v>4298</v>
      </c>
      <c r="C1372" t="s">
        <v>4299</v>
      </c>
      <c r="D1372" t="s">
        <v>112</v>
      </c>
      <c r="E1372" t="s">
        <v>13</v>
      </c>
      <c r="F1372">
        <v>251</v>
      </c>
      <c r="G1372">
        <v>307</v>
      </c>
      <c r="H1372" s="5" t="s">
        <v>22</v>
      </c>
      <c r="I1372" s="5">
        <v>0</v>
      </c>
      <c r="J1372" s="5">
        <v>0</v>
      </c>
      <c r="K1372" t="s">
        <v>10768</v>
      </c>
      <c r="L1372" cm="1">
        <f t="array" ref="L1372">wordCount(K1372)</f>
        <v>11</v>
      </c>
      <c r="M1372">
        <f t="shared" si="42"/>
        <v>55</v>
      </c>
      <c r="N1372">
        <v>0.7142857142857143</v>
      </c>
      <c r="O1372" s="23" cm="1">
        <f t="array" ref="O1372">WordListCount(K1372,keywords!$A$2:$A$31)-WordListCount(K1372,keywords!$B$2:$B$31)</f>
        <v>0</v>
      </c>
      <c r="P1372" s="25">
        <f t="shared" si="43"/>
        <v>0.68231481481481471</v>
      </c>
      <c r="Q1372" s="23">
        <f>SUM($O$2:O1372)</f>
        <v>35</v>
      </c>
      <c r="Y1372" s="14"/>
      <c r="Z1372" s="13"/>
      <c r="AA1372"/>
    </row>
    <row r="1373" spans="1:27" x14ac:dyDescent="0.2">
      <c r="A1373" s="12" t="s">
        <v>4300</v>
      </c>
      <c r="B1373" t="s">
        <v>4301</v>
      </c>
      <c r="C1373" t="s">
        <v>4302</v>
      </c>
      <c r="D1373" t="s">
        <v>344</v>
      </c>
      <c r="E1373" t="s">
        <v>13</v>
      </c>
      <c r="F1373">
        <v>911</v>
      </c>
      <c r="G1373">
        <v>258</v>
      </c>
      <c r="H1373" s="5" t="s">
        <v>22</v>
      </c>
      <c r="I1373" s="5">
        <v>0</v>
      </c>
      <c r="J1373" s="5">
        <v>0</v>
      </c>
      <c r="K1373" t="s">
        <v>9439</v>
      </c>
      <c r="L1373" cm="1">
        <f t="array" ref="L1373">wordCount(K1373)</f>
        <v>15</v>
      </c>
      <c r="M1373">
        <f t="shared" si="42"/>
        <v>65</v>
      </c>
      <c r="N1373">
        <v>0.52173913043478259</v>
      </c>
      <c r="O1373" s="23" cm="1">
        <f t="array" ref="O1373">WordListCount(K1373,keywords!$A$2:$A$31)-WordListCount(K1373,keywords!$B$2:$B$31)</f>
        <v>0</v>
      </c>
      <c r="P1373" s="25">
        <f t="shared" si="43"/>
        <v>0.68240740740740735</v>
      </c>
      <c r="Q1373" s="23">
        <f>SUM($O$2:O1373)</f>
        <v>35</v>
      </c>
      <c r="Y1373" s="14"/>
      <c r="Z1373" s="13"/>
      <c r="AA1373"/>
    </row>
    <row r="1374" spans="1:27" x14ac:dyDescent="0.2">
      <c r="A1374" s="12" t="s">
        <v>4303</v>
      </c>
      <c r="B1374" t="s">
        <v>4304</v>
      </c>
      <c r="C1374" t="s">
        <v>4305</v>
      </c>
      <c r="D1374" t="s">
        <v>66</v>
      </c>
      <c r="E1374" t="s">
        <v>47</v>
      </c>
      <c r="F1374">
        <v>149787</v>
      </c>
      <c r="G1374">
        <v>949</v>
      </c>
      <c r="H1374" s="5" t="s">
        <v>14</v>
      </c>
      <c r="I1374" s="5">
        <v>0</v>
      </c>
      <c r="J1374" s="5">
        <v>0</v>
      </c>
      <c r="K1374" t="s">
        <v>10769</v>
      </c>
      <c r="L1374" cm="1">
        <f t="array" ref="L1374">wordCount(K1374)</f>
        <v>8</v>
      </c>
      <c r="M1374">
        <f t="shared" si="42"/>
        <v>43</v>
      </c>
      <c r="N1374">
        <v>0.625</v>
      </c>
      <c r="O1374" s="23" cm="1">
        <f t="array" ref="O1374">WordListCount(K1374,keywords!$A$2:$A$31)-WordListCount(K1374,keywords!$B$2:$B$31)</f>
        <v>0</v>
      </c>
      <c r="P1374" s="25">
        <f t="shared" si="43"/>
        <v>0.68254629629629626</v>
      </c>
      <c r="Q1374" s="23">
        <f>SUM($O$2:O1374)</f>
        <v>35</v>
      </c>
      <c r="Y1374" s="14"/>
      <c r="Z1374" s="13"/>
      <c r="AA1374"/>
    </row>
    <row r="1375" spans="1:27" x14ac:dyDescent="0.2">
      <c r="A1375" s="12" t="s">
        <v>4306</v>
      </c>
      <c r="B1375" t="s">
        <v>4307</v>
      </c>
      <c r="C1375" t="s">
        <v>4308</v>
      </c>
      <c r="D1375" t="s">
        <v>12</v>
      </c>
      <c r="E1375" t="s">
        <v>13</v>
      </c>
      <c r="F1375">
        <v>153</v>
      </c>
      <c r="G1375">
        <v>438</v>
      </c>
      <c r="H1375" s="5" t="s">
        <v>22</v>
      </c>
      <c r="I1375" s="5">
        <v>0</v>
      </c>
      <c r="J1375" s="5">
        <v>0</v>
      </c>
      <c r="K1375" t="s">
        <v>9440</v>
      </c>
      <c r="L1375" cm="1">
        <f t="array" ref="L1375">wordCount(K1375)</f>
        <v>6</v>
      </c>
      <c r="M1375">
        <f t="shared" si="42"/>
        <v>31</v>
      </c>
      <c r="N1375">
        <v>0.6428571428571429</v>
      </c>
      <c r="O1375" s="23" cm="1">
        <f t="array" ref="O1375">WordListCount(K1375,keywords!$A$2:$A$31)-WordListCount(K1375,keywords!$B$2:$B$31)</f>
        <v>0</v>
      </c>
      <c r="P1375" s="25">
        <f t="shared" si="43"/>
        <v>0.68258101851851849</v>
      </c>
      <c r="Q1375" s="23">
        <f>SUM($O$2:O1375)</f>
        <v>35</v>
      </c>
      <c r="Y1375" s="14"/>
      <c r="Z1375" s="13"/>
      <c r="AA1375"/>
    </row>
    <row r="1376" spans="1:27" x14ac:dyDescent="0.2">
      <c r="A1376" s="12" t="s">
        <v>4309</v>
      </c>
      <c r="B1376" t="s">
        <v>4310</v>
      </c>
      <c r="C1376" t="s">
        <v>4311</v>
      </c>
      <c r="D1376" t="s">
        <v>1448</v>
      </c>
      <c r="E1376" t="s">
        <v>13</v>
      </c>
      <c r="F1376">
        <v>148</v>
      </c>
      <c r="G1376">
        <v>814</v>
      </c>
      <c r="H1376" s="5" t="s">
        <v>22</v>
      </c>
      <c r="I1376" s="5">
        <v>0</v>
      </c>
      <c r="J1376" s="5">
        <v>0</v>
      </c>
      <c r="K1376" t="s">
        <v>10770</v>
      </c>
      <c r="L1376" cm="1">
        <f t="array" ref="L1376">wordCount(K1376)</f>
        <v>16</v>
      </c>
      <c r="M1376">
        <f t="shared" si="42"/>
        <v>74</v>
      </c>
      <c r="N1376">
        <v>0.45</v>
      </c>
      <c r="O1376" s="23" cm="1">
        <f t="array" ref="O1376">WordListCount(K1376,keywords!$A$2:$A$31)-WordListCount(K1376,keywords!$B$2:$B$31)</f>
        <v>0</v>
      </c>
      <c r="P1376" s="25">
        <f t="shared" si="43"/>
        <v>0.68266203703703709</v>
      </c>
      <c r="Q1376" s="23">
        <f>SUM($O$2:O1376)</f>
        <v>35</v>
      </c>
      <c r="Y1376" s="14"/>
      <c r="Z1376" s="13"/>
      <c r="AA1376"/>
    </row>
    <row r="1377" spans="1:27" x14ac:dyDescent="0.2">
      <c r="A1377" s="12" t="s">
        <v>4312</v>
      </c>
      <c r="B1377" t="s">
        <v>4313</v>
      </c>
      <c r="C1377" t="s">
        <v>4314</v>
      </c>
      <c r="D1377" t="s">
        <v>12</v>
      </c>
      <c r="E1377" t="s">
        <v>13</v>
      </c>
      <c r="F1377">
        <v>500</v>
      </c>
      <c r="G1377">
        <v>510</v>
      </c>
      <c r="H1377" s="5" t="s">
        <v>22</v>
      </c>
      <c r="I1377" s="5">
        <v>0</v>
      </c>
      <c r="J1377" s="5">
        <v>0</v>
      </c>
      <c r="K1377" t="s">
        <v>10771</v>
      </c>
      <c r="L1377" cm="1">
        <f t="array" ref="L1377">wordCount(K1377)</f>
        <v>24</v>
      </c>
      <c r="M1377">
        <f t="shared" si="42"/>
        <v>132</v>
      </c>
      <c r="N1377">
        <v>8.3333333333333329E-2</v>
      </c>
      <c r="O1377" s="23" cm="1">
        <f t="array" ref="O1377">WordListCount(K1377,keywords!$A$2:$A$31)-WordListCount(K1377,keywords!$B$2:$B$31)</f>
        <v>1</v>
      </c>
      <c r="P1377" s="25">
        <f t="shared" si="43"/>
        <v>0.6827199074074074</v>
      </c>
      <c r="Q1377" s="23">
        <f>SUM($O$2:O1377)</f>
        <v>36</v>
      </c>
      <c r="Y1377" s="14"/>
      <c r="Z1377" s="13"/>
      <c r="AA1377"/>
    </row>
    <row r="1378" spans="1:27" x14ac:dyDescent="0.2">
      <c r="A1378" s="12" t="s">
        <v>4315</v>
      </c>
      <c r="B1378" t="s">
        <v>4316</v>
      </c>
      <c r="C1378" t="s">
        <v>4115</v>
      </c>
      <c r="D1378" t="s">
        <v>2546</v>
      </c>
      <c r="E1378" t="s">
        <v>13</v>
      </c>
      <c r="F1378">
        <v>798</v>
      </c>
      <c r="G1378">
        <v>1616</v>
      </c>
      <c r="H1378" s="5" t="s">
        <v>22</v>
      </c>
      <c r="I1378" s="5">
        <v>0</v>
      </c>
      <c r="J1378" s="5">
        <v>0</v>
      </c>
      <c r="K1378" t="s">
        <v>9441</v>
      </c>
      <c r="L1378" cm="1">
        <f t="array" ref="L1378">wordCount(K1378)</f>
        <v>10</v>
      </c>
      <c r="M1378">
        <f t="shared" si="42"/>
        <v>49</v>
      </c>
      <c r="N1378">
        <v>0.7</v>
      </c>
      <c r="O1378" s="23" cm="1">
        <f t="array" ref="O1378">WordListCount(K1378,keywords!$A$2:$A$31)-WordListCount(K1378,keywords!$B$2:$B$31)</f>
        <v>0</v>
      </c>
      <c r="P1378" s="25">
        <f t="shared" si="43"/>
        <v>0.68321759259259263</v>
      </c>
      <c r="Q1378" s="23">
        <f>SUM($O$2:O1378)</f>
        <v>36</v>
      </c>
      <c r="Y1378" s="14"/>
      <c r="Z1378" s="13"/>
      <c r="AA1378"/>
    </row>
    <row r="1379" spans="1:27" x14ac:dyDescent="0.2">
      <c r="A1379" s="12" t="s">
        <v>4317</v>
      </c>
      <c r="B1379" t="s">
        <v>4318</v>
      </c>
      <c r="C1379" t="s">
        <v>4319</v>
      </c>
      <c r="D1379" t="s">
        <v>4320</v>
      </c>
      <c r="E1379" t="s">
        <v>13</v>
      </c>
      <c r="F1379">
        <v>587</v>
      </c>
      <c r="G1379">
        <v>128</v>
      </c>
      <c r="H1379" s="5" t="s">
        <v>22</v>
      </c>
      <c r="I1379" s="5">
        <v>0</v>
      </c>
      <c r="J1379" s="5">
        <v>0</v>
      </c>
      <c r="K1379" t="s">
        <v>10772</v>
      </c>
      <c r="L1379" cm="1">
        <f t="array" ref="L1379">wordCount(K1379)</f>
        <v>5</v>
      </c>
      <c r="M1379">
        <f t="shared" si="42"/>
        <v>36</v>
      </c>
      <c r="N1379">
        <v>0.72222222222222221</v>
      </c>
      <c r="O1379" s="23" cm="1">
        <f t="array" ref="O1379">WordListCount(K1379,keywords!$A$2:$A$31)-WordListCount(K1379,keywords!$B$2:$B$31)</f>
        <v>0</v>
      </c>
      <c r="P1379" s="25">
        <f t="shared" si="43"/>
        <v>0.68322916666666667</v>
      </c>
      <c r="Q1379" s="23">
        <f>SUM($O$2:O1379)</f>
        <v>36</v>
      </c>
      <c r="Y1379" s="14"/>
      <c r="Z1379" s="13"/>
      <c r="AA1379"/>
    </row>
    <row r="1380" spans="1:27" x14ac:dyDescent="0.2">
      <c r="A1380" s="12" t="s">
        <v>4321</v>
      </c>
      <c r="B1380" t="s">
        <v>4322</v>
      </c>
      <c r="C1380" t="s">
        <v>4323</v>
      </c>
      <c r="D1380" t="s">
        <v>4324</v>
      </c>
      <c r="E1380" t="s">
        <v>13</v>
      </c>
      <c r="F1380">
        <v>1629</v>
      </c>
      <c r="G1380">
        <v>2295</v>
      </c>
      <c r="H1380" s="5" t="s">
        <v>22</v>
      </c>
      <c r="I1380" s="5">
        <v>0</v>
      </c>
      <c r="J1380" s="5">
        <v>0</v>
      </c>
      <c r="K1380" t="s">
        <v>9442</v>
      </c>
      <c r="L1380" cm="1">
        <f t="array" ref="L1380">wordCount(K1380)</f>
        <v>15</v>
      </c>
      <c r="M1380">
        <f t="shared" si="42"/>
        <v>72</v>
      </c>
      <c r="N1380">
        <v>0.53846153846153844</v>
      </c>
      <c r="O1380" s="23" cm="1">
        <f t="array" ref="O1380">WordListCount(K1380,keywords!$A$2:$A$31)-WordListCount(K1380,keywords!$B$2:$B$31)</f>
        <v>0</v>
      </c>
      <c r="P1380" s="25">
        <f t="shared" si="43"/>
        <v>0.68329861111111112</v>
      </c>
      <c r="Q1380" s="23">
        <f>SUM($O$2:O1380)</f>
        <v>36</v>
      </c>
      <c r="Y1380" s="14"/>
      <c r="Z1380" s="13"/>
      <c r="AA1380"/>
    </row>
    <row r="1381" spans="1:27" x14ac:dyDescent="0.2">
      <c r="A1381" s="12" t="s">
        <v>4325</v>
      </c>
      <c r="B1381" t="s">
        <v>4326</v>
      </c>
      <c r="C1381" t="s">
        <v>4327</v>
      </c>
      <c r="D1381" t="s">
        <v>1454</v>
      </c>
      <c r="E1381" t="s">
        <v>13</v>
      </c>
      <c r="F1381">
        <v>6648</v>
      </c>
      <c r="G1381">
        <v>7273</v>
      </c>
      <c r="H1381" s="5" t="s">
        <v>14</v>
      </c>
      <c r="I1381" s="5">
        <v>0</v>
      </c>
      <c r="J1381" s="5">
        <v>0</v>
      </c>
      <c r="K1381" t="s">
        <v>10773</v>
      </c>
      <c r="L1381" cm="1">
        <f t="array" ref="L1381">wordCount(K1381)</f>
        <v>16</v>
      </c>
      <c r="M1381">
        <f t="shared" si="42"/>
        <v>80</v>
      </c>
      <c r="N1381">
        <v>0.41176470588235292</v>
      </c>
      <c r="O1381" s="23" cm="1">
        <f t="array" ref="O1381">WordListCount(K1381,keywords!$A$2:$A$31)-WordListCount(K1381,keywords!$B$2:$B$31)</f>
        <v>0</v>
      </c>
      <c r="P1381" s="25">
        <f t="shared" si="43"/>
        <v>0.68342592592592588</v>
      </c>
      <c r="Q1381" s="23">
        <f>SUM($O$2:O1381)</f>
        <v>36</v>
      </c>
      <c r="Y1381" s="14"/>
      <c r="Z1381" s="13"/>
      <c r="AA1381"/>
    </row>
    <row r="1382" spans="1:27" x14ac:dyDescent="0.2">
      <c r="A1382" s="12" t="s">
        <v>4328</v>
      </c>
      <c r="B1382" t="s">
        <v>4329</v>
      </c>
      <c r="C1382" t="s">
        <v>4330</v>
      </c>
      <c r="D1382" t="s">
        <v>4331</v>
      </c>
      <c r="E1382" t="s">
        <v>13</v>
      </c>
      <c r="F1382">
        <v>1029</v>
      </c>
      <c r="G1382">
        <v>851</v>
      </c>
      <c r="H1382" s="5" t="s">
        <v>59</v>
      </c>
      <c r="I1382" s="5">
        <v>0</v>
      </c>
      <c r="J1382" s="5">
        <v>0</v>
      </c>
      <c r="K1382" t="s">
        <v>10774</v>
      </c>
      <c r="L1382" cm="1">
        <f t="array" ref="L1382">wordCount(K1382)</f>
        <v>5</v>
      </c>
      <c r="M1382">
        <f t="shared" si="42"/>
        <v>19</v>
      </c>
      <c r="N1382">
        <v>0.8</v>
      </c>
      <c r="O1382" s="23" cm="1">
        <f t="array" ref="O1382">WordListCount(K1382,keywords!$A$2:$A$31)-WordListCount(K1382,keywords!$B$2:$B$31)</f>
        <v>0</v>
      </c>
      <c r="P1382" s="25">
        <f t="shared" si="43"/>
        <v>0.6834837962962963</v>
      </c>
      <c r="Q1382" s="23">
        <f>SUM($O$2:O1382)</f>
        <v>36</v>
      </c>
      <c r="Y1382" s="14"/>
      <c r="Z1382" s="13"/>
      <c r="AA1382"/>
    </row>
    <row r="1383" spans="1:27" x14ac:dyDescent="0.2">
      <c r="A1383" s="12" t="s">
        <v>4332</v>
      </c>
      <c r="B1383" t="s">
        <v>4333</v>
      </c>
      <c r="C1383" t="s">
        <v>4334</v>
      </c>
      <c r="D1383" t="s">
        <v>74</v>
      </c>
      <c r="E1383" t="s">
        <v>13</v>
      </c>
      <c r="F1383">
        <v>31</v>
      </c>
      <c r="G1383">
        <v>116</v>
      </c>
      <c r="H1383" s="5" t="s">
        <v>22</v>
      </c>
      <c r="I1383" s="5">
        <v>0</v>
      </c>
      <c r="J1383" s="5">
        <v>0</v>
      </c>
      <c r="K1383" t="s">
        <v>10775</v>
      </c>
      <c r="L1383" cm="1">
        <f t="array" ref="L1383">wordCount(K1383)</f>
        <v>16</v>
      </c>
      <c r="M1383">
        <f t="shared" si="42"/>
        <v>55</v>
      </c>
      <c r="N1383">
        <v>0.47058823529411764</v>
      </c>
      <c r="O1383" s="23" cm="1">
        <f t="array" ref="O1383">WordListCount(K1383,keywords!$A$2:$A$31)-WordListCount(K1383,keywords!$B$2:$B$31)</f>
        <v>0</v>
      </c>
      <c r="P1383" s="25">
        <f t="shared" si="43"/>
        <v>0.68351851851851853</v>
      </c>
      <c r="Q1383" s="23">
        <f>SUM($O$2:O1383)</f>
        <v>36</v>
      </c>
      <c r="Y1383" s="14"/>
      <c r="Z1383" s="13"/>
      <c r="AA1383"/>
    </row>
    <row r="1384" spans="1:27" x14ac:dyDescent="0.2">
      <c r="A1384" s="12" t="s">
        <v>4335</v>
      </c>
      <c r="B1384" t="s">
        <v>4336</v>
      </c>
      <c r="C1384" t="s">
        <v>4337</v>
      </c>
      <c r="D1384" t="s">
        <v>4338</v>
      </c>
      <c r="E1384" t="s">
        <v>13</v>
      </c>
      <c r="F1384">
        <v>332</v>
      </c>
      <c r="G1384">
        <v>153</v>
      </c>
      <c r="H1384" s="5" t="s">
        <v>22</v>
      </c>
      <c r="I1384" s="5">
        <v>0</v>
      </c>
      <c r="J1384" s="5">
        <v>0</v>
      </c>
      <c r="K1384" t="s">
        <v>10776</v>
      </c>
      <c r="L1384" cm="1">
        <f t="array" ref="L1384">wordCount(K1384)</f>
        <v>20</v>
      </c>
      <c r="M1384">
        <f t="shared" si="42"/>
        <v>96</v>
      </c>
      <c r="N1384">
        <v>0.55555555555555558</v>
      </c>
      <c r="O1384" s="23" cm="1">
        <f t="array" ref="O1384">WordListCount(K1384,keywords!$A$2:$A$31)-WordListCount(K1384,keywords!$B$2:$B$31)</f>
        <v>-1</v>
      </c>
      <c r="P1384" s="25">
        <f t="shared" si="43"/>
        <v>0.68357638888888894</v>
      </c>
      <c r="Q1384" s="23">
        <f>SUM($O$2:O1384)</f>
        <v>35</v>
      </c>
      <c r="Y1384" s="14"/>
      <c r="Z1384" s="13"/>
      <c r="AA1384"/>
    </row>
    <row r="1385" spans="1:27" x14ac:dyDescent="0.2">
      <c r="A1385" s="12" t="s">
        <v>4339</v>
      </c>
      <c r="B1385" t="s">
        <v>4340</v>
      </c>
      <c r="C1385" t="s">
        <v>241</v>
      </c>
      <c r="D1385" t="s">
        <v>242</v>
      </c>
      <c r="E1385" t="s">
        <v>13</v>
      </c>
      <c r="F1385">
        <v>9224</v>
      </c>
      <c r="G1385">
        <v>7170</v>
      </c>
      <c r="H1385" s="5" t="s">
        <v>22</v>
      </c>
      <c r="I1385" s="5">
        <v>0</v>
      </c>
      <c r="J1385" s="5">
        <v>0</v>
      </c>
      <c r="K1385" t="s">
        <v>10777</v>
      </c>
      <c r="L1385" cm="1">
        <f t="array" ref="L1385">wordCount(K1385)</f>
        <v>14</v>
      </c>
      <c r="M1385">
        <f t="shared" si="42"/>
        <v>76</v>
      </c>
      <c r="N1385">
        <v>0.63636363636363635</v>
      </c>
      <c r="O1385" s="23" cm="1">
        <f t="array" ref="O1385">WordListCount(K1385,keywords!$A$2:$A$31)-WordListCount(K1385,keywords!$B$2:$B$31)</f>
        <v>0</v>
      </c>
      <c r="P1385" s="25">
        <f t="shared" si="43"/>
        <v>0.68371527777777785</v>
      </c>
      <c r="Q1385" s="23">
        <f>SUM($O$2:O1385)</f>
        <v>35</v>
      </c>
      <c r="Y1385" s="14"/>
      <c r="Z1385" s="13"/>
      <c r="AA1385"/>
    </row>
    <row r="1386" spans="1:27" x14ac:dyDescent="0.2">
      <c r="A1386" s="12" t="s">
        <v>4341</v>
      </c>
      <c r="B1386" t="s">
        <v>4342</v>
      </c>
      <c r="C1386" t="s">
        <v>4343</v>
      </c>
      <c r="D1386" t="s">
        <v>4344</v>
      </c>
      <c r="E1386" t="s">
        <v>13</v>
      </c>
      <c r="F1386">
        <v>35</v>
      </c>
      <c r="G1386">
        <v>285</v>
      </c>
      <c r="H1386" s="5" t="s">
        <v>59</v>
      </c>
      <c r="I1386" s="5">
        <v>0</v>
      </c>
      <c r="J1386" s="5">
        <v>0</v>
      </c>
      <c r="K1386" t="s">
        <v>10755</v>
      </c>
      <c r="L1386" cm="1">
        <f t="array" ref="L1386">wordCount(K1386)</f>
        <v>7</v>
      </c>
      <c r="M1386">
        <f t="shared" si="42"/>
        <v>35</v>
      </c>
      <c r="N1386">
        <v>0.8571428571428571</v>
      </c>
      <c r="O1386" s="23" cm="1">
        <f t="array" ref="O1386">WordListCount(K1386,keywords!$A$2:$A$31)-WordListCount(K1386,keywords!$B$2:$B$31)</f>
        <v>0</v>
      </c>
      <c r="P1386" s="25">
        <f t="shared" si="43"/>
        <v>0.68384259259259261</v>
      </c>
      <c r="Q1386" s="23">
        <f>SUM($O$2:O1386)</f>
        <v>35</v>
      </c>
      <c r="Y1386" s="14"/>
      <c r="Z1386" s="13"/>
      <c r="AA1386"/>
    </row>
    <row r="1387" spans="1:27" x14ac:dyDescent="0.2">
      <c r="A1387" s="12" t="s">
        <v>4345</v>
      </c>
      <c r="B1387" t="s">
        <v>4346</v>
      </c>
      <c r="C1387" t="s">
        <v>4347</v>
      </c>
      <c r="D1387" t="s">
        <v>4348</v>
      </c>
      <c r="E1387" t="s">
        <v>13</v>
      </c>
      <c r="F1387">
        <v>67</v>
      </c>
      <c r="G1387">
        <v>189</v>
      </c>
      <c r="H1387" s="5" t="s">
        <v>22</v>
      </c>
      <c r="I1387" s="5">
        <v>0</v>
      </c>
      <c r="J1387" s="5">
        <v>0</v>
      </c>
      <c r="K1387" t="s">
        <v>10778</v>
      </c>
      <c r="L1387" cm="1">
        <f t="array" ref="L1387">wordCount(K1387)</f>
        <v>24</v>
      </c>
      <c r="M1387">
        <f t="shared" si="42"/>
        <v>98</v>
      </c>
      <c r="N1387">
        <v>0.37931034482758619</v>
      </c>
      <c r="O1387" s="23" cm="1">
        <f t="array" ref="O1387">WordListCount(K1387,keywords!$A$2:$A$31)-WordListCount(K1387,keywords!$B$2:$B$31)</f>
        <v>0</v>
      </c>
      <c r="P1387" s="25">
        <f t="shared" si="43"/>
        <v>0.68393518518518526</v>
      </c>
      <c r="Q1387" s="23">
        <f>SUM($O$2:O1387)</f>
        <v>35</v>
      </c>
      <c r="Y1387" s="14"/>
      <c r="Z1387" s="13"/>
      <c r="AA1387"/>
    </row>
    <row r="1388" spans="1:27" x14ac:dyDescent="0.2">
      <c r="A1388" s="12" t="s">
        <v>4349</v>
      </c>
      <c r="B1388" t="s">
        <v>4350</v>
      </c>
      <c r="C1388" t="s">
        <v>4351</v>
      </c>
      <c r="D1388" t="s">
        <v>12</v>
      </c>
      <c r="E1388" t="s">
        <v>13</v>
      </c>
      <c r="F1388">
        <v>694</v>
      </c>
      <c r="G1388">
        <v>1278</v>
      </c>
      <c r="H1388" s="5" t="s">
        <v>22</v>
      </c>
      <c r="I1388" s="5">
        <v>0</v>
      </c>
      <c r="J1388" s="5">
        <v>0</v>
      </c>
      <c r="K1388" t="s">
        <v>9443</v>
      </c>
      <c r="L1388" cm="1">
        <f t="array" ref="L1388">wordCount(K1388)</f>
        <v>2</v>
      </c>
      <c r="M1388">
        <f t="shared" si="42"/>
        <v>12</v>
      </c>
      <c r="N1388">
        <v>0.9</v>
      </c>
      <c r="O1388" s="23" cm="1">
        <f t="array" ref="O1388">WordListCount(K1388,keywords!$A$2:$A$31)-WordListCount(K1388,keywords!$B$2:$B$31)</f>
        <v>0</v>
      </c>
      <c r="P1388" s="25">
        <f t="shared" si="43"/>
        <v>0.68396990740740737</v>
      </c>
      <c r="Q1388" s="23">
        <f>SUM($O$2:O1388)</f>
        <v>35</v>
      </c>
      <c r="Y1388" s="14"/>
      <c r="Z1388" s="13"/>
      <c r="AA1388"/>
    </row>
    <row r="1389" spans="1:27" x14ac:dyDescent="0.2">
      <c r="A1389" s="12" t="s">
        <v>4352</v>
      </c>
      <c r="B1389" t="s">
        <v>4353</v>
      </c>
      <c r="C1389" t="s">
        <v>4354</v>
      </c>
      <c r="D1389" t="s">
        <v>790</v>
      </c>
      <c r="E1389" t="s">
        <v>13</v>
      </c>
      <c r="F1389">
        <v>310</v>
      </c>
      <c r="G1389">
        <v>378</v>
      </c>
      <c r="H1389" s="5" t="s">
        <v>42</v>
      </c>
      <c r="I1389" s="5">
        <v>0</v>
      </c>
      <c r="J1389" s="5">
        <v>0</v>
      </c>
      <c r="K1389" t="s">
        <v>9444</v>
      </c>
      <c r="L1389" cm="1">
        <f t="array" ref="L1389">wordCount(K1389)</f>
        <v>5</v>
      </c>
      <c r="M1389">
        <f t="shared" si="42"/>
        <v>26</v>
      </c>
      <c r="N1389">
        <v>0.7142857142857143</v>
      </c>
      <c r="O1389" s="23" cm="1">
        <f t="array" ref="O1389">WordListCount(K1389,keywords!$A$2:$A$31)-WordListCount(K1389,keywords!$B$2:$B$31)</f>
        <v>0</v>
      </c>
      <c r="P1389" s="25">
        <f t="shared" si="43"/>
        <v>0.6840856481481481</v>
      </c>
      <c r="Q1389" s="23">
        <f>SUM($O$2:O1389)</f>
        <v>35</v>
      </c>
      <c r="Y1389" s="14"/>
      <c r="Z1389" s="13"/>
      <c r="AA1389"/>
    </row>
    <row r="1390" spans="1:27" x14ac:dyDescent="0.2">
      <c r="A1390" s="12" t="s">
        <v>4355</v>
      </c>
      <c r="B1390" t="s">
        <v>4356</v>
      </c>
      <c r="C1390" t="s">
        <v>4357</v>
      </c>
      <c r="D1390" t="s">
        <v>74</v>
      </c>
      <c r="E1390" t="s">
        <v>13</v>
      </c>
      <c r="F1390">
        <v>72</v>
      </c>
      <c r="G1390">
        <v>516</v>
      </c>
      <c r="H1390" s="5" t="s">
        <v>22</v>
      </c>
      <c r="I1390" s="5">
        <v>0</v>
      </c>
      <c r="J1390" s="5">
        <v>0</v>
      </c>
      <c r="K1390" t="s">
        <v>10779</v>
      </c>
      <c r="L1390" cm="1">
        <f t="array" ref="L1390">wordCount(K1390)</f>
        <v>9</v>
      </c>
      <c r="M1390">
        <f t="shared" si="42"/>
        <v>37</v>
      </c>
      <c r="N1390">
        <v>0.7142857142857143</v>
      </c>
      <c r="O1390" s="23" cm="1">
        <f t="array" ref="O1390">WordListCount(K1390,keywords!$A$2:$A$31)-WordListCount(K1390,keywords!$B$2:$B$31)</f>
        <v>0</v>
      </c>
      <c r="P1390" s="25">
        <f t="shared" si="43"/>
        <v>0.68421296296296286</v>
      </c>
      <c r="Q1390" s="23">
        <f>SUM($O$2:O1390)</f>
        <v>35</v>
      </c>
      <c r="Y1390" s="14"/>
      <c r="Z1390" s="13"/>
      <c r="AA1390"/>
    </row>
    <row r="1391" spans="1:27" x14ac:dyDescent="0.2">
      <c r="A1391" s="12" t="s">
        <v>4358</v>
      </c>
      <c r="B1391" t="s">
        <v>4359</v>
      </c>
      <c r="C1391" t="s">
        <v>4360</v>
      </c>
      <c r="D1391" t="s">
        <v>4361</v>
      </c>
      <c r="E1391" t="s">
        <v>13</v>
      </c>
      <c r="F1391">
        <v>6</v>
      </c>
      <c r="G1391">
        <v>29</v>
      </c>
      <c r="H1391" s="5" t="s">
        <v>22</v>
      </c>
      <c r="I1391" s="5">
        <v>0</v>
      </c>
      <c r="J1391" s="5">
        <v>0</v>
      </c>
      <c r="K1391" t="s">
        <v>10780</v>
      </c>
      <c r="L1391" cm="1">
        <f t="array" ref="L1391">wordCount(K1391)</f>
        <v>15</v>
      </c>
      <c r="M1391">
        <f t="shared" si="42"/>
        <v>82</v>
      </c>
      <c r="N1391">
        <v>0.31578947368421051</v>
      </c>
      <c r="O1391" s="23" cm="1">
        <f t="array" ref="O1391">WordListCount(K1391,keywords!$A$2:$A$31)-WordListCount(K1391,keywords!$B$2:$B$31)</f>
        <v>0</v>
      </c>
      <c r="P1391" s="25">
        <f t="shared" si="43"/>
        <v>0.68428240740740742</v>
      </c>
      <c r="Q1391" s="23">
        <f>SUM($O$2:O1391)</f>
        <v>35</v>
      </c>
      <c r="Y1391" s="14"/>
      <c r="Z1391" s="13"/>
      <c r="AA1391"/>
    </row>
    <row r="1392" spans="1:27" x14ac:dyDescent="0.2">
      <c r="A1392" s="12" t="s">
        <v>4362</v>
      </c>
      <c r="B1392" t="s">
        <v>4363</v>
      </c>
      <c r="C1392" t="s">
        <v>3106</v>
      </c>
      <c r="D1392" t="s">
        <v>3107</v>
      </c>
      <c r="E1392" t="s">
        <v>47</v>
      </c>
      <c r="F1392">
        <v>6781</v>
      </c>
      <c r="G1392">
        <v>3334</v>
      </c>
      <c r="H1392" s="5" t="s">
        <v>22</v>
      </c>
      <c r="I1392" s="5">
        <v>0</v>
      </c>
      <c r="J1392" s="5">
        <v>0</v>
      </c>
      <c r="K1392" t="s">
        <v>10781</v>
      </c>
      <c r="L1392" cm="1">
        <f t="array" ref="L1392">wordCount(K1392)</f>
        <v>11</v>
      </c>
      <c r="M1392">
        <f t="shared" si="42"/>
        <v>66</v>
      </c>
      <c r="N1392">
        <v>0.5</v>
      </c>
      <c r="O1392" s="23" cm="1">
        <f t="array" ref="O1392">WordListCount(K1392,keywords!$A$2:$A$31)-WordListCount(K1392,keywords!$B$2:$B$31)</f>
        <v>0</v>
      </c>
      <c r="P1392" s="25">
        <f t="shared" si="43"/>
        <v>0.68437500000000007</v>
      </c>
      <c r="Q1392" s="23">
        <f>SUM($O$2:O1392)</f>
        <v>35</v>
      </c>
      <c r="Y1392" s="14"/>
      <c r="Z1392" s="13"/>
      <c r="AA1392"/>
    </row>
    <row r="1393" spans="1:27" x14ac:dyDescent="0.2">
      <c r="A1393" s="12" t="s">
        <v>4364</v>
      </c>
      <c r="B1393" t="s">
        <v>4365</v>
      </c>
      <c r="C1393" t="s">
        <v>4366</v>
      </c>
      <c r="D1393" t="s">
        <v>12</v>
      </c>
      <c r="E1393" t="s">
        <v>13</v>
      </c>
      <c r="F1393">
        <v>55</v>
      </c>
      <c r="G1393">
        <v>238</v>
      </c>
      <c r="H1393" s="5" t="s">
        <v>22</v>
      </c>
      <c r="I1393" s="5">
        <v>0</v>
      </c>
      <c r="J1393" s="5">
        <v>0</v>
      </c>
      <c r="K1393" t="s">
        <v>9445</v>
      </c>
      <c r="L1393" cm="1">
        <f t="array" ref="L1393">wordCount(K1393)</f>
        <v>11</v>
      </c>
      <c r="M1393">
        <f t="shared" si="42"/>
        <v>56</v>
      </c>
      <c r="N1393">
        <v>0.44444444444444442</v>
      </c>
      <c r="O1393" s="23" cm="1">
        <f t="array" ref="O1393">WordListCount(K1393,keywords!$A$2:$A$31)-WordListCount(K1393,keywords!$B$2:$B$31)</f>
        <v>-1</v>
      </c>
      <c r="P1393" s="25">
        <f t="shared" si="43"/>
        <v>0.68438657407407411</v>
      </c>
      <c r="Q1393" s="23">
        <f>SUM($O$2:O1393)</f>
        <v>34</v>
      </c>
      <c r="Y1393" s="14"/>
      <c r="Z1393" s="13"/>
      <c r="AA1393"/>
    </row>
    <row r="1394" spans="1:27" x14ac:dyDescent="0.2">
      <c r="A1394" s="12" t="s">
        <v>4367</v>
      </c>
      <c r="B1394" t="s">
        <v>4368</v>
      </c>
      <c r="C1394" t="s">
        <v>4369</v>
      </c>
      <c r="D1394" t="s">
        <v>12</v>
      </c>
      <c r="E1394" t="s">
        <v>13</v>
      </c>
      <c r="F1394">
        <v>216</v>
      </c>
      <c r="G1394">
        <v>166</v>
      </c>
      <c r="H1394" s="5" t="s">
        <v>22</v>
      </c>
      <c r="I1394" s="5">
        <v>0</v>
      </c>
      <c r="J1394" s="5">
        <v>0</v>
      </c>
      <c r="K1394" t="s">
        <v>10782</v>
      </c>
      <c r="L1394" cm="1">
        <f t="array" ref="L1394">wordCount(K1394)</f>
        <v>18</v>
      </c>
      <c r="M1394">
        <f t="shared" si="42"/>
        <v>89</v>
      </c>
      <c r="N1394">
        <v>0.52</v>
      </c>
      <c r="O1394" s="23" cm="1">
        <f t="array" ref="O1394">WordListCount(K1394,keywords!$A$2:$A$31)-WordListCount(K1394,keywords!$B$2:$B$31)</f>
        <v>0</v>
      </c>
      <c r="P1394" s="25">
        <f t="shared" si="43"/>
        <v>0.68449074074074068</v>
      </c>
      <c r="Q1394" s="23">
        <f>SUM($O$2:O1394)</f>
        <v>34</v>
      </c>
      <c r="Y1394" s="14"/>
      <c r="Z1394" s="13"/>
      <c r="AA1394"/>
    </row>
    <row r="1395" spans="1:27" x14ac:dyDescent="0.2">
      <c r="A1395" s="12" t="s">
        <v>4370</v>
      </c>
      <c r="B1395" t="s">
        <v>4371</v>
      </c>
      <c r="C1395" t="s">
        <v>4372</v>
      </c>
      <c r="D1395" t="s">
        <v>12</v>
      </c>
      <c r="E1395" t="s">
        <v>13</v>
      </c>
      <c r="F1395">
        <v>21</v>
      </c>
      <c r="G1395">
        <v>137</v>
      </c>
      <c r="H1395" s="5" t="s">
        <v>96</v>
      </c>
      <c r="I1395" s="5">
        <v>0</v>
      </c>
      <c r="J1395" s="5">
        <v>0</v>
      </c>
      <c r="K1395" t="s">
        <v>9446</v>
      </c>
      <c r="L1395" cm="1">
        <f t="array" ref="L1395">wordCount(K1395)</f>
        <v>16</v>
      </c>
      <c r="M1395">
        <f t="shared" si="42"/>
        <v>79</v>
      </c>
      <c r="N1395">
        <v>0.48</v>
      </c>
      <c r="O1395" s="23" cm="1">
        <f t="array" ref="O1395">WordListCount(K1395,keywords!$A$2:$A$31)-WordListCount(K1395,keywords!$B$2:$B$31)</f>
        <v>0</v>
      </c>
      <c r="P1395" s="25">
        <f t="shared" si="43"/>
        <v>0.68472222222222223</v>
      </c>
      <c r="Q1395" s="23">
        <f>SUM($O$2:O1395)</f>
        <v>34</v>
      </c>
      <c r="Y1395" s="14"/>
      <c r="Z1395" s="13"/>
      <c r="AA1395"/>
    </row>
    <row r="1396" spans="1:27" x14ac:dyDescent="0.2">
      <c r="A1396" s="12" t="s">
        <v>4373</v>
      </c>
      <c r="B1396" t="s">
        <v>4374</v>
      </c>
      <c r="C1396" t="s">
        <v>4375</v>
      </c>
      <c r="D1396" t="s">
        <v>4376</v>
      </c>
      <c r="E1396" t="s">
        <v>13</v>
      </c>
      <c r="F1396">
        <v>756</v>
      </c>
      <c r="G1396">
        <v>745</v>
      </c>
      <c r="H1396" s="5" t="s">
        <v>22</v>
      </c>
      <c r="I1396" s="5">
        <v>0</v>
      </c>
      <c r="J1396" s="5">
        <v>0</v>
      </c>
      <c r="K1396" t="s">
        <v>10783</v>
      </c>
      <c r="L1396" cm="1">
        <f t="array" ref="L1396">wordCount(K1396)</f>
        <v>6</v>
      </c>
      <c r="M1396">
        <f t="shared" si="42"/>
        <v>25</v>
      </c>
      <c r="N1396">
        <v>0.81818181818181823</v>
      </c>
      <c r="O1396" s="23" cm="1">
        <f t="array" ref="O1396">WordListCount(K1396,keywords!$A$2:$A$31)-WordListCount(K1396,keywords!$B$2:$B$31)</f>
        <v>0</v>
      </c>
      <c r="P1396" s="25">
        <f t="shared" si="43"/>
        <v>0.68511574074074078</v>
      </c>
      <c r="Q1396" s="23">
        <f>SUM($O$2:O1396)</f>
        <v>34</v>
      </c>
      <c r="Y1396" s="14"/>
      <c r="Z1396" s="13"/>
      <c r="AA1396"/>
    </row>
    <row r="1397" spans="1:27" x14ac:dyDescent="0.2">
      <c r="A1397" s="12" t="s">
        <v>4377</v>
      </c>
      <c r="B1397" t="s">
        <v>4378</v>
      </c>
      <c r="C1397" t="s">
        <v>4379</v>
      </c>
      <c r="D1397" t="s">
        <v>4380</v>
      </c>
      <c r="E1397" t="s">
        <v>13</v>
      </c>
      <c r="F1397">
        <v>800</v>
      </c>
      <c r="G1397">
        <v>975</v>
      </c>
      <c r="H1397" s="5" t="s">
        <v>1705</v>
      </c>
      <c r="I1397" s="5">
        <v>0</v>
      </c>
      <c r="J1397" s="5">
        <v>0</v>
      </c>
      <c r="K1397" t="s">
        <v>10784</v>
      </c>
      <c r="L1397" cm="1">
        <f t="array" ref="L1397">wordCount(K1397)</f>
        <v>5</v>
      </c>
      <c r="M1397">
        <f t="shared" si="42"/>
        <v>27</v>
      </c>
      <c r="N1397">
        <v>0.875</v>
      </c>
      <c r="O1397" s="23" cm="1">
        <f t="array" ref="O1397">WordListCount(K1397,keywords!$A$2:$A$31)-WordListCount(K1397,keywords!$B$2:$B$31)</f>
        <v>0</v>
      </c>
      <c r="P1397" s="25">
        <f t="shared" si="43"/>
        <v>0.68523148148148139</v>
      </c>
      <c r="Q1397" s="23">
        <f>SUM($O$2:O1397)</f>
        <v>34</v>
      </c>
      <c r="Y1397" s="14"/>
      <c r="Z1397" s="13"/>
      <c r="AA1397"/>
    </row>
    <row r="1398" spans="1:27" x14ac:dyDescent="0.2">
      <c r="A1398" s="12" t="s">
        <v>4381</v>
      </c>
      <c r="B1398" t="s">
        <v>4382</v>
      </c>
      <c r="C1398" t="s">
        <v>4383</v>
      </c>
      <c r="D1398" t="s">
        <v>1153</v>
      </c>
      <c r="E1398" t="s">
        <v>13</v>
      </c>
      <c r="F1398">
        <v>1194</v>
      </c>
      <c r="G1398">
        <v>610</v>
      </c>
      <c r="H1398" s="5" t="s">
        <v>22</v>
      </c>
      <c r="I1398" s="5">
        <v>0</v>
      </c>
      <c r="J1398" s="5">
        <v>0</v>
      </c>
      <c r="K1398" t="s">
        <v>10785</v>
      </c>
      <c r="L1398" cm="1">
        <f t="array" ref="L1398">wordCount(K1398)</f>
        <v>13</v>
      </c>
      <c r="M1398">
        <f t="shared" si="42"/>
        <v>68</v>
      </c>
      <c r="N1398">
        <v>0.65217391304347827</v>
      </c>
      <c r="O1398" s="23" cm="1">
        <f t="array" ref="O1398">WordListCount(K1398,keywords!$A$2:$A$31)-WordListCount(K1398,keywords!$B$2:$B$31)</f>
        <v>1</v>
      </c>
      <c r="P1398" s="25">
        <f t="shared" si="43"/>
        <v>0.68568287037037035</v>
      </c>
      <c r="Q1398" s="23">
        <f>SUM($O$2:O1398)</f>
        <v>35</v>
      </c>
      <c r="Y1398" s="14"/>
      <c r="Z1398" s="13"/>
      <c r="AA1398"/>
    </row>
    <row r="1399" spans="1:27" x14ac:dyDescent="0.2">
      <c r="A1399" s="12" t="s">
        <v>4384</v>
      </c>
      <c r="B1399" t="s">
        <v>4385</v>
      </c>
      <c r="C1399" t="s">
        <v>1149</v>
      </c>
      <c r="D1399" t="s">
        <v>597</v>
      </c>
      <c r="E1399" t="s">
        <v>13</v>
      </c>
      <c r="F1399">
        <v>299</v>
      </c>
      <c r="G1399">
        <v>310</v>
      </c>
      <c r="H1399" s="5" t="s">
        <v>22</v>
      </c>
      <c r="I1399" s="5">
        <v>0</v>
      </c>
      <c r="J1399" s="5">
        <v>0</v>
      </c>
      <c r="K1399" t="s">
        <v>9447</v>
      </c>
      <c r="L1399" cm="1">
        <f t="array" ref="L1399">wordCount(K1399)</f>
        <v>17</v>
      </c>
      <c r="M1399">
        <f t="shared" si="42"/>
        <v>96</v>
      </c>
      <c r="N1399">
        <v>0.33333333333333331</v>
      </c>
      <c r="O1399" s="23" cm="1">
        <f t="array" ref="O1399">WordListCount(K1399,keywords!$A$2:$A$31)-WordListCount(K1399,keywords!$B$2:$B$31)</f>
        <v>0</v>
      </c>
      <c r="P1399" s="25">
        <f t="shared" si="43"/>
        <v>0.68574074074074076</v>
      </c>
      <c r="Q1399" s="23">
        <f>SUM($O$2:O1399)</f>
        <v>35</v>
      </c>
      <c r="Y1399" s="14"/>
      <c r="Z1399" s="13"/>
      <c r="AA1399"/>
    </row>
    <row r="1400" spans="1:27" x14ac:dyDescent="0.2">
      <c r="A1400" s="12" t="s">
        <v>4386</v>
      </c>
      <c r="B1400" t="s">
        <v>4387</v>
      </c>
      <c r="C1400" t="s">
        <v>205</v>
      </c>
      <c r="D1400" t="s">
        <v>12</v>
      </c>
      <c r="E1400" t="s">
        <v>13</v>
      </c>
      <c r="F1400">
        <v>2868</v>
      </c>
      <c r="G1400">
        <v>6</v>
      </c>
      <c r="H1400" s="5" t="s">
        <v>22</v>
      </c>
      <c r="I1400" s="5">
        <v>0</v>
      </c>
      <c r="J1400" s="5">
        <v>0</v>
      </c>
      <c r="K1400" t="s">
        <v>9448</v>
      </c>
      <c r="L1400" cm="1">
        <f t="array" ref="L1400">wordCount(K1400)</f>
        <v>8</v>
      </c>
      <c r="M1400">
        <f t="shared" si="42"/>
        <v>55</v>
      </c>
      <c r="N1400">
        <v>0.77777777777777779</v>
      </c>
      <c r="O1400" s="23" cm="1">
        <f t="array" ref="O1400">WordListCount(K1400,keywords!$A$2:$A$31)-WordListCount(K1400,keywords!$B$2:$B$31)</f>
        <v>0</v>
      </c>
      <c r="P1400" s="25">
        <f t="shared" si="43"/>
        <v>0.68611111111111101</v>
      </c>
      <c r="Q1400" s="23">
        <f>SUM($O$2:O1400)</f>
        <v>35</v>
      </c>
      <c r="Y1400" s="14"/>
      <c r="Z1400" s="13"/>
      <c r="AA1400"/>
    </row>
    <row r="1401" spans="1:27" x14ac:dyDescent="0.2">
      <c r="A1401" s="12" t="s">
        <v>4388</v>
      </c>
      <c r="B1401" t="s">
        <v>4389</v>
      </c>
      <c r="C1401" t="s">
        <v>4390</v>
      </c>
      <c r="D1401" t="s">
        <v>12</v>
      </c>
      <c r="E1401" t="s">
        <v>13</v>
      </c>
      <c r="F1401">
        <v>56</v>
      </c>
      <c r="G1401">
        <v>314</v>
      </c>
      <c r="H1401" s="5" t="s">
        <v>22</v>
      </c>
      <c r="I1401" s="5">
        <v>0</v>
      </c>
      <c r="J1401" s="5">
        <v>0</v>
      </c>
      <c r="K1401" t="s">
        <v>10786</v>
      </c>
      <c r="L1401" cm="1">
        <f t="array" ref="L1401">wordCount(K1401)</f>
        <v>16</v>
      </c>
      <c r="M1401">
        <f t="shared" si="42"/>
        <v>80</v>
      </c>
      <c r="N1401">
        <v>0.51724137931034486</v>
      </c>
      <c r="O1401" s="23" cm="1">
        <f t="array" ref="O1401">WordListCount(K1401,keywords!$A$2:$A$31)-WordListCount(K1401,keywords!$B$2:$B$31)</f>
        <v>0</v>
      </c>
      <c r="P1401" s="25">
        <f t="shared" si="43"/>
        <v>0.68620370370370365</v>
      </c>
      <c r="Q1401" s="23">
        <f>SUM($O$2:O1401)</f>
        <v>35</v>
      </c>
      <c r="Y1401" s="14"/>
      <c r="Z1401" s="13"/>
      <c r="AA1401"/>
    </row>
    <row r="1402" spans="1:27" x14ac:dyDescent="0.2">
      <c r="A1402" s="12" t="s">
        <v>4391</v>
      </c>
      <c r="B1402" t="s">
        <v>4392</v>
      </c>
      <c r="C1402" t="s">
        <v>4393</v>
      </c>
      <c r="D1402" t="s">
        <v>4394</v>
      </c>
      <c r="E1402" t="s">
        <v>13</v>
      </c>
      <c r="F1402">
        <v>226</v>
      </c>
      <c r="G1402">
        <v>3</v>
      </c>
      <c r="H1402" s="5" t="s">
        <v>22</v>
      </c>
      <c r="I1402" s="5">
        <v>0</v>
      </c>
      <c r="J1402" s="5">
        <v>0</v>
      </c>
      <c r="K1402" t="s">
        <v>10787</v>
      </c>
      <c r="L1402" cm="1">
        <f t="array" ref="L1402">wordCount(K1402)</f>
        <v>20</v>
      </c>
      <c r="M1402">
        <f t="shared" si="42"/>
        <v>108</v>
      </c>
      <c r="N1402">
        <v>0.25</v>
      </c>
      <c r="O1402" s="23" cm="1">
        <f t="array" ref="O1402">WordListCount(K1402,keywords!$A$2:$A$31)-WordListCount(K1402,keywords!$B$2:$B$31)</f>
        <v>0</v>
      </c>
      <c r="P1402" s="25">
        <f t="shared" si="43"/>
        <v>0.68631944444444448</v>
      </c>
      <c r="Q1402" s="23">
        <f>SUM($O$2:O1402)</f>
        <v>35</v>
      </c>
      <c r="Y1402" s="14"/>
      <c r="Z1402" s="13"/>
      <c r="AA1402"/>
    </row>
    <row r="1403" spans="1:27" x14ac:dyDescent="0.2">
      <c r="A1403" s="12" t="s">
        <v>4395</v>
      </c>
      <c r="B1403" t="s">
        <v>4396</v>
      </c>
      <c r="C1403" t="s">
        <v>4397</v>
      </c>
      <c r="D1403" t="s">
        <v>12</v>
      </c>
      <c r="E1403" t="s">
        <v>13</v>
      </c>
      <c r="F1403">
        <v>38018</v>
      </c>
      <c r="G1403">
        <v>192</v>
      </c>
      <c r="H1403" s="5" t="s">
        <v>677</v>
      </c>
      <c r="I1403" s="5">
        <v>0</v>
      </c>
      <c r="J1403" s="5">
        <v>0</v>
      </c>
      <c r="K1403" t="s">
        <v>10788</v>
      </c>
      <c r="L1403" cm="1">
        <f t="array" ref="L1403">wordCount(K1403)</f>
        <v>18</v>
      </c>
      <c r="M1403">
        <f t="shared" si="42"/>
        <v>98</v>
      </c>
      <c r="N1403">
        <v>0.39285714285714285</v>
      </c>
      <c r="O1403" s="23" cm="1">
        <f t="array" ref="O1403">WordListCount(K1403,keywords!$A$2:$A$31)-WordListCount(K1403,keywords!$B$2:$B$31)</f>
        <v>0</v>
      </c>
      <c r="P1403" s="25">
        <f t="shared" si="43"/>
        <v>0.68641203703703713</v>
      </c>
      <c r="Q1403" s="23">
        <f>SUM($O$2:O1403)</f>
        <v>35</v>
      </c>
      <c r="Y1403" s="14"/>
      <c r="Z1403" s="13"/>
      <c r="AA1403"/>
    </row>
    <row r="1404" spans="1:27" x14ac:dyDescent="0.2">
      <c r="A1404" s="12" t="s">
        <v>4398</v>
      </c>
      <c r="B1404" t="s">
        <v>4399</v>
      </c>
      <c r="C1404" t="s">
        <v>459</v>
      </c>
      <c r="D1404" t="s">
        <v>12</v>
      </c>
      <c r="E1404" t="s">
        <v>13</v>
      </c>
      <c r="F1404">
        <v>12</v>
      </c>
      <c r="G1404">
        <v>1</v>
      </c>
      <c r="H1404" s="5" t="s">
        <v>22</v>
      </c>
      <c r="I1404" s="5">
        <v>0</v>
      </c>
      <c r="J1404" s="5">
        <v>0</v>
      </c>
      <c r="K1404" t="s">
        <v>9449</v>
      </c>
      <c r="L1404" cm="1">
        <f t="array" ref="L1404">wordCount(K1404)</f>
        <v>15</v>
      </c>
      <c r="M1404">
        <f t="shared" si="42"/>
        <v>103</v>
      </c>
      <c r="N1404">
        <v>0.8125</v>
      </c>
      <c r="O1404" s="23" cm="1">
        <f t="array" ref="O1404">WordListCount(K1404,keywords!$A$2:$A$31)-WordListCount(K1404,keywords!$B$2:$B$31)</f>
        <v>0</v>
      </c>
      <c r="P1404" s="25">
        <f t="shared" si="43"/>
        <v>0.68679398148148152</v>
      </c>
      <c r="Q1404" s="23">
        <f>SUM($O$2:O1404)</f>
        <v>35</v>
      </c>
      <c r="Y1404" s="14"/>
      <c r="Z1404" s="13"/>
      <c r="AA1404"/>
    </row>
    <row r="1405" spans="1:27" x14ac:dyDescent="0.2">
      <c r="A1405" s="12" t="s">
        <v>4400</v>
      </c>
      <c r="B1405" t="s">
        <v>4401</v>
      </c>
      <c r="C1405" t="s">
        <v>4402</v>
      </c>
      <c r="D1405" t="s">
        <v>12</v>
      </c>
      <c r="E1405" t="s">
        <v>13</v>
      </c>
      <c r="F1405">
        <v>20</v>
      </c>
      <c r="G1405">
        <v>89</v>
      </c>
      <c r="H1405" s="5" t="s">
        <v>22</v>
      </c>
      <c r="I1405" s="5">
        <v>0</v>
      </c>
      <c r="J1405" s="5">
        <v>0</v>
      </c>
      <c r="K1405" t="s">
        <v>10789</v>
      </c>
      <c r="L1405" cm="1">
        <f t="array" ref="L1405">wordCount(K1405)</f>
        <v>18</v>
      </c>
      <c r="M1405">
        <f t="shared" si="42"/>
        <v>91</v>
      </c>
      <c r="N1405">
        <v>0.41666666666666669</v>
      </c>
      <c r="O1405" s="23" cm="1">
        <f t="array" ref="O1405">WordListCount(K1405,keywords!$A$2:$A$31)-WordListCount(K1405,keywords!$B$2:$B$31)</f>
        <v>0</v>
      </c>
      <c r="P1405" s="25">
        <f t="shared" si="43"/>
        <v>0.68685185185185194</v>
      </c>
      <c r="Q1405" s="23">
        <f>SUM($O$2:O1405)</f>
        <v>35</v>
      </c>
      <c r="Y1405" s="14"/>
      <c r="Z1405" s="13"/>
      <c r="AA1405"/>
    </row>
    <row r="1406" spans="1:27" x14ac:dyDescent="0.2">
      <c r="A1406" s="12" t="s">
        <v>4403</v>
      </c>
      <c r="B1406" t="s">
        <v>4404</v>
      </c>
      <c r="C1406" t="s">
        <v>4405</v>
      </c>
      <c r="D1406" t="s">
        <v>12</v>
      </c>
      <c r="E1406" t="s">
        <v>13</v>
      </c>
      <c r="F1406">
        <v>24</v>
      </c>
      <c r="G1406">
        <v>572</v>
      </c>
      <c r="H1406" s="5" t="s">
        <v>86</v>
      </c>
      <c r="I1406" s="5">
        <v>0</v>
      </c>
      <c r="J1406" s="5">
        <v>0</v>
      </c>
      <c r="K1406" t="s">
        <v>10790</v>
      </c>
      <c r="L1406" cm="1">
        <f t="array" ref="L1406">wordCount(K1406)</f>
        <v>10</v>
      </c>
      <c r="M1406">
        <f t="shared" si="42"/>
        <v>55</v>
      </c>
      <c r="N1406">
        <v>0.68</v>
      </c>
      <c r="O1406" s="23" cm="1">
        <f t="array" ref="O1406">WordListCount(K1406,keywords!$A$2:$A$31)-WordListCount(K1406,keywords!$B$2:$B$31)</f>
        <v>0</v>
      </c>
      <c r="P1406" s="25">
        <f t="shared" si="43"/>
        <v>0.68687500000000001</v>
      </c>
      <c r="Q1406" s="23">
        <f>SUM($O$2:O1406)</f>
        <v>35</v>
      </c>
      <c r="Y1406" s="14"/>
      <c r="Z1406" s="13"/>
      <c r="AA1406"/>
    </row>
    <row r="1407" spans="1:27" x14ac:dyDescent="0.2">
      <c r="A1407" s="12" t="s">
        <v>4406</v>
      </c>
      <c r="B1407" t="s">
        <v>4407</v>
      </c>
      <c r="C1407" t="s">
        <v>4408</v>
      </c>
      <c r="D1407" t="s">
        <v>4409</v>
      </c>
      <c r="E1407" t="s">
        <v>13</v>
      </c>
      <c r="F1407">
        <v>4001</v>
      </c>
      <c r="G1407">
        <v>755</v>
      </c>
      <c r="H1407" s="5" t="s">
        <v>22</v>
      </c>
      <c r="I1407" s="5">
        <v>0</v>
      </c>
      <c r="J1407" s="5">
        <v>0</v>
      </c>
      <c r="K1407" t="s">
        <v>10791</v>
      </c>
      <c r="L1407" cm="1">
        <f t="array" ref="L1407">wordCount(K1407)</f>
        <v>7</v>
      </c>
      <c r="M1407">
        <f t="shared" si="42"/>
        <v>38</v>
      </c>
      <c r="N1407">
        <v>0.6</v>
      </c>
      <c r="O1407" s="23" cm="1">
        <f t="array" ref="O1407">WordListCount(K1407,keywords!$A$2:$A$31)-WordListCount(K1407,keywords!$B$2:$B$31)</f>
        <v>0</v>
      </c>
      <c r="P1407" s="25">
        <f t="shared" si="43"/>
        <v>0.68729166666666675</v>
      </c>
      <c r="Q1407" s="23">
        <f>SUM($O$2:O1407)</f>
        <v>35</v>
      </c>
      <c r="Y1407" s="14"/>
      <c r="Z1407" s="13"/>
      <c r="AA1407"/>
    </row>
    <row r="1408" spans="1:27" x14ac:dyDescent="0.2">
      <c r="A1408" s="12" t="s">
        <v>4410</v>
      </c>
      <c r="B1408" t="s">
        <v>4411</v>
      </c>
      <c r="C1408" t="s">
        <v>4412</v>
      </c>
      <c r="D1408" t="s">
        <v>12</v>
      </c>
      <c r="E1408" t="s">
        <v>13</v>
      </c>
      <c r="F1408">
        <v>212</v>
      </c>
      <c r="G1408">
        <v>306</v>
      </c>
      <c r="H1408" s="5" t="s">
        <v>59</v>
      </c>
      <c r="I1408" s="5">
        <v>0</v>
      </c>
      <c r="J1408" s="5">
        <v>0</v>
      </c>
      <c r="K1408" t="s">
        <v>10792</v>
      </c>
      <c r="L1408" cm="1">
        <f t="array" ref="L1408">wordCount(K1408)</f>
        <v>19</v>
      </c>
      <c r="M1408">
        <f t="shared" si="42"/>
        <v>96</v>
      </c>
      <c r="N1408">
        <v>0.21052631578947367</v>
      </c>
      <c r="O1408" s="23" cm="1">
        <f t="array" ref="O1408">WordListCount(K1408,keywords!$A$2:$A$31)-WordListCount(K1408,keywords!$B$2:$B$31)</f>
        <v>0</v>
      </c>
      <c r="P1408" s="25">
        <f t="shared" si="43"/>
        <v>0.68733796296296301</v>
      </c>
      <c r="Q1408" s="23">
        <f>SUM($O$2:O1408)</f>
        <v>35</v>
      </c>
      <c r="Y1408" s="14"/>
      <c r="Z1408" s="13"/>
      <c r="AA1408"/>
    </row>
    <row r="1409" spans="1:27" x14ac:dyDescent="0.2">
      <c r="A1409" s="12" t="s">
        <v>4413</v>
      </c>
      <c r="B1409" t="s">
        <v>4414</v>
      </c>
      <c r="C1409" t="s">
        <v>306</v>
      </c>
      <c r="D1409" t="s">
        <v>307</v>
      </c>
      <c r="E1409" t="s">
        <v>13</v>
      </c>
      <c r="F1409">
        <v>228</v>
      </c>
      <c r="G1409">
        <v>1</v>
      </c>
      <c r="H1409" s="5" t="s">
        <v>22</v>
      </c>
      <c r="I1409" s="5">
        <v>0</v>
      </c>
      <c r="J1409" s="5">
        <v>0</v>
      </c>
      <c r="K1409" t="s">
        <v>9450</v>
      </c>
      <c r="L1409" cm="1">
        <f t="array" ref="L1409">wordCount(K1409)</f>
        <v>7</v>
      </c>
      <c r="M1409">
        <f t="shared" si="42"/>
        <v>105</v>
      </c>
      <c r="N1409">
        <v>0.53846153846153844</v>
      </c>
      <c r="O1409" s="23" cm="1">
        <f t="array" ref="O1409">WordListCount(K1409,keywords!$A$2:$A$31)-WordListCount(K1409,keywords!$B$2:$B$31)</f>
        <v>0</v>
      </c>
      <c r="P1409" s="25">
        <f t="shared" si="43"/>
        <v>0.68752314814814808</v>
      </c>
      <c r="Q1409" s="23">
        <f>SUM($O$2:O1409)</f>
        <v>35</v>
      </c>
      <c r="Y1409" s="14"/>
      <c r="Z1409" s="13"/>
      <c r="AA1409"/>
    </row>
    <row r="1410" spans="1:27" x14ac:dyDescent="0.2">
      <c r="A1410" s="12" t="s">
        <v>4415</v>
      </c>
      <c r="B1410" t="s">
        <v>4416</v>
      </c>
      <c r="C1410" t="s">
        <v>4417</v>
      </c>
      <c r="D1410" t="s">
        <v>1785</v>
      </c>
      <c r="E1410" t="s">
        <v>13</v>
      </c>
      <c r="F1410">
        <v>182</v>
      </c>
      <c r="G1410">
        <v>838</v>
      </c>
      <c r="H1410" s="5" t="s">
        <v>22</v>
      </c>
      <c r="I1410" s="5">
        <v>0</v>
      </c>
      <c r="J1410" s="5">
        <v>0</v>
      </c>
      <c r="K1410" t="s">
        <v>10793</v>
      </c>
      <c r="L1410" cm="1">
        <f t="array" ref="L1410">wordCount(K1410)</f>
        <v>4</v>
      </c>
      <c r="M1410">
        <f t="shared" ref="M1410:M1473" si="44">LEN(K1410)</f>
        <v>24</v>
      </c>
      <c r="N1410">
        <v>0.88235294117647056</v>
      </c>
      <c r="O1410" s="23" cm="1">
        <f t="array" ref="O1410">WordListCount(K1410,keywords!$A$2:$A$31)-WordListCount(K1410,keywords!$B$2:$B$31)</f>
        <v>0</v>
      </c>
      <c r="P1410" s="25">
        <f t="shared" ref="P1410:P1473" si="45">TIMEVALUE(RIGHT(A1410,8))</f>
        <v>0.68753472222222223</v>
      </c>
      <c r="Q1410" s="23">
        <f>SUM($O$2:O1410)</f>
        <v>35</v>
      </c>
      <c r="Y1410" s="14"/>
      <c r="Z1410" s="13"/>
      <c r="AA1410"/>
    </row>
    <row r="1411" spans="1:27" x14ac:dyDescent="0.2">
      <c r="A1411" s="12" t="s">
        <v>4418</v>
      </c>
      <c r="B1411" t="s">
        <v>4419</v>
      </c>
      <c r="C1411" t="s">
        <v>4420</v>
      </c>
      <c r="D1411" t="s">
        <v>4421</v>
      </c>
      <c r="E1411" t="s">
        <v>13</v>
      </c>
      <c r="F1411">
        <v>32</v>
      </c>
      <c r="G1411">
        <v>174</v>
      </c>
      <c r="H1411" s="5" t="s">
        <v>677</v>
      </c>
      <c r="I1411" s="5">
        <v>0</v>
      </c>
      <c r="J1411" s="5">
        <v>0</v>
      </c>
      <c r="K1411" t="s">
        <v>10794</v>
      </c>
      <c r="L1411" cm="1">
        <f t="array" ref="L1411">wordCount(K1411)</f>
        <v>18</v>
      </c>
      <c r="M1411">
        <f t="shared" si="44"/>
        <v>95</v>
      </c>
      <c r="N1411">
        <v>0.39130434782608697</v>
      </c>
      <c r="O1411" s="23" cm="1">
        <f t="array" ref="O1411">WordListCount(K1411,keywords!$A$2:$A$31)-WordListCount(K1411,keywords!$B$2:$B$31)</f>
        <v>0</v>
      </c>
      <c r="P1411" s="25">
        <f t="shared" si="45"/>
        <v>0.68769675925925933</v>
      </c>
      <c r="Q1411" s="23">
        <f>SUM($O$2:O1411)</f>
        <v>35</v>
      </c>
      <c r="Y1411" s="14"/>
      <c r="Z1411" s="13"/>
      <c r="AA1411"/>
    </row>
    <row r="1412" spans="1:27" x14ac:dyDescent="0.2">
      <c r="A1412" s="12" t="s">
        <v>4422</v>
      </c>
      <c r="B1412" t="s">
        <v>4423</v>
      </c>
      <c r="C1412" t="s">
        <v>4424</v>
      </c>
      <c r="D1412" t="s">
        <v>1045</v>
      </c>
      <c r="E1412" t="s">
        <v>13</v>
      </c>
      <c r="F1412">
        <v>266</v>
      </c>
      <c r="G1412">
        <v>621</v>
      </c>
      <c r="H1412" s="5" t="s">
        <v>22</v>
      </c>
      <c r="I1412" s="5">
        <v>0</v>
      </c>
      <c r="J1412" s="5">
        <v>0</v>
      </c>
      <c r="K1412" t="s">
        <v>10795</v>
      </c>
      <c r="L1412" cm="1">
        <f t="array" ref="L1412">wordCount(K1412)</f>
        <v>14</v>
      </c>
      <c r="M1412">
        <f t="shared" si="44"/>
        <v>77</v>
      </c>
      <c r="N1412">
        <v>0.27777777777777779</v>
      </c>
      <c r="O1412" s="23" cm="1">
        <f t="array" ref="O1412">WordListCount(K1412,keywords!$A$2:$A$31)-WordListCount(K1412,keywords!$B$2:$B$31)</f>
        <v>0</v>
      </c>
      <c r="P1412" s="25">
        <f t="shared" si="45"/>
        <v>0.68797453703703704</v>
      </c>
      <c r="Q1412" s="23">
        <f>SUM($O$2:O1412)</f>
        <v>35</v>
      </c>
      <c r="Y1412" s="14"/>
      <c r="Z1412" s="13"/>
      <c r="AA1412"/>
    </row>
    <row r="1413" spans="1:27" x14ac:dyDescent="0.2">
      <c r="A1413" s="12" t="s">
        <v>4425</v>
      </c>
      <c r="B1413" t="s">
        <v>4426</v>
      </c>
      <c r="C1413" t="s">
        <v>4427</v>
      </c>
      <c r="D1413" t="s">
        <v>12</v>
      </c>
      <c r="E1413" t="s">
        <v>13</v>
      </c>
      <c r="F1413">
        <v>438</v>
      </c>
      <c r="G1413">
        <v>334</v>
      </c>
      <c r="H1413" s="5" t="s">
        <v>22</v>
      </c>
      <c r="I1413" s="5">
        <v>0</v>
      </c>
      <c r="J1413" s="5">
        <v>0</v>
      </c>
      <c r="K1413" t="s">
        <v>10796</v>
      </c>
      <c r="L1413" cm="1">
        <f t="array" ref="L1413">wordCount(K1413)</f>
        <v>6</v>
      </c>
      <c r="M1413">
        <f t="shared" si="44"/>
        <v>29</v>
      </c>
      <c r="N1413">
        <v>0.6875</v>
      </c>
      <c r="O1413" s="23" cm="1">
        <f t="array" ref="O1413">WordListCount(K1413,keywords!$A$2:$A$31)-WordListCount(K1413,keywords!$B$2:$B$31)</f>
        <v>0</v>
      </c>
      <c r="P1413" s="25">
        <f t="shared" si="45"/>
        <v>0.68800925925925915</v>
      </c>
      <c r="Q1413" s="23">
        <f>SUM($O$2:O1413)</f>
        <v>35</v>
      </c>
      <c r="Y1413" s="14"/>
      <c r="Z1413" s="13"/>
      <c r="AA1413"/>
    </row>
    <row r="1414" spans="1:27" x14ac:dyDescent="0.2">
      <c r="A1414" s="12" t="s">
        <v>4428</v>
      </c>
      <c r="B1414" t="s">
        <v>4429</v>
      </c>
      <c r="C1414" t="s">
        <v>4430</v>
      </c>
      <c r="D1414" t="s">
        <v>12</v>
      </c>
      <c r="E1414" t="s">
        <v>13</v>
      </c>
      <c r="F1414">
        <v>254</v>
      </c>
      <c r="G1414">
        <v>188</v>
      </c>
      <c r="H1414" s="5" t="s">
        <v>22</v>
      </c>
      <c r="I1414" s="5">
        <v>0</v>
      </c>
      <c r="J1414" s="5">
        <v>0</v>
      </c>
      <c r="K1414" t="s">
        <v>10797</v>
      </c>
      <c r="L1414" cm="1">
        <f t="array" ref="L1414">wordCount(K1414)</f>
        <v>20</v>
      </c>
      <c r="M1414">
        <f t="shared" si="44"/>
        <v>84</v>
      </c>
      <c r="N1414">
        <v>0.2608695652173913</v>
      </c>
      <c r="O1414" s="23" cm="1">
        <f t="array" ref="O1414">WordListCount(K1414,keywords!$A$2:$A$31)-WordListCount(K1414,keywords!$B$2:$B$31)</f>
        <v>-1</v>
      </c>
      <c r="P1414" s="25">
        <f t="shared" si="45"/>
        <v>0.68821759259259263</v>
      </c>
      <c r="Q1414" s="23">
        <f>SUM($O$2:O1414)</f>
        <v>34</v>
      </c>
      <c r="Y1414" s="14"/>
      <c r="Z1414" s="13"/>
      <c r="AA1414"/>
    </row>
    <row r="1415" spans="1:27" x14ac:dyDescent="0.2">
      <c r="A1415" s="12" t="s">
        <v>4431</v>
      </c>
      <c r="B1415" t="s">
        <v>4432</v>
      </c>
      <c r="C1415" t="s">
        <v>318</v>
      </c>
      <c r="D1415" t="s">
        <v>319</v>
      </c>
      <c r="E1415" t="s">
        <v>13</v>
      </c>
      <c r="F1415">
        <v>51</v>
      </c>
      <c r="G1415">
        <v>62</v>
      </c>
      <c r="H1415" s="5" t="s">
        <v>22</v>
      </c>
      <c r="I1415" s="5">
        <v>0</v>
      </c>
      <c r="J1415" s="5">
        <v>0</v>
      </c>
      <c r="K1415" t="s">
        <v>10798</v>
      </c>
      <c r="L1415" cm="1">
        <f t="array" ref="L1415">wordCount(K1415)</f>
        <v>14</v>
      </c>
      <c r="M1415">
        <f t="shared" si="44"/>
        <v>75</v>
      </c>
      <c r="N1415">
        <v>0.82352941176470584</v>
      </c>
      <c r="O1415" s="23" cm="1">
        <f t="array" ref="O1415">WordListCount(K1415,keywords!$A$2:$A$31)-WordListCount(K1415,keywords!$B$2:$B$31)</f>
        <v>0</v>
      </c>
      <c r="P1415" s="25">
        <f t="shared" si="45"/>
        <v>0.68834490740740739</v>
      </c>
      <c r="Q1415" s="23">
        <f>SUM($O$2:O1415)</f>
        <v>34</v>
      </c>
      <c r="Y1415" s="14"/>
      <c r="Z1415" s="13"/>
      <c r="AA1415"/>
    </row>
    <row r="1416" spans="1:27" x14ac:dyDescent="0.2">
      <c r="A1416" s="12" t="s">
        <v>4433</v>
      </c>
      <c r="B1416" t="s">
        <v>4434</v>
      </c>
      <c r="C1416" t="s">
        <v>4435</v>
      </c>
      <c r="D1416" t="s">
        <v>12</v>
      </c>
      <c r="E1416" t="s">
        <v>13</v>
      </c>
      <c r="F1416">
        <v>748</v>
      </c>
      <c r="G1416">
        <v>1337</v>
      </c>
      <c r="H1416" s="5" t="s">
        <v>22</v>
      </c>
      <c r="I1416" s="5">
        <v>0</v>
      </c>
      <c r="J1416" s="5">
        <v>0</v>
      </c>
      <c r="K1416" t="s">
        <v>10799</v>
      </c>
      <c r="L1416" cm="1">
        <f t="array" ref="L1416">wordCount(K1416)</f>
        <v>10</v>
      </c>
      <c r="M1416">
        <f t="shared" si="44"/>
        <v>54</v>
      </c>
      <c r="N1416">
        <v>0.57894736842105265</v>
      </c>
      <c r="O1416" s="23" cm="1">
        <f t="array" ref="O1416">WordListCount(K1416,keywords!$A$2:$A$31)-WordListCount(K1416,keywords!$B$2:$B$31)</f>
        <v>0</v>
      </c>
      <c r="P1416" s="25">
        <f t="shared" si="45"/>
        <v>0.6884837962962963</v>
      </c>
      <c r="Q1416" s="23">
        <f>SUM($O$2:O1416)</f>
        <v>34</v>
      </c>
      <c r="Y1416" s="14"/>
      <c r="Z1416" s="13"/>
      <c r="AA1416"/>
    </row>
    <row r="1417" spans="1:27" x14ac:dyDescent="0.2">
      <c r="A1417" s="12" t="s">
        <v>4436</v>
      </c>
      <c r="B1417" t="s">
        <v>4437</v>
      </c>
      <c r="C1417" t="s">
        <v>1718</v>
      </c>
      <c r="D1417" t="s">
        <v>1719</v>
      </c>
      <c r="E1417" t="s">
        <v>13</v>
      </c>
      <c r="F1417">
        <v>4</v>
      </c>
      <c r="G1417">
        <v>0</v>
      </c>
      <c r="H1417" s="5" t="s">
        <v>22</v>
      </c>
      <c r="I1417" s="5">
        <v>0</v>
      </c>
      <c r="J1417" s="5">
        <v>0</v>
      </c>
      <c r="K1417" t="s">
        <v>10800</v>
      </c>
      <c r="L1417" cm="1">
        <f t="array" ref="L1417">wordCount(K1417)</f>
        <v>16</v>
      </c>
      <c r="M1417">
        <f t="shared" si="44"/>
        <v>101</v>
      </c>
      <c r="N1417">
        <v>0.56666666666666665</v>
      </c>
      <c r="O1417" s="23" cm="1">
        <f t="array" ref="O1417">WordListCount(K1417,keywords!$A$2:$A$31)-WordListCount(K1417,keywords!$B$2:$B$31)</f>
        <v>0</v>
      </c>
      <c r="P1417" s="25">
        <f t="shared" si="45"/>
        <v>0.68883101851851858</v>
      </c>
      <c r="Q1417" s="23">
        <f>SUM($O$2:O1417)</f>
        <v>34</v>
      </c>
      <c r="Y1417" s="14"/>
      <c r="Z1417" s="13"/>
      <c r="AA1417"/>
    </row>
    <row r="1418" spans="1:27" x14ac:dyDescent="0.2">
      <c r="A1418" s="12" t="s">
        <v>4438</v>
      </c>
      <c r="B1418" t="s">
        <v>4439</v>
      </c>
      <c r="C1418" t="s">
        <v>4440</v>
      </c>
      <c r="D1418" t="s">
        <v>12</v>
      </c>
      <c r="E1418" t="s">
        <v>13</v>
      </c>
      <c r="F1418">
        <v>461</v>
      </c>
      <c r="G1418">
        <v>77</v>
      </c>
      <c r="H1418" s="5" t="s">
        <v>22</v>
      </c>
      <c r="I1418" s="5">
        <v>0</v>
      </c>
      <c r="J1418" s="5">
        <v>0</v>
      </c>
      <c r="K1418" t="s">
        <v>10801</v>
      </c>
      <c r="L1418" cm="1">
        <f t="array" ref="L1418">wordCount(K1418)</f>
        <v>3</v>
      </c>
      <c r="M1418">
        <f t="shared" si="44"/>
        <v>13</v>
      </c>
      <c r="N1418">
        <v>0.8125</v>
      </c>
      <c r="O1418" s="23" cm="1">
        <f t="array" ref="O1418">WordListCount(K1418,keywords!$A$2:$A$31)-WordListCount(K1418,keywords!$B$2:$B$31)</f>
        <v>0</v>
      </c>
      <c r="P1418" s="25">
        <f t="shared" si="45"/>
        <v>0.68905092592592598</v>
      </c>
      <c r="Q1418" s="23">
        <f>SUM($O$2:O1418)</f>
        <v>34</v>
      </c>
      <c r="Y1418" s="14"/>
      <c r="Z1418" s="13"/>
      <c r="AA1418"/>
    </row>
    <row r="1419" spans="1:27" x14ac:dyDescent="0.2">
      <c r="A1419" s="12" t="s">
        <v>4441</v>
      </c>
      <c r="B1419" t="s">
        <v>4442</v>
      </c>
      <c r="C1419" t="s">
        <v>289</v>
      </c>
      <c r="D1419" t="s">
        <v>12</v>
      </c>
      <c r="E1419" t="s">
        <v>13</v>
      </c>
      <c r="F1419">
        <v>22</v>
      </c>
      <c r="G1419">
        <v>6</v>
      </c>
      <c r="H1419" s="5" t="s">
        <v>22</v>
      </c>
      <c r="I1419" s="5">
        <v>0</v>
      </c>
      <c r="J1419" s="5">
        <v>0</v>
      </c>
      <c r="K1419" t="s">
        <v>9451</v>
      </c>
      <c r="L1419" cm="1">
        <f t="array" ref="L1419">wordCount(K1419)</f>
        <v>17</v>
      </c>
      <c r="M1419">
        <f t="shared" si="44"/>
        <v>97</v>
      </c>
      <c r="N1419">
        <v>0.51724137931034486</v>
      </c>
      <c r="O1419" s="23" cm="1">
        <f t="array" ref="O1419">WordListCount(K1419,keywords!$A$2:$A$31)-WordListCount(K1419,keywords!$B$2:$B$31)</f>
        <v>0</v>
      </c>
      <c r="P1419" s="25">
        <f t="shared" si="45"/>
        <v>0.68925925925925924</v>
      </c>
      <c r="Q1419" s="23">
        <f>SUM($O$2:O1419)</f>
        <v>34</v>
      </c>
      <c r="Y1419" s="14"/>
      <c r="Z1419" s="13"/>
      <c r="AA1419"/>
    </row>
    <row r="1420" spans="1:27" x14ac:dyDescent="0.2">
      <c r="A1420" s="12" t="s">
        <v>4443</v>
      </c>
      <c r="B1420" t="s">
        <v>4444</v>
      </c>
      <c r="C1420" t="s">
        <v>4173</v>
      </c>
      <c r="D1420" t="s">
        <v>4174</v>
      </c>
      <c r="E1420" t="s">
        <v>13</v>
      </c>
      <c r="F1420">
        <v>39272</v>
      </c>
      <c r="G1420">
        <v>193</v>
      </c>
      <c r="H1420" s="5" t="s">
        <v>22</v>
      </c>
      <c r="I1420" s="5">
        <v>0</v>
      </c>
      <c r="J1420" s="5">
        <v>0</v>
      </c>
      <c r="K1420" t="s">
        <v>10802</v>
      </c>
      <c r="L1420" cm="1">
        <f t="array" ref="L1420">wordCount(K1420)</f>
        <v>27</v>
      </c>
      <c r="M1420">
        <f t="shared" si="44"/>
        <v>114</v>
      </c>
      <c r="N1420">
        <v>0.44827586206896552</v>
      </c>
      <c r="O1420" s="23" cm="1">
        <f t="array" ref="O1420">WordListCount(K1420,keywords!$A$2:$A$31)-WordListCount(K1420,keywords!$B$2:$B$31)</f>
        <v>1</v>
      </c>
      <c r="P1420" s="25">
        <f t="shared" si="45"/>
        <v>0.68973379629629628</v>
      </c>
      <c r="Q1420" s="23">
        <f>SUM($O$2:O1420)</f>
        <v>35</v>
      </c>
      <c r="Y1420" s="14"/>
      <c r="Z1420" s="13"/>
      <c r="AA1420"/>
    </row>
    <row r="1421" spans="1:27" x14ac:dyDescent="0.2">
      <c r="A1421" s="12" t="s">
        <v>4445</v>
      </c>
      <c r="B1421" t="s">
        <v>4446</v>
      </c>
      <c r="C1421" t="s">
        <v>4447</v>
      </c>
      <c r="D1421" t="s">
        <v>4448</v>
      </c>
      <c r="E1421" t="s">
        <v>13</v>
      </c>
      <c r="F1421">
        <v>139</v>
      </c>
      <c r="G1421">
        <v>447</v>
      </c>
      <c r="H1421" s="5" t="s">
        <v>360</v>
      </c>
      <c r="I1421" s="5">
        <v>0</v>
      </c>
      <c r="J1421" s="5">
        <v>0</v>
      </c>
      <c r="K1421" t="s">
        <v>9452</v>
      </c>
      <c r="L1421" cm="1">
        <f t="array" ref="L1421">wordCount(K1421)</f>
        <v>3</v>
      </c>
      <c r="M1421">
        <f t="shared" si="44"/>
        <v>8</v>
      </c>
      <c r="N1421">
        <v>0.6</v>
      </c>
      <c r="O1421" s="23" cm="1">
        <f t="array" ref="O1421">WordListCount(K1421,keywords!$A$2:$A$31)-WordListCount(K1421,keywords!$B$2:$B$31)</f>
        <v>0</v>
      </c>
      <c r="P1421" s="25">
        <f t="shared" si="45"/>
        <v>0.69017361111111108</v>
      </c>
      <c r="Q1421" s="23">
        <f>SUM($O$2:O1421)</f>
        <v>35</v>
      </c>
      <c r="Y1421" s="14"/>
      <c r="Z1421" s="13"/>
      <c r="AA1421"/>
    </row>
    <row r="1422" spans="1:27" x14ac:dyDescent="0.2">
      <c r="A1422" s="12" t="s">
        <v>4449</v>
      </c>
      <c r="B1422" t="s">
        <v>4450</v>
      </c>
      <c r="C1422" t="s">
        <v>4451</v>
      </c>
      <c r="D1422" t="s">
        <v>12</v>
      </c>
      <c r="E1422" t="s">
        <v>13</v>
      </c>
      <c r="F1422">
        <v>650</v>
      </c>
      <c r="G1422">
        <v>2191</v>
      </c>
      <c r="H1422" s="5" t="s">
        <v>22</v>
      </c>
      <c r="I1422" s="5">
        <v>0</v>
      </c>
      <c r="J1422" s="5">
        <v>0</v>
      </c>
      <c r="K1422" t="s">
        <v>10803</v>
      </c>
      <c r="L1422" cm="1">
        <f t="array" ref="L1422">wordCount(K1422)</f>
        <v>11</v>
      </c>
      <c r="M1422">
        <f t="shared" si="44"/>
        <v>30</v>
      </c>
      <c r="N1422">
        <v>0.75</v>
      </c>
      <c r="O1422" s="23" cm="1">
        <f t="array" ref="O1422">WordListCount(K1422,keywords!$A$2:$A$31)-WordListCount(K1422,keywords!$B$2:$B$31)</f>
        <v>0</v>
      </c>
      <c r="P1422" s="25">
        <f t="shared" si="45"/>
        <v>0.69028935185185192</v>
      </c>
      <c r="Q1422" s="23">
        <f>SUM($O$2:O1422)</f>
        <v>35</v>
      </c>
      <c r="Y1422" s="14"/>
      <c r="Z1422" s="13"/>
      <c r="AA1422"/>
    </row>
    <row r="1423" spans="1:27" x14ac:dyDescent="0.2">
      <c r="A1423" s="12" t="s">
        <v>4452</v>
      </c>
      <c r="B1423" t="s">
        <v>4453</v>
      </c>
      <c r="C1423" t="s">
        <v>4454</v>
      </c>
      <c r="D1423" t="s">
        <v>108</v>
      </c>
      <c r="E1423" t="s">
        <v>13</v>
      </c>
      <c r="F1423">
        <v>707</v>
      </c>
      <c r="G1423">
        <v>0</v>
      </c>
      <c r="H1423" s="5" t="s">
        <v>22</v>
      </c>
      <c r="I1423" s="5">
        <v>0</v>
      </c>
      <c r="J1423" s="5">
        <v>0</v>
      </c>
      <c r="K1423" t="s">
        <v>10804</v>
      </c>
      <c r="L1423" cm="1">
        <f t="array" ref="L1423">wordCount(K1423)</f>
        <v>8</v>
      </c>
      <c r="M1423">
        <f t="shared" si="44"/>
        <v>46</v>
      </c>
      <c r="N1423">
        <v>0.58333333333333337</v>
      </c>
      <c r="O1423" s="23" cm="1">
        <f t="array" ref="O1423">WordListCount(K1423,keywords!$A$2:$A$31)-WordListCount(K1423,keywords!$B$2:$B$31)</f>
        <v>0</v>
      </c>
      <c r="P1423" s="25">
        <f t="shared" si="45"/>
        <v>0.69040509259259253</v>
      </c>
      <c r="Q1423" s="23">
        <f>SUM($O$2:O1423)</f>
        <v>35</v>
      </c>
      <c r="Y1423" s="14"/>
      <c r="Z1423" s="13"/>
      <c r="AA1423"/>
    </row>
    <row r="1424" spans="1:27" x14ac:dyDescent="0.2">
      <c r="A1424" s="12" t="s">
        <v>4455</v>
      </c>
      <c r="B1424" t="s">
        <v>4456</v>
      </c>
      <c r="C1424" t="s">
        <v>4457</v>
      </c>
      <c r="D1424" t="s">
        <v>4458</v>
      </c>
      <c r="E1424" t="s">
        <v>13</v>
      </c>
      <c r="F1424">
        <v>119</v>
      </c>
      <c r="G1424">
        <v>524</v>
      </c>
      <c r="H1424" s="5" t="s">
        <v>22</v>
      </c>
      <c r="I1424" s="5">
        <v>0</v>
      </c>
      <c r="J1424" s="5">
        <v>0</v>
      </c>
      <c r="K1424" t="s">
        <v>10805</v>
      </c>
      <c r="L1424" cm="1">
        <f t="array" ref="L1424">wordCount(K1424)</f>
        <v>12</v>
      </c>
      <c r="M1424">
        <f t="shared" si="44"/>
        <v>64</v>
      </c>
      <c r="N1424">
        <v>0.69565217391304346</v>
      </c>
      <c r="O1424" s="23" cm="1">
        <f t="array" ref="O1424">WordListCount(K1424,keywords!$A$2:$A$31)-WordListCount(K1424,keywords!$B$2:$B$31)</f>
        <v>0</v>
      </c>
      <c r="P1424" s="25">
        <f t="shared" si="45"/>
        <v>0.69052083333333336</v>
      </c>
      <c r="Q1424" s="23">
        <f>SUM($O$2:O1424)</f>
        <v>35</v>
      </c>
      <c r="Y1424" s="14"/>
      <c r="Z1424" s="13"/>
      <c r="AA1424"/>
    </row>
    <row r="1425" spans="1:27" x14ac:dyDescent="0.2">
      <c r="A1425" s="12" t="s">
        <v>4459</v>
      </c>
      <c r="B1425" t="s">
        <v>4460</v>
      </c>
      <c r="C1425" t="s">
        <v>4173</v>
      </c>
      <c r="D1425" t="s">
        <v>4174</v>
      </c>
      <c r="E1425" t="s">
        <v>13</v>
      </c>
      <c r="F1425">
        <v>39272</v>
      </c>
      <c r="G1425">
        <v>193</v>
      </c>
      <c r="H1425" s="5" t="s">
        <v>22</v>
      </c>
      <c r="I1425" s="5">
        <v>0</v>
      </c>
      <c r="J1425" s="5">
        <v>0</v>
      </c>
      <c r="K1425" t="s">
        <v>10806</v>
      </c>
      <c r="L1425" cm="1">
        <f t="array" ref="L1425">wordCount(K1425)</f>
        <v>17</v>
      </c>
      <c r="M1425">
        <f t="shared" si="44"/>
        <v>66</v>
      </c>
      <c r="N1425">
        <v>0.55555555555555558</v>
      </c>
      <c r="O1425" s="23" cm="1">
        <f t="array" ref="O1425">WordListCount(K1425,keywords!$A$2:$A$31)-WordListCount(K1425,keywords!$B$2:$B$31)</f>
        <v>0</v>
      </c>
      <c r="P1425" s="25">
        <f t="shared" si="45"/>
        <v>0.6906944444444445</v>
      </c>
      <c r="Q1425" s="23">
        <f>SUM($O$2:O1425)</f>
        <v>35</v>
      </c>
      <c r="Y1425" s="14"/>
      <c r="Z1425" s="13"/>
      <c r="AA1425"/>
    </row>
    <row r="1426" spans="1:27" x14ac:dyDescent="0.2">
      <c r="A1426" s="12" t="s">
        <v>4461</v>
      </c>
      <c r="B1426" t="s">
        <v>4462</v>
      </c>
      <c r="C1426" t="s">
        <v>4463</v>
      </c>
      <c r="D1426" t="s">
        <v>4464</v>
      </c>
      <c r="E1426" t="s">
        <v>13</v>
      </c>
      <c r="F1426">
        <v>112</v>
      </c>
      <c r="G1426">
        <v>169</v>
      </c>
      <c r="H1426" s="5" t="s">
        <v>22</v>
      </c>
      <c r="I1426" s="5">
        <v>0</v>
      </c>
      <c r="J1426" s="5">
        <v>0</v>
      </c>
      <c r="K1426" t="s">
        <v>10807</v>
      </c>
      <c r="L1426" cm="1">
        <f t="array" ref="L1426">wordCount(K1426)</f>
        <v>12</v>
      </c>
      <c r="M1426">
        <f t="shared" si="44"/>
        <v>60</v>
      </c>
      <c r="N1426">
        <v>0.21428571428571427</v>
      </c>
      <c r="O1426" s="23" cm="1">
        <f t="array" ref="O1426">WordListCount(K1426,keywords!$A$2:$A$31)-WordListCount(K1426,keywords!$B$2:$B$31)</f>
        <v>0</v>
      </c>
      <c r="P1426" s="25">
        <f t="shared" si="45"/>
        <v>0.69094907407407413</v>
      </c>
      <c r="Q1426" s="23">
        <f>SUM($O$2:O1426)</f>
        <v>35</v>
      </c>
      <c r="Y1426" s="14"/>
      <c r="Z1426" s="13"/>
      <c r="AA1426"/>
    </row>
    <row r="1427" spans="1:27" x14ac:dyDescent="0.2">
      <c r="A1427" s="12" t="s">
        <v>4465</v>
      </c>
      <c r="B1427" t="s">
        <v>4466</v>
      </c>
      <c r="C1427" t="s">
        <v>4467</v>
      </c>
      <c r="D1427" t="s">
        <v>12</v>
      </c>
      <c r="E1427" t="s">
        <v>13</v>
      </c>
      <c r="F1427">
        <v>55</v>
      </c>
      <c r="G1427">
        <v>210</v>
      </c>
      <c r="H1427" s="5" t="s">
        <v>22</v>
      </c>
      <c r="I1427" s="5">
        <v>0</v>
      </c>
      <c r="J1427" s="5">
        <v>0</v>
      </c>
      <c r="K1427" t="s">
        <v>10808</v>
      </c>
      <c r="L1427" cm="1">
        <f t="array" ref="L1427">wordCount(K1427)</f>
        <v>8</v>
      </c>
      <c r="M1427">
        <f t="shared" si="44"/>
        <v>35</v>
      </c>
      <c r="N1427">
        <v>0.41666666666666669</v>
      </c>
      <c r="O1427" s="23" cm="1">
        <f t="array" ref="O1427">WordListCount(K1427,keywords!$A$2:$A$31)-WordListCount(K1427,keywords!$B$2:$B$31)</f>
        <v>0</v>
      </c>
      <c r="P1427" s="25">
        <f t="shared" si="45"/>
        <v>0.69108796296296304</v>
      </c>
      <c r="Q1427" s="23">
        <f>SUM($O$2:O1427)</f>
        <v>35</v>
      </c>
      <c r="Y1427" s="14"/>
      <c r="Z1427" s="13"/>
      <c r="AA1427"/>
    </row>
    <row r="1428" spans="1:27" x14ac:dyDescent="0.2">
      <c r="A1428" s="12" t="s">
        <v>4468</v>
      </c>
      <c r="B1428" t="s">
        <v>4469</v>
      </c>
      <c r="C1428" t="s">
        <v>2486</v>
      </c>
      <c r="D1428" t="s">
        <v>74</v>
      </c>
      <c r="E1428" t="s">
        <v>13</v>
      </c>
      <c r="F1428">
        <v>168</v>
      </c>
      <c r="G1428">
        <v>52</v>
      </c>
      <c r="H1428" s="5" t="s">
        <v>22</v>
      </c>
      <c r="I1428" s="5">
        <v>0</v>
      </c>
      <c r="J1428" s="5">
        <v>0</v>
      </c>
      <c r="K1428" t="s">
        <v>10809</v>
      </c>
      <c r="L1428" cm="1">
        <f t="array" ref="L1428">wordCount(K1428)</f>
        <v>9</v>
      </c>
      <c r="M1428">
        <f t="shared" si="44"/>
        <v>43</v>
      </c>
      <c r="N1428">
        <v>0.61538461538461542</v>
      </c>
      <c r="O1428" s="23" cm="1">
        <f t="array" ref="O1428">WordListCount(K1428,keywords!$A$2:$A$31)-WordListCount(K1428,keywords!$B$2:$B$31)</f>
        <v>0</v>
      </c>
      <c r="P1428" s="25">
        <f t="shared" si="45"/>
        <v>0.69173611111111111</v>
      </c>
      <c r="Q1428" s="23">
        <f>SUM($O$2:O1428)</f>
        <v>35</v>
      </c>
      <c r="Y1428" s="14"/>
      <c r="Z1428" s="13"/>
      <c r="AA1428"/>
    </row>
    <row r="1429" spans="1:27" x14ac:dyDescent="0.2">
      <c r="A1429" s="12" t="s">
        <v>4470</v>
      </c>
      <c r="B1429" t="s">
        <v>4471</v>
      </c>
      <c r="C1429" t="s">
        <v>4472</v>
      </c>
      <c r="D1429" t="s">
        <v>12</v>
      </c>
      <c r="E1429" t="s">
        <v>13</v>
      </c>
      <c r="F1429">
        <v>3125</v>
      </c>
      <c r="G1429">
        <v>4907</v>
      </c>
      <c r="H1429" s="5" t="s">
        <v>360</v>
      </c>
      <c r="I1429" s="5">
        <v>0</v>
      </c>
      <c r="J1429" s="5">
        <v>0</v>
      </c>
      <c r="K1429" t="s">
        <v>10810</v>
      </c>
      <c r="L1429" cm="1">
        <f t="array" ref="L1429">wordCount(K1429)</f>
        <v>4</v>
      </c>
      <c r="M1429">
        <f t="shared" si="44"/>
        <v>25</v>
      </c>
      <c r="N1429">
        <v>0.84615384615384615</v>
      </c>
      <c r="O1429" s="23" cm="1">
        <f t="array" ref="O1429">WordListCount(K1429,keywords!$A$2:$A$31)-WordListCount(K1429,keywords!$B$2:$B$31)</f>
        <v>0</v>
      </c>
      <c r="P1429" s="25">
        <f t="shared" si="45"/>
        <v>0.69177083333333333</v>
      </c>
      <c r="Q1429" s="23">
        <f>SUM($O$2:O1429)</f>
        <v>35</v>
      </c>
      <c r="Y1429" s="14"/>
      <c r="Z1429" s="13"/>
      <c r="AA1429"/>
    </row>
    <row r="1430" spans="1:27" x14ac:dyDescent="0.2">
      <c r="A1430" s="12" t="s">
        <v>4473</v>
      </c>
      <c r="B1430" t="s">
        <v>4474</v>
      </c>
      <c r="C1430" t="s">
        <v>4475</v>
      </c>
      <c r="D1430" t="s">
        <v>2483</v>
      </c>
      <c r="E1430" t="s">
        <v>13</v>
      </c>
      <c r="F1430">
        <v>130</v>
      </c>
      <c r="G1430">
        <v>300</v>
      </c>
      <c r="H1430" s="5" t="s">
        <v>22</v>
      </c>
      <c r="I1430" s="5">
        <v>0</v>
      </c>
      <c r="J1430" s="5">
        <v>0</v>
      </c>
      <c r="K1430" t="s">
        <v>10811</v>
      </c>
      <c r="L1430" cm="1">
        <f t="array" ref="L1430">wordCount(K1430)</f>
        <v>17</v>
      </c>
      <c r="M1430">
        <f t="shared" si="44"/>
        <v>83</v>
      </c>
      <c r="N1430">
        <v>0.8</v>
      </c>
      <c r="O1430" s="23" cm="1">
        <f t="array" ref="O1430">WordListCount(K1430,keywords!$A$2:$A$31)-WordListCount(K1430,keywords!$B$2:$B$31)</f>
        <v>0</v>
      </c>
      <c r="P1430" s="25">
        <f t="shared" si="45"/>
        <v>0.69202546296296286</v>
      </c>
      <c r="Q1430" s="23">
        <f>SUM($O$2:O1430)</f>
        <v>35</v>
      </c>
      <c r="Y1430" s="14"/>
      <c r="Z1430" s="13"/>
      <c r="AA1430"/>
    </row>
    <row r="1431" spans="1:27" x14ac:dyDescent="0.2">
      <c r="A1431" s="12" t="s">
        <v>4476</v>
      </c>
      <c r="B1431" t="s">
        <v>4477</v>
      </c>
      <c r="C1431" t="s">
        <v>4354</v>
      </c>
      <c r="D1431" t="s">
        <v>790</v>
      </c>
      <c r="E1431" t="s">
        <v>13</v>
      </c>
      <c r="F1431">
        <v>310</v>
      </c>
      <c r="G1431">
        <v>378</v>
      </c>
      <c r="H1431" s="5" t="s">
        <v>42</v>
      </c>
      <c r="I1431" s="5">
        <v>0</v>
      </c>
      <c r="J1431" s="5">
        <v>0</v>
      </c>
      <c r="K1431" t="s">
        <v>9453</v>
      </c>
      <c r="L1431" cm="1">
        <f t="array" ref="L1431">wordCount(K1431)</f>
        <v>2</v>
      </c>
      <c r="M1431">
        <f t="shared" si="44"/>
        <v>17</v>
      </c>
      <c r="N1431">
        <v>0.77777777777777779</v>
      </c>
      <c r="O1431" s="23" cm="1">
        <f t="array" ref="O1431">WordListCount(K1431,keywords!$A$2:$A$31)-WordListCount(K1431,keywords!$B$2:$B$31)</f>
        <v>0</v>
      </c>
      <c r="P1431" s="25">
        <f t="shared" si="45"/>
        <v>0.69219907407407411</v>
      </c>
      <c r="Q1431" s="23">
        <f>SUM($O$2:O1431)</f>
        <v>35</v>
      </c>
      <c r="Y1431" s="14"/>
      <c r="Z1431" s="13"/>
      <c r="AA1431"/>
    </row>
    <row r="1432" spans="1:27" x14ac:dyDescent="0.2">
      <c r="A1432" s="12" t="s">
        <v>4478</v>
      </c>
      <c r="B1432" t="s">
        <v>4479</v>
      </c>
      <c r="C1432" t="s">
        <v>4480</v>
      </c>
      <c r="D1432" t="s">
        <v>4481</v>
      </c>
      <c r="E1432" t="s">
        <v>47</v>
      </c>
      <c r="F1432">
        <v>99379</v>
      </c>
      <c r="G1432">
        <v>4518</v>
      </c>
      <c r="H1432" s="5" t="s">
        <v>22</v>
      </c>
      <c r="I1432" s="5">
        <v>0</v>
      </c>
      <c r="J1432" s="5">
        <v>0</v>
      </c>
      <c r="K1432" t="s">
        <v>10812</v>
      </c>
      <c r="L1432" cm="1">
        <f t="array" ref="L1432">wordCount(K1432)</f>
        <v>17</v>
      </c>
      <c r="M1432">
        <f t="shared" si="44"/>
        <v>93</v>
      </c>
      <c r="N1432">
        <v>0.42857142857142855</v>
      </c>
      <c r="O1432" s="23" cm="1">
        <f t="array" ref="O1432">WordListCount(K1432,keywords!$A$2:$A$31)-WordListCount(K1432,keywords!$B$2:$B$31)</f>
        <v>0</v>
      </c>
      <c r="P1432" s="25">
        <f t="shared" si="45"/>
        <v>0.69237268518518524</v>
      </c>
      <c r="Q1432" s="23">
        <f>SUM($O$2:O1432)</f>
        <v>35</v>
      </c>
      <c r="Y1432" s="14"/>
      <c r="Z1432" s="13"/>
      <c r="AA1432"/>
    </row>
    <row r="1433" spans="1:27" x14ac:dyDescent="0.2">
      <c r="A1433" s="12" t="s">
        <v>4482</v>
      </c>
      <c r="B1433" t="s">
        <v>4483</v>
      </c>
      <c r="C1433" t="s">
        <v>4484</v>
      </c>
      <c r="D1433" t="s">
        <v>12</v>
      </c>
      <c r="E1433" t="s">
        <v>13</v>
      </c>
      <c r="F1433">
        <v>17</v>
      </c>
      <c r="G1433">
        <v>27</v>
      </c>
      <c r="H1433" s="5" t="s">
        <v>2377</v>
      </c>
      <c r="I1433" s="5">
        <v>0</v>
      </c>
      <c r="J1433" s="5">
        <v>0</v>
      </c>
      <c r="K1433" t="s">
        <v>10813</v>
      </c>
      <c r="L1433" cm="1">
        <f t="array" ref="L1433">wordCount(K1433)</f>
        <v>24</v>
      </c>
      <c r="M1433">
        <f t="shared" si="44"/>
        <v>100</v>
      </c>
      <c r="N1433">
        <v>0.53846153846153844</v>
      </c>
      <c r="O1433" s="23" cm="1">
        <f t="array" ref="O1433">WordListCount(K1433,keywords!$A$2:$A$31)-WordListCount(K1433,keywords!$B$2:$B$31)</f>
        <v>-1</v>
      </c>
      <c r="P1433" s="25">
        <f t="shared" si="45"/>
        <v>0.69246527777777767</v>
      </c>
      <c r="Q1433" s="23">
        <f>SUM($O$2:O1433)</f>
        <v>34</v>
      </c>
      <c r="Y1433" s="14"/>
      <c r="Z1433" s="13"/>
      <c r="AA1433"/>
    </row>
    <row r="1434" spans="1:27" x14ac:dyDescent="0.2">
      <c r="A1434" s="12" t="s">
        <v>4485</v>
      </c>
      <c r="B1434" t="s">
        <v>4486</v>
      </c>
      <c r="C1434" t="s">
        <v>4487</v>
      </c>
      <c r="D1434" t="s">
        <v>12</v>
      </c>
      <c r="E1434" t="s">
        <v>13</v>
      </c>
      <c r="F1434">
        <v>888</v>
      </c>
      <c r="G1434">
        <v>1446</v>
      </c>
      <c r="H1434" s="5" t="s">
        <v>22</v>
      </c>
      <c r="I1434" s="5">
        <v>0</v>
      </c>
      <c r="J1434" s="5">
        <v>0</v>
      </c>
      <c r="K1434" t="s">
        <v>10814</v>
      </c>
      <c r="L1434" cm="1">
        <f t="array" ref="L1434">wordCount(K1434)</f>
        <v>8</v>
      </c>
      <c r="M1434">
        <f t="shared" si="44"/>
        <v>29</v>
      </c>
      <c r="N1434">
        <v>0.63636363636363635</v>
      </c>
      <c r="O1434" s="23" cm="1">
        <f t="array" ref="O1434">WordListCount(K1434,keywords!$A$2:$A$31)-WordListCount(K1434,keywords!$B$2:$B$31)</f>
        <v>0</v>
      </c>
      <c r="P1434" s="25">
        <f t="shared" si="45"/>
        <v>0.69255787037037031</v>
      </c>
      <c r="Q1434" s="23">
        <f>SUM($O$2:O1434)</f>
        <v>34</v>
      </c>
      <c r="Y1434" s="14"/>
      <c r="Z1434" s="13"/>
      <c r="AA1434"/>
    </row>
    <row r="1435" spans="1:27" x14ac:dyDescent="0.2">
      <c r="A1435" s="12" t="s">
        <v>4488</v>
      </c>
      <c r="B1435" t="s">
        <v>4489</v>
      </c>
      <c r="C1435" t="s">
        <v>4490</v>
      </c>
      <c r="D1435" t="s">
        <v>12</v>
      </c>
      <c r="E1435" t="s">
        <v>13</v>
      </c>
      <c r="F1435">
        <v>27</v>
      </c>
      <c r="G1435">
        <v>162</v>
      </c>
      <c r="H1435" s="5" t="s">
        <v>22</v>
      </c>
      <c r="I1435" s="5">
        <v>0</v>
      </c>
      <c r="J1435" s="5">
        <v>0</v>
      </c>
      <c r="K1435" t="s">
        <v>10815</v>
      </c>
      <c r="L1435" cm="1">
        <f t="array" ref="L1435">wordCount(K1435)</f>
        <v>15</v>
      </c>
      <c r="M1435">
        <f t="shared" si="44"/>
        <v>73</v>
      </c>
      <c r="N1435">
        <v>0.625</v>
      </c>
      <c r="O1435" s="23" cm="1">
        <f t="array" ref="O1435">WordListCount(K1435,keywords!$A$2:$A$31)-WordListCount(K1435,keywords!$B$2:$B$31)</f>
        <v>0</v>
      </c>
      <c r="P1435" s="25">
        <f t="shared" si="45"/>
        <v>0.69273148148148145</v>
      </c>
      <c r="Q1435" s="23">
        <f>SUM($O$2:O1435)</f>
        <v>34</v>
      </c>
      <c r="Y1435" s="14"/>
      <c r="Z1435" s="13"/>
      <c r="AA1435"/>
    </row>
    <row r="1436" spans="1:27" x14ac:dyDescent="0.2">
      <c r="A1436" s="12" t="s">
        <v>4491</v>
      </c>
      <c r="B1436" t="s">
        <v>4492</v>
      </c>
      <c r="C1436" t="s">
        <v>4493</v>
      </c>
      <c r="D1436" t="s">
        <v>4494</v>
      </c>
      <c r="E1436" t="s">
        <v>13</v>
      </c>
      <c r="F1436">
        <v>2482</v>
      </c>
      <c r="G1436">
        <v>1802</v>
      </c>
      <c r="H1436" s="5" t="s">
        <v>22</v>
      </c>
      <c r="I1436" s="5">
        <v>0</v>
      </c>
      <c r="J1436" s="5">
        <v>0</v>
      </c>
      <c r="K1436" t="s">
        <v>10816</v>
      </c>
      <c r="L1436" cm="1">
        <f t="array" ref="L1436">wordCount(K1436)</f>
        <v>15</v>
      </c>
      <c r="M1436">
        <f t="shared" si="44"/>
        <v>80</v>
      </c>
      <c r="N1436">
        <v>0.3</v>
      </c>
      <c r="O1436" s="23" cm="1">
        <f t="array" ref="O1436">WordListCount(K1436,keywords!$A$2:$A$31)-WordListCount(K1436,keywords!$B$2:$B$31)</f>
        <v>-1</v>
      </c>
      <c r="P1436" s="25">
        <f t="shared" si="45"/>
        <v>0.69274305555555549</v>
      </c>
      <c r="Q1436" s="23">
        <f>SUM($O$2:O1436)</f>
        <v>33</v>
      </c>
      <c r="Y1436" s="14"/>
      <c r="Z1436" s="13"/>
      <c r="AA1436"/>
    </row>
    <row r="1437" spans="1:27" x14ac:dyDescent="0.2">
      <c r="A1437" s="12" t="s">
        <v>4495</v>
      </c>
      <c r="B1437" t="s">
        <v>4496</v>
      </c>
      <c r="C1437" t="s">
        <v>4497</v>
      </c>
      <c r="D1437" t="s">
        <v>628</v>
      </c>
      <c r="E1437" t="s">
        <v>13</v>
      </c>
      <c r="F1437">
        <v>91</v>
      </c>
      <c r="G1437">
        <v>751</v>
      </c>
      <c r="H1437" s="5" t="s">
        <v>22</v>
      </c>
      <c r="I1437" s="5">
        <v>0</v>
      </c>
      <c r="J1437" s="5">
        <v>0</v>
      </c>
      <c r="K1437" t="s">
        <v>10817</v>
      </c>
      <c r="L1437" cm="1">
        <f t="array" ref="L1437">wordCount(K1437)</f>
        <v>9</v>
      </c>
      <c r="M1437">
        <f t="shared" si="44"/>
        <v>47</v>
      </c>
      <c r="N1437">
        <v>0.63636363636363635</v>
      </c>
      <c r="O1437" s="23" cm="1">
        <f t="array" ref="O1437">WordListCount(K1437,keywords!$A$2:$A$31)-WordListCount(K1437,keywords!$B$2:$B$31)</f>
        <v>0</v>
      </c>
      <c r="P1437" s="25">
        <f t="shared" si="45"/>
        <v>0.69277777777777771</v>
      </c>
      <c r="Q1437" s="23">
        <f>SUM($O$2:O1437)</f>
        <v>33</v>
      </c>
      <c r="Y1437" s="14"/>
      <c r="Z1437" s="13"/>
      <c r="AA1437"/>
    </row>
    <row r="1438" spans="1:27" x14ac:dyDescent="0.2">
      <c r="A1438" s="12" t="s">
        <v>4498</v>
      </c>
      <c r="B1438" t="s">
        <v>4499</v>
      </c>
      <c r="C1438" t="s">
        <v>4500</v>
      </c>
      <c r="D1438" t="s">
        <v>2363</v>
      </c>
      <c r="E1438" t="s">
        <v>13</v>
      </c>
      <c r="F1438">
        <v>5</v>
      </c>
      <c r="G1438">
        <v>24</v>
      </c>
      <c r="H1438" s="5" t="s">
        <v>22</v>
      </c>
      <c r="I1438" s="5">
        <v>0</v>
      </c>
      <c r="J1438" s="5">
        <v>0</v>
      </c>
      <c r="K1438" t="s">
        <v>9454</v>
      </c>
      <c r="L1438" cm="1">
        <f t="array" ref="L1438">wordCount(K1438)</f>
        <v>4</v>
      </c>
      <c r="M1438">
        <f t="shared" si="44"/>
        <v>18</v>
      </c>
      <c r="N1438">
        <v>0.94736842105263153</v>
      </c>
      <c r="O1438" s="23" cm="1">
        <f t="array" ref="O1438">WordListCount(K1438,keywords!$A$2:$A$31)-WordListCount(K1438,keywords!$B$2:$B$31)</f>
        <v>0</v>
      </c>
      <c r="P1438" s="25">
        <f t="shared" si="45"/>
        <v>0.69281250000000005</v>
      </c>
      <c r="Q1438" s="23">
        <f>SUM($O$2:O1438)</f>
        <v>33</v>
      </c>
      <c r="Y1438" s="14"/>
      <c r="Z1438" s="13"/>
      <c r="AA1438"/>
    </row>
    <row r="1439" spans="1:27" x14ac:dyDescent="0.2">
      <c r="A1439" s="12" t="s">
        <v>4501</v>
      </c>
      <c r="B1439" t="s">
        <v>4502</v>
      </c>
      <c r="C1439" t="s">
        <v>496</v>
      </c>
      <c r="D1439" t="s">
        <v>497</v>
      </c>
      <c r="E1439" t="s">
        <v>13</v>
      </c>
      <c r="F1439">
        <v>365</v>
      </c>
      <c r="G1439">
        <v>225</v>
      </c>
      <c r="H1439" s="5" t="s">
        <v>22</v>
      </c>
      <c r="I1439" s="5">
        <v>0</v>
      </c>
      <c r="J1439" s="5">
        <v>0</v>
      </c>
      <c r="K1439" t="s">
        <v>10818</v>
      </c>
      <c r="L1439" cm="1">
        <f t="array" ref="L1439">wordCount(K1439)</f>
        <v>24</v>
      </c>
      <c r="M1439">
        <f t="shared" si="44"/>
        <v>100</v>
      </c>
      <c r="N1439">
        <v>0.79166666666666663</v>
      </c>
      <c r="O1439" s="23" cm="1">
        <f t="array" ref="O1439">WordListCount(K1439,keywords!$A$2:$A$31)-WordListCount(K1439,keywords!$B$2:$B$31)</f>
        <v>0</v>
      </c>
      <c r="P1439" s="25">
        <f t="shared" si="45"/>
        <v>0.69291666666666663</v>
      </c>
      <c r="Q1439" s="23">
        <f>SUM($O$2:O1439)</f>
        <v>33</v>
      </c>
      <c r="Y1439" s="14"/>
      <c r="Z1439" s="13"/>
      <c r="AA1439"/>
    </row>
    <row r="1440" spans="1:27" x14ac:dyDescent="0.2">
      <c r="A1440" s="12" t="s">
        <v>4503</v>
      </c>
      <c r="B1440" t="s">
        <v>4504</v>
      </c>
      <c r="C1440" t="s">
        <v>4505</v>
      </c>
      <c r="D1440" t="s">
        <v>124</v>
      </c>
      <c r="E1440" t="s">
        <v>13</v>
      </c>
      <c r="F1440">
        <v>71</v>
      </c>
      <c r="G1440">
        <v>179</v>
      </c>
      <c r="H1440" s="5" t="s">
        <v>22</v>
      </c>
      <c r="I1440" s="5">
        <v>0</v>
      </c>
      <c r="J1440" s="5">
        <v>0</v>
      </c>
      <c r="K1440" t="s">
        <v>10819</v>
      </c>
      <c r="L1440" cm="1">
        <f t="array" ref="L1440">wordCount(K1440)</f>
        <v>16</v>
      </c>
      <c r="M1440">
        <f t="shared" si="44"/>
        <v>91</v>
      </c>
      <c r="N1440">
        <v>0.6428571428571429</v>
      </c>
      <c r="O1440" s="23" cm="1">
        <f t="array" ref="O1440">WordListCount(K1440,keywords!$A$2:$A$31)-WordListCount(K1440,keywords!$B$2:$B$31)</f>
        <v>0</v>
      </c>
      <c r="P1440" s="25">
        <f t="shared" si="45"/>
        <v>0.69295138888888896</v>
      </c>
      <c r="Q1440" s="23">
        <f>SUM($O$2:O1440)</f>
        <v>33</v>
      </c>
      <c r="Y1440" s="14"/>
      <c r="Z1440" s="13"/>
      <c r="AA1440"/>
    </row>
    <row r="1441" spans="1:27" x14ac:dyDescent="0.2">
      <c r="A1441" s="12" t="s">
        <v>4506</v>
      </c>
      <c r="B1441" t="s">
        <v>4507</v>
      </c>
      <c r="C1441" t="s">
        <v>4508</v>
      </c>
      <c r="D1441" t="s">
        <v>4509</v>
      </c>
      <c r="E1441" t="s">
        <v>13</v>
      </c>
      <c r="F1441">
        <v>13</v>
      </c>
      <c r="G1441">
        <v>50</v>
      </c>
      <c r="H1441" s="5" t="s">
        <v>22</v>
      </c>
      <c r="I1441" s="5">
        <v>0</v>
      </c>
      <c r="J1441" s="5">
        <v>0</v>
      </c>
      <c r="K1441" t="s">
        <v>10820</v>
      </c>
      <c r="L1441" cm="1">
        <f t="array" ref="L1441">wordCount(K1441)</f>
        <v>6</v>
      </c>
      <c r="M1441">
        <f t="shared" si="44"/>
        <v>28</v>
      </c>
      <c r="N1441">
        <v>0.72727272727272729</v>
      </c>
      <c r="O1441" s="23" cm="1">
        <f t="array" ref="O1441">WordListCount(K1441,keywords!$A$2:$A$31)-WordListCount(K1441,keywords!$B$2:$B$31)</f>
        <v>0</v>
      </c>
      <c r="P1441" s="25">
        <f t="shared" si="45"/>
        <v>0.69297453703703704</v>
      </c>
      <c r="Q1441" s="23">
        <f>SUM($O$2:O1441)</f>
        <v>33</v>
      </c>
      <c r="Y1441" s="14"/>
      <c r="Z1441" s="13"/>
      <c r="AA1441"/>
    </row>
    <row r="1442" spans="1:27" x14ac:dyDescent="0.2">
      <c r="A1442" s="12" t="s">
        <v>4510</v>
      </c>
      <c r="B1442" t="s">
        <v>4511</v>
      </c>
      <c r="C1442" t="s">
        <v>4512</v>
      </c>
      <c r="D1442" t="s">
        <v>12</v>
      </c>
      <c r="E1442" t="s">
        <v>13</v>
      </c>
      <c r="F1442">
        <v>26</v>
      </c>
      <c r="G1442">
        <v>94</v>
      </c>
      <c r="H1442" s="5" t="s">
        <v>22</v>
      </c>
      <c r="I1442" s="5">
        <v>0</v>
      </c>
      <c r="J1442" s="5">
        <v>0</v>
      </c>
      <c r="K1442" t="s">
        <v>10821</v>
      </c>
      <c r="L1442" cm="1">
        <f t="array" ref="L1442">wordCount(K1442)</f>
        <v>17</v>
      </c>
      <c r="M1442">
        <f t="shared" si="44"/>
        <v>84</v>
      </c>
      <c r="N1442">
        <v>0.54166666666666663</v>
      </c>
      <c r="O1442" s="23" cm="1">
        <f t="array" ref="O1442">WordListCount(K1442,keywords!$A$2:$A$31)-WordListCount(K1442,keywords!$B$2:$B$31)</f>
        <v>0</v>
      </c>
      <c r="P1442" s="25">
        <f t="shared" si="45"/>
        <v>0.69326388888888879</v>
      </c>
      <c r="Q1442" s="23">
        <f>SUM($O$2:O1442)</f>
        <v>33</v>
      </c>
      <c r="Y1442" s="14"/>
      <c r="Z1442" s="13"/>
      <c r="AA1442"/>
    </row>
    <row r="1443" spans="1:27" x14ac:dyDescent="0.2">
      <c r="A1443" s="12" t="s">
        <v>4513</v>
      </c>
      <c r="B1443" t="s">
        <v>4514</v>
      </c>
      <c r="C1443" t="s">
        <v>4515</v>
      </c>
      <c r="D1443" t="s">
        <v>30</v>
      </c>
      <c r="E1443" t="s">
        <v>13</v>
      </c>
      <c r="F1443">
        <v>227</v>
      </c>
      <c r="G1443">
        <v>454</v>
      </c>
      <c r="H1443" s="5" t="s">
        <v>96</v>
      </c>
      <c r="I1443" s="5">
        <v>0</v>
      </c>
      <c r="J1443" s="5">
        <v>0</v>
      </c>
      <c r="K1443" t="s">
        <v>10822</v>
      </c>
      <c r="L1443" cm="1">
        <f t="array" ref="L1443">wordCount(K1443)</f>
        <v>14</v>
      </c>
      <c r="M1443">
        <f t="shared" si="44"/>
        <v>67</v>
      </c>
      <c r="N1443">
        <v>0.625</v>
      </c>
      <c r="O1443" s="23" cm="1">
        <f t="array" ref="O1443">WordListCount(K1443,keywords!$A$2:$A$31)-WordListCount(K1443,keywords!$B$2:$B$31)</f>
        <v>0</v>
      </c>
      <c r="P1443" s="25">
        <f t="shared" si="45"/>
        <v>0.69329861111111113</v>
      </c>
      <c r="Q1443" s="23">
        <f>SUM($O$2:O1443)</f>
        <v>33</v>
      </c>
      <c r="Y1443" s="14"/>
      <c r="Z1443" s="13"/>
      <c r="AA1443"/>
    </row>
    <row r="1444" spans="1:27" x14ac:dyDescent="0.2">
      <c r="A1444" s="12" t="s">
        <v>4516</v>
      </c>
      <c r="B1444" t="s">
        <v>4517</v>
      </c>
      <c r="C1444" t="s">
        <v>3442</v>
      </c>
      <c r="D1444" t="s">
        <v>535</v>
      </c>
      <c r="E1444" t="s">
        <v>13</v>
      </c>
      <c r="F1444">
        <v>8</v>
      </c>
      <c r="G1444">
        <v>35</v>
      </c>
      <c r="H1444" s="5" t="s">
        <v>22</v>
      </c>
      <c r="I1444" s="5">
        <v>0</v>
      </c>
      <c r="J1444" s="5">
        <v>0</v>
      </c>
      <c r="K1444" t="s">
        <v>9455</v>
      </c>
      <c r="L1444" cm="1">
        <f t="array" ref="L1444">wordCount(K1444)</f>
        <v>12</v>
      </c>
      <c r="M1444">
        <f t="shared" si="44"/>
        <v>64</v>
      </c>
      <c r="N1444">
        <v>0.4375</v>
      </c>
      <c r="O1444" s="23" cm="1">
        <f t="array" ref="O1444">WordListCount(K1444,keywords!$A$2:$A$31)-WordListCount(K1444,keywords!$B$2:$B$31)</f>
        <v>0</v>
      </c>
      <c r="P1444" s="25">
        <f t="shared" si="45"/>
        <v>0.69353009259259257</v>
      </c>
      <c r="Q1444" s="23">
        <f>SUM($O$2:O1444)</f>
        <v>33</v>
      </c>
      <c r="Y1444" s="14"/>
      <c r="Z1444" s="13"/>
      <c r="AA1444"/>
    </row>
    <row r="1445" spans="1:27" x14ac:dyDescent="0.2">
      <c r="A1445" s="12" t="s">
        <v>4518</v>
      </c>
      <c r="B1445" t="s">
        <v>4519</v>
      </c>
      <c r="C1445" t="s">
        <v>4520</v>
      </c>
      <c r="D1445" t="s">
        <v>4521</v>
      </c>
      <c r="E1445" t="s">
        <v>13</v>
      </c>
      <c r="F1445">
        <v>241</v>
      </c>
      <c r="G1445">
        <v>733</v>
      </c>
      <c r="H1445" s="5" t="s">
        <v>22</v>
      </c>
      <c r="I1445" s="5">
        <v>0</v>
      </c>
      <c r="J1445" s="5">
        <v>0</v>
      </c>
      <c r="K1445" t="s">
        <v>10823</v>
      </c>
      <c r="L1445" cm="1">
        <f t="array" ref="L1445">wordCount(K1445)</f>
        <v>16</v>
      </c>
      <c r="M1445">
        <f t="shared" si="44"/>
        <v>63</v>
      </c>
      <c r="N1445">
        <v>0.38461538461538464</v>
      </c>
      <c r="O1445" s="23" cm="1">
        <f t="array" ref="O1445">WordListCount(K1445,keywords!$A$2:$A$31)-WordListCount(K1445,keywords!$B$2:$B$31)</f>
        <v>0</v>
      </c>
      <c r="P1445" s="25">
        <f t="shared" si="45"/>
        <v>0.6937268518518519</v>
      </c>
      <c r="Q1445" s="23">
        <f>SUM($O$2:O1445)</f>
        <v>33</v>
      </c>
      <c r="Y1445" s="14"/>
      <c r="Z1445" s="13"/>
      <c r="AA1445"/>
    </row>
    <row r="1446" spans="1:27" x14ac:dyDescent="0.2">
      <c r="A1446" s="12" t="s">
        <v>4522</v>
      </c>
      <c r="B1446" t="s">
        <v>4523</v>
      </c>
      <c r="C1446" t="s">
        <v>4524</v>
      </c>
      <c r="D1446" t="s">
        <v>12</v>
      </c>
      <c r="E1446" t="s">
        <v>13</v>
      </c>
      <c r="F1446">
        <v>160</v>
      </c>
      <c r="G1446">
        <v>540</v>
      </c>
      <c r="H1446" s="5" t="s">
        <v>22</v>
      </c>
      <c r="I1446" s="5">
        <v>0</v>
      </c>
      <c r="J1446" s="5">
        <v>0</v>
      </c>
      <c r="K1446" t="s">
        <v>10824</v>
      </c>
      <c r="L1446" cm="1">
        <f t="array" ref="L1446">wordCount(K1446)</f>
        <v>13</v>
      </c>
      <c r="M1446">
        <f t="shared" si="44"/>
        <v>54</v>
      </c>
      <c r="N1446">
        <v>0.72727272727272729</v>
      </c>
      <c r="O1446" s="23" cm="1">
        <f t="array" ref="O1446">WordListCount(K1446,keywords!$A$2:$A$31)-WordListCount(K1446,keywords!$B$2:$B$31)</f>
        <v>1</v>
      </c>
      <c r="P1446" s="25">
        <f t="shared" si="45"/>
        <v>0.69385416666666666</v>
      </c>
      <c r="Q1446" s="23">
        <f>SUM($O$2:O1446)</f>
        <v>34</v>
      </c>
      <c r="Y1446" s="14"/>
      <c r="Z1446" s="13"/>
      <c r="AA1446"/>
    </row>
    <row r="1447" spans="1:27" x14ac:dyDescent="0.2">
      <c r="A1447" s="12" t="s">
        <v>4525</v>
      </c>
      <c r="B1447" t="s">
        <v>4526</v>
      </c>
      <c r="C1447" t="s">
        <v>4527</v>
      </c>
      <c r="D1447" t="s">
        <v>12</v>
      </c>
      <c r="E1447" t="s">
        <v>13</v>
      </c>
      <c r="F1447">
        <v>2030</v>
      </c>
      <c r="G1447">
        <v>3010</v>
      </c>
      <c r="H1447" s="5" t="s">
        <v>22</v>
      </c>
      <c r="I1447" s="5">
        <v>0</v>
      </c>
      <c r="J1447" s="5">
        <v>0</v>
      </c>
      <c r="K1447" t="s">
        <v>9456</v>
      </c>
      <c r="L1447" cm="1">
        <f t="array" ref="L1447">wordCount(K1447)</f>
        <v>16</v>
      </c>
      <c r="M1447">
        <f t="shared" si="44"/>
        <v>86</v>
      </c>
      <c r="N1447">
        <v>0.61290322580645162</v>
      </c>
      <c r="O1447" s="23" cm="1">
        <f t="array" ref="O1447">WordListCount(K1447,keywords!$A$2:$A$31)-WordListCount(K1447,keywords!$B$2:$B$31)</f>
        <v>0</v>
      </c>
      <c r="P1447" s="25">
        <f t="shared" si="45"/>
        <v>0.69388888888888889</v>
      </c>
      <c r="Q1447" s="23">
        <f>SUM($O$2:O1447)</f>
        <v>34</v>
      </c>
      <c r="Y1447" s="14"/>
      <c r="Z1447" s="13"/>
      <c r="AA1447"/>
    </row>
    <row r="1448" spans="1:27" x14ac:dyDescent="0.2">
      <c r="A1448" s="12" t="s">
        <v>4528</v>
      </c>
      <c r="B1448" t="s">
        <v>4529</v>
      </c>
      <c r="C1448" t="s">
        <v>4530</v>
      </c>
      <c r="D1448" t="s">
        <v>516</v>
      </c>
      <c r="E1448" t="s">
        <v>13</v>
      </c>
      <c r="F1448">
        <v>857</v>
      </c>
      <c r="G1448">
        <v>906</v>
      </c>
      <c r="H1448" s="5" t="s">
        <v>22</v>
      </c>
      <c r="I1448" s="5">
        <v>0</v>
      </c>
      <c r="J1448" s="5">
        <v>0</v>
      </c>
      <c r="K1448" t="s">
        <v>10825</v>
      </c>
      <c r="L1448" cm="1">
        <f t="array" ref="L1448">wordCount(K1448)</f>
        <v>12</v>
      </c>
      <c r="M1448">
        <f t="shared" si="44"/>
        <v>49</v>
      </c>
      <c r="N1448">
        <v>0.72</v>
      </c>
      <c r="O1448" s="23" cm="1">
        <f t="array" ref="O1448">WordListCount(K1448,keywords!$A$2:$A$31)-WordListCount(K1448,keywords!$B$2:$B$31)</f>
        <v>0</v>
      </c>
      <c r="P1448" s="25">
        <f t="shared" si="45"/>
        <v>0.69436342592592604</v>
      </c>
      <c r="Q1448" s="23">
        <f>SUM($O$2:O1448)</f>
        <v>34</v>
      </c>
      <c r="Y1448" s="14"/>
      <c r="Z1448" s="13"/>
      <c r="AA1448"/>
    </row>
    <row r="1449" spans="1:27" x14ac:dyDescent="0.2">
      <c r="A1449" s="12" t="s">
        <v>4531</v>
      </c>
      <c r="B1449" t="s">
        <v>4532</v>
      </c>
      <c r="C1449" t="s">
        <v>4533</v>
      </c>
      <c r="D1449" t="s">
        <v>12</v>
      </c>
      <c r="E1449" t="s">
        <v>13</v>
      </c>
      <c r="F1449">
        <v>99</v>
      </c>
      <c r="G1449">
        <v>228</v>
      </c>
      <c r="H1449" s="5" t="s">
        <v>22</v>
      </c>
      <c r="I1449" s="5">
        <v>0</v>
      </c>
      <c r="J1449" s="5">
        <v>0</v>
      </c>
      <c r="K1449" t="s">
        <v>10826</v>
      </c>
      <c r="L1449" cm="1">
        <f t="array" ref="L1449">wordCount(K1449)</f>
        <v>13</v>
      </c>
      <c r="M1449">
        <f t="shared" si="44"/>
        <v>69</v>
      </c>
      <c r="N1449">
        <v>0.6071428571428571</v>
      </c>
      <c r="O1449" s="23" cm="1">
        <f t="array" ref="O1449">WordListCount(K1449,keywords!$A$2:$A$31)-WordListCount(K1449,keywords!$B$2:$B$31)</f>
        <v>0</v>
      </c>
      <c r="P1449" s="25">
        <f t="shared" si="45"/>
        <v>0.69446759259259261</v>
      </c>
      <c r="Q1449" s="23">
        <f>SUM($O$2:O1449)</f>
        <v>34</v>
      </c>
      <c r="Y1449" s="14"/>
      <c r="Z1449" s="13"/>
      <c r="AA1449"/>
    </row>
    <row r="1450" spans="1:27" x14ac:dyDescent="0.2">
      <c r="A1450" s="12" t="s">
        <v>4534</v>
      </c>
      <c r="B1450" t="s">
        <v>4535</v>
      </c>
      <c r="C1450" t="s">
        <v>4536</v>
      </c>
      <c r="D1450" t="s">
        <v>12</v>
      </c>
      <c r="E1450" t="s">
        <v>13</v>
      </c>
      <c r="F1450">
        <v>562</v>
      </c>
      <c r="G1450">
        <v>193</v>
      </c>
      <c r="H1450" s="5" t="s">
        <v>14</v>
      </c>
      <c r="I1450" s="5">
        <v>0</v>
      </c>
      <c r="J1450" s="5">
        <v>0</v>
      </c>
      <c r="K1450" t="s">
        <v>10827</v>
      </c>
      <c r="L1450" cm="1">
        <f t="array" ref="L1450">wordCount(K1450)</f>
        <v>11</v>
      </c>
      <c r="M1450">
        <f t="shared" si="44"/>
        <v>59</v>
      </c>
      <c r="N1450">
        <v>0.61111111111111116</v>
      </c>
      <c r="O1450" s="23" cm="1">
        <f t="array" ref="O1450">WordListCount(K1450,keywords!$A$2:$A$31)-WordListCount(K1450,keywords!$B$2:$B$31)</f>
        <v>1</v>
      </c>
      <c r="P1450" s="25">
        <f t="shared" si="45"/>
        <v>0.69453703703703706</v>
      </c>
      <c r="Q1450" s="23">
        <f>SUM($O$2:O1450)</f>
        <v>35</v>
      </c>
      <c r="Y1450" s="14"/>
      <c r="Z1450" s="13"/>
      <c r="AA1450"/>
    </row>
    <row r="1451" spans="1:27" x14ac:dyDescent="0.2">
      <c r="A1451" s="12" t="s">
        <v>4537</v>
      </c>
      <c r="B1451" t="s">
        <v>4538</v>
      </c>
      <c r="C1451" t="s">
        <v>4539</v>
      </c>
      <c r="D1451" t="s">
        <v>4540</v>
      </c>
      <c r="E1451" t="s">
        <v>13</v>
      </c>
      <c r="F1451">
        <v>4</v>
      </c>
      <c r="G1451">
        <v>20</v>
      </c>
      <c r="H1451" s="5" t="s">
        <v>22</v>
      </c>
      <c r="I1451" s="5">
        <v>0</v>
      </c>
      <c r="J1451" s="5">
        <v>0</v>
      </c>
      <c r="K1451" t="s">
        <v>9457</v>
      </c>
      <c r="L1451" cm="1">
        <f t="array" ref="L1451">wordCount(K1451)</f>
        <v>22</v>
      </c>
      <c r="M1451">
        <f t="shared" si="44"/>
        <v>119</v>
      </c>
      <c r="N1451">
        <v>0.375</v>
      </c>
      <c r="O1451" s="23" cm="1">
        <f t="array" ref="O1451">WordListCount(K1451,keywords!$A$2:$A$31)-WordListCount(K1451,keywords!$B$2:$B$31)</f>
        <v>0</v>
      </c>
      <c r="P1451" s="25">
        <f t="shared" si="45"/>
        <v>0.69456018518518514</v>
      </c>
      <c r="Q1451" s="23">
        <f>SUM($O$2:O1451)</f>
        <v>35</v>
      </c>
      <c r="Y1451" s="14"/>
      <c r="Z1451" s="13"/>
      <c r="AA1451"/>
    </row>
    <row r="1452" spans="1:27" x14ac:dyDescent="0.2">
      <c r="A1452" s="12" t="s">
        <v>4541</v>
      </c>
      <c r="B1452" t="s">
        <v>4542</v>
      </c>
      <c r="C1452" t="s">
        <v>4543</v>
      </c>
      <c r="D1452" t="s">
        <v>4544</v>
      </c>
      <c r="E1452" t="s">
        <v>13</v>
      </c>
      <c r="F1452">
        <v>1914</v>
      </c>
      <c r="G1452">
        <v>674</v>
      </c>
      <c r="H1452" s="5" t="s">
        <v>22</v>
      </c>
      <c r="I1452" s="5">
        <v>0</v>
      </c>
      <c r="J1452" s="5">
        <v>0</v>
      </c>
      <c r="K1452" t="s">
        <v>10828</v>
      </c>
      <c r="L1452" cm="1">
        <f t="array" ref="L1452">wordCount(K1452)</f>
        <v>10</v>
      </c>
      <c r="M1452">
        <f t="shared" si="44"/>
        <v>49</v>
      </c>
      <c r="N1452">
        <v>0.47058823529411764</v>
      </c>
      <c r="O1452" s="23" cm="1">
        <f t="array" ref="O1452">WordListCount(K1452,keywords!$A$2:$A$31)-WordListCount(K1452,keywords!$B$2:$B$31)</f>
        <v>0</v>
      </c>
      <c r="P1452" s="25">
        <f t="shared" si="45"/>
        <v>0.69458333333333344</v>
      </c>
      <c r="Q1452" s="23">
        <f>SUM($O$2:O1452)</f>
        <v>35</v>
      </c>
      <c r="Y1452" s="14"/>
      <c r="Z1452" s="13"/>
      <c r="AA1452"/>
    </row>
    <row r="1453" spans="1:27" x14ac:dyDescent="0.2">
      <c r="A1453" s="12" t="s">
        <v>4545</v>
      </c>
      <c r="B1453" t="s">
        <v>4546</v>
      </c>
      <c r="C1453" t="s">
        <v>4547</v>
      </c>
      <c r="D1453" t="s">
        <v>4548</v>
      </c>
      <c r="E1453" t="s">
        <v>13</v>
      </c>
      <c r="F1453">
        <v>2396</v>
      </c>
      <c r="G1453">
        <v>500</v>
      </c>
      <c r="H1453" s="5" t="s">
        <v>22</v>
      </c>
      <c r="I1453" s="5">
        <v>0</v>
      </c>
      <c r="J1453" s="5">
        <v>0</v>
      </c>
      <c r="K1453" t="s">
        <v>10829</v>
      </c>
      <c r="L1453" cm="1">
        <f t="array" ref="L1453">wordCount(K1453)</f>
        <v>22</v>
      </c>
      <c r="M1453">
        <f t="shared" si="44"/>
        <v>122</v>
      </c>
      <c r="N1453">
        <v>0.42424242424242425</v>
      </c>
      <c r="O1453" s="23" cm="1">
        <f t="array" ref="O1453">WordListCount(K1453,keywords!$A$2:$A$31)-WordListCount(K1453,keywords!$B$2:$B$31)</f>
        <v>0</v>
      </c>
      <c r="P1453" s="25">
        <f t="shared" si="45"/>
        <v>0.69459490740740737</v>
      </c>
      <c r="Q1453" s="23">
        <f>SUM($O$2:O1453)</f>
        <v>35</v>
      </c>
      <c r="Y1453" s="14"/>
      <c r="Z1453" s="13"/>
      <c r="AA1453"/>
    </row>
    <row r="1454" spans="1:27" x14ac:dyDescent="0.2">
      <c r="A1454" s="12" t="s">
        <v>4549</v>
      </c>
      <c r="B1454" t="s">
        <v>4550</v>
      </c>
      <c r="C1454" t="s">
        <v>130</v>
      </c>
      <c r="D1454" t="s">
        <v>131</v>
      </c>
      <c r="E1454" t="s">
        <v>13</v>
      </c>
      <c r="F1454">
        <v>92</v>
      </c>
      <c r="G1454">
        <v>202</v>
      </c>
      <c r="H1454" s="5" t="s">
        <v>22</v>
      </c>
      <c r="I1454" s="5">
        <v>0</v>
      </c>
      <c r="J1454" s="5">
        <v>0</v>
      </c>
      <c r="K1454" t="s">
        <v>10830</v>
      </c>
      <c r="L1454" cm="1">
        <f t="array" ref="L1454">wordCount(K1454)</f>
        <v>23</v>
      </c>
      <c r="M1454">
        <f t="shared" si="44"/>
        <v>108</v>
      </c>
      <c r="N1454">
        <v>0.95454545454545459</v>
      </c>
      <c r="O1454" s="23" cm="1">
        <f t="array" ref="O1454">WordListCount(K1454,keywords!$A$2:$A$31)-WordListCount(K1454,keywords!$B$2:$B$31)</f>
        <v>0</v>
      </c>
      <c r="P1454" s="25">
        <f t="shared" si="45"/>
        <v>0.6946296296296296</v>
      </c>
      <c r="Q1454" s="23">
        <f>SUM($O$2:O1454)</f>
        <v>35</v>
      </c>
      <c r="Y1454" s="14"/>
      <c r="Z1454" s="13"/>
      <c r="AA1454"/>
    </row>
    <row r="1455" spans="1:27" x14ac:dyDescent="0.2">
      <c r="A1455" s="12" t="s">
        <v>4551</v>
      </c>
      <c r="B1455" t="s">
        <v>4552</v>
      </c>
      <c r="C1455" t="s">
        <v>2486</v>
      </c>
      <c r="D1455" t="s">
        <v>74</v>
      </c>
      <c r="E1455" t="s">
        <v>13</v>
      </c>
      <c r="F1455">
        <v>168</v>
      </c>
      <c r="G1455">
        <v>52</v>
      </c>
      <c r="H1455" s="5" t="s">
        <v>22</v>
      </c>
      <c r="I1455" s="5">
        <v>0</v>
      </c>
      <c r="J1455" s="5">
        <v>0</v>
      </c>
      <c r="K1455" t="s">
        <v>10831</v>
      </c>
      <c r="L1455" cm="1">
        <f t="array" ref="L1455">wordCount(K1455)</f>
        <v>9</v>
      </c>
      <c r="M1455">
        <f t="shared" si="44"/>
        <v>36</v>
      </c>
      <c r="N1455">
        <v>0.5</v>
      </c>
      <c r="O1455" s="23" cm="1">
        <f t="array" ref="O1455">WordListCount(K1455,keywords!$A$2:$A$31)-WordListCount(K1455,keywords!$B$2:$B$31)</f>
        <v>0</v>
      </c>
      <c r="P1455" s="25">
        <f t="shared" si="45"/>
        <v>0.69476851851851851</v>
      </c>
      <c r="Q1455" s="23">
        <f>SUM($O$2:O1455)</f>
        <v>35</v>
      </c>
      <c r="Y1455" s="14"/>
      <c r="Z1455" s="13"/>
      <c r="AA1455"/>
    </row>
    <row r="1456" spans="1:27" x14ac:dyDescent="0.2">
      <c r="A1456" s="12" t="s">
        <v>4553</v>
      </c>
      <c r="B1456" t="s">
        <v>4554</v>
      </c>
      <c r="C1456" t="s">
        <v>4555</v>
      </c>
      <c r="D1456" t="s">
        <v>12</v>
      </c>
      <c r="E1456" t="s">
        <v>13</v>
      </c>
      <c r="F1456">
        <v>1</v>
      </c>
      <c r="G1456">
        <v>1</v>
      </c>
      <c r="H1456" s="5" t="s">
        <v>22</v>
      </c>
      <c r="I1456" s="5">
        <v>0</v>
      </c>
      <c r="J1456" s="5">
        <v>0</v>
      </c>
      <c r="K1456" t="s">
        <v>9458</v>
      </c>
      <c r="L1456" cm="1">
        <f t="array" ref="L1456">wordCount(K1456)</f>
        <v>8</v>
      </c>
      <c r="M1456">
        <f t="shared" si="44"/>
        <v>35</v>
      </c>
      <c r="N1456">
        <v>0.73684210526315785</v>
      </c>
      <c r="O1456" s="23" cm="1">
        <f t="array" ref="O1456">WordListCount(K1456,keywords!$A$2:$A$31)-WordListCount(K1456,keywords!$B$2:$B$31)</f>
        <v>0</v>
      </c>
      <c r="P1456" s="25">
        <f t="shared" si="45"/>
        <v>0.69498842592592591</v>
      </c>
      <c r="Q1456" s="23">
        <f>SUM($O$2:O1456)</f>
        <v>35</v>
      </c>
      <c r="Y1456" s="14"/>
      <c r="Z1456" s="13"/>
      <c r="AA1456"/>
    </row>
    <row r="1457" spans="1:27" x14ac:dyDescent="0.2">
      <c r="A1457" s="12" t="s">
        <v>4556</v>
      </c>
      <c r="B1457" t="s">
        <v>4557</v>
      </c>
      <c r="C1457" t="s">
        <v>4558</v>
      </c>
      <c r="D1457" t="s">
        <v>4559</v>
      </c>
      <c r="E1457" t="s">
        <v>13</v>
      </c>
      <c r="F1457">
        <v>25737</v>
      </c>
      <c r="G1457">
        <v>404</v>
      </c>
      <c r="H1457" s="5" t="s">
        <v>22</v>
      </c>
      <c r="I1457" s="5">
        <v>0</v>
      </c>
      <c r="J1457" s="5">
        <v>0</v>
      </c>
      <c r="K1457" t="s">
        <v>9047</v>
      </c>
      <c r="L1457" cm="1">
        <f t="array" ref="L1457">wordCount(K1457)</f>
        <v>1</v>
      </c>
      <c r="M1457">
        <f t="shared" si="44"/>
        <v>7</v>
      </c>
      <c r="N1457">
        <v>0.5</v>
      </c>
      <c r="O1457" s="23" cm="1">
        <f t="array" ref="O1457">WordListCount(K1457,keywords!$A$2:$A$31)-WordListCount(K1457,keywords!$B$2:$B$31)</f>
        <v>0</v>
      </c>
      <c r="P1457" s="25">
        <f t="shared" si="45"/>
        <v>0.69503472222222218</v>
      </c>
      <c r="Q1457" s="23">
        <f>SUM($O$2:O1457)</f>
        <v>35</v>
      </c>
      <c r="Y1457" s="14"/>
      <c r="Z1457" s="13"/>
      <c r="AA1457"/>
    </row>
    <row r="1458" spans="1:27" x14ac:dyDescent="0.2">
      <c r="A1458" s="12" t="s">
        <v>4560</v>
      </c>
      <c r="B1458" t="s">
        <v>4561</v>
      </c>
      <c r="C1458" t="s">
        <v>4562</v>
      </c>
      <c r="D1458" t="s">
        <v>12</v>
      </c>
      <c r="E1458" t="s">
        <v>13</v>
      </c>
      <c r="F1458">
        <v>72</v>
      </c>
      <c r="G1458">
        <v>239</v>
      </c>
      <c r="H1458" s="5" t="s">
        <v>22</v>
      </c>
      <c r="I1458" s="5">
        <v>0</v>
      </c>
      <c r="J1458" s="5">
        <v>0</v>
      </c>
      <c r="K1458" t="s">
        <v>9459</v>
      </c>
      <c r="L1458" cm="1">
        <f t="array" ref="L1458">wordCount(K1458)</f>
        <v>9</v>
      </c>
      <c r="M1458">
        <f t="shared" si="44"/>
        <v>39</v>
      </c>
      <c r="N1458">
        <v>0.53333333333333333</v>
      </c>
      <c r="O1458" s="23" cm="1">
        <f t="array" ref="O1458">WordListCount(K1458,keywords!$A$2:$A$31)-WordListCount(K1458,keywords!$B$2:$B$31)</f>
        <v>0</v>
      </c>
      <c r="P1458" s="25">
        <f t="shared" si="45"/>
        <v>0.69513888888888886</v>
      </c>
      <c r="Q1458" s="23">
        <f>SUM($O$2:O1458)</f>
        <v>35</v>
      </c>
      <c r="Y1458" s="14"/>
      <c r="Z1458" s="13"/>
      <c r="AA1458"/>
    </row>
    <row r="1459" spans="1:27" x14ac:dyDescent="0.2">
      <c r="A1459" s="12" t="s">
        <v>4563</v>
      </c>
      <c r="B1459" t="s">
        <v>4564</v>
      </c>
      <c r="C1459" t="s">
        <v>4565</v>
      </c>
      <c r="D1459" t="s">
        <v>4566</v>
      </c>
      <c r="E1459" t="s">
        <v>13</v>
      </c>
      <c r="F1459">
        <v>11321</v>
      </c>
      <c r="G1459">
        <v>1633</v>
      </c>
      <c r="H1459" s="5" t="s">
        <v>22</v>
      </c>
      <c r="I1459" s="5">
        <v>0</v>
      </c>
      <c r="J1459" s="5">
        <v>0</v>
      </c>
      <c r="K1459" t="s">
        <v>10832</v>
      </c>
      <c r="L1459" cm="1">
        <f t="array" ref="L1459">wordCount(K1459)</f>
        <v>13</v>
      </c>
      <c r="M1459">
        <f t="shared" si="44"/>
        <v>55</v>
      </c>
      <c r="N1459">
        <v>0.2857142857142857</v>
      </c>
      <c r="O1459" s="23" cm="1">
        <f t="array" ref="O1459">WordListCount(K1459,keywords!$A$2:$A$31)-WordListCount(K1459,keywords!$B$2:$B$31)</f>
        <v>0</v>
      </c>
      <c r="P1459" s="25">
        <f t="shared" si="45"/>
        <v>0.69530092592592585</v>
      </c>
      <c r="Q1459" s="23">
        <f>SUM($O$2:O1459)</f>
        <v>35</v>
      </c>
      <c r="Y1459" s="14"/>
      <c r="Z1459" s="13"/>
      <c r="AA1459"/>
    </row>
    <row r="1460" spans="1:27" x14ac:dyDescent="0.2">
      <c r="A1460" s="12" t="s">
        <v>4567</v>
      </c>
      <c r="B1460" t="s">
        <v>4568</v>
      </c>
      <c r="C1460" t="s">
        <v>4547</v>
      </c>
      <c r="D1460" t="s">
        <v>4548</v>
      </c>
      <c r="E1460" t="s">
        <v>13</v>
      </c>
      <c r="F1460">
        <v>2396</v>
      </c>
      <c r="G1460">
        <v>500</v>
      </c>
      <c r="H1460" s="5" t="s">
        <v>22</v>
      </c>
      <c r="I1460" s="5">
        <v>0</v>
      </c>
      <c r="J1460" s="5">
        <v>0</v>
      </c>
      <c r="K1460" t="s">
        <v>10833</v>
      </c>
      <c r="L1460" cm="1">
        <f t="array" ref="L1460">wordCount(K1460)</f>
        <v>16</v>
      </c>
      <c r="M1460">
        <f t="shared" si="44"/>
        <v>77</v>
      </c>
      <c r="N1460">
        <v>0.6428571428571429</v>
      </c>
      <c r="O1460" s="23" cm="1">
        <f t="array" ref="O1460">WordListCount(K1460,keywords!$A$2:$A$31)-WordListCount(K1460,keywords!$B$2:$B$31)</f>
        <v>0</v>
      </c>
      <c r="P1460" s="25">
        <f t="shared" si="45"/>
        <v>0.69555555555555559</v>
      </c>
      <c r="Q1460" s="23">
        <f>SUM($O$2:O1460)</f>
        <v>35</v>
      </c>
      <c r="Y1460" s="14"/>
      <c r="Z1460" s="13"/>
      <c r="AA1460"/>
    </row>
    <row r="1461" spans="1:27" x14ac:dyDescent="0.2">
      <c r="A1461" s="12" t="s">
        <v>4569</v>
      </c>
      <c r="B1461" t="s">
        <v>4571</v>
      </c>
      <c r="C1461" t="s">
        <v>440</v>
      </c>
      <c r="D1461" t="s">
        <v>441</v>
      </c>
      <c r="E1461" t="s">
        <v>13</v>
      </c>
      <c r="F1461">
        <v>2718</v>
      </c>
      <c r="G1461">
        <v>1831</v>
      </c>
      <c r="H1461" s="5" t="s">
        <v>22</v>
      </c>
      <c r="I1461" s="5">
        <v>0</v>
      </c>
      <c r="J1461" s="5">
        <v>0</v>
      </c>
      <c r="K1461" t="s">
        <v>10835</v>
      </c>
      <c r="L1461" cm="1">
        <f t="array" ref="L1461">wordCount(K1461)</f>
        <v>14</v>
      </c>
      <c r="M1461">
        <f t="shared" si="44"/>
        <v>101</v>
      </c>
      <c r="N1461">
        <v>0.8571428571428571</v>
      </c>
      <c r="O1461" s="23" cm="1">
        <f t="array" ref="O1461">WordListCount(K1461,keywords!$A$2:$A$31)-WordListCount(K1461,keywords!$B$2:$B$31)</f>
        <v>0</v>
      </c>
      <c r="P1461" s="25">
        <f t="shared" si="45"/>
        <v>0.695775462962963</v>
      </c>
      <c r="Q1461" s="23">
        <f>SUM($O$2:O1461)</f>
        <v>35</v>
      </c>
      <c r="Y1461" s="14"/>
      <c r="Z1461" s="13"/>
      <c r="AA1461"/>
    </row>
    <row r="1462" spans="1:27" x14ac:dyDescent="0.2">
      <c r="A1462" s="12" t="s">
        <v>4569</v>
      </c>
      <c r="B1462" t="s">
        <v>4570</v>
      </c>
      <c r="C1462" t="s">
        <v>1718</v>
      </c>
      <c r="D1462" t="s">
        <v>1719</v>
      </c>
      <c r="E1462" t="s">
        <v>13</v>
      </c>
      <c r="F1462">
        <v>4</v>
      </c>
      <c r="G1462">
        <v>0</v>
      </c>
      <c r="H1462" s="5" t="s">
        <v>22</v>
      </c>
      <c r="I1462" s="5">
        <v>0</v>
      </c>
      <c r="J1462" s="5">
        <v>0</v>
      </c>
      <c r="K1462" t="s">
        <v>10834</v>
      </c>
      <c r="L1462" cm="1">
        <f t="array" ref="L1462">wordCount(K1462)</f>
        <v>15</v>
      </c>
      <c r="M1462">
        <f t="shared" si="44"/>
        <v>69</v>
      </c>
      <c r="N1462">
        <v>0.38095238095238093</v>
      </c>
      <c r="O1462" s="23" cm="1">
        <f t="array" ref="O1462">WordListCount(K1462,keywords!$A$2:$A$31)-WordListCount(K1462,keywords!$B$2:$B$31)</f>
        <v>0</v>
      </c>
      <c r="P1462" s="25">
        <f t="shared" si="45"/>
        <v>0.695775462962963</v>
      </c>
      <c r="Q1462" s="23">
        <f>SUM($O$2:O1462)</f>
        <v>35</v>
      </c>
      <c r="Y1462" s="14"/>
      <c r="Z1462" s="13"/>
      <c r="AA1462"/>
    </row>
    <row r="1463" spans="1:27" x14ac:dyDescent="0.2">
      <c r="A1463" s="12" t="s">
        <v>4572</v>
      </c>
      <c r="B1463" t="s">
        <v>4573</v>
      </c>
      <c r="C1463" t="s">
        <v>4574</v>
      </c>
      <c r="D1463" t="s">
        <v>4575</v>
      </c>
      <c r="E1463" t="s">
        <v>13</v>
      </c>
      <c r="F1463">
        <v>1319</v>
      </c>
      <c r="G1463">
        <v>1048</v>
      </c>
      <c r="H1463" s="5" t="s">
        <v>22</v>
      </c>
      <c r="I1463" s="5">
        <v>0</v>
      </c>
      <c r="J1463" s="5">
        <v>0</v>
      </c>
      <c r="K1463" t="s">
        <v>9460</v>
      </c>
      <c r="L1463" cm="1">
        <f t="array" ref="L1463">wordCount(K1463)</f>
        <v>8</v>
      </c>
      <c r="M1463">
        <f t="shared" si="44"/>
        <v>38</v>
      </c>
      <c r="N1463">
        <v>0.6</v>
      </c>
      <c r="O1463" s="23" cm="1">
        <f t="array" ref="O1463">WordListCount(K1463,keywords!$A$2:$A$31)-WordListCount(K1463,keywords!$B$2:$B$31)</f>
        <v>0</v>
      </c>
      <c r="P1463" s="25">
        <f t="shared" si="45"/>
        <v>0.69596064814814806</v>
      </c>
      <c r="Q1463" s="23">
        <f>SUM($O$2:O1463)</f>
        <v>35</v>
      </c>
      <c r="Y1463" s="14"/>
      <c r="Z1463" s="13"/>
      <c r="AA1463"/>
    </row>
    <row r="1464" spans="1:27" x14ac:dyDescent="0.2">
      <c r="A1464" s="12" t="s">
        <v>4576</v>
      </c>
      <c r="B1464" t="s">
        <v>4008</v>
      </c>
      <c r="C1464" t="s">
        <v>4577</v>
      </c>
      <c r="D1464" t="s">
        <v>12</v>
      </c>
      <c r="E1464" t="s">
        <v>13</v>
      </c>
      <c r="F1464">
        <v>135</v>
      </c>
      <c r="G1464">
        <v>393</v>
      </c>
      <c r="H1464" s="5" t="s">
        <v>22</v>
      </c>
      <c r="I1464" s="5">
        <v>0</v>
      </c>
      <c r="J1464" s="5">
        <v>0</v>
      </c>
      <c r="K1464" t="s">
        <v>9411</v>
      </c>
      <c r="L1464" cm="1">
        <f t="array" ref="L1464">wordCount(K1464)</f>
        <v>6</v>
      </c>
      <c r="M1464">
        <f t="shared" si="44"/>
        <v>36</v>
      </c>
      <c r="N1464">
        <v>0.8571428571428571</v>
      </c>
      <c r="O1464" s="23" cm="1">
        <f t="array" ref="O1464">WordListCount(K1464,keywords!$A$2:$A$31)-WordListCount(K1464,keywords!$B$2:$B$31)</f>
        <v>0</v>
      </c>
      <c r="P1464" s="25">
        <f t="shared" si="45"/>
        <v>0.69597222222222221</v>
      </c>
      <c r="Q1464" s="23">
        <f>SUM($O$2:O1464)</f>
        <v>35</v>
      </c>
      <c r="Y1464" s="14"/>
      <c r="Z1464" s="13"/>
      <c r="AA1464"/>
    </row>
    <row r="1465" spans="1:27" x14ac:dyDescent="0.2">
      <c r="A1465" s="12" t="s">
        <v>4576</v>
      </c>
      <c r="B1465" t="s">
        <v>4581</v>
      </c>
      <c r="C1465" t="s">
        <v>4582</v>
      </c>
      <c r="D1465" t="s">
        <v>12</v>
      </c>
      <c r="E1465" t="s">
        <v>13</v>
      </c>
      <c r="F1465">
        <v>13</v>
      </c>
      <c r="G1465">
        <v>207</v>
      </c>
      <c r="H1465" s="5" t="s">
        <v>2377</v>
      </c>
      <c r="I1465" s="5">
        <v>0</v>
      </c>
      <c r="J1465" s="5">
        <v>0</v>
      </c>
      <c r="K1465" t="s">
        <v>10836</v>
      </c>
      <c r="L1465" cm="1">
        <f t="array" ref="L1465">wordCount(K1465)</f>
        <v>13</v>
      </c>
      <c r="M1465">
        <f t="shared" si="44"/>
        <v>48</v>
      </c>
      <c r="N1465">
        <v>0.57894736842105265</v>
      </c>
      <c r="O1465" s="23" cm="1">
        <f t="array" ref="O1465">WordListCount(K1465,keywords!$A$2:$A$31)-WordListCount(K1465,keywords!$B$2:$B$31)</f>
        <v>0</v>
      </c>
      <c r="P1465" s="25">
        <f t="shared" si="45"/>
        <v>0.69597222222222221</v>
      </c>
      <c r="Q1465" s="23">
        <f>SUM($O$2:O1465)</f>
        <v>35</v>
      </c>
      <c r="Y1465" s="14"/>
      <c r="Z1465" s="13"/>
      <c r="AA1465"/>
    </row>
    <row r="1466" spans="1:27" x14ac:dyDescent="0.2">
      <c r="A1466" s="12" t="s">
        <v>4576</v>
      </c>
      <c r="B1466" t="s">
        <v>4578</v>
      </c>
      <c r="C1466" t="s">
        <v>4579</v>
      </c>
      <c r="D1466" t="s">
        <v>12</v>
      </c>
      <c r="E1466" t="s">
        <v>13</v>
      </c>
      <c r="F1466">
        <v>175</v>
      </c>
      <c r="G1466">
        <v>248</v>
      </c>
      <c r="H1466" s="5" t="s">
        <v>22</v>
      </c>
      <c r="I1466" s="5">
        <v>0</v>
      </c>
      <c r="J1466" s="5">
        <v>0</v>
      </c>
      <c r="K1466" t="s">
        <v>9047</v>
      </c>
      <c r="L1466" cm="1">
        <f t="array" ref="L1466">wordCount(K1466)</f>
        <v>1</v>
      </c>
      <c r="M1466">
        <f t="shared" si="44"/>
        <v>7</v>
      </c>
      <c r="N1466">
        <v>0.5</v>
      </c>
      <c r="O1466" s="23" cm="1">
        <f t="array" ref="O1466">WordListCount(K1466,keywords!$A$2:$A$31)-WordListCount(K1466,keywords!$B$2:$B$31)</f>
        <v>0</v>
      </c>
      <c r="P1466" s="25">
        <f t="shared" si="45"/>
        <v>0.69597222222222221</v>
      </c>
      <c r="Q1466" s="23">
        <f>SUM($O$2:O1466)</f>
        <v>35</v>
      </c>
      <c r="Y1466" s="14"/>
      <c r="Z1466" s="13"/>
      <c r="AA1466"/>
    </row>
    <row r="1467" spans="1:27" x14ac:dyDescent="0.2">
      <c r="A1467" s="12" t="s">
        <v>4576</v>
      </c>
      <c r="B1467" t="s">
        <v>4580</v>
      </c>
      <c r="C1467" t="s">
        <v>4167</v>
      </c>
      <c r="D1467" t="s">
        <v>3125</v>
      </c>
      <c r="E1467" t="s">
        <v>13</v>
      </c>
      <c r="F1467">
        <v>227</v>
      </c>
      <c r="G1467">
        <v>219</v>
      </c>
      <c r="H1467" s="5" t="s">
        <v>22</v>
      </c>
      <c r="I1467" s="5">
        <v>0</v>
      </c>
      <c r="J1467" s="5">
        <v>0</v>
      </c>
      <c r="K1467" t="s">
        <v>9461</v>
      </c>
      <c r="L1467" cm="1">
        <f t="array" ref="L1467">wordCount(K1467)</f>
        <v>13</v>
      </c>
      <c r="M1467">
        <f t="shared" si="44"/>
        <v>74</v>
      </c>
      <c r="N1467">
        <v>0.84615384615384615</v>
      </c>
      <c r="O1467" s="23" cm="1">
        <f t="array" ref="O1467">WordListCount(K1467,keywords!$A$2:$A$31)-WordListCount(K1467,keywords!$B$2:$B$31)</f>
        <v>-1</v>
      </c>
      <c r="P1467" s="25">
        <f t="shared" si="45"/>
        <v>0.69597222222222221</v>
      </c>
      <c r="Q1467" s="23">
        <f>SUM($O$2:O1467)</f>
        <v>34</v>
      </c>
      <c r="Y1467" s="14"/>
      <c r="Z1467" s="13"/>
      <c r="AA1467"/>
    </row>
    <row r="1468" spans="1:27" x14ac:dyDescent="0.2">
      <c r="A1468" s="12" t="s">
        <v>4583</v>
      </c>
      <c r="B1468" t="s">
        <v>4584</v>
      </c>
      <c r="C1468" t="s">
        <v>4585</v>
      </c>
      <c r="D1468" t="s">
        <v>4586</v>
      </c>
      <c r="E1468" t="s">
        <v>13</v>
      </c>
      <c r="F1468">
        <v>1184</v>
      </c>
      <c r="G1468">
        <v>4088</v>
      </c>
      <c r="H1468" s="5" t="s">
        <v>22</v>
      </c>
      <c r="I1468" s="5">
        <v>0</v>
      </c>
      <c r="J1468" s="5">
        <v>0</v>
      </c>
      <c r="K1468" t="s">
        <v>10837</v>
      </c>
      <c r="L1468" cm="1">
        <f t="array" ref="L1468">wordCount(K1468)</f>
        <v>3</v>
      </c>
      <c r="M1468">
        <f t="shared" si="44"/>
        <v>17</v>
      </c>
      <c r="N1468">
        <v>0.90909090909090906</v>
      </c>
      <c r="O1468" s="23" cm="1">
        <f t="array" ref="O1468">WordListCount(K1468,keywords!$A$2:$A$31)-WordListCount(K1468,keywords!$B$2:$B$31)</f>
        <v>0</v>
      </c>
      <c r="P1468" s="25">
        <f t="shared" si="45"/>
        <v>0.69665509259259262</v>
      </c>
      <c r="Q1468" s="23">
        <f>SUM($O$2:O1468)</f>
        <v>34</v>
      </c>
      <c r="Y1468" s="14"/>
      <c r="Z1468" s="13"/>
      <c r="AA1468"/>
    </row>
    <row r="1469" spans="1:27" x14ac:dyDescent="0.2">
      <c r="A1469" s="12" t="s">
        <v>4587</v>
      </c>
      <c r="B1469" t="s">
        <v>4588</v>
      </c>
      <c r="C1469" t="s">
        <v>2486</v>
      </c>
      <c r="D1469" t="s">
        <v>74</v>
      </c>
      <c r="E1469" t="s">
        <v>13</v>
      </c>
      <c r="F1469">
        <v>168</v>
      </c>
      <c r="G1469">
        <v>52</v>
      </c>
      <c r="H1469" s="5" t="s">
        <v>22</v>
      </c>
      <c r="I1469" s="5">
        <v>0</v>
      </c>
      <c r="J1469" s="5">
        <v>0</v>
      </c>
      <c r="K1469" t="s">
        <v>10838</v>
      </c>
      <c r="L1469" cm="1">
        <f t="array" ref="L1469">wordCount(K1469)</f>
        <v>12</v>
      </c>
      <c r="M1469">
        <f t="shared" si="44"/>
        <v>58</v>
      </c>
      <c r="N1469">
        <v>0.52941176470588236</v>
      </c>
      <c r="O1469" s="23" cm="1">
        <f t="array" ref="O1469">WordListCount(K1469,keywords!$A$2:$A$31)-WordListCount(K1469,keywords!$B$2:$B$31)</f>
        <v>1</v>
      </c>
      <c r="P1469" s="25">
        <f t="shared" si="45"/>
        <v>0.69686342592592598</v>
      </c>
      <c r="Q1469" s="23">
        <f>SUM($O$2:O1469)</f>
        <v>35</v>
      </c>
      <c r="Y1469" s="14"/>
      <c r="Z1469" s="13"/>
      <c r="AA1469"/>
    </row>
    <row r="1470" spans="1:27" x14ac:dyDescent="0.2">
      <c r="A1470" s="12" t="s">
        <v>4589</v>
      </c>
      <c r="B1470" t="s">
        <v>4590</v>
      </c>
      <c r="C1470" t="s">
        <v>4591</v>
      </c>
      <c r="D1470" t="s">
        <v>594</v>
      </c>
      <c r="E1470" t="s">
        <v>13</v>
      </c>
      <c r="F1470">
        <v>144</v>
      </c>
      <c r="G1470">
        <v>355</v>
      </c>
      <c r="H1470" s="5" t="s">
        <v>22</v>
      </c>
      <c r="I1470" s="5">
        <v>0</v>
      </c>
      <c r="J1470" s="5">
        <v>0</v>
      </c>
      <c r="K1470" t="s">
        <v>10839</v>
      </c>
      <c r="L1470" cm="1">
        <f t="array" ref="L1470">wordCount(K1470)</f>
        <v>23</v>
      </c>
      <c r="M1470">
        <f t="shared" si="44"/>
        <v>136</v>
      </c>
      <c r="N1470">
        <v>0.39393939393939392</v>
      </c>
      <c r="O1470" s="23" cm="1">
        <f t="array" ref="O1470">WordListCount(K1470,keywords!$A$2:$A$31)-WordListCount(K1470,keywords!$B$2:$B$31)</f>
        <v>0</v>
      </c>
      <c r="P1470" s="25">
        <f t="shared" si="45"/>
        <v>0.69740740740740748</v>
      </c>
      <c r="Q1470" s="23">
        <f>SUM($O$2:O1470)</f>
        <v>35</v>
      </c>
      <c r="Y1470" s="14"/>
      <c r="Z1470" s="13"/>
      <c r="AA1470"/>
    </row>
    <row r="1471" spans="1:27" x14ac:dyDescent="0.2">
      <c r="A1471" s="12" t="s">
        <v>4592</v>
      </c>
      <c r="B1471" t="s">
        <v>4593</v>
      </c>
      <c r="C1471" t="s">
        <v>4594</v>
      </c>
      <c r="D1471" t="s">
        <v>12</v>
      </c>
      <c r="E1471" t="s">
        <v>47</v>
      </c>
      <c r="F1471">
        <v>3609</v>
      </c>
      <c r="G1471">
        <v>6</v>
      </c>
      <c r="H1471" s="5" t="s">
        <v>22</v>
      </c>
      <c r="I1471" s="5">
        <v>0</v>
      </c>
      <c r="J1471" s="5">
        <v>0</v>
      </c>
      <c r="K1471" t="s">
        <v>10840</v>
      </c>
      <c r="L1471" cm="1">
        <f t="array" ref="L1471">wordCount(K1471)</f>
        <v>4</v>
      </c>
      <c r="M1471">
        <f t="shared" si="44"/>
        <v>20</v>
      </c>
      <c r="N1471">
        <v>0.91304347826086951</v>
      </c>
      <c r="O1471" s="23" cm="1">
        <f t="array" ref="O1471">WordListCount(K1471,keywords!$A$2:$A$31)-WordListCount(K1471,keywords!$B$2:$B$31)</f>
        <v>0</v>
      </c>
      <c r="P1471" s="25">
        <f t="shared" si="45"/>
        <v>0.69787037037037036</v>
      </c>
      <c r="Q1471" s="23">
        <f>SUM($O$2:O1471)</f>
        <v>35</v>
      </c>
      <c r="Y1471" s="14"/>
      <c r="Z1471" s="13"/>
      <c r="AA1471"/>
    </row>
    <row r="1472" spans="1:27" x14ac:dyDescent="0.2">
      <c r="A1472" s="12" t="s">
        <v>4595</v>
      </c>
      <c r="B1472" t="s">
        <v>4596</v>
      </c>
      <c r="C1472" t="s">
        <v>429</v>
      </c>
      <c r="D1472" t="s">
        <v>430</v>
      </c>
      <c r="E1472" t="s">
        <v>13</v>
      </c>
      <c r="F1472">
        <v>1662</v>
      </c>
      <c r="G1472">
        <v>1478</v>
      </c>
      <c r="H1472" s="5" t="s">
        <v>22</v>
      </c>
      <c r="I1472" s="5">
        <v>0</v>
      </c>
      <c r="J1472" s="5">
        <v>0</v>
      </c>
      <c r="K1472" t="s">
        <v>10841</v>
      </c>
      <c r="L1472" cm="1">
        <f t="array" ref="L1472">wordCount(K1472)</f>
        <v>9</v>
      </c>
      <c r="M1472">
        <f t="shared" si="44"/>
        <v>64</v>
      </c>
      <c r="N1472">
        <v>0.8</v>
      </c>
      <c r="O1472" s="23" cm="1">
        <f t="array" ref="O1472">WordListCount(K1472,keywords!$A$2:$A$31)-WordListCount(K1472,keywords!$B$2:$B$31)</f>
        <v>0</v>
      </c>
      <c r="P1472" s="25">
        <f t="shared" si="45"/>
        <v>0.69793981481481471</v>
      </c>
      <c r="Q1472" s="23">
        <f>SUM($O$2:O1472)</f>
        <v>35</v>
      </c>
      <c r="Y1472" s="14"/>
      <c r="Z1472" s="13"/>
      <c r="AA1472"/>
    </row>
    <row r="1473" spans="1:27" x14ac:dyDescent="0.2">
      <c r="A1473" s="12" t="s">
        <v>4597</v>
      </c>
      <c r="B1473" t="s">
        <v>4598</v>
      </c>
      <c r="C1473" t="s">
        <v>4599</v>
      </c>
      <c r="D1473" t="s">
        <v>3303</v>
      </c>
      <c r="E1473" t="s">
        <v>13</v>
      </c>
      <c r="F1473">
        <v>236</v>
      </c>
      <c r="G1473">
        <v>438</v>
      </c>
      <c r="H1473" s="5" t="s">
        <v>22</v>
      </c>
      <c r="I1473" s="5">
        <v>0</v>
      </c>
      <c r="J1473" s="5">
        <v>0</v>
      </c>
      <c r="K1473" t="s">
        <v>10842</v>
      </c>
      <c r="L1473" cm="1">
        <f t="array" ref="L1473">wordCount(K1473)</f>
        <v>22</v>
      </c>
      <c r="M1473">
        <f t="shared" si="44"/>
        <v>113</v>
      </c>
      <c r="N1473">
        <v>0.4</v>
      </c>
      <c r="O1473" s="23" cm="1">
        <f t="array" ref="O1473">WordListCount(K1473,keywords!$A$2:$A$31)-WordListCount(K1473,keywords!$B$2:$B$31)</f>
        <v>-1</v>
      </c>
      <c r="P1473" s="25">
        <f t="shared" si="45"/>
        <v>0.69800925925925927</v>
      </c>
      <c r="Q1473" s="23">
        <f>SUM($O$2:O1473)</f>
        <v>34</v>
      </c>
      <c r="Y1473" s="14"/>
      <c r="Z1473" s="13"/>
      <c r="AA1473"/>
    </row>
    <row r="1474" spans="1:27" x14ac:dyDescent="0.2">
      <c r="A1474" s="12" t="s">
        <v>4600</v>
      </c>
      <c r="B1474" t="s">
        <v>4601</v>
      </c>
      <c r="C1474" t="s">
        <v>2864</v>
      </c>
      <c r="D1474" t="s">
        <v>12</v>
      </c>
      <c r="E1474" t="s">
        <v>13</v>
      </c>
      <c r="F1474">
        <v>9705</v>
      </c>
      <c r="G1474">
        <v>45</v>
      </c>
      <c r="H1474" s="5" t="s">
        <v>22</v>
      </c>
      <c r="I1474" s="5">
        <v>0</v>
      </c>
      <c r="J1474" s="5">
        <v>0</v>
      </c>
      <c r="K1474" t="s">
        <v>10843</v>
      </c>
      <c r="L1474" cm="1">
        <f t="array" ref="L1474">wordCount(K1474)</f>
        <v>12</v>
      </c>
      <c r="M1474">
        <f t="shared" ref="M1474:M1537" si="46">LEN(K1474)</f>
        <v>49</v>
      </c>
      <c r="N1474">
        <v>0.72222222222222221</v>
      </c>
      <c r="O1474" s="23" cm="1">
        <f t="array" ref="O1474">WordListCount(K1474,keywords!$A$2:$A$31)-WordListCount(K1474,keywords!$B$2:$B$31)</f>
        <v>0</v>
      </c>
      <c r="P1474" s="25">
        <f t="shared" ref="P1474:P1537" si="47">TIMEVALUE(RIGHT(A1474,8))</f>
        <v>0.69805555555555554</v>
      </c>
      <c r="Q1474" s="23">
        <f>SUM($O$2:O1474)</f>
        <v>34</v>
      </c>
      <c r="Y1474" s="14"/>
      <c r="Z1474" s="13"/>
      <c r="AA1474"/>
    </row>
    <row r="1475" spans="1:27" x14ac:dyDescent="0.2">
      <c r="A1475" s="12" t="s">
        <v>4602</v>
      </c>
      <c r="B1475" t="s">
        <v>4598</v>
      </c>
      <c r="C1475" t="s">
        <v>4603</v>
      </c>
      <c r="D1475" t="s">
        <v>3303</v>
      </c>
      <c r="E1475" t="s">
        <v>13</v>
      </c>
      <c r="F1475">
        <v>32</v>
      </c>
      <c r="G1475">
        <v>146</v>
      </c>
      <c r="H1475" s="5" t="s">
        <v>22</v>
      </c>
      <c r="I1475" s="5">
        <v>0</v>
      </c>
      <c r="J1475" s="5">
        <v>0</v>
      </c>
      <c r="K1475" t="s">
        <v>10842</v>
      </c>
      <c r="L1475" cm="1">
        <f t="array" ref="L1475">wordCount(K1475)</f>
        <v>22</v>
      </c>
      <c r="M1475">
        <f t="shared" si="46"/>
        <v>113</v>
      </c>
      <c r="N1475">
        <v>1</v>
      </c>
      <c r="O1475" s="23" cm="1">
        <f t="array" ref="O1475">WordListCount(K1475,keywords!$A$2:$A$31)-WordListCount(K1475,keywords!$B$2:$B$31)</f>
        <v>-1</v>
      </c>
      <c r="P1475" s="25">
        <f t="shared" si="47"/>
        <v>0.69806712962962969</v>
      </c>
      <c r="Q1475" s="23">
        <f>SUM($O$2:O1475)</f>
        <v>33</v>
      </c>
      <c r="Y1475" s="14"/>
      <c r="Z1475" s="13"/>
      <c r="AA1475"/>
    </row>
    <row r="1476" spans="1:27" x14ac:dyDescent="0.2">
      <c r="A1476" s="12" t="s">
        <v>4604</v>
      </c>
      <c r="B1476" t="s">
        <v>4605</v>
      </c>
      <c r="C1476" t="s">
        <v>4606</v>
      </c>
      <c r="D1476" t="s">
        <v>124</v>
      </c>
      <c r="E1476" t="s">
        <v>13</v>
      </c>
      <c r="F1476">
        <v>2053</v>
      </c>
      <c r="G1476">
        <v>407</v>
      </c>
      <c r="H1476" s="5" t="s">
        <v>22</v>
      </c>
      <c r="I1476" s="5">
        <v>0</v>
      </c>
      <c r="J1476" s="5">
        <v>0</v>
      </c>
      <c r="K1476" t="s">
        <v>10844</v>
      </c>
      <c r="L1476" cm="1">
        <f t="array" ref="L1476">wordCount(K1476)</f>
        <v>20</v>
      </c>
      <c r="M1476">
        <f t="shared" si="46"/>
        <v>105</v>
      </c>
      <c r="N1476">
        <v>0.5</v>
      </c>
      <c r="O1476" s="23" cm="1">
        <f t="array" ref="O1476">WordListCount(K1476,keywords!$A$2:$A$31)-WordListCount(K1476,keywords!$B$2:$B$31)</f>
        <v>0</v>
      </c>
      <c r="P1476" s="25">
        <f t="shared" si="47"/>
        <v>0.69807870370370362</v>
      </c>
      <c r="Q1476" s="23">
        <f>SUM($O$2:O1476)</f>
        <v>33</v>
      </c>
      <c r="Y1476" s="14"/>
      <c r="Z1476" s="13"/>
      <c r="AA1476"/>
    </row>
    <row r="1477" spans="1:27" x14ac:dyDescent="0.2">
      <c r="A1477" s="12" t="s">
        <v>4607</v>
      </c>
      <c r="B1477" t="s">
        <v>4608</v>
      </c>
      <c r="C1477" t="s">
        <v>4609</v>
      </c>
      <c r="D1477" t="s">
        <v>12</v>
      </c>
      <c r="E1477" t="s">
        <v>13</v>
      </c>
      <c r="F1477">
        <v>287</v>
      </c>
      <c r="G1477">
        <v>250</v>
      </c>
      <c r="H1477" s="5" t="s">
        <v>22</v>
      </c>
      <c r="I1477" s="5">
        <v>0</v>
      </c>
      <c r="J1477" s="5">
        <v>0</v>
      </c>
      <c r="K1477" t="s">
        <v>9462</v>
      </c>
      <c r="L1477" cm="1">
        <f t="array" ref="L1477">wordCount(K1477)</f>
        <v>6</v>
      </c>
      <c r="M1477">
        <f t="shared" si="46"/>
        <v>28</v>
      </c>
      <c r="N1477">
        <v>0.73333333333333328</v>
      </c>
      <c r="O1477" s="23" cm="1">
        <f t="array" ref="O1477">WordListCount(K1477,keywords!$A$2:$A$31)-WordListCount(K1477,keywords!$B$2:$B$31)</f>
        <v>-1</v>
      </c>
      <c r="P1477" s="25">
        <f t="shared" si="47"/>
        <v>0.69809027777777777</v>
      </c>
      <c r="Q1477" s="23">
        <f>SUM($O$2:O1477)</f>
        <v>32</v>
      </c>
      <c r="Y1477" s="14"/>
      <c r="Z1477" s="13"/>
      <c r="AA1477"/>
    </row>
    <row r="1478" spans="1:27" x14ac:dyDescent="0.2">
      <c r="A1478" s="12" t="s">
        <v>4610</v>
      </c>
      <c r="B1478" t="s">
        <v>4611</v>
      </c>
      <c r="C1478" t="s">
        <v>4612</v>
      </c>
      <c r="D1478" t="s">
        <v>12</v>
      </c>
      <c r="E1478" t="s">
        <v>13</v>
      </c>
      <c r="F1478">
        <v>127</v>
      </c>
      <c r="G1478">
        <v>284</v>
      </c>
      <c r="H1478" s="5" t="s">
        <v>22</v>
      </c>
      <c r="I1478" s="5">
        <v>0</v>
      </c>
      <c r="J1478" s="5">
        <v>0</v>
      </c>
      <c r="K1478" t="s">
        <v>10845</v>
      </c>
      <c r="L1478" cm="1">
        <f t="array" ref="L1478">wordCount(K1478)</f>
        <v>13</v>
      </c>
      <c r="M1478">
        <f t="shared" si="46"/>
        <v>72</v>
      </c>
      <c r="N1478">
        <v>0.65625</v>
      </c>
      <c r="O1478" s="23" cm="1">
        <f t="array" ref="O1478">WordListCount(K1478,keywords!$A$2:$A$31)-WordListCount(K1478,keywords!$B$2:$B$31)</f>
        <v>0</v>
      </c>
      <c r="P1478" s="25">
        <f t="shared" si="47"/>
        <v>0.69817129629629626</v>
      </c>
      <c r="Q1478" s="23">
        <f>SUM($O$2:O1478)</f>
        <v>32</v>
      </c>
      <c r="Y1478" s="14"/>
      <c r="Z1478" s="13"/>
      <c r="AA1478"/>
    </row>
    <row r="1479" spans="1:27" x14ac:dyDescent="0.2">
      <c r="A1479" s="12" t="s">
        <v>4613</v>
      </c>
      <c r="B1479" t="s">
        <v>4614</v>
      </c>
      <c r="C1479" t="s">
        <v>4615</v>
      </c>
      <c r="D1479" t="s">
        <v>12</v>
      </c>
      <c r="E1479" t="s">
        <v>13</v>
      </c>
      <c r="F1479">
        <v>61</v>
      </c>
      <c r="G1479">
        <v>225</v>
      </c>
      <c r="H1479" s="5" t="s">
        <v>22</v>
      </c>
      <c r="I1479" s="5">
        <v>0</v>
      </c>
      <c r="J1479" s="5">
        <v>0</v>
      </c>
      <c r="K1479" t="s">
        <v>10846</v>
      </c>
      <c r="L1479" cm="1">
        <f t="array" ref="L1479">wordCount(K1479)</f>
        <v>14</v>
      </c>
      <c r="M1479">
        <f t="shared" si="46"/>
        <v>73</v>
      </c>
      <c r="N1479">
        <v>0.6</v>
      </c>
      <c r="O1479" s="23" cm="1">
        <f t="array" ref="O1479">WordListCount(K1479,keywords!$A$2:$A$31)-WordListCount(K1479,keywords!$B$2:$B$31)</f>
        <v>0</v>
      </c>
      <c r="P1479" s="25">
        <f t="shared" si="47"/>
        <v>0.69820601851851849</v>
      </c>
      <c r="Q1479" s="23">
        <f>SUM($O$2:O1479)</f>
        <v>32</v>
      </c>
      <c r="Y1479" s="14"/>
      <c r="Z1479" s="13"/>
      <c r="AA1479"/>
    </row>
    <row r="1480" spans="1:27" x14ac:dyDescent="0.2">
      <c r="A1480" s="12" t="s">
        <v>4616</v>
      </c>
      <c r="B1480" t="s">
        <v>4617</v>
      </c>
      <c r="C1480" t="s">
        <v>4618</v>
      </c>
      <c r="D1480" t="s">
        <v>4619</v>
      </c>
      <c r="E1480" t="s">
        <v>13</v>
      </c>
      <c r="F1480">
        <v>598</v>
      </c>
      <c r="G1480">
        <v>755</v>
      </c>
      <c r="H1480" s="5" t="s">
        <v>22</v>
      </c>
      <c r="I1480" s="5">
        <v>0</v>
      </c>
      <c r="J1480" s="5">
        <v>0</v>
      </c>
      <c r="K1480" t="s">
        <v>10847</v>
      </c>
      <c r="L1480" cm="1">
        <f t="array" ref="L1480">wordCount(K1480)</f>
        <v>4</v>
      </c>
      <c r="M1480">
        <f t="shared" si="46"/>
        <v>22</v>
      </c>
      <c r="N1480">
        <v>0.84210526315789469</v>
      </c>
      <c r="O1480" s="23" cm="1">
        <f t="array" ref="O1480">WordListCount(K1480,keywords!$A$2:$A$31)-WordListCount(K1480,keywords!$B$2:$B$31)</f>
        <v>0</v>
      </c>
      <c r="P1480" s="25">
        <f t="shared" si="47"/>
        <v>0.69866898148148149</v>
      </c>
      <c r="Q1480" s="23">
        <f>SUM($O$2:O1480)</f>
        <v>32</v>
      </c>
      <c r="Y1480" s="14"/>
      <c r="Z1480" s="13"/>
      <c r="AA1480"/>
    </row>
    <row r="1481" spans="1:27" x14ac:dyDescent="0.2">
      <c r="A1481" s="12" t="s">
        <v>4620</v>
      </c>
      <c r="B1481" t="s">
        <v>4621</v>
      </c>
      <c r="C1481" t="s">
        <v>4622</v>
      </c>
      <c r="D1481" t="s">
        <v>4623</v>
      </c>
      <c r="E1481" t="s">
        <v>13</v>
      </c>
      <c r="F1481">
        <v>192</v>
      </c>
      <c r="G1481">
        <v>215</v>
      </c>
      <c r="H1481" s="5" t="s">
        <v>59</v>
      </c>
      <c r="I1481" s="5">
        <v>0</v>
      </c>
      <c r="J1481" s="5">
        <v>0</v>
      </c>
      <c r="K1481" t="s">
        <v>10848</v>
      </c>
      <c r="L1481" cm="1">
        <f t="array" ref="L1481">wordCount(K1481)</f>
        <v>8</v>
      </c>
      <c r="M1481">
        <f t="shared" si="46"/>
        <v>48</v>
      </c>
      <c r="N1481">
        <v>0.41666666666666669</v>
      </c>
      <c r="O1481" s="23" cm="1">
        <f t="array" ref="O1481">WordListCount(K1481,keywords!$A$2:$A$31)-WordListCount(K1481,keywords!$B$2:$B$31)</f>
        <v>0</v>
      </c>
      <c r="P1481" s="25">
        <f t="shared" si="47"/>
        <v>0.69896990740740739</v>
      </c>
      <c r="Q1481" s="23">
        <f>SUM($O$2:O1481)</f>
        <v>32</v>
      </c>
      <c r="Y1481" s="14"/>
      <c r="Z1481" s="13"/>
      <c r="AA1481"/>
    </row>
    <row r="1482" spans="1:27" x14ac:dyDescent="0.2">
      <c r="A1482" s="12" t="s">
        <v>4624</v>
      </c>
      <c r="B1482" t="s">
        <v>4625</v>
      </c>
      <c r="C1482" t="s">
        <v>3214</v>
      </c>
      <c r="D1482" t="s">
        <v>3215</v>
      </c>
      <c r="E1482" t="s">
        <v>13</v>
      </c>
      <c r="F1482">
        <v>2264</v>
      </c>
      <c r="G1482">
        <v>2352</v>
      </c>
      <c r="H1482" s="5" t="s">
        <v>22</v>
      </c>
      <c r="I1482" s="5">
        <v>0</v>
      </c>
      <c r="J1482" s="5">
        <v>0</v>
      </c>
      <c r="K1482" t="s">
        <v>10849</v>
      </c>
      <c r="L1482" cm="1">
        <f t="array" ref="L1482">wordCount(K1482)</f>
        <v>20</v>
      </c>
      <c r="M1482">
        <f t="shared" si="46"/>
        <v>105</v>
      </c>
      <c r="N1482">
        <v>0.56756756756756754</v>
      </c>
      <c r="O1482" s="23" cm="1">
        <f t="array" ref="O1482">WordListCount(K1482,keywords!$A$2:$A$31)-WordListCount(K1482,keywords!$B$2:$B$31)</f>
        <v>0</v>
      </c>
      <c r="P1482" s="25">
        <f t="shared" si="47"/>
        <v>0.69918981481481479</v>
      </c>
      <c r="Q1482" s="23">
        <f>SUM($O$2:O1482)</f>
        <v>32</v>
      </c>
      <c r="Y1482" s="14"/>
      <c r="Z1482" s="13"/>
      <c r="AA1482"/>
    </row>
    <row r="1483" spans="1:27" x14ac:dyDescent="0.2">
      <c r="A1483" s="12" t="s">
        <v>4626</v>
      </c>
      <c r="B1483" t="s">
        <v>4627</v>
      </c>
      <c r="C1483" t="s">
        <v>440</v>
      </c>
      <c r="D1483" t="s">
        <v>441</v>
      </c>
      <c r="E1483" t="s">
        <v>13</v>
      </c>
      <c r="F1483">
        <v>2719</v>
      </c>
      <c r="G1483">
        <v>1831</v>
      </c>
      <c r="H1483" s="5" t="s">
        <v>22</v>
      </c>
      <c r="I1483" s="5">
        <v>0</v>
      </c>
      <c r="J1483" s="5">
        <v>0</v>
      </c>
      <c r="K1483" t="s">
        <v>10850</v>
      </c>
      <c r="L1483" cm="1">
        <f t="array" ref="L1483">wordCount(K1483)</f>
        <v>14</v>
      </c>
      <c r="M1483">
        <f t="shared" si="46"/>
        <v>101</v>
      </c>
      <c r="N1483">
        <v>0.8571428571428571</v>
      </c>
      <c r="O1483" s="23" cm="1">
        <f t="array" ref="O1483">WordListCount(K1483,keywords!$A$2:$A$31)-WordListCount(K1483,keywords!$B$2:$B$31)</f>
        <v>0</v>
      </c>
      <c r="P1483" s="25">
        <f t="shared" si="47"/>
        <v>0.69922453703703702</v>
      </c>
      <c r="Q1483" s="23">
        <f>SUM($O$2:O1483)</f>
        <v>32</v>
      </c>
      <c r="Y1483" s="14"/>
      <c r="Z1483" s="13"/>
      <c r="AA1483"/>
    </row>
    <row r="1484" spans="1:27" x14ac:dyDescent="0.2">
      <c r="A1484" s="12" t="s">
        <v>4628</v>
      </c>
      <c r="B1484" t="s">
        <v>4629</v>
      </c>
      <c r="C1484" t="s">
        <v>4630</v>
      </c>
      <c r="D1484" t="s">
        <v>12</v>
      </c>
      <c r="E1484" t="s">
        <v>13</v>
      </c>
      <c r="F1484">
        <v>190</v>
      </c>
      <c r="G1484">
        <v>92</v>
      </c>
      <c r="H1484" s="5" t="s">
        <v>22</v>
      </c>
      <c r="I1484" s="5">
        <v>0</v>
      </c>
      <c r="J1484" s="5">
        <v>0</v>
      </c>
      <c r="K1484" t="s">
        <v>10851</v>
      </c>
      <c r="L1484" cm="1">
        <f t="array" ref="L1484">wordCount(K1484)</f>
        <v>12</v>
      </c>
      <c r="M1484">
        <f t="shared" si="46"/>
        <v>56</v>
      </c>
      <c r="N1484">
        <v>0.2</v>
      </c>
      <c r="O1484" s="23" cm="1">
        <f t="array" ref="O1484">WordListCount(K1484,keywords!$A$2:$A$31)-WordListCount(K1484,keywords!$B$2:$B$31)</f>
        <v>1</v>
      </c>
      <c r="P1484" s="25">
        <f t="shared" si="47"/>
        <v>0.69927083333333329</v>
      </c>
      <c r="Q1484" s="23">
        <f>SUM($O$2:O1484)</f>
        <v>33</v>
      </c>
      <c r="Y1484" s="14"/>
      <c r="Z1484" s="13"/>
      <c r="AA1484"/>
    </row>
    <row r="1485" spans="1:27" x14ac:dyDescent="0.2">
      <c r="A1485" s="12" t="s">
        <v>4631</v>
      </c>
      <c r="B1485" t="s">
        <v>4632</v>
      </c>
      <c r="C1485" t="s">
        <v>4633</v>
      </c>
      <c r="D1485" t="s">
        <v>4634</v>
      </c>
      <c r="E1485" t="s">
        <v>13</v>
      </c>
      <c r="F1485">
        <v>501</v>
      </c>
      <c r="G1485">
        <v>742</v>
      </c>
      <c r="H1485" s="5" t="s">
        <v>125</v>
      </c>
      <c r="I1485" s="5">
        <v>0</v>
      </c>
      <c r="J1485" s="5">
        <v>0</v>
      </c>
      <c r="K1485" t="s">
        <v>9463</v>
      </c>
      <c r="L1485" cm="1">
        <f t="array" ref="L1485">wordCount(K1485)</f>
        <v>5</v>
      </c>
      <c r="M1485">
        <f t="shared" si="46"/>
        <v>32</v>
      </c>
      <c r="N1485">
        <v>0.80952380952380953</v>
      </c>
      <c r="O1485" s="23" cm="1">
        <f t="array" ref="O1485">WordListCount(K1485,keywords!$A$2:$A$31)-WordListCount(K1485,keywords!$B$2:$B$31)</f>
        <v>0</v>
      </c>
      <c r="P1485" s="25">
        <f t="shared" si="47"/>
        <v>0.69928240740740744</v>
      </c>
      <c r="Q1485" s="23">
        <f>SUM($O$2:O1485)</f>
        <v>33</v>
      </c>
      <c r="Y1485" s="14"/>
      <c r="Z1485" s="13"/>
      <c r="AA1485"/>
    </row>
    <row r="1486" spans="1:27" x14ac:dyDescent="0.2">
      <c r="A1486" s="12" t="s">
        <v>4635</v>
      </c>
      <c r="B1486" t="s">
        <v>4636</v>
      </c>
      <c r="C1486" t="s">
        <v>511</v>
      </c>
      <c r="D1486" t="s">
        <v>512</v>
      </c>
      <c r="E1486" t="s">
        <v>13</v>
      </c>
      <c r="F1486">
        <v>1898</v>
      </c>
      <c r="G1486">
        <v>540</v>
      </c>
      <c r="H1486" s="5" t="s">
        <v>22</v>
      </c>
      <c r="I1486" s="5">
        <v>0</v>
      </c>
      <c r="J1486" s="5">
        <v>0</v>
      </c>
      <c r="K1486" t="s">
        <v>9464</v>
      </c>
      <c r="L1486" cm="1">
        <f t="array" ref="L1486">wordCount(K1486)</f>
        <v>11</v>
      </c>
      <c r="M1486">
        <f t="shared" si="46"/>
        <v>55</v>
      </c>
      <c r="N1486">
        <v>0.90909090909090906</v>
      </c>
      <c r="O1486" s="23" cm="1">
        <f t="array" ref="O1486">WordListCount(K1486,keywords!$A$2:$A$31)-WordListCount(K1486,keywords!$B$2:$B$31)</f>
        <v>0</v>
      </c>
      <c r="P1486" s="25">
        <f t="shared" si="47"/>
        <v>0.69935185185185189</v>
      </c>
      <c r="Q1486" s="23">
        <f>SUM($O$2:O1486)</f>
        <v>33</v>
      </c>
      <c r="Y1486" s="14"/>
      <c r="Z1486" s="13"/>
      <c r="AA1486"/>
    </row>
    <row r="1487" spans="1:27" x14ac:dyDescent="0.2">
      <c r="A1487" s="12" t="s">
        <v>4637</v>
      </c>
      <c r="B1487" t="s">
        <v>4638</v>
      </c>
      <c r="C1487" t="s">
        <v>4639</v>
      </c>
      <c r="D1487" t="s">
        <v>4640</v>
      </c>
      <c r="E1487" t="s">
        <v>13</v>
      </c>
      <c r="F1487">
        <v>171</v>
      </c>
      <c r="G1487">
        <v>169</v>
      </c>
      <c r="H1487" s="5" t="s">
        <v>382</v>
      </c>
      <c r="I1487" s="5">
        <v>0</v>
      </c>
      <c r="J1487" s="5">
        <v>0</v>
      </c>
      <c r="K1487" t="s">
        <v>9465</v>
      </c>
      <c r="L1487" cm="1">
        <f t="array" ref="L1487">wordCount(K1487)</f>
        <v>3</v>
      </c>
      <c r="M1487">
        <f t="shared" si="46"/>
        <v>17</v>
      </c>
      <c r="N1487">
        <v>0.8</v>
      </c>
      <c r="O1487" s="23" cm="1">
        <f t="array" ref="O1487">WordListCount(K1487,keywords!$A$2:$A$31)-WordListCount(K1487,keywords!$B$2:$B$31)</f>
        <v>0</v>
      </c>
      <c r="P1487" s="25">
        <f t="shared" si="47"/>
        <v>0.6996296296296296</v>
      </c>
      <c r="Q1487" s="23">
        <f>SUM($O$2:O1487)</f>
        <v>33</v>
      </c>
      <c r="Y1487" s="14"/>
      <c r="Z1487" s="13"/>
      <c r="AA1487"/>
    </row>
    <row r="1488" spans="1:27" x14ac:dyDescent="0.2">
      <c r="A1488" s="12" t="s">
        <v>4641</v>
      </c>
      <c r="B1488" t="s">
        <v>4642</v>
      </c>
      <c r="C1488" t="s">
        <v>4643</v>
      </c>
      <c r="D1488" t="s">
        <v>12</v>
      </c>
      <c r="E1488" t="s">
        <v>13</v>
      </c>
      <c r="F1488">
        <v>7</v>
      </c>
      <c r="G1488">
        <v>25</v>
      </c>
      <c r="H1488" s="5" t="s">
        <v>22</v>
      </c>
      <c r="I1488" s="5">
        <v>0</v>
      </c>
      <c r="J1488" s="5">
        <v>0</v>
      </c>
      <c r="K1488" t="s">
        <v>10852</v>
      </c>
      <c r="L1488" cm="1">
        <f t="array" ref="L1488">wordCount(K1488)</f>
        <v>19</v>
      </c>
      <c r="M1488">
        <f t="shared" si="46"/>
        <v>107</v>
      </c>
      <c r="N1488">
        <v>0.30434782608695654</v>
      </c>
      <c r="O1488" s="23" cm="1">
        <f t="array" ref="O1488">WordListCount(K1488,keywords!$A$2:$A$31)-WordListCount(K1488,keywords!$B$2:$B$31)</f>
        <v>0</v>
      </c>
      <c r="P1488" s="25">
        <f t="shared" si="47"/>
        <v>0.69991898148148157</v>
      </c>
      <c r="Q1488" s="23">
        <f>SUM($O$2:O1488)</f>
        <v>33</v>
      </c>
      <c r="Y1488" s="14"/>
      <c r="Z1488" s="13"/>
      <c r="AA1488"/>
    </row>
    <row r="1489" spans="1:27" x14ac:dyDescent="0.2">
      <c r="A1489" s="12" t="s">
        <v>4644</v>
      </c>
      <c r="B1489" t="s">
        <v>4645</v>
      </c>
      <c r="C1489" t="s">
        <v>4646</v>
      </c>
      <c r="D1489" t="s">
        <v>4647</v>
      </c>
      <c r="E1489" t="s">
        <v>13</v>
      </c>
      <c r="F1489">
        <v>10</v>
      </c>
      <c r="G1489">
        <v>79</v>
      </c>
      <c r="H1489" s="5" t="s">
        <v>22</v>
      </c>
      <c r="I1489" s="5">
        <v>0</v>
      </c>
      <c r="J1489" s="5">
        <v>0</v>
      </c>
      <c r="K1489" t="s">
        <v>10853</v>
      </c>
      <c r="L1489" cm="1">
        <f t="array" ref="L1489">wordCount(K1489)</f>
        <v>28</v>
      </c>
      <c r="M1489">
        <f t="shared" si="46"/>
        <v>127</v>
      </c>
      <c r="N1489">
        <v>0.30769230769230771</v>
      </c>
      <c r="O1489" s="23" cm="1">
        <f t="array" ref="O1489">WordListCount(K1489,keywords!$A$2:$A$31)-WordListCount(K1489,keywords!$B$2:$B$31)</f>
        <v>1</v>
      </c>
      <c r="P1489" s="25">
        <f t="shared" si="47"/>
        <v>0.69997685185185177</v>
      </c>
      <c r="Q1489" s="23">
        <f>SUM($O$2:O1489)</f>
        <v>34</v>
      </c>
      <c r="Y1489" s="14"/>
      <c r="Z1489" s="13"/>
      <c r="AA1489"/>
    </row>
    <row r="1490" spans="1:27" x14ac:dyDescent="0.2">
      <c r="A1490" s="12" t="s">
        <v>4648</v>
      </c>
      <c r="B1490" t="s">
        <v>4649</v>
      </c>
      <c r="C1490" t="s">
        <v>4650</v>
      </c>
      <c r="D1490" t="s">
        <v>12</v>
      </c>
      <c r="E1490" t="s">
        <v>13</v>
      </c>
      <c r="F1490">
        <v>14</v>
      </c>
      <c r="G1490">
        <v>47</v>
      </c>
      <c r="H1490" s="5" t="s">
        <v>22</v>
      </c>
      <c r="I1490" s="5">
        <v>0</v>
      </c>
      <c r="J1490" s="5">
        <v>0</v>
      </c>
      <c r="K1490" t="s">
        <v>9466</v>
      </c>
      <c r="L1490" cm="1">
        <f t="array" ref="L1490">wordCount(K1490)</f>
        <v>7</v>
      </c>
      <c r="M1490">
        <f t="shared" si="46"/>
        <v>29</v>
      </c>
      <c r="N1490">
        <v>0.6470588235294118</v>
      </c>
      <c r="O1490" s="23" cm="1">
        <f t="array" ref="O1490">WordListCount(K1490,keywords!$A$2:$A$31)-WordListCount(K1490,keywords!$B$2:$B$31)</f>
        <v>0</v>
      </c>
      <c r="P1490" s="25">
        <f t="shared" si="47"/>
        <v>0.70024305555555555</v>
      </c>
      <c r="Q1490" s="23">
        <f>SUM($O$2:O1490)</f>
        <v>34</v>
      </c>
      <c r="Y1490" s="14"/>
      <c r="Z1490" s="13"/>
      <c r="AA1490"/>
    </row>
    <row r="1491" spans="1:27" x14ac:dyDescent="0.2">
      <c r="A1491" s="12" t="s">
        <v>4651</v>
      </c>
      <c r="B1491" t="s">
        <v>4652</v>
      </c>
      <c r="C1491" t="s">
        <v>4653</v>
      </c>
      <c r="D1491" t="s">
        <v>4654</v>
      </c>
      <c r="E1491" t="s">
        <v>13</v>
      </c>
      <c r="F1491">
        <v>130</v>
      </c>
      <c r="G1491">
        <v>124</v>
      </c>
      <c r="H1491" s="5" t="s">
        <v>96</v>
      </c>
      <c r="I1491" s="5">
        <v>0</v>
      </c>
      <c r="J1491" s="5">
        <v>0</v>
      </c>
      <c r="K1491" t="s">
        <v>9191</v>
      </c>
      <c r="L1491" cm="1">
        <f t="array" ref="L1491">wordCount(K1491)</f>
        <v>2</v>
      </c>
      <c r="M1491">
        <f t="shared" si="46"/>
        <v>8</v>
      </c>
      <c r="N1491">
        <v>1</v>
      </c>
      <c r="O1491" s="23" cm="1">
        <f t="array" ref="O1491">WordListCount(K1491,keywords!$A$2:$A$31)-WordListCount(K1491,keywords!$B$2:$B$31)</f>
        <v>0</v>
      </c>
      <c r="P1491" s="25">
        <f t="shared" si="47"/>
        <v>0.70050925925925922</v>
      </c>
      <c r="Q1491" s="23">
        <f>SUM($O$2:O1491)</f>
        <v>34</v>
      </c>
      <c r="Y1491" s="14"/>
      <c r="Z1491" s="13"/>
      <c r="AA1491"/>
    </row>
    <row r="1492" spans="1:27" x14ac:dyDescent="0.2">
      <c r="A1492" s="12" t="s">
        <v>4655</v>
      </c>
      <c r="B1492" t="s">
        <v>4656</v>
      </c>
      <c r="C1492" t="s">
        <v>4657</v>
      </c>
      <c r="D1492" t="s">
        <v>12</v>
      </c>
      <c r="E1492" t="s">
        <v>13</v>
      </c>
      <c r="F1492">
        <v>137</v>
      </c>
      <c r="G1492">
        <v>180</v>
      </c>
      <c r="H1492" s="5" t="s">
        <v>22</v>
      </c>
      <c r="I1492" s="5">
        <v>0</v>
      </c>
      <c r="J1492" s="5">
        <v>0</v>
      </c>
      <c r="K1492" t="s">
        <v>9467</v>
      </c>
      <c r="L1492" cm="1">
        <f t="array" ref="L1492">wordCount(K1492)</f>
        <v>17</v>
      </c>
      <c r="M1492">
        <f t="shared" si="46"/>
        <v>108</v>
      </c>
      <c r="N1492">
        <v>0.35</v>
      </c>
      <c r="O1492" s="23" cm="1">
        <f t="array" ref="O1492">WordListCount(K1492,keywords!$A$2:$A$31)-WordListCount(K1492,keywords!$B$2:$B$31)</f>
        <v>-1</v>
      </c>
      <c r="P1492" s="25">
        <f t="shared" si="47"/>
        <v>0.70052083333333337</v>
      </c>
      <c r="Q1492" s="23">
        <f>SUM($O$2:O1492)</f>
        <v>33</v>
      </c>
      <c r="Y1492" s="14"/>
      <c r="Z1492" s="13"/>
      <c r="AA1492"/>
    </row>
    <row r="1493" spans="1:27" x14ac:dyDescent="0.2">
      <c r="A1493" s="12" t="s">
        <v>4658</v>
      </c>
      <c r="B1493" t="s">
        <v>4659</v>
      </c>
      <c r="C1493" t="s">
        <v>4660</v>
      </c>
      <c r="D1493" t="s">
        <v>12</v>
      </c>
      <c r="E1493" t="s">
        <v>13</v>
      </c>
      <c r="F1493">
        <v>9</v>
      </c>
      <c r="G1493">
        <v>43</v>
      </c>
      <c r="H1493" s="5" t="s">
        <v>22</v>
      </c>
      <c r="I1493" s="5">
        <v>0</v>
      </c>
      <c r="J1493" s="5">
        <v>0</v>
      </c>
      <c r="K1493" t="s">
        <v>10854</v>
      </c>
      <c r="L1493" cm="1">
        <f t="array" ref="L1493">wordCount(K1493)</f>
        <v>21</v>
      </c>
      <c r="M1493">
        <f t="shared" si="46"/>
        <v>105</v>
      </c>
      <c r="N1493">
        <v>0.55555555555555558</v>
      </c>
      <c r="O1493" s="23" cm="1">
        <f t="array" ref="O1493">WordListCount(K1493,keywords!$A$2:$A$31)-WordListCount(K1493,keywords!$B$2:$B$31)</f>
        <v>0</v>
      </c>
      <c r="P1493" s="25">
        <f t="shared" si="47"/>
        <v>0.70053240740740741</v>
      </c>
      <c r="Q1493" s="23">
        <f>SUM($O$2:O1493)</f>
        <v>33</v>
      </c>
      <c r="Y1493" s="14"/>
      <c r="Z1493" s="13"/>
      <c r="AA1493"/>
    </row>
    <row r="1494" spans="1:27" x14ac:dyDescent="0.2">
      <c r="A1494" s="12" t="s">
        <v>4661</v>
      </c>
      <c r="B1494" t="s">
        <v>4662</v>
      </c>
      <c r="C1494" t="s">
        <v>4663</v>
      </c>
      <c r="D1494" t="s">
        <v>4664</v>
      </c>
      <c r="E1494" t="s">
        <v>13</v>
      </c>
      <c r="F1494">
        <v>13777</v>
      </c>
      <c r="G1494">
        <v>1750</v>
      </c>
      <c r="H1494" s="5" t="s">
        <v>22</v>
      </c>
      <c r="I1494" s="5">
        <v>0</v>
      </c>
      <c r="J1494" s="5">
        <v>0</v>
      </c>
      <c r="K1494" t="s">
        <v>10855</v>
      </c>
      <c r="L1494" cm="1">
        <f t="array" ref="L1494">wordCount(K1494)</f>
        <v>26</v>
      </c>
      <c r="M1494">
        <f t="shared" si="46"/>
        <v>124</v>
      </c>
      <c r="N1494">
        <v>0.3888888888888889</v>
      </c>
      <c r="O1494" s="23" cm="1">
        <f t="array" ref="O1494">WordListCount(K1494,keywords!$A$2:$A$31)-WordListCount(K1494,keywords!$B$2:$B$31)</f>
        <v>-2</v>
      </c>
      <c r="P1494" s="25">
        <f t="shared" si="47"/>
        <v>0.70074074074074078</v>
      </c>
      <c r="Q1494" s="23">
        <f>SUM($O$2:O1494)</f>
        <v>31</v>
      </c>
      <c r="Y1494" s="14"/>
      <c r="Z1494" s="13"/>
      <c r="AA1494"/>
    </row>
    <row r="1495" spans="1:27" x14ac:dyDescent="0.2">
      <c r="A1495" s="12" t="s">
        <v>4665</v>
      </c>
      <c r="B1495" t="s">
        <v>4667</v>
      </c>
      <c r="C1495" t="s">
        <v>4668</v>
      </c>
      <c r="D1495" t="s">
        <v>4669</v>
      </c>
      <c r="E1495" t="s">
        <v>13</v>
      </c>
      <c r="F1495">
        <v>1840</v>
      </c>
      <c r="G1495">
        <v>1255</v>
      </c>
      <c r="H1495" s="5" t="s">
        <v>22</v>
      </c>
      <c r="I1495" s="5">
        <v>0</v>
      </c>
      <c r="J1495" s="5">
        <v>0</v>
      </c>
      <c r="K1495" t="s">
        <v>10857</v>
      </c>
      <c r="L1495" cm="1">
        <f t="array" ref="L1495">wordCount(K1495)</f>
        <v>10</v>
      </c>
      <c r="M1495">
        <f t="shared" si="46"/>
        <v>44</v>
      </c>
      <c r="N1495">
        <v>0.625</v>
      </c>
      <c r="O1495" s="23" cm="1">
        <f t="array" ref="O1495">WordListCount(K1495,keywords!$A$2:$A$31)-WordListCount(K1495,keywords!$B$2:$B$31)</f>
        <v>0</v>
      </c>
      <c r="P1495" s="25">
        <f t="shared" si="47"/>
        <v>0.70079861111111119</v>
      </c>
      <c r="Q1495" s="23">
        <f>SUM($O$2:O1495)</f>
        <v>31</v>
      </c>
      <c r="Y1495" s="14"/>
      <c r="Z1495" s="13"/>
      <c r="AA1495"/>
    </row>
    <row r="1496" spans="1:27" x14ac:dyDescent="0.2">
      <c r="A1496" s="12" t="s">
        <v>4665</v>
      </c>
      <c r="B1496" t="s">
        <v>4666</v>
      </c>
      <c r="C1496" t="s">
        <v>3681</v>
      </c>
      <c r="D1496" t="s">
        <v>3682</v>
      </c>
      <c r="E1496" t="s">
        <v>13</v>
      </c>
      <c r="F1496">
        <v>1977</v>
      </c>
      <c r="G1496">
        <v>964</v>
      </c>
      <c r="H1496" s="5" t="s">
        <v>22</v>
      </c>
      <c r="I1496" s="5">
        <v>0</v>
      </c>
      <c r="J1496" s="5">
        <v>0</v>
      </c>
      <c r="K1496" t="s">
        <v>10856</v>
      </c>
      <c r="L1496" cm="1">
        <f t="array" ref="L1496">wordCount(K1496)</f>
        <v>12</v>
      </c>
      <c r="M1496">
        <f t="shared" si="46"/>
        <v>78</v>
      </c>
      <c r="N1496">
        <v>0.30769230769230771</v>
      </c>
      <c r="O1496" s="23" cm="1">
        <f t="array" ref="O1496">WordListCount(K1496,keywords!$A$2:$A$31)-WordListCount(K1496,keywords!$B$2:$B$31)</f>
        <v>0</v>
      </c>
      <c r="P1496" s="25">
        <f t="shared" si="47"/>
        <v>0.70079861111111119</v>
      </c>
      <c r="Q1496" s="23">
        <f>SUM($O$2:O1496)</f>
        <v>31</v>
      </c>
      <c r="Y1496" s="14"/>
      <c r="Z1496" s="13"/>
      <c r="AA1496"/>
    </row>
    <row r="1497" spans="1:27" x14ac:dyDescent="0.2">
      <c r="A1497" s="12" t="s">
        <v>4670</v>
      </c>
      <c r="B1497" t="s">
        <v>4671</v>
      </c>
      <c r="C1497" t="s">
        <v>4672</v>
      </c>
      <c r="D1497" t="s">
        <v>12</v>
      </c>
      <c r="E1497" t="s">
        <v>13</v>
      </c>
      <c r="F1497">
        <v>1</v>
      </c>
      <c r="G1497">
        <v>29</v>
      </c>
      <c r="H1497" s="5" t="s">
        <v>22</v>
      </c>
      <c r="I1497" s="5">
        <v>0</v>
      </c>
      <c r="J1497" s="5">
        <v>0</v>
      </c>
      <c r="K1497" t="s">
        <v>10858</v>
      </c>
      <c r="L1497" cm="1">
        <f t="array" ref="L1497">wordCount(K1497)</f>
        <v>12</v>
      </c>
      <c r="M1497">
        <f t="shared" si="46"/>
        <v>62</v>
      </c>
      <c r="N1497">
        <v>0.33333333333333331</v>
      </c>
      <c r="O1497" s="23" cm="1">
        <f t="array" ref="O1497">WordListCount(K1497,keywords!$A$2:$A$31)-WordListCount(K1497,keywords!$B$2:$B$31)</f>
        <v>0</v>
      </c>
      <c r="P1497" s="25">
        <f t="shared" si="47"/>
        <v>0.7009375000000001</v>
      </c>
      <c r="Q1497" s="23">
        <f>SUM($O$2:O1497)</f>
        <v>31</v>
      </c>
      <c r="Y1497" s="14"/>
      <c r="Z1497" s="13"/>
      <c r="AA1497"/>
    </row>
    <row r="1498" spans="1:27" x14ac:dyDescent="0.2">
      <c r="A1498" s="12" t="s">
        <v>4673</v>
      </c>
      <c r="B1498" t="s">
        <v>4674</v>
      </c>
      <c r="C1498" t="s">
        <v>4675</v>
      </c>
      <c r="D1498" t="s">
        <v>4676</v>
      </c>
      <c r="E1498" t="s">
        <v>13</v>
      </c>
      <c r="F1498">
        <v>30</v>
      </c>
      <c r="G1498">
        <v>335</v>
      </c>
      <c r="H1498" s="5" t="s">
        <v>22</v>
      </c>
      <c r="I1498" s="5">
        <v>0</v>
      </c>
      <c r="J1498" s="5">
        <v>0</v>
      </c>
      <c r="K1498" t="s">
        <v>10859</v>
      </c>
      <c r="L1498" cm="1">
        <f t="array" ref="L1498">wordCount(K1498)</f>
        <v>15</v>
      </c>
      <c r="M1498">
        <f t="shared" si="46"/>
        <v>86</v>
      </c>
      <c r="N1498">
        <v>0.33333333333333331</v>
      </c>
      <c r="O1498" s="23" cm="1">
        <f t="array" ref="O1498">WordListCount(K1498,keywords!$A$2:$A$31)-WordListCount(K1498,keywords!$B$2:$B$31)</f>
        <v>-1</v>
      </c>
      <c r="P1498" s="25">
        <f t="shared" si="47"/>
        <v>0.70098379629629637</v>
      </c>
      <c r="Q1498" s="23">
        <f>SUM($O$2:O1498)</f>
        <v>30</v>
      </c>
      <c r="Y1498" s="14"/>
      <c r="Z1498" s="13"/>
      <c r="AA1498"/>
    </row>
    <row r="1499" spans="1:27" x14ac:dyDescent="0.2">
      <c r="A1499" s="12" t="s">
        <v>4677</v>
      </c>
      <c r="B1499" t="s">
        <v>4678</v>
      </c>
      <c r="C1499" t="s">
        <v>4679</v>
      </c>
      <c r="D1499" t="s">
        <v>12</v>
      </c>
      <c r="E1499" t="s">
        <v>13</v>
      </c>
      <c r="F1499">
        <v>9</v>
      </c>
      <c r="G1499">
        <v>57</v>
      </c>
      <c r="H1499" s="5" t="s">
        <v>22</v>
      </c>
      <c r="I1499" s="5">
        <v>0</v>
      </c>
      <c r="J1499" s="5">
        <v>0</v>
      </c>
      <c r="K1499" t="s">
        <v>9468</v>
      </c>
      <c r="L1499" cm="1">
        <f t="array" ref="L1499">wordCount(K1499)</f>
        <v>9</v>
      </c>
      <c r="M1499">
        <f t="shared" si="46"/>
        <v>49</v>
      </c>
      <c r="N1499">
        <v>0.33333333333333331</v>
      </c>
      <c r="O1499" s="23" cm="1">
        <f t="array" ref="O1499">WordListCount(K1499,keywords!$A$2:$A$31)-WordListCount(K1499,keywords!$B$2:$B$31)</f>
        <v>0</v>
      </c>
      <c r="P1499" s="25">
        <f t="shared" si="47"/>
        <v>0.70104166666666667</v>
      </c>
      <c r="Q1499" s="23">
        <f>SUM($O$2:O1499)</f>
        <v>30</v>
      </c>
      <c r="Y1499" s="14"/>
      <c r="Z1499" s="13"/>
      <c r="AA1499"/>
    </row>
    <row r="1500" spans="1:27" x14ac:dyDescent="0.2">
      <c r="A1500" s="12" t="s">
        <v>4680</v>
      </c>
      <c r="B1500" t="s">
        <v>4681</v>
      </c>
      <c r="C1500" t="s">
        <v>4663</v>
      </c>
      <c r="D1500" t="s">
        <v>4664</v>
      </c>
      <c r="E1500" t="s">
        <v>13</v>
      </c>
      <c r="F1500">
        <v>13777</v>
      </c>
      <c r="G1500">
        <v>1750</v>
      </c>
      <c r="H1500" s="5" t="s">
        <v>22</v>
      </c>
      <c r="I1500" s="5">
        <v>0</v>
      </c>
      <c r="J1500" s="5">
        <v>0</v>
      </c>
      <c r="K1500" t="s">
        <v>10860</v>
      </c>
      <c r="L1500" cm="1">
        <f t="array" ref="L1500">wordCount(K1500)</f>
        <v>19</v>
      </c>
      <c r="M1500">
        <f t="shared" si="46"/>
        <v>80</v>
      </c>
      <c r="N1500">
        <v>0.31578947368421051</v>
      </c>
      <c r="O1500" s="23" cm="1">
        <f t="array" ref="O1500">WordListCount(K1500,keywords!$A$2:$A$31)-WordListCount(K1500,keywords!$B$2:$B$31)</f>
        <v>0</v>
      </c>
      <c r="P1500" s="25">
        <f t="shared" si="47"/>
        <v>0.70158564814814817</v>
      </c>
      <c r="Q1500" s="23">
        <f>SUM($O$2:O1500)</f>
        <v>30</v>
      </c>
      <c r="Y1500" s="14"/>
      <c r="Z1500" s="13"/>
      <c r="AA1500"/>
    </row>
    <row r="1501" spans="1:27" x14ac:dyDescent="0.2">
      <c r="A1501" s="12" t="s">
        <v>4682</v>
      </c>
      <c r="B1501" t="s">
        <v>4683</v>
      </c>
      <c r="C1501" t="s">
        <v>4684</v>
      </c>
      <c r="D1501" t="s">
        <v>4685</v>
      </c>
      <c r="E1501" t="s">
        <v>13</v>
      </c>
      <c r="F1501">
        <v>1536</v>
      </c>
      <c r="G1501">
        <v>3077</v>
      </c>
      <c r="H1501" s="5" t="s">
        <v>22</v>
      </c>
      <c r="I1501" s="5">
        <v>0</v>
      </c>
      <c r="J1501" s="5">
        <v>0</v>
      </c>
      <c r="K1501" t="s">
        <v>10861</v>
      </c>
      <c r="L1501" cm="1">
        <f t="array" ref="L1501">wordCount(K1501)</f>
        <v>13</v>
      </c>
      <c r="M1501">
        <f t="shared" si="46"/>
        <v>54</v>
      </c>
      <c r="N1501">
        <v>0.27272727272727271</v>
      </c>
      <c r="O1501" s="23" cm="1">
        <f t="array" ref="O1501">WordListCount(K1501,keywords!$A$2:$A$31)-WordListCount(K1501,keywords!$B$2:$B$31)</f>
        <v>0</v>
      </c>
      <c r="P1501" s="25">
        <f t="shared" si="47"/>
        <v>0.70166666666666666</v>
      </c>
      <c r="Q1501" s="23">
        <f>SUM($O$2:O1501)</f>
        <v>30</v>
      </c>
      <c r="Y1501" s="14"/>
      <c r="Z1501" s="13"/>
      <c r="AA1501"/>
    </row>
    <row r="1502" spans="1:27" x14ac:dyDescent="0.2">
      <c r="A1502" s="12" t="s">
        <v>4686</v>
      </c>
      <c r="B1502" t="s">
        <v>4687</v>
      </c>
      <c r="C1502" t="s">
        <v>4688</v>
      </c>
      <c r="D1502" t="s">
        <v>4689</v>
      </c>
      <c r="E1502" t="s">
        <v>13</v>
      </c>
      <c r="F1502">
        <v>10306</v>
      </c>
      <c r="G1502">
        <v>1088</v>
      </c>
      <c r="H1502" s="5" t="s">
        <v>22</v>
      </c>
      <c r="I1502" s="5">
        <v>0</v>
      </c>
      <c r="J1502" s="5">
        <v>0</v>
      </c>
      <c r="K1502" t="s">
        <v>10862</v>
      </c>
      <c r="L1502" cm="1">
        <f t="array" ref="L1502">wordCount(K1502)</f>
        <v>17</v>
      </c>
      <c r="M1502">
        <f t="shared" si="46"/>
        <v>84</v>
      </c>
      <c r="N1502">
        <v>0.17647058823529413</v>
      </c>
      <c r="O1502" s="23" cm="1">
        <f t="array" ref="O1502">WordListCount(K1502,keywords!$A$2:$A$31)-WordListCount(K1502,keywords!$B$2:$B$31)</f>
        <v>0</v>
      </c>
      <c r="P1502" s="25">
        <f t="shared" si="47"/>
        <v>0.70173611111111101</v>
      </c>
      <c r="Q1502" s="23">
        <f>SUM($O$2:O1502)</f>
        <v>30</v>
      </c>
      <c r="Y1502" s="14"/>
      <c r="Z1502" s="13"/>
      <c r="AA1502"/>
    </row>
    <row r="1503" spans="1:27" x14ac:dyDescent="0.2">
      <c r="A1503" s="12" t="s">
        <v>4690</v>
      </c>
      <c r="B1503" t="s">
        <v>4691</v>
      </c>
      <c r="C1503" t="s">
        <v>4692</v>
      </c>
      <c r="D1503" t="s">
        <v>2130</v>
      </c>
      <c r="E1503" t="s">
        <v>13</v>
      </c>
      <c r="F1503">
        <v>7601</v>
      </c>
      <c r="G1503">
        <v>397</v>
      </c>
      <c r="H1503" s="5" t="s">
        <v>22</v>
      </c>
      <c r="I1503" s="5">
        <v>0</v>
      </c>
      <c r="J1503" s="5">
        <v>0</v>
      </c>
      <c r="K1503" t="s">
        <v>10863</v>
      </c>
      <c r="L1503" cm="1">
        <f t="array" ref="L1503">wordCount(K1503)</f>
        <v>15</v>
      </c>
      <c r="M1503">
        <f t="shared" si="46"/>
        <v>90</v>
      </c>
      <c r="N1503">
        <v>0.66666666666666663</v>
      </c>
      <c r="O1503" s="23" cm="1">
        <f t="array" ref="O1503">WordListCount(K1503,keywords!$A$2:$A$31)-WordListCount(K1503,keywords!$B$2:$B$31)</f>
        <v>0</v>
      </c>
      <c r="P1503" s="25">
        <f t="shared" si="47"/>
        <v>0.70199074074074075</v>
      </c>
      <c r="Q1503" s="23">
        <f>SUM($O$2:O1503)</f>
        <v>30</v>
      </c>
      <c r="Y1503" s="14"/>
      <c r="Z1503" s="13"/>
      <c r="AA1503"/>
    </row>
    <row r="1504" spans="1:27" x14ac:dyDescent="0.2">
      <c r="A1504" s="12" t="s">
        <v>4693</v>
      </c>
      <c r="B1504" t="s">
        <v>4694</v>
      </c>
      <c r="C1504" t="s">
        <v>4695</v>
      </c>
      <c r="D1504" t="s">
        <v>4696</v>
      </c>
      <c r="E1504" t="s">
        <v>13</v>
      </c>
      <c r="F1504">
        <v>249</v>
      </c>
      <c r="G1504">
        <v>299</v>
      </c>
      <c r="H1504" s="5" t="s">
        <v>22</v>
      </c>
      <c r="I1504" s="5">
        <v>0</v>
      </c>
      <c r="J1504" s="5">
        <v>0</v>
      </c>
      <c r="K1504" t="s">
        <v>10864</v>
      </c>
      <c r="L1504" cm="1">
        <f t="array" ref="L1504">wordCount(K1504)</f>
        <v>15</v>
      </c>
      <c r="M1504">
        <f t="shared" si="46"/>
        <v>81</v>
      </c>
      <c r="N1504">
        <v>0.47826086956521741</v>
      </c>
      <c r="O1504" s="23" cm="1">
        <f t="array" ref="O1504">WordListCount(K1504,keywords!$A$2:$A$31)-WordListCount(K1504,keywords!$B$2:$B$31)</f>
        <v>-1</v>
      </c>
      <c r="P1504" s="25">
        <f t="shared" si="47"/>
        <v>0.70200231481481479</v>
      </c>
      <c r="Q1504" s="23">
        <f>SUM($O$2:O1504)</f>
        <v>29</v>
      </c>
      <c r="Y1504" s="14"/>
      <c r="Z1504" s="13"/>
      <c r="AA1504"/>
    </row>
    <row r="1505" spans="1:27" x14ac:dyDescent="0.2">
      <c r="A1505" s="12" t="s">
        <v>4697</v>
      </c>
      <c r="B1505" t="s">
        <v>4698</v>
      </c>
      <c r="C1505" t="s">
        <v>4699</v>
      </c>
      <c r="D1505" t="s">
        <v>4700</v>
      </c>
      <c r="E1505" t="s">
        <v>13</v>
      </c>
      <c r="F1505">
        <v>9385</v>
      </c>
      <c r="G1505">
        <v>118</v>
      </c>
      <c r="H1505" s="5" t="s">
        <v>22</v>
      </c>
      <c r="I1505" s="5">
        <v>0</v>
      </c>
      <c r="J1505" s="5">
        <v>0</v>
      </c>
      <c r="K1505" t="s">
        <v>10865</v>
      </c>
      <c r="L1505" cm="1">
        <f t="array" ref="L1505">wordCount(K1505)</f>
        <v>25</v>
      </c>
      <c r="M1505">
        <f t="shared" si="46"/>
        <v>103</v>
      </c>
      <c r="N1505">
        <v>0.44827586206896552</v>
      </c>
      <c r="O1505" s="23" cm="1">
        <f t="array" ref="O1505">WordListCount(K1505,keywords!$A$2:$A$31)-WordListCount(K1505,keywords!$B$2:$B$31)</f>
        <v>0</v>
      </c>
      <c r="P1505" s="25">
        <f t="shared" si="47"/>
        <v>0.70228009259259261</v>
      </c>
      <c r="Q1505" s="23">
        <f>SUM($O$2:O1505)</f>
        <v>29</v>
      </c>
      <c r="Y1505" s="14"/>
      <c r="Z1505" s="13"/>
      <c r="AA1505"/>
    </row>
    <row r="1506" spans="1:27" x14ac:dyDescent="0.2">
      <c r="A1506" s="12" t="s">
        <v>4701</v>
      </c>
      <c r="B1506" t="s">
        <v>4702</v>
      </c>
      <c r="C1506" t="s">
        <v>4703</v>
      </c>
      <c r="D1506" t="s">
        <v>4704</v>
      </c>
      <c r="E1506" t="s">
        <v>13</v>
      </c>
      <c r="F1506">
        <v>275</v>
      </c>
      <c r="G1506">
        <v>878</v>
      </c>
      <c r="H1506" s="5" t="s">
        <v>22</v>
      </c>
      <c r="I1506" s="5">
        <v>0</v>
      </c>
      <c r="J1506" s="5">
        <v>0</v>
      </c>
      <c r="K1506" t="s">
        <v>10866</v>
      </c>
      <c r="L1506" cm="1">
        <f t="array" ref="L1506">wordCount(K1506)</f>
        <v>14</v>
      </c>
      <c r="M1506">
        <f t="shared" si="46"/>
        <v>79</v>
      </c>
      <c r="N1506">
        <v>0.5</v>
      </c>
      <c r="O1506" s="23" cm="1">
        <f t="array" ref="O1506">WordListCount(K1506,keywords!$A$2:$A$31)-WordListCount(K1506,keywords!$B$2:$B$31)</f>
        <v>0</v>
      </c>
      <c r="P1506" s="25">
        <f t="shared" si="47"/>
        <v>0.70233796296296302</v>
      </c>
      <c r="Q1506" s="23">
        <f>SUM($O$2:O1506)</f>
        <v>29</v>
      </c>
      <c r="Y1506" s="14"/>
      <c r="Z1506" s="13"/>
      <c r="AA1506"/>
    </row>
    <row r="1507" spans="1:27" x14ac:dyDescent="0.2">
      <c r="A1507" s="12" t="s">
        <v>4705</v>
      </c>
      <c r="B1507" t="s">
        <v>4706</v>
      </c>
      <c r="C1507" t="s">
        <v>4707</v>
      </c>
      <c r="D1507" t="s">
        <v>12</v>
      </c>
      <c r="E1507" t="s">
        <v>13</v>
      </c>
      <c r="F1507">
        <v>214</v>
      </c>
      <c r="G1507">
        <v>370</v>
      </c>
      <c r="H1507" s="5" t="s">
        <v>22</v>
      </c>
      <c r="I1507" s="5">
        <v>0</v>
      </c>
      <c r="J1507" s="5">
        <v>0</v>
      </c>
      <c r="K1507" t="s">
        <v>10867</v>
      </c>
      <c r="L1507" cm="1">
        <f t="array" ref="L1507">wordCount(K1507)</f>
        <v>7</v>
      </c>
      <c r="M1507">
        <f t="shared" si="46"/>
        <v>42</v>
      </c>
      <c r="N1507">
        <v>0.79166666666666663</v>
      </c>
      <c r="O1507" s="23" cm="1">
        <f t="array" ref="O1507">WordListCount(K1507,keywords!$A$2:$A$31)-WordListCount(K1507,keywords!$B$2:$B$31)</f>
        <v>0</v>
      </c>
      <c r="P1507" s="25">
        <f t="shared" si="47"/>
        <v>0.70238425925925929</v>
      </c>
      <c r="Q1507" s="23">
        <f>SUM($O$2:O1507)</f>
        <v>29</v>
      </c>
      <c r="Y1507" s="14"/>
      <c r="Z1507" s="13"/>
      <c r="AA1507"/>
    </row>
    <row r="1508" spans="1:27" x14ac:dyDescent="0.2">
      <c r="A1508" s="12" t="s">
        <v>4708</v>
      </c>
      <c r="B1508" t="s">
        <v>4709</v>
      </c>
      <c r="C1508" t="s">
        <v>4710</v>
      </c>
      <c r="D1508" t="s">
        <v>4711</v>
      </c>
      <c r="E1508" t="s">
        <v>13</v>
      </c>
      <c r="F1508">
        <v>1</v>
      </c>
      <c r="G1508">
        <v>7</v>
      </c>
      <c r="H1508" s="5" t="s">
        <v>1705</v>
      </c>
      <c r="I1508" s="5">
        <v>0</v>
      </c>
      <c r="J1508" s="5">
        <v>0</v>
      </c>
      <c r="K1508" t="s">
        <v>9469</v>
      </c>
      <c r="L1508" cm="1">
        <f t="array" ref="L1508">wordCount(K1508)</f>
        <v>8</v>
      </c>
      <c r="M1508">
        <f t="shared" si="46"/>
        <v>43</v>
      </c>
      <c r="N1508">
        <v>0.53846153846153844</v>
      </c>
      <c r="O1508" s="23" cm="1">
        <f t="array" ref="O1508">WordListCount(K1508,keywords!$A$2:$A$31)-WordListCount(K1508,keywords!$B$2:$B$31)</f>
        <v>0</v>
      </c>
      <c r="P1508" s="25">
        <f t="shared" si="47"/>
        <v>0.70274305555555561</v>
      </c>
      <c r="Q1508" s="23">
        <f>SUM($O$2:O1508)</f>
        <v>29</v>
      </c>
      <c r="Y1508" s="14"/>
      <c r="Z1508" s="13"/>
      <c r="AA1508"/>
    </row>
    <row r="1509" spans="1:27" x14ac:dyDescent="0.2">
      <c r="A1509" s="12" t="s">
        <v>4712</v>
      </c>
      <c r="B1509" t="s">
        <v>4713</v>
      </c>
      <c r="C1509" t="s">
        <v>4714</v>
      </c>
      <c r="D1509" t="s">
        <v>4715</v>
      </c>
      <c r="E1509" t="s">
        <v>13</v>
      </c>
      <c r="F1509">
        <v>106</v>
      </c>
      <c r="G1509">
        <v>330</v>
      </c>
      <c r="H1509" s="5" t="s">
        <v>22</v>
      </c>
      <c r="I1509" s="5">
        <v>0</v>
      </c>
      <c r="J1509" s="5">
        <v>0</v>
      </c>
      <c r="K1509" t="s">
        <v>10868</v>
      </c>
      <c r="L1509" cm="1">
        <f t="array" ref="L1509">wordCount(K1509)</f>
        <v>9</v>
      </c>
      <c r="M1509">
        <f t="shared" si="46"/>
        <v>41</v>
      </c>
      <c r="N1509">
        <v>0.2857142857142857</v>
      </c>
      <c r="O1509" s="23" cm="1">
        <f t="array" ref="O1509">WordListCount(K1509,keywords!$A$2:$A$31)-WordListCount(K1509,keywords!$B$2:$B$31)</f>
        <v>0</v>
      </c>
      <c r="P1509" s="25">
        <f t="shared" si="47"/>
        <v>0.7028240740740741</v>
      </c>
      <c r="Q1509" s="23">
        <f>SUM($O$2:O1509)</f>
        <v>29</v>
      </c>
      <c r="Y1509" s="14"/>
      <c r="Z1509" s="13"/>
      <c r="AA1509"/>
    </row>
    <row r="1510" spans="1:27" x14ac:dyDescent="0.2">
      <c r="A1510" s="12" t="s">
        <v>4716</v>
      </c>
      <c r="B1510" t="s">
        <v>4717</v>
      </c>
      <c r="C1510" t="s">
        <v>4718</v>
      </c>
      <c r="D1510" t="s">
        <v>12</v>
      </c>
      <c r="E1510" t="s">
        <v>13</v>
      </c>
      <c r="F1510">
        <v>19</v>
      </c>
      <c r="G1510">
        <v>51</v>
      </c>
      <c r="H1510" s="5" t="s">
        <v>22</v>
      </c>
      <c r="I1510" s="5">
        <v>0</v>
      </c>
      <c r="J1510" s="5">
        <v>0</v>
      </c>
      <c r="K1510" t="s">
        <v>10869</v>
      </c>
      <c r="L1510" cm="1">
        <f t="array" ref="L1510">wordCount(K1510)</f>
        <v>20</v>
      </c>
      <c r="M1510">
        <f t="shared" si="46"/>
        <v>112</v>
      </c>
      <c r="N1510">
        <v>0.29166666666666669</v>
      </c>
      <c r="O1510" s="23" cm="1">
        <f t="array" ref="O1510">WordListCount(K1510,keywords!$A$2:$A$31)-WordListCount(K1510,keywords!$B$2:$B$31)</f>
        <v>0</v>
      </c>
      <c r="P1510" s="25">
        <f t="shared" si="47"/>
        <v>0.70283564814814825</v>
      </c>
      <c r="Q1510" s="23">
        <f>SUM($O$2:O1510)</f>
        <v>29</v>
      </c>
      <c r="Y1510" s="14"/>
      <c r="Z1510" s="13"/>
      <c r="AA1510"/>
    </row>
    <row r="1511" spans="1:27" x14ac:dyDescent="0.2">
      <c r="A1511" s="12" t="s">
        <v>4719</v>
      </c>
      <c r="B1511" t="s">
        <v>4720</v>
      </c>
      <c r="C1511" t="s">
        <v>4721</v>
      </c>
      <c r="D1511" t="s">
        <v>12</v>
      </c>
      <c r="E1511" t="s">
        <v>13</v>
      </c>
      <c r="F1511">
        <v>20</v>
      </c>
      <c r="G1511">
        <v>145</v>
      </c>
      <c r="H1511" s="5" t="s">
        <v>14</v>
      </c>
      <c r="I1511" s="5">
        <v>0</v>
      </c>
      <c r="J1511" s="5">
        <v>0</v>
      </c>
      <c r="K1511" t="s">
        <v>9470</v>
      </c>
      <c r="L1511" cm="1">
        <f t="array" ref="L1511">wordCount(K1511)</f>
        <v>12</v>
      </c>
      <c r="M1511">
        <f t="shared" si="46"/>
        <v>55</v>
      </c>
      <c r="N1511">
        <v>0.65217391304347827</v>
      </c>
      <c r="O1511" s="23" cm="1">
        <f t="array" ref="O1511">WordListCount(K1511,keywords!$A$2:$A$31)-WordListCount(K1511,keywords!$B$2:$B$31)</f>
        <v>-1</v>
      </c>
      <c r="P1511" s="25">
        <f t="shared" si="47"/>
        <v>0.70287037037037037</v>
      </c>
      <c r="Q1511" s="23">
        <f>SUM($O$2:O1511)</f>
        <v>28</v>
      </c>
      <c r="Y1511" s="14"/>
      <c r="Z1511" s="13"/>
      <c r="AA1511"/>
    </row>
    <row r="1512" spans="1:27" x14ac:dyDescent="0.2">
      <c r="A1512" s="12" t="s">
        <v>4722</v>
      </c>
      <c r="B1512" t="s">
        <v>4723</v>
      </c>
      <c r="C1512" t="s">
        <v>310</v>
      </c>
      <c r="D1512" t="s">
        <v>12</v>
      </c>
      <c r="E1512" t="s">
        <v>13</v>
      </c>
      <c r="F1512">
        <v>3634</v>
      </c>
      <c r="G1512">
        <v>3732</v>
      </c>
      <c r="H1512" s="5" t="s">
        <v>22</v>
      </c>
      <c r="I1512" s="5">
        <v>0</v>
      </c>
      <c r="J1512" s="5">
        <v>0</v>
      </c>
      <c r="K1512" t="s">
        <v>9471</v>
      </c>
      <c r="L1512" cm="1">
        <f t="array" ref="L1512">wordCount(K1512)</f>
        <v>9</v>
      </c>
      <c r="M1512">
        <f t="shared" si="46"/>
        <v>68</v>
      </c>
      <c r="N1512">
        <v>0.65</v>
      </c>
      <c r="O1512" s="23" cm="1">
        <f t="array" ref="O1512">WordListCount(K1512,keywords!$A$2:$A$31)-WordListCount(K1512,keywords!$B$2:$B$31)</f>
        <v>0</v>
      </c>
      <c r="P1512" s="25">
        <f t="shared" si="47"/>
        <v>0.70306712962962958</v>
      </c>
      <c r="Q1512" s="23">
        <f>SUM($O$2:O1512)</f>
        <v>28</v>
      </c>
      <c r="Y1512" s="14"/>
      <c r="Z1512" s="13"/>
      <c r="AA1512"/>
    </row>
    <row r="1513" spans="1:27" x14ac:dyDescent="0.2">
      <c r="A1513" s="12" t="s">
        <v>4724</v>
      </c>
      <c r="B1513" t="s">
        <v>4725</v>
      </c>
      <c r="C1513" t="s">
        <v>4726</v>
      </c>
      <c r="D1513" t="s">
        <v>12</v>
      </c>
      <c r="E1513" t="s">
        <v>13</v>
      </c>
      <c r="F1513">
        <v>184</v>
      </c>
      <c r="G1513">
        <v>70</v>
      </c>
      <c r="H1513" s="5" t="s">
        <v>22</v>
      </c>
      <c r="I1513" s="5">
        <v>0</v>
      </c>
      <c r="J1513" s="5">
        <v>0</v>
      </c>
      <c r="K1513" t="s">
        <v>10870</v>
      </c>
      <c r="L1513" cm="1">
        <f t="array" ref="L1513">wordCount(K1513)</f>
        <v>14</v>
      </c>
      <c r="M1513">
        <f t="shared" si="46"/>
        <v>64</v>
      </c>
      <c r="N1513">
        <v>0.57894736842105265</v>
      </c>
      <c r="O1513" s="23" cm="1">
        <f t="array" ref="O1513">WordListCount(K1513,keywords!$A$2:$A$31)-WordListCount(K1513,keywords!$B$2:$B$31)</f>
        <v>0</v>
      </c>
      <c r="P1513" s="25">
        <f t="shared" si="47"/>
        <v>0.70321759259259264</v>
      </c>
      <c r="Q1513" s="23">
        <f>SUM($O$2:O1513)</f>
        <v>28</v>
      </c>
      <c r="Y1513" s="14"/>
      <c r="Z1513" s="13"/>
      <c r="AA1513"/>
    </row>
    <row r="1514" spans="1:27" x14ac:dyDescent="0.2">
      <c r="A1514" s="12" t="s">
        <v>4727</v>
      </c>
      <c r="B1514" t="s">
        <v>4728</v>
      </c>
      <c r="C1514" t="s">
        <v>4729</v>
      </c>
      <c r="D1514" t="s">
        <v>12</v>
      </c>
      <c r="E1514" t="s">
        <v>13</v>
      </c>
      <c r="F1514">
        <v>26</v>
      </c>
      <c r="G1514">
        <v>50</v>
      </c>
      <c r="H1514" s="5" t="s">
        <v>125</v>
      </c>
      <c r="I1514" s="5">
        <v>0</v>
      </c>
      <c r="J1514" s="5">
        <v>0</v>
      </c>
      <c r="K1514" t="s">
        <v>10871</v>
      </c>
      <c r="L1514" cm="1">
        <f t="array" ref="L1514">wordCount(K1514)</f>
        <v>18</v>
      </c>
      <c r="M1514">
        <f t="shared" si="46"/>
        <v>105</v>
      </c>
      <c r="N1514">
        <v>0.54838709677419351</v>
      </c>
      <c r="O1514" s="23" cm="1">
        <f t="array" ref="O1514">WordListCount(K1514,keywords!$A$2:$A$31)-WordListCount(K1514,keywords!$B$2:$B$31)</f>
        <v>0</v>
      </c>
      <c r="P1514" s="25">
        <f t="shared" si="47"/>
        <v>0.70353009259259258</v>
      </c>
      <c r="Q1514" s="23">
        <f>SUM($O$2:O1514)</f>
        <v>28</v>
      </c>
      <c r="Y1514" s="14"/>
      <c r="Z1514" s="13"/>
      <c r="AA1514"/>
    </row>
    <row r="1515" spans="1:27" x14ac:dyDescent="0.2">
      <c r="A1515" s="12" t="s">
        <v>4730</v>
      </c>
      <c r="B1515" t="s">
        <v>4731</v>
      </c>
      <c r="C1515" t="s">
        <v>4732</v>
      </c>
      <c r="D1515" t="s">
        <v>12</v>
      </c>
      <c r="E1515" t="s">
        <v>13</v>
      </c>
      <c r="F1515">
        <v>5</v>
      </c>
      <c r="G1515">
        <v>55</v>
      </c>
      <c r="H1515" s="5" t="s">
        <v>393</v>
      </c>
      <c r="I1515" s="5">
        <v>0</v>
      </c>
      <c r="J1515" s="5">
        <v>0</v>
      </c>
      <c r="K1515" t="s">
        <v>10872</v>
      </c>
      <c r="L1515" cm="1">
        <f t="array" ref="L1515">wordCount(K1515)</f>
        <v>19</v>
      </c>
      <c r="M1515">
        <f t="shared" si="46"/>
        <v>113</v>
      </c>
      <c r="N1515">
        <v>0.5</v>
      </c>
      <c r="O1515" s="23" cm="1">
        <f t="array" ref="O1515">WordListCount(K1515,keywords!$A$2:$A$31)-WordListCount(K1515,keywords!$B$2:$B$31)</f>
        <v>0</v>
      </c>
      <c r="P1515" s="25">
        <f t="shared" si="47"/>
        <v>0.70368055555555553</v>
      </c>
      <c r="Q1515" s="23">
        <f>SUM($O$2:O1515)</f>
        <v>28</v>
      </c>
      <c r="Y1515" s="14"/>
      <c r="Z1515" s="13"/>
      <c r="AA1515"/>
    </row>
    <row r="1516" spans="1:27" x14ac:dyDescent="0.2">
      <c r="A1516" s="12" t="s">
        <v>4733</v>
      </c>
      <c r="B1516" t="s">
        <v>4734</v>
      </c>
      <c r="C1516" t="s">
        <v>3024</v>
      </c>
      <c r="D1516" t="s">
        <v>12</v>
      </c>
      <c r="E1516" t="s">
        <v>13</v>
      </c>
      <c r="F1516">
        <v>18</v>
      </c>
      <c r="G1516">
        <v>154</v>
      </c>
      <c r="H1516" s="5" t="s">
        <v>22</v>
      </c>
      <c r="I1516" s="5">
        <v>0</v>
      </c>
      <c r="J1516" s="5">
        <v>0</v>
      </c>
      <c r="K1516" t="s">
        <v>10873</v>
      </c>
      <c r="L1516" cm="1">
        <f t="array" ref="L1516">wordCount(K1516)</f>
        <v>13</v>
      </c>
      <c r="M1516">
        <f t="shared" si="46"/>
        <v>44</v>
      </c>
      <c r="N1516">
        <v>0.63636363636363635</v>
      </c>
      <c r="O1516" s="23" cm="1">
        <f t="array" ref="O1516">WordListCount(K1516,keywords!$A$2:$A$31)-WordListCount(K1516,keywords!$B$2:$B$31)</f>
        <v>0</v>
      </c>
      <c r="P1516" s="25">
        <f t="shared" si="47"/>
        <v>0.70377314814814806</v>
      </c>
      <c r="Q1516" s="23">
        <f>SUM($O$2:O1516)</f>
        <v>28</v>
      </c>
      <c r="Y1516" s="14"/>
      <c r="Z1516" s="13"/>
      <c r="AA1516"/>
    </row>
    <row r="1517" spans="1:27" x14ac:dyDescent="0.2">
      <c r="A1517" s="12" t="s">
        <v>4735</v>
      </c>
      <c r="B1517" t="s">
        <v>4736</v>
      </c>
      <c r="C1517" t="s">
        <v>4737</v>
      </c>
      <c r="D1517" t="s">
        <v>12</v>
      </c>
      <c r="E1517" t="s">
        <v>13</v>
      </c>
      <c r="F1517">
        <v>413</v>
      </c>
      <c r="G1517">
        <v>379</v>
      </c>
      <c r="H1517" s="5" t="s">
        <v>22</v>
      </c>
      <c r="I1517" s="5">
        <v>0</v>
      </c>
      <c r="J1517" s="5">
        <v>0</v>
      </c>
      <c r="K1517" t="s">
        <v>10874</v>
      </c>
      <c r="L1517" cm="1">
        <f t="array" ref="L1517">wordCount(K1517)</f>
        <v>9</v>
      </c>
      <c r="M1517">
        <f t="shared" si="46"/>
        <v>49</v>
      </c>
      <c r="N1517">
        <v>0.61111111111111116</v>
      </c>
      <c r="O1517" s="23" cm="1">
        <f t="array" ref="O1517">WordListCount(K1517,keywords!$A$2:$A$31)-WordListCount(K1517,keywords!$B$2:$B$31)</f>
        <v>0</v>
      </c>
      <c r="P1517" s="25">
        <f t="shared" si="47"/>
        <v>0.7038078703703704</v>
      </c>
      <c r="Q1517" s="23">
        <f>SUM($O$2:O1517)</f>
        <v>28</v>
      </c>
      <c r="Y1517" s="14"/>
      <c r="Z1517" s="13"/>
      <c r="AA1517"/>
    </row>
    <row r="1518" spans="1:27" x14ac:dyDescent="0.2">
      <c r="A1518" s="12" t="s">
        <v>4738</v>
      </c>
      <c r="B1518" t="s">
        <v>4739</v>
      </c>
      <c r="C1518" t="s">
        <v>4740</v>
      </c>
      <c r="D1518" t="s">
        <v>4741</v>
      </c>
      <c r="E1518" t="s">
        <v>13</v>
      </c>
      <c r="F1518">
        <v>443</v>
      </c>
      <c r="G1518">
        <v>944</v>
      </c>
      <c r="H1518" s="5" t="s">
        <v>22</v>
      </c>
      <c r="I1518" s="5">
        <v>0</v>
      </c>
      <c r="J1518" s="5">
        <v>0</v>
      </c>
      <c r="K1518" t="s">
        <v>10875</v>
      </c>
      <c r="L1518" cm="1">
        <f t="array" ref="L1518">wordCount(K1518)</f>
        <v>9</v>
      </c>
      <c r="M1518">
        <f t="shared" si="46"/>
        <v>48</v>
      </c>
      <c r="N1518">
        <v>0.5</v>
      </c>
      <c r="O1518" s="23" cm="1">
        <f t="array" ref="O1518">WordListCount(K1518,keywords!$A$2:$A$31)-WordListCount(K1518,keywords!$B$2:$B$31)</f>
        <v>0</v>
      </c>
      <c r="P1518" s="25">
        <f t="shared" si="47"/>
        <v>0.70387731481481486</v>
      </c>
      <c r="Q1518" s="23">
        <f>SUM($O$2:O1518)</f>
        <v>28</v>
      </c>
      <c r="Y1518" s="14"/>
      <c r="Z1518" s="13"/>
      <c r="AA1518"/>
    </row>
    <row r="1519" spans="1:27" x14ac:dyDescent="0.2">
      <c r="A1519" s="12" t="s">
        <v>4742</v>
      </c>
      <c r="B1519" t="s">
        <v>4743</v>
      </c>
      <c r="C1519" t="s">
        <v>4744</v>
      </c>
      <c r="D1519" t="s">
        <v>12</v>
      </c>
      <c r="E1519" t="s">
        <v>13</v>
      </c>
      <c r="F1519">
        <v>733</v>
      </c>
      <c r="G1519">
        <v>491</v>
      </c>
      <c r="H1519" s="5" t="s">
        <v>22</v>
      </c>
      <c r="I1519" s="5">
        <v>0</v>
      </c>
      <c r="J1519" s="5">
        <v>0</v>
      </c>
      <c r="K1519" t="s">
        <v>10876</v>
      </c>
      <c r="L1519" cm="1">
        <f t="array" ref="L1519">wordCount(K1519)</f>
        <v>6</v>
      </c>
      <c r="M1519">
        <f t="shared" si="46"/>
        <v>26</v>
      </c>
      <c r="N1519">
        <v>0.44444444444444442</v>
      </c>
      <c r="O1519" s="23" cm="1">
        <f t="array" ref="O1519">WordListCount(K1519,keywords!$A$2:$A$31)-WordListCount(K1519,keywords!$B$2:$B$31)</f>
        <v>0</v>
      </c>
      <c r="P1519" s="25">
        <f t="shared" si="47"/>
        <v>0.70407407407407396</v>
      </c>
      <c r="Q1519" s="23">
        <f>SUM($O$2:O1519)</f>
        <v>28</v>
      </c>
      <c r="Y1519" s="14"/>
      <c r="Z1519" s="13"/>
      <c r="AA1519"/>
    </row>
    <row r="1520" spans="1:27" x14ac:dyDescent="0.2">
      <c r="A1520" s="12" t="s">
        <v>4745</v>
      </c>
      <c r="B1520" t="s">
        <v>4746</v>
      </c>
      <c r="C1520" t="s">
        <v>4747</v>
      </c>
      <c r="D1520" t="s">
        <v>12</v>
      </c>
      <c r="E1520" t="s">
        <v>13</v>
      </c>
      <c r="F1520">
        <v>83</v>
      </c>
      <c r="G1520">
        <v>444</v>
      </c>
      <c r="H1520" s="5" t="s">
        <v>22</v>
      </c>
      <c r="I1520" s="5">
        <v>0</v>
      </c>
      <c r="J1520" s="5">
        <v>0</v>
      </c>
      <c r="K1520" t="s">
        <v>10877</v>
      </c>
      <c r="L1520" cm="1">
        <f t="array" ref="L1520">wordCount(K1520)</f>
        <v>9</v>
      </c>
      <c r="M1520">
        <f t="shared" si="46"/>
        <v>48</v>
      </c>
      <c r="N1520">
        <v>0.33333333333333331</v>
      </c>
      <c r="O1520" s="23" cm="1">
        <f t="array" ref="O1520">WordListCount(K1520,keywords!$A$2:$A$31)-WordListCount(K1520,keywords!$B$2:$B$31)</f>
        <v>0</v>
      </c>
      <c r="P1520" s="25">
        <f t="shared" si="47"/>
        <v>0.70434027777777775</v>
      </c>
      <c r="Q1520" s="23">
        <f>SUM($O$2:O1520)</f>
        <v>28</v>
      </c>
      <c r="Y1520" s="14"/>
      <c r="Z1520" s="13"/>
      <c r="AA1520"/>
    </row>
    <row r="1521" spans="1:27" x14ac:dyDescent="0.2">
      <c r="A1521" s="12" t="s">
        <v>4748</v>
      </c>
      <c r="B1521" t="s">
        <v>4749</v>
      </c>
      <c r="C1521" t="s">
        <v>4750</v>
      </c>
      <c r="D1521" t="s">
        <v>3270</v>
      </c>
      <c r="E1521" t="s">
        <v>13</v>
      </c>
      <c r="F1521">
        <v>9</v>
      </c>
      <c r="G1521">
        <v>27</v>
      </c>
      <c r="H1521" s="5" t="s">
        <v>59</v>
      </c>
      <c r="I1521" s="5">
        <v>0</v>
      </c>
      <c r="J1521" s="5">
        <v>0</v>
      </c>
      <c r="K1521" t="s">
        <v>10878</v>
      </c>
      <c r="L1521" cm="1">
        <f t="array" ref="L1521">wordCount(K1521)</f>
        <v>9</v>
      </c>
      <c r="M1521">
        <f t="shared" si="46"/>
        <v>50</v>
      </c>
      <c r="N1521">
        <v>0.65</v>
      </c>
      <c r="O1521" s="23" cm="1">
        <f t="array" ref="O1521">WordListCount(K1521,keywords!$A$2:$A$31)-WordListCount(K1521,keywords!$B$2:$B$31)</f>
        <v>0</v>
      </c>
      <c r="P1521" s="25">
        <f t="shared" si="47"/>
        <v>0.70444444444444443</v>
      </c>
      <c r="Q1521" s="23">
        <f>SUM($O$2:O1521)</f>
        <v>28</v>
      </c>
      <c r="Y1521" s="14"/>
      <c r="Z1521" s="13"/>
      <c r="AA1521"/>
    </row>
    <row r="1522" spans="1:27" x14ac:dyDescent="0.2">
      <c r="A1522" s="12" t="s">
        <v>4751</v>
      </c>
      <c r="B1522" t="s">
        <v>4752</v>
      </c>
      <c r="C1522" t="s">
        <v>4753</v>
      </c>
      <c r="D1522" t="s">
        <v>4754</v>
      </c>
      <c r="E1522" t="s">
        <v>13</v>
      </c>
      <c r="F1522">
        <v>633</v>
      </c>
      <c r="G1522">
        <v>952</v>
      </c>
      <c r="H1522" s="5" t="s">
        <v>22</v>
      </c>
      <c r="I1522" s="5">
        <v>0</v>
      </c>
      <c r="J1522" s="5">
        <v>0</v>
      </c>
      <c r="K1522" t="s">
        <v>10879</v>
      </c>
      <c r="L1522" cm="1">
        <f t="array" ref="L1522">wordCount(K1522)</f>
        <v>22</v>
      </c>
      <c r="M1522">
        <f t="shared" si="46"/>
        <v>103</v>
      </c>
      <c r="N1522">
        <v>0.47826086956521741</v>
      </c>
      <c r="O1522" s="23" cm="1">
        <f t="array" ref="O1522">WordListCount(K1522,keywords!$A$2:$A$31)-WordListCount(K1522,keywords!$B$2:$B$31)</f>
        <v>0</v>
      </c>
      <c r="P1522" s="25">
        <f t="shared" si="47"/>
        <v>0.70480324074074074</v>
      </c>
      <c r="Q1522" s="23">
        <f>SUM($O$2:O1522)</f>
        <v>28</v>
      </c>
      <c r="Y1522" s="14"/>
      <c r="Z1522" s="13"/>
      <c r="AA1522"/>
    </row>
    <row r="1523" spans="1:27" x14ac:dyDescent="0.2">
      <c r="A1523" s="12" t="s">
        <v>4755</v>
      </c>
      <c r="B1523" t="s">
        <v>4756</v>
      </c>
      <c r="C1523" t="s">
        <v>4757</v>
      </c>
      <c r="D1523" t="s">
        <v>4758</v>
      </c>
      <c r="E1523" t="s">
        <v>47</v>
      </c>
      <c r="F1523">
        <v>26488</v>
      </c>
      <c r="G1523">
        <v>4858</v>
      </c>
      <c r="H1523" s="5" t="s">
        <v>22</v>
      </c>
      <c r="I1523" s="5">
        <v>0</v>
      </c>
      <c r="J1523" s="5">
        <v>0</v>
      </c>
      <c r="K1523" t="s">
        <v>10880</v>
      </c>
      <c r="L1523" cm="1">
        <f t="array" ref="L1523">wordCount(K1523)</f>
        <v>17</v>
      </c>
      <c r="M1523">
        <f t="shared" si="46"/>
        <v>99</v>
      </c>
      <c r="N1523">
        <v>0.19047619047619047</v>
      </c>
      <c r="O1523" s="23" cm="1">
        <f t="array" ref="O1523">WordListCount(K1523,keywords!$A$2:$A$31)-WordListCount(K1523,keywords!$B$2:$B$31)</f>
        <v>0</v>
      </c>
      <c r="P1523" s="25">
        <f t="shared" si="47"/>
        <v>0.705011574074074</v>
      </c>
      <c r="Q1523" s="23">
        <f>SUM($O$2:O1523)</f>
        <v>28</v>
      </c>
      <c r="Y1523" s="14"/>
      <c r="Z1523" s="13"/>
      <c r="AA1523"/>
    </row>
    <row r="1524" spans="1:27" x14ac:dyDescent="0.2">
      <c r="A1524" s="12" t="s">
        <v>4759</v>
      </c>
      <c r="B1524" t="s">
        <v>4760</v>
      </c>
      <c r="C1524" t="s">
        <v>4761</v>
      </c>
      <c r="D1524" t="s">
        <v>4762</v>
      </c>
      <c r="E1524" t="s">
        <v>13</v>
      </c>
      <c r="F1524">
        <v>149</v>
      </c>
      <c r="G1524">
        <v>248</v>
      </c>
      <c r="H1524" s="5" t="s">
        <v>22</v>
      </c>
      <c r="I1524" s="5">
        <v>0</v>
      </c>
      <c r="J1524" s="5">
        <v>0</v>
      </c>
      <c r="K1524" t="s">
        <v>10881</v>
      </c>
      <c r="L1524" cm="1">
        <f t="array" ref="L1524">wordCount(K1524)</f>
        <v>12</v>
      </c>
      <c r="M1524">
        <f t="shared" si="46"/>
        <v>55</v>
      </c>
      <c r="N1524">
        <v>0.5</v>
      </c>
      <c r="O1524" s="23" cm="1">
        <f t="array" ref="O1524">WordListCount(K1524,keywords!$A$2:$A$31)-WordListCount(K1524,keywords!$B$2:$B$31)</f>
        <v>0</v>
      </c>
      <c r="P1524" s="25">
        <f t="shared" si="47"/>
        <v>0.70502314814814815</v>
      </c>
      <c r="Q1524" s="23">
        <f>SUM($O$2:O1524)</f>
        <v>28</v>
      </c>
      <c r="Y1524" s="14"/>
      <c r="Z1524" s="13"/>
      <c r="AA1524"/>
    </row>
    <row r="1525" spans="1:27" x14ac:dyDescent="0.2">
      <c r="A1525" s="12" t="s">
        <v>4763</v>
      </c>
      <c r="B1525" t="s">
        <v>4764</v>
      </c>
      <c r="C1525" t="s">
        <v>4765</v>
      </c>
      <c r="D1525" t="s">
        <v>4766</v>
      </c>
      <c r="E1525" t="s">
        <v>47</v>
      </c>
      <c r="F1525">
        <v>26870</v>
      </c>
      <c r="G1525">
        <v>2617</v>
      </c>
      <c r="H1525" s="5" t="s">
        <v>22</v>
      </c>
      <c r="I1525" s="5">
        <v>0</v>
      </c>
      <c r="J1525" s="5">
        <v>0</v>
      </c>
      <c r="K1525" t="s">
        <v>10882</v>
      </c>
      <c r="L1525" cm="1">
        <f t="array" ref="L1525">wordCount(K1525)</f>
        <v>8</v>
      </c>
      <c r="M1525">
        <f t="shared" si="46"/>
        <v>54</v>
      </c>
      <c r="N1525">
        <v>0.69230769230769229</v>
      </c>
      <c r="O1525" s="23" cm="1">
        <f t="array" ref="O1525">WordListCount(K1525,keywords!$A$2:$A$31)-WordListCount(K1525,keywords!$B$2:$B$31)</f>
        <v>0</v>
      </c>
      <c r="P1525" s="25">
        <f t="shared" si="47"/>
        <v>0.70535879629629628</v>
      </c>
      <c r="Q1525" s="23">
        <f>SUM($O$2:O1525)</f>
        <v>28</v>
      </c>
      <c r="Y1525" s="14"/>
      <c r="Z1525" s="13"/>
      <c r="AA1525"/>
    </row>
    <row r="1526" spans="1:27" x14ac:dyDescent="0.2">
      <c r="A1526" s="12" t="s">
        <v>4767</v>
      </c>
      <c r="B1526" t="s">
        <v>4768</v>
      </c>
      <c r="C1526" t="s">
        <v>2864</v>
      </c>
      <c r="D1526" t="s">
        <v>12</v>
      </c>
      <c r="E1526" t="s">
        <v>13</v>
      </c>
      <c r="F1526">
        <v>9717</v>
      </c>
      <c r="G1526">
        <v>45</v>
      </c>
      <c r="H1526" s="5" t="s">
        <v>22</v>
      </c>
      <c r="I1526" s="5">
        <v>0</v>
      </c>
      <c r="J1526" s="5">
        <v>0</v>
      </c>
      <c r="K1526" t="s">
        <v>10883</v>
      </c>
      <c r="L1526" cm="1">
        <f t="array" ref="L1526">wordCount(K1526)</f>
        <v>17</v>
      </c>
      <c r="M1526">
        <f t="shared" si="46"/>
        <v>57</v>
      </c>
      <c r="N1526">
        <v>0.4</v>
      </c>
      <c r="O1526" s="23" cm="1">
        <f t="array" ref="O1526">WordListCount(K1526,keywords!$A$2:$A$31)-WordListCount(K1526,keywords!$B$2:$B$31)</f>
        <v>0</v>
      </c>
      <c r="P1526" s="25">
        <f t="shared" si="47"/>
        <v>0.70557870370370368</v>
      </c>
      <c r="Q1526" s="23">
        <f>SUM($O$2:O1526)</f>
        <v>28</v>
      </c>
      <c r="Y1526" s="14"/>
      <c r="Z1526" s="13"/>
      <c r="AA1526"/>
    </row>
    <row r="1527" spans="1:27" x14ac:dyDescent="0.2">
      <c r="A1527" s="12" t="s">
        <v>4769</v>
      </c>
      <c r="B1527" t="s">
        <v>4770</v>
      </c>
      <c r="C1527" t="s">
        <v>4771</v>
      </c>
      <c r="D1527" t="s">
        <v>4772</v>
      </c>
      <c r="E1527" t="s">
        <v>13</v>
      </c>
      <c r="F1527">
        <v>492</v>
      </c>
      <c r="G1527">
        <v>1211</v>
      </c>
      <c r="H1527" s="5" t="s">
        <v>22</v>
      </c>
      <c r="I1527" s="5">
        <v>0</v>
      </c>
      <c r="J1527" s="5">
        <v>0</v>
      </c>
      <c r="K1527" t="s">
        <v>10884</v>
      </c>
      <c r="L1527" cm="1">
        <f t="array" ref="L1527">wordCount(K1527)</f>
        <v>15</v>
      </c>
      <c r="M1527">
        <f t="shared" si="46"/>
        <v>77</v>
      </c>
      <c r="N1527">
        <v>0.27777777777777779</v>
      </c>
      <c r="O1527" s="23" cm="1">
        <f t="array" ref="O1527">WordListCount(K1527,keywords!$A$2:$A$31)-WordListCount(K1527,keywords!$B$2:$B$31)</f>
        <v>0</v>
      </c>
      <c r="P1527" s="25">
        <f t="shared" si="47"/>
        <v>0.70559027777777772</v>
      </c>
      <c r="Q1527" s="23">
        <f>SUM($O$2:O1527)</f>
        <v>28</v>
      </c>
      <c r="Y1527" s="14"/>
      <c r="Z1527" s="13"/>
      <c r="AA1527"/>
    </row>
    <row r="1528" spans="1:27" x14ac:dyDescent="0.2">
      <c r="A1528" s="12" t="s">
        <v>4773</v>
      </c>
      <c r="B1528" t="s">
        <v>4774</v>
      </c>
      <c r="C1528" t="s">
        <v>4775</v>
      </c>
      <c r="D1528" t="s">
        <v>4776</v>
      </c>
      <c r="E1528" t="s">
        <v>13</v>
      </c>
      <c r="F1528">
        <v>58759</v>
      </c>
      <c r="G1528">
        <v>20790</v>
      </c>
      <c r="H1528" s="5" t="s">
        <v>22</v>
      </c>
      <c r="I1528" s="5">
        <v>0</v>
      </c>
      <c r="J1528" s="5">
        <v>0</v>
      </c>
      <c r="K1528" t="s">
        <v>10885</v>
      </c>
      <c r="L1528" cm="1">
        <f t="array" ref="L1528">wordCount(K1528)</f>
        <v>9</v>
      </c>
      <c r="M1528">
        <f t="shared" si="46"/>
        <v>49</v>
      </c>
      <c r="N1528">
        <v>0.53333333333333333</v>
      </c>
      <c r="O1528" s="23" cm="1">
        <f t="array" ref="O1528">WordListCount(K1528,keywords!$A$2:$A$31)-WordListCount(K1528,keywords!$B$2:$B$31)</f>
        <v>0</v>
      </c>
      <c r="P1528" s="25">
        <f t="shared" si="47"/>
        <v>0.7056365740740741</v>
      </c>
      <c r="Q1528" s="23">
        <f>SUM($O$2:O1528)</f>
        <v>28</v>
      </c>
      <c r="Y1528" s="14"/>
      <c r="Z1528" s="13"/>
      <c r="AA1528"/>
    </row>
    <row r="1529" spans="1:27" x14ac:dyDescent="0.2">
      <c r="A1529" s="12" t="s">
        <v>4777</v>
      </c>
      <c r="B1529" t="s">
        <v>4778</v>
      </c>
      <c r="C1529" t="s">
        <v>796</v>
      </c>
      <c r="D1529" t="s">
        <v>797</v>
      </c>
      <c r="E1529" t="s">
        <v>13</v>
      </c>
      <c r="F1529">
        <v>3059</v>
      </c>
      <c r="G1529">
        <v>983</v>
      </c>
      <c r="H1529" s="5" t="s">
        <v>22</v>
      </c>
      <c r="I1529" s="5">
        <v>0</v>
      </c>
      <c r="J1529" s="5">
        <v>0</v>
      </c>
      <c r="K1529" t="s">
        <v>10886</v>
      </c>
      <c r="L1529" cm="1">
        <f t="array" ref="L1529">wordCount(K1529)</f>
        <v>9</v>
      </c>
      <c r="M1529">
        <f t="shared" si="46"/>
        <v>63</v>
      </c>
      <c r="N1529">
        <v>0.70833333333333337</v>
      </c>
      <c r="O1529" s="23" cm="1">
        <f t="array" ref="O1529">WordListCount(K1529,keywords!$A$2:$A$31)-WordListCount(K1529,keywords!$B$2:$B$31)</f>
        <v>0</v>
      </c>
      <c r="P1529" s="25">
        <f t="shared" si="47"/>
        <v>0.70581018518518512</v>
      </c>
      <c r="Q1529" s="23">
        <f>SUM($O$2:O1529)</f>
        <v>28</v>
      </c>
      <c r="Y1529" s="14"/>
      <c r="Z1529" s="13"/>
      <c r="AA1529"/>
    </row>
    <row r="1530" spans="1:27" x14ac:dyDescent="0.2">
      <c r="A1530" s="12" t="s">
        <v>4779</v>
      </c>
      <c r="B1530" t="s">
        <v>4780</v>
      </c>
      <c r="C1530" t="s">
        <v>4781</v>
      </c>
      <c r="D1530" t="s">
        <v>4361</v>
      </c>
      <c r="E1530" t="s">
        <v>13</v>
      </c>
      <c r="F1530">
        <v>135</v>
      </c>
      <c r="G1530">
        <v>65</v>
      </c>
      <c r="H1530" s="5" t="s">
        <v>22</v>
      </c>
      <c r="I1530" s="5">
        <v>0</v>
      </c>
      <c r="J1530" s="5">
        <v>0</v>
      </c>
      <c r="K1530" t="s">
        <v>10887</v>
      </c>
      <c r="L1530" cm="1">
        <f t="array" ref="L1530">wordCount(K1530)</f>
        <v>15</v>
      </c>
      <c r="M1530">
        <f t="shared" si="46"/>
        <v>82</v>
      </c>
      <c r="N1530">
        <v>0.47058823529411764</v>
      </c>
      <c r="O1530" s="23" cm="1">
        <f t="array" ref="O1530">WordListCount(K1530,keywords!$A$2:$A$31)-WordListCount(K1530,keywords!$B$2:$B$31)</f>
        <v>0</v>
      </c>
      <c r="P1530" s="25">
        <f t="shared" si="47"/>
        <v>0.70592592592592596</v>
      </c>
      <c r="Q1530" s="23">
        <f>SUM($O$2:O1530)</f>
        <v>28</v>
      </c>
      <c r="Y1530" s="14"/>
      <c r="Z1530" s="13"/>
      <c r="AA1530"/>
    </row>
    <row r="1531" spans="1:27" x14ac:dyDescent="0.2">
      <c r="A1531" s="12" t="s">
        <v>4782</v>
      </c>
      <c r="B1531" t="s">
        <v>4783</v>
      </c>
      <c r="C1531" t="s">
        <v>4784</v>
      </c>
      <c r="D1531" t="s">
        <v>4785</v>
      </c>
      <c r="E1531" t="s">
        <v>13</v>
      </c>
      <c r="F1531">
        <v>16</v>
      </c>
      <c r="G1531">
        <v>269</v>
      </c>
      <c r="H1531" s="5" t="s">
        <v>22</v>
      </c>
      <c r="I1531" s="5">
        <v>0</v>
      </c>
      <c r="J1531" s="5">
        <v>0</v>
      </c>
      <c r="K1531" t="s">
        <v>9472</v>
      </c>
      <c r="L1531" cm="1">
        <f t="array" ref="L1531">wordCount(K1531)</f>
        <v>2</v>
      </c>
      <c r="M1531">
        <f t="shared" si="46"/>
        <v>13</v>
      </c>
      <c r="N1531">
        <v>0.95</v>
      </c>
      <c r="O1531" s="23" cm="1">
        <f t="array" ref="O1531">WordListCount(K1531,keywords!$A$2:$A$31)-WordListCount(K1531,keywords!$B$2:$B$31)</f>
        <v>0</v>
      </c>
      <c r="P1531" s="25">
        <f t="shared" si="47"/>
        <v>0.7059375</v>
      </c>
      <c r="Q1531" s="23">
        <f>SUM($O$2:O1531)</f>
        <v>28</v>
      </c>
      <c r="Y1531" s="14"/>
      <c r="Z1531" s="13"/>
      <c r="AA1531"/>
    </row>
    <row r="1532" spans="1:27" x14ac:dyDescent="0.2">
      <c r="A1532" s="12" t="s">
        <v>4786</v>
      </c>
      <c r="B1532" t="s">
        <v>4787</v>
      </c>
      <c r="C1532" t="s">
        <v>4729</v>
      </c>
      <c r="D1532" t="s">
        <v>12</v>
      </c>
      <c r="E1532" t="s">
        <v>13</v>
      </c>
      <c r="F1532">
        <v>26</v>
      </c>
      <c r="G1532">
        <v>50</v>
      </c>
      <c r="H1532" s="5" t="s">
        <v>125</v>
      </c>
      <c r="I1532" s="5">
        <v>0</v>
      </c>
      <c r="J1532" s="5">
        <v>0</v>
      </c>
      <c r="K1532" t="s">
        <v>10888</v>
      </c>
      <c r="L1532" cm="1">
        <f t="array" ref="L1532">wordCount(K1532)</f>
        <v>10</v>
      </c>
      <c r="M1532">
        <f t="shared" si="46"/>
        <v>47</v>
      </c>
      <c r="N1532">
        <v>0.75862068965517238</v>
      </c>
      <c r="O1532" s="23" cm="1">
        <f t="array" ref="O1532">WordListCount(K1532,keywords!$A$2:$A$31)-WordListCount(K1532,keywords!$B$2:$B$31)</f>
        <v>0</v>
      </c>
      <c r="P1532" s="25">
        <f t="shared" si="47"/>
        <v>0.70623842592592589</v>
      </c>
      <c r="Q1532" s="23">
        <f>SUM($O$2:O1532)</f>
        <v>28</v>
      </c>
      <c r="Y1532" s="14"/>
      <c r="Z1532" s="13"/>
      <c r="AA1532"/>
    </row>
    <row r="1533" spans="1:27" x14ac:dyDescent="0.2">
      <c r="A1533" s="12" t="s">
        <v>4788</v>
      </c>
      <c r="B1533" t="s">
        <v>4789</v>
      </c>
      <c r="C1533" t="s">
        <v>2864</v>
      </c>
      <c r="D1533" t="s">
        <v>12</v>
      </c>
      <c r="E1533" t="s">
        <v>13</v>
      </c>
      <c r="F1533">
        <v>9721</v>
      </c>
      <c r="G1533">
        <v>45</v>
      </c>
      <c r="H1533" s="5" t="s">
        <v>22</v>
      </c>
      <c r="I1533" s="5">
        <v>0</v>
      </c>
      <c r="J1533" s="5">
        <v>0</v>
      </c>
      <c r="K1533" t="s">
        <v>10889</v>
      </c>
      <c r="L1533" cm="1">
        <f t="array" ref="L1533">wordCount(K1533)</f>
        <v>13</v>
      </c>
      <c r="M1533">
        <f t="shared" si="46"/>
        <v>52</v>
      </c>
      <c r="N1533">
        <v>0.5714285714285714</v>
      </c>
      <c r="O1533" s="23" cm="1">
        <f t="array" ref="O1533">WordListCount(K1533,keywords!$A$2:$A$31)-WordListCount(K1533,keywords!$B$2:$B$31)</f>
        <v>0</v>
      </c>
      <c r="P1533" s="25">
        <f t="shared" si="47"/>
        <v>0.70629629629629631</v>
      </c>
      <c r="Q1533" s="23">
        <f>SUM($O$2:O1533)</f>
        <v>28</v>
      </c>
      <c r="Y1533" s="14"/>
      <c r="Z1533" s="13"/>
      <c r="AA1533"/>
    </row>
    <row r="1534" spans="1:27" x14ac:dyDescent="0.2">
      <c r="A1534" s="12" t="s">
        <v>4790</v>
      </c>
      <c r="B1534" t="s">
        <v>4791</v>
      </c>
      <c r="C1534" t="s">
        <v>4792</v>
      </c>
      <c r="D1534" t="s">
        <v>4793</v>
      </c>
      <c r="E1534" t="s">
        <v>13</v>
      </c>
      <c r="F1534">
        <v>2486</v>
      </c>
      <c r="G1534">
        <v>3126</v>
      </c>
      <c r="H1534" s="5" t="s">
        <v>22</v>
      </c>
      <c r="I1534" s="5">
        <v>0</v>
      </c>
      <c r="J1534" s="5">
        <v>0</v>
      </c>
      <c r="K1534" t="s">
        <v>10890</v>
      </c>
      <c r="L1534" cm="1">
        <f t="array" ref="L1534">wordCount(K1534)</f>
        <v>11</v>
      </c>
      <c r="M1534">
        <f t="shared" si="46"/>
        <v>74</v>
      </c>
      <c r="N1534">
        <v>0.6785714285714286</v>
      </c>
      <c r="O1534" s="23" cm="1">
        <f t="array" ref="O1534">WordListCount(K1534,keywords!$A$2:$A$31)-WordListCount(K1534,keywords!$B$2:$B$31)</f>
        <v>0</v>
      </c>
      <c r="P1534" s="25">
        <f t="shared" si="47"/>
        <v>0.70640046296296299</v>
      </c>
      <c r="Q1534" s="23">
        <f>SUM($O$2:O1534)</f>
        <v>28</v>
      </c>
      <c r="Y1534" s="14"/>
      <c r="Z1534" s="13"/>
      <c r="AA1534"/>
    </row>
    <row r="1535" spans="1:27" x14ac:dyDescent="0.2">
      <c r="A1535" s="12" t="s">
        <v>4794</v>
      </c>
      <c r="B1535" t="s">
        <v>4795</v>
      </c>
      <c r="C1535" t="s">
        <v>4796</v>
      </c>
      <c r="D1535" t="s">
        <v>1963</v>
      </c>
      <c r="E1535" t="s">
        <v>13</v>
      </c>
      <c r="F1535">
        <v>156</v>
      </c>
      <c r="G1535">
        <v>511</v>
      </c>
      <c r="H1535" s="5" t="s">
        <v>22</v>
      </c>
      <c r="I1535" s="5">
        <v>0</v>
      </c>
      <c r="J1535" s="5">
        <v>0</v>
      </c>
      <c r="K1535" t="s">
        <v>10891</v>
      </c>
      <c r="L1535" cm="1">
        <f t="array" ref="L1535">wordCount(K1535)</f>
        <v>7</v>
      </c>
      <c r="M1535">
        <f t="shared" si="46"/>
        <v>41</v>
      </c>
      <c r="N1535">
        <v>0.61538461538461542</v>
      </c>
      <c r="O1535" s="23" cm="1">
        <f t="array" ref="O1535">WordListCount(K1535,keywords!$A$2:$A$31)-WordListCount(K1535,keywords!$B$2:$B$31)</f>
        <v>0</v>
      </c>
      <c r="P1535" s="25">
        <f t="shared" si="47"/>
        <v>0.70660879629629625</v>
      </c>
      <c r="Q1535" s="23">
        <f>SUM($O$2:O1535)</f>
        <v>28</v>
      </c>
      <c r="Y1535" s="14"/>
      <c r="Z1535" s="13"/>
      <c r="AA1535"/>
    </row>
    <row r="1536" spans="1:27" x14ac:dyDescent="0.2">
      <c r="A1536" s="12" t="s">
        <v>4797</v>
      </c>
      <c r="B1536" t="s">
        <v>4798</v>
      </c>
      <c r="C1536" t="s">
        <v>4799</v>
      </c>
      <c r="D1536" t="s">
        <v>4800</v>
      </c>
      <c r="E1536" t="s">
        <v>13</v>
      </c>
      <c r="F1536">
        <v>9</v>
      </c>
      <c r="G1536">
        <v>47</v>
      </c>
      <c r="H1536" s="5" t="s">
        <v>22</v>
      </c>
      <c r="I1536" s="5">
        <v>0</v>
      </c>
      <c r="J1536" s="5">
        <v>0</v>
      </c>
      <c r="K1536" t="s">
        <v>10892</v>
      </c>
      <c r="L1536" cm="1">
        <f t="array" ref="L1536">wordCount(K1536)</f>
        <v>11</v>
      </c>
      <c r="M1536">
        <f t="shared" si="46"/>
        <v>59</v>
      </c>
      <c r="N1536">
        <v>0.6071428571428571</v>
      </c>
      <c r="O1536" s="23" cm="1">
        <f t="array" ref="O1536">WordListCount(K1536,keywords!$A$2:$A$31)-WordListCount(K1536,keywords!$B$2:$B$31)</f>
        <v>0</v>
      </c>
      <c r="P1536" s="25">
        <f t="shared" si="47"/>
        <v>0.70665509259259263</v>
      </c>
      <c r="Q1536" s="23">
        <f>SUM($O$2:O1536)</f>
        <v>28</v>
      </c>
      <c r="Y1536" s="14"/>
      <c r="Z1536" s="13"/>
      <c r="AA1536"/>
    </row>
    <row r="1537" spans="1:27" x14ac:dyDescent="0.2">
      <c r="A1537" s="12" t="s">
        <v>4801</v>
      </c>
      <c r="B1537" t="s">
        <v>4802</v>
      </c>
      <c r="C1537" t="s">
        <v>4803</v>
      </c>
      <c r="D1537" t="s">
        <v>12</v>
      </c>
      <c r="E1537" t="s">
        <v>13</v>
      </c>
      <c r="F1537">
        <v>263</v>
      </c>
      <c r="G1537">
        <v>731</v>
      </c>
      <c r="H1537" s="5" t="s">
        <v>22</v>
      </c>
      <c r="I1537" s="5">
        <v>0</v>
      </c>
      <c r="J1537" s="5">
        <v>0</v>
      </c>
      <c r="K1537" t="s">
        <v>10893</v>
      </c>
      <c r="L1537" cm="1">
        <f t="array" ref="L1537">wordCount(K1537)</f>
        <v>17</v>
      </c>
      <c r="M1537">
        <f t="shared" si="46"/>
        <v>73</v>
      </c>
      <c r="N1537">
        <v>0.59090909090909094</v>
      </c>
      <c r="O1537" s="23" cm="1">
        <f t="array" ref="O1537">WordListCount(K1537,keywords!$A$2:$A$31)-WordListCount(K1537,keywords!$B$2:$B$31)</f>
        <v>1</v>
      </c>
      <c r="P1537" s="25">
        <f t="shared" si="47"/>
        <v>0.70666666666666667</v>
      </c>
      <c r="Q1537" s="23">
        <f>SUM($O$2:O1537)</f>
        <v>29</v>
      </c>
      <c r="Y1537" s="14"/>
      <c r="Z1537" s="13"/>
      <c r="AA1537"/>
    </row>
    <row r="1538" spans="1:27" x14ac:dyDescent="0.2">
      <c r="A1538" s="12" t="s">
        <v>4804</v>
      </c>
      <c r="B1538" t="s">
        <v>4805</v>
      </c>
      <c r="C1538" t="s">
        <v>4799</v>
      </c>
      <c r="D1538" t="s">
        <v>4800</v>
      </c>
      <c r="E1538" t="s">
        <v>13</v>
      </c>
      <c r="F1538">
        <v>9</v>
      </c>
      <c r="G1538">
        <v>47</v>
      </c>
      <c r="H1538" s="5" t="s">
        <v>22</v>
      </c>
      <c r="I1538" s="5">
        <v>0</v>
      </c>
      <c r="J1538" s="5">
        <v>0</v>
      </c>
      <c r="K1538" t="s">
        <v>10892</v>
      </c>
      <c r="L1538" cm="1">
        <f t="array" ref="L1538">wordCount(K1538)</f>
        <v>11</v>
      </c>
      <c r="M1538">
        <f t="shared" ref="M1538:M1601" si="48">LEN(K1538)</f>
        <v>59</v>
      </c>
      <c r="N1538">
        <v>0.91666666666666663</v>
      </c>
      <c r="O1538" s="23" cm="1">
        <f t="array" ref="O1538">WordListCount(K1538,keywords!$A$2:$A$31)-WordListCount(K1538,keywords!$B$2:$B$31)</f>
        <v>0</v>
      </c>
      <c r="P1538" s="25">
        <f t="shared" ref="P1538:P1601" si="49">TIMEVALUE(RIGHT(A1538,8))</f>
        <v>0.70682870370370365</v>
      </c>
      <c r="Q1538" s="23">
        <f>SUM($O$2:O1538)</f>
        <v>29</v>
      </c>
      <c r="Y1538" s="14"/>
      <c r="Z1538" s="13"/>
      <c r="AA1538"/>
    </row>
    <row r="1539" spans="1:27" x14ac:dyDescent="0.2">
      <c r="A1539" s="12" t="s">
        <v>4806</v>
      </c>
      <c r="B1539" t="s">
        <v>4807</v>
      </c>
      <c r="C1539" t="s">
        <v>4808</v>
      </c>
      <c r="D1539" t="s">
        <v>4809</v>
      </c>
      <c r="E1539" t="s">
        <v>13</v>
      </c>
      <c r="F1539">
        <v>218</v>
      </c>
      <c r="G1539">
        <v>149</v>
      </c>
      <c r="H1539" s="5" t="s">
        <v>22</v>
      </c>
      <c r="I1539" s="5">
        <v>0</v>
      </c>
      <c r="J1539" s="5">
        <v>0</v>
      </c>
      <c r="K1539" t="s">
        <v>10894</v>
      </c>
      <c r="L1539" cm="1">
        <f t="array" ref="L1539">wordCount(K1539)</f>
        <v>16</v>
      </c>
      <c r="M1539">
        <f t="shared" si="48"/>
        <v>75</v>
      </c>
      <c r="N1539">
        <v>0.25</v>
      </c>
      <c r="O1539" s="23" cm="1">
        <f t="array" ref="O1539">WordListCount(K1539,keywords!$A$2:$A$31)-WordListCount(K1539,keywords!$B$2:$B$31)</f>
        <v>0</v>
      </c>
      <c r="P1539" s="25">
        <f t="shared" si="49"/>
        <v>0.70712962962962955</v>
      </c>
      <c r="Q1539" s="23">
        <f>SUM($O$2:O1539)</f>
        <v>29</v>
      </c>
      <c r="Y1539" s="14"/>
      <c r="Z1539" s="13"/>
      <c r="AA1539"/>
    </row>
    <row r="1540" spans="1:27" x14ac:dyDescent="0.2">
      <c r="A1540" s="12" t="s">
        <v>4810</v>
      </c>
      <c r="B1540" t="s">
        <v>4811</v>
      </c>
      <c r="C1540" t="s">
        <v>4812</v>
      </c>
      <c r="D1540" t="s">
        <v>12</v>
      </c>
      <c r="E1540" t="s">
        <v>13</v>
      </c>
      <c r="F1540">
        <v>201</v>
      </c>
      <c r="G1540">
        <v>687</v>
      </c>
      <c r="H1540" s="5" t="s">
        <v>42</v>
      </c>
      <c r="I1540" s="5">
        <v>0</v>
      </c>
      <c r="J1540" s="5">
        <v>0</v>
      </c>
      <c r="K1540" t="s">
        <v>10895</v>
      </c>
      <c r="L1540" cm="1">
        <f t="array" ref="L1540">wordCount(K1540)</f>
        <v>13</v>
      </c>
      <c r="M1540">
        <f t="shared" si="48"/>
        <v>81</v>
      </c>
      <c r="N1540">
        <v>0.5</v>
      </c>
      <c r="O1540" s="23" cm="1">
        <f t="array" ref="O1540">WordListCount(K1540,keywords!$A$2:$A$31)-WordListCount(K1540,keywords!$B$2:$B$31)</f>
        <v>0</v>
      </c>
      <c r="P1540" s="25">
        <f t="shared" si="49"/>
        <v>0.70718749999999997</v>
      </c>
      <c r="Q1540" s="23">
        <f>SUM($O$2:O1540)</f>
        <v>29</v>
      </c>
      <c r="Y1540" s="14"/>
      <c r="Z1540" s="13"/>
      <c r="AA1540"/>
    </row>
    <row r="1541" spans="1:27" x14ac:dyDescent="0.2">
      <c r="A1541" s="12" t="s">
        <v>4813</v>
      </c>
      <c r="B1541" t="s">
        <v>4814</v>
      </c>
      <c r="C1541" t="s">
        <v>4815</v>
      </c>
      <c r="D1541" t="s">
        <v>4816</v>
      </c>
      <c r="E1541" t="s">
        <v>13</v>
      </c>
      <c r="F1541">
        <v>4753</v>
      </c>
      <c r="G1541">
        <v>1512</v>
      </c>
      <c r="H1541" s="5" t="s">
        <v>22</v>
      </c>
      <c r="I1541" s="5">
        <v>0</v>
      </c>
      <c r="J1541" s="5">
        <v>0</v>
      </c>
      <c r="K1541" t="s">
        <v>10896</v>
      </c>
      <c r="L1541" cm="1">
        <f t="array" ref="L1541">wordCount(K1541)</f>
        <v>12</v>
      </c>
      <c r="M1541">
        <f t="shared" si="48"/>
        <v>47</v>
      </c>
      <c r="N1541">
        <v>0.76470588235294112</v>
      </c>
      <c r="O1541" s="23" cm="1">
        <f t="array" ref="O1541">WordListCount(K1541,keywords!$A$2:$A$31)-WordListCount(K1541,keywords!$B$2:$B$31)</f>
        <v>1</v>
      </c>
      <c r="P1541" s="25">
        <f t="shared" si="49"/>
        <v>0.70733796296296303</v>
      </c>
      <c r="Q1541" s="23">
        <f>SUM($O$2:O1541)</f>
        <v>30</v>
      </c>
      <c r="Y1541" s="14"/>
      <c r="Z1541" s="13"/>
      <c r="AA1541"/>
    </row>
    <row r="1542" spans="1:27" x14ac:dyDescent="0.2">
      <c r="A1542" s="12" t="s">
        <v>4817</v>
      </c>
      <c r="B1542" t="s">
        <v>4818</v>
      </c>
      <c r="C1542" t="s">
        <v>4819</v>
      </c>
      <c r="D1542" t="s">
        <v>12</v>
      </c>
      <c r="E1542" t="s">
        <v>13</v>
      </c>
      <c r="F1542">
        <v>126</v>
      </c>
      <c r="G1542">
        <v>344</v>
      </c>
      <c r="H1542" s="5" t="s">
        <v>22</v>
      </c>
      <c r="I1542" s="5">
        <v>0</v>
      </c>
      <c r="J1542" s="5">
        <v>0</v>
      </c>
      <c r="K1542" t="s">
        <v>10897</v>
      </c>
      <c r="L1542" cm="1">
        <f t="array" ref="L1542">wordCount(K1542)</f>
        <v>13</v>
      </c>
      <c r="M1542">
        <f t="shared" si="48"/>
        <v>65</v>
      </c>
      <c r="N1542">
        <v>0.72</v>
      </c>
      <c r="O1542" s="23" cm="1">
        <f t="array" ref="O1542">WordListCount(K1542,keywords!$A$2:$A$31)-WordListCount(K1542,keywords!$B$2:$B$31)</f>
        <v>0</v>
      </c>
      <c r="P1542" s="25">
        <f t="shared" si="49"/>
        <v>0.70739583333333333</v>
      </c>
      <c r="Q1542" s="23">
        <f>SUM($O$2:O1542)</f>
        <v>30</v>
      </c>
      <c r="Y1542" s="14"/>
      <c r="Z1542" s="13"/>
      <c r="AA1542"/>
    </row>
    <row r="1543" spans="1:27" x14ac:dyDescent="0.2">
      <c r="A1543" s="12" t="s">
        <v>4820</v>
      </c>
      <c r="B1543" t="s">
        <v>4821</v>
      </c>
      <c r="C1543" t="s">
        <v>4822</v>
      </c>
      <c r="D1543" t="s">
        <v>1133</v>
      </c>
      <c r="E1543" t="s">
        <v>13</v>
      </c>
      <c r="F1543">
        <v>118</v>
      </c>
      <c r="G1543">
        <v>199</v>
      </c>
      <c r="H1543" s="5" t="s">
        <v>22</v>
      </c>
      <c r="I1543" s="5">
        <v>0</v>
      </c>
      <c r="J1543" s="5">
        <v>0</v>
      </c>
      <c r="K1543" t="s">
        <v>9473</v>
      </c>
      <c r="L1543" cm="1">
        <f t="array" ref="L1543">wordCount(K1543)</f>
        <v>16</v>
      </c>
      <c r="M1543">
        <f t="shared" si="48"/>
        <v>89</v>
      </c>
      <c r="N1543">
        <v>0.39130434782608697</v>
      </c>
      <c r="O1543" s="23" cm="1">
        <f t="array" ref="O1543">WordListCount(K1543,keywords!$A$2:$A$31)-WordListCount(K1543,keywords!$B$2:$B$31)</f>
        <v>0</v>
      </c>
      <c r="P1543" s="25">
        <f t="shared" si="49"/>
        <v>0.70750000000000002</v>
      </c>
      <c r="Q1543" s="23">
        <f>SUM($O$2:O1543)</f>
        <v>30</v>
      </c>
      <c r="Y1543" s="14"/>
      <c r="Z1543" s="13"/>
      <c r="AA1543"/>
    </row>
    <row r="1544" spans="1:27" x14ac:dyDescent="0.2">
      <c r="A1544" s="12" t="s">
        <v>4823</v>
      </c>
      <c r="B1544" t="s">
        <v>4824</v>
      </c>
      <c r="C1544" t="s">
        <v>4825</v>
      </c>
      <c r="D1544" t="s">
        <v>4826</v>
      </c>
      <c r="E1544" t="s">
        <v>13</v>
      </c>
      <c r="F1544">
        <v>190</v>
      </c>
      <c r="G1544">
        <v>437</v>
      </c>
      <c r="H1544" s="5" t="s">
        <v>22</v>
      </c>
      <c r="I1544" s="5">
        <v>0</v>
      </c>
      <c r="J1544" s="5">
        <v>0</v>
      </c>
      <c r="K1544" t="s">
        <v>10898</v>
      </c>
      <c r="L1544" cm="1">
        <f t="array" ref="L1544">wordCount(K1544)</f>
        <v>15</v>
      </c>
      <c r="M1544">
        <f t="shared" si="48"/>
        <v>70</v>
      </c>
      <c r="N1544">
        <v>0.44444444444444442</v>
      </c>
      <c r="O1544" s="23" cm="1">
        <f t="array" ref="O1544">WordListCount(K1544,keywords!$A$2:$A$31)-WordListCount(K1544,keywords!$B$2:$B$31)</f>
        <v>0</v>
      </c>
      <c r="P1544" s="25">
        <f t="shared" si="49"/>
        <v>0.70758101851851851</v>
      </c>
      <c r="Q1544" s="23">
        <f>SUM($O$2:O1544)</f>
        <v>30</v>
      </c>
      <c r="Y1544" s="14"/>
      <c r="Z1544" s="13"/>
      <c r="AA1544"/>
    </row>
    <row r="1545" spans="1:27" x14ac:dyDescent="0.2">
      <c r="A1545" s="12" t="s">
        <v>4827</v>
      </c>
      <c r="B1545" t="s">
        <v>4828</v>
      </c>
      <c r="C1545" t="s">
        <v>4829</v>
      </c>
      <c r="D1545" t="s">
        <v>12</v>
      </c>
      <c r="E1545" t="s">
        <v>13</v>
      </c>
      <c r="F1545">
        <v>5</v>
      </c>
      <c r="G1545">
        <v>45</v>
      </c>
      <c r="H1545" s="5" t="s">
        <v>677</v>
      </c>
      <c r="I1545" s="5">
        <v>0</v>
      </c>
      <c r="J1545" s="5">
        <v>0</v>
      </c>
      <c r="K1545" t="s">
        <v>10899</v>
      </c>
      <c r="L1545" cm="1">
        <f t="array" ref="L1545">wordCount(K1545)</f>
        <v>6</v>
      </c>
      <c r="M1545">
        <f t="shared" si="48"/>
        <v>29</v>
      </c>
      <c r="N1545">
        <v>0.8571428571428571</v>
      </c>
      <c r="O1545" s="23" cm="1">
        <f t="array" ref="O1545">WordListCount(K1545,keywords!$A$2:$A$31)-WordListCount(K1545,keywords!$B$2:$B$31)</f>
        <v>0</v>
      </c>
      <c r="P1545" s="25">
        <f t="shared" si="49"/>
        <v>0.70767361111111116</v>
      </c>
      <c r="Q1545" s="23">
        <f>SUM($O$2:O1545)</f>
        <v>30</v>
      </c>
      <c r="Y1545" s="14"/>
      <c r="Z1545" s="13"/>
      <c r="AA1545"/>
    </row>
    <row r="1546" spans="1:27" x14ac:dyDescent="0.2">
      <c r="A1546" s="12" t="s">
        <v>4830</v>
      </c>
      <c r="B1546" t="s">
        <v>4831</v>
      </c>
      <c r="C1546" t="s">
        <v>696</v>
      </c>
      <c r="D1546" t="s">
        <v>697</v>
      </c>
      <c r="E1546" t="s">
        <v>13</v>
      </c>
      <c r="F1546">
        <v>7063</v>
      </c>
      <c r="G1546">
        <v>262</v>
      </c>
      <c r="H1546" s="5" t="s">
        <v>22</v>
      </c>
      <c r="I1546" s="5">
        <v>0</v>
      </c>
      <c r="J1546" s="5">
        <v>0</v>
      </c>
      <c r="K1546" t="s">
        <v>10900</v>
      </c>
      <c r="L1546" cm="1">
        <f t="array" ref="L1546">wordCount(K1546)</f>
        <v>9</v>
      </c>
      <c r="M1546">
        <f t="shared" si="48"/>
        <v>99</v>
      </c>
      <c r="N1546">
        <v>0.57894736842105265</v>
      </c>
      <c r="O1546" s="23" cm="1">
        <f t="array" ref="O1546">WordListCount(K1546,keywords!$A$2:$A$31)-WordListCount(K1546,keywords!$B$2:$B$31)</f>
        <v>0</v>
      </c>
      <c r="P1546" s="25">
        <f t="shared" si="49"/>
        <v>0.70789351851851856</v>
      </c>
      <c r="Q1546" s="23">
        <f>SUM($O$2:O1546)</f>
        <v>30</v>
      </c>
      <c r="Y1546" s="14"/>
      <c r="Z1546" s="13"/>
      <c r="AA1546"/>
    </row>
    <row r="1547" spans="1:27" x14ac:dyDescent="0.2">
      <c r="A1547" s="12" t="s">
        <v>4832</v>
      </c>
      <c r="B1547" t="s">
        <v>4833</v>
      </c>
      <c r="C1547" t="s">
        <v>4834</v>
      </c>
      <c r="D1547" t="s">
        <v>4835</v>
      </c>
      <c r="E1547" t="s">
        <v>13</v>
      </c>
      <c r="F1547">
        <v>899</v>
      </c>
      <c r="G1547">
        <v>382</v>
      </c>
      <c r="H1547" s="5" t="s">
        <v>22</v>
      </c>
      <c r="I1547" s="5">
        <v>0</v>
      </c>
      <c r="J1547" s="5">
        <v>0</v>
      </c>
      <c r="K1547" t="s">
        <v>10901</v>
      </c>
      <c r="L1547" cm="1">
        <f t="array" ref="L1547">wordCount(K1547)</f>
        <v>16</v>
      </c>
      <c r="M1547">
        <f t="shared" si="48"/>
        <v>91</v>
      </c>
      <c r="N1547">
        <v>0.48275862068965519</v>
      </c>
      <c r="O1547" s="23" cm="1">
        <f t="array" ref="O1547">WordListCount(K1547,keywords!$A$2:$A$31)-WordListCount(K1547,keywords!$B$2:$B$31)</f>
        <v>0</v>
      </c>
      <c r="P1547" s="25">
        <f t="shared" si="49"/>
        <v>0.70813657407407404</v>
      </c>
      <c r="Q1547" s="23">
        <f>SUM($O$2:O1547)</f>
        <v>30</v>
      </c>
      <c r="Y1547" s="14"/>
      <c r="Z1547" s="13"/>
      <c r="AA1547"/>
    </row>
    <row r="1548" spans="1:27" x14ac:dyDescent="0.2">
      <c r="A1548" s="12" t="s">
        <v>4836</v>
      </c>
      <c r="B1548" t="s">
        <v>4837</v>
      </c>
      <c r="C1548" t="s">
        <v>4838</v>
      </c>
      <c r="D1548" t="s">
        <v>4839</v>
      </c>
      <c r="E1548" t="s">
        <v>13</v>
      </c>
      <c r="F1548">
        <v>767</v>
      </c>
      <c r="G1548">
        <v>605</v>
      </c>
      <c r="H1548" s="5" t="s">
        <v>22</v>
      </c>
      <c r="I1548" s="5">
        <v>0</v>
      </c>
      <c r="J1548" s="5">
        <v>0</v>
      </c>
      <c r="K1548" t="s">
        <v>10902</v>
      </c>
      <c r="L1548" cm="1">
        <f t="array" ref="L1548">wordCount(K1548)</f>
        <v>13</v>
      </c>
      <c r="M1548">
        <f t="shared" si="48"/>
        <v>75</v>
      </c>
      <c r="N1548">
        <v>0.52380952380952384</v>
      </c>
      <c r="O1548" s="23" cm="1">
        <f t="array" ref="O1548">WordListCount(K1548,keywords!$A$2:$A$31)-WordListCount(K1548,keywords!$B$2:$B$31)</f>
        <v>0</v>
      </c>
      <c r="P1548" s="25">
        <f t="shared" si="49"/>
        <v>0.70825231481481488</v>
      </c>
      <c r="Q1548" s="23">
        <f>SUM($O$2:O1548)</f>
        <v>30</v>
      </c>
      <c r="Y1548" s="14"/>
      <c r="Z1548" s="13"/>
      <c r="AA1548"/>
    </row>
    <row r="1549" spans="1:27" x14ac:dyDescent="0.2">
      <c r="A1549" s="12" t="s">
        <v>4840</v>
      </c>
      <c r="B1549" t="s">
        <v>4841</v>
      </c>
      <c r="C1549" t="s">
        <v>4842</v>
      </c>
      <c r="D1549" t="s">
        <v>12</v>
      </c>
      <c r="E1549" t="s">
        <v>13</v>
      </c>
      <c r="F1549">
        <v>54</v>
      </c>
      <c r="G1549">
        <v>436</v>
      </c>
      <c r="H1549" s="5" t="s">
        <v>22</v>
      </c>
      <c r="I1549" s="5">
        <v>0</v>
      </c>
      <c r="J1549" s="5">
        <v>0</v>
      </c>
      <c r="K1549" t="s">
        <v>10903</v>
      </c>
      <c r="L1549" cm="1">
        <f t="array" ref="L1549">wordCount(K1549)</f>
        <v>19</v>
      </c>
      <c r="M1549">
        <f t="shared" si="48"/>
        <v>109</v>
      </c>
      <c r="N1549">
        <v>0.34782608695652173</v>
      </c>
      <c r="O1549" s="23" cm="1">
        <f t="array" ref="O1549">WordListCount(K1549,keywords!$A$2:$A$31)-WordListCount(K1549,keywords!$B$2:$B$31)</f>
        <v>1</v>
      </c>
      <c r="P1549" s="25">
        <f t="shared" si="49"/>
        <v>0.70827546296296295</v>
      </c>
      <c r="Q1549" s="23">
        <f>SUM($O$2:O1549)</f>
        <v>31</v>
      </c>
      <c r="Y1549" s="14"/>
      <c r="Z1549" s="13"/>
      <c r="AA1549"/>
    </row>
    <row r="1550" spans="1:27" x14ac:dyDescent="0.2">
      <c r="A1550" s="12" t="s">
        <v>4843</v>
      </c>
      <c r="B1550" t="s">
        <v>4844</v>
      </c>
      <c r="C1550" t="s">
        <v>586</v>
      </c>
      <c r="D1550" t="s">
        <v>12</v>
      </c>
      <c r="E1550" t="s">
        <v>13</v>
      </c>
      <c r="F1550">
        <v>236</v>
      </c>
      <c r="G1550">
        <v>2</v>
      </c>
      <c r="H1550" s="5" t="s">
        <v>22</v>
      </c>
      <c r="I1550" s="5">
        <v>0</v>
      </c>
      <c r="J1550" s="5">
        <v>0</v>
      </c>
      <c r="K1550" t="s">
        <v>10904</v>
      </c>
      <c r="L1550" cm="1">
        <f t="array" ref="L1550">wordCount(K1550)</f>
        <v>19</v>
      </c>
      <c r="M1550">
        <f t="shared" si="48"/>
        <v>107</v>
      </c>
      <c r="N1550">
        <v>0.76190476190476186</v>
      </c>
      <c r="O1550" s="23" cm="1">
        <f t="array" ref="O1550">WordListCount(K1550,keywords!$A$2:$A$31)-WordListCount(K1550,keywords!$B$2:$B$31)</f>
        <v>0</v>
      </c>
      <c r="P1550" s="25">
        <f t="shared" si="49"/>
        <v>0.70833333333333337</v>
      </c>
      <c r="Q1550" s="23">
        <f>SUM($O$2:O1550)</f>
        <v>31</v>
      </c>
      <c r="Y1550" s="14"/>
      <c r="Z1550" s="13"/>
      <c r="AA1550"/>
    </row>
    <row r="1551" spans="1:27" x14ac:dyDescent="0.2">
      <c r="A1551" s="12" t="s">
        <v>4843</v>
      </c>
      <c r="B1551" t="s">
        <v>4845</v>
      </c>
      <c r="C1551" t="s">
        <v>205</v>
      </c>
      <c r="D1551" t="s">
        <v>12</v>
      </c>
      <c r="E1551" t="s">
        <v>13</v>
      </c>
      <c r="F1551">
        <v>2868</v>
      </c>
      <c r="G1551">
        <v>6</v>
      </c>
      <c r="H1551" s="5" t="s">
        <v>22</v>
      </c>
      <c r="I1551" s="5">
        <v>0</v>
      </c>
      <c r="J1551" s="5">
        <v>0</v>
      </c>
      <c r="K1551" t="s">
        <v>9474</v>
      </c>
      <c r="L1551" cm="1">
        <f t="array" ref="L1551">wordCount(K1551)</f>
        <v>8</v>
      </c>
      <c r="M1551">
        <f t="shared" si="48"/>
        <v>55</v>
      </c>
      <c r="N1551">
        <v>0.77777777777777779</v>
      </c>
      <c r="O1551" s="23" cm="1">
        <f t="array" ref="O1551">WordListCount(K1551,keywords!$A$2:$A$31)-WordListCount(K1551,keywords!$B$2:$B$31)</f>
        <v>0</v>
      </c>
      <c r="P1551" s="25">
        <f t="shared" si="49"/>
        <v>0.70833333333333337</v>
      </c>
      <c r="Q1551" s="23">
        <f>SUM($O$2:O1551)</f>
        <v>31</v>
      </c>
      <c r="Y1551" s="14"/>
      <c r="Z1551" s="13"/>
      <c r="AA1551"/>
    </row>
    <row r="1552" spans="1:27" x14ac:dyDescent="0.2">
      <c r="A1552" s="12" t="s">
        <v>4846</v>
      </c>
      <c r="B1552" t="s">
        <v>4848</v>
      </c>
      <c r="C1552" t="s">
        <v>4849</v>
      </c>
      <c r="D1552" t="s">
        <v>4850</v>
      </c>
      <c r="E1552" t="s">
        <v>13</v>
      </c>
      <c r="F1552">
        <v>384</v>
      </c>
      <c r="G1552">
        <v>7</v>
      </c>
      <c r="H1552" s="5" t="s">
        <v>22</v>
      </c>
      <c r="I1552" s="5">
        <v>0</v>
      </c>
      <c r="J1552" s="5">
        <v>0</v>
      </c>
      <c r="K1552" t="s">
        <v>9476</v>
      </c>
      <c r="L1552" cm="1">
        <f t="array" ref="L1552">wordCount(K1552)</f>
        <v>8</v>
      </c>
      <c r="M1552">
        <f t="shared" si="48"/>
        <v>39</v>
      </c>
      <c r="N1552">
        <v>0.65217391304347827</v>
      </c>
      <c r="O1552" s="23" cm="1">
        <f t="array" ref="O1552">WordListCount(K1552,keywords!$A$2:$A$31)-WordListCount(K1552,keywords!$B$2:$B$31)</f>
        <v>0</v>
      </c>
      <c r="P1552" s="25">
        <f t="shared" si="49"/>
        <v>0.70834490740740741</v>
      </c>
      <c r="Q1552" s="23">
        <f>SUM($O$2:O1552)</f>
        <v>31</v>
      </c>
      <c r="Y1552" s="14"/>
      <c r="Z1552" s="13"/>
      <c r="AA1552"/>
    </row>
    <row r="1553" spans="1:27" x14ac:dyDescent="0.2">
      <c r="A1553" s="12" t="s">
        <v>4846</v>
      </c>
      <c r="B1553" t="s">
        <v>4851</v>
      </c>
      <c r="C1553" t="s">
        <v>596</v>
      </c>
      <c r="D1553" t="s">
        <v>597</v>
      </c>
      <c r="E1553" t="s">
        <v>13</v>
      </c>
      <c r="F1553">
        <v>997</v>
      </c>
      <c r="G1553">
        <v>1</v>
      </c>
      <c r="H1553" s="5" t="s">
        <v>382</v>
      </c>
      <c r="I1553" s="5">
        <v>0</v>
      </c>
      <c r="J1553" s="5">
        <v>0</v>
      </c>
      <c r="K1553" t="s">
        <v>9477</v>
      </c>
      <c r="L1553" cm="1">
        <f t="array" ref="L1553">wordCount(K1553)</f>
        <v>5</v>
      </c>
      <c r="M1553">
        <f t="shared" si="48"/>
        <v>30</v>
      </c>
      <c r="N1553">
        <v>0.8</v>
      </c>
      <c r="O1553" s="23" cm="1">
        <f t="array" ref="O1553">WordListCount(K1553,keywords!$A$2:$A$31)-WordListCount(K1553,keywords!$B$2:$B$31)</f>
        <v>0</v>
      </c>
      <c r="P1553" s="25">
        <f t="shared" si="49"/>
        <v>0.70834490740740741</v>
      </c>
      <c r="Q1553" s="23">
        <f>SUM($O$2:O1553)</f>
        <v>31</v>
      </c>
      <c r="Y1553" s="14"/>
      <c r="Z1553" s="13"/>
      <c r="AA1553"/>
    </row>
    <row r="1554" spans="1:27" x14ac:dyDescent="0.2">
      <c r="A1554" s="12" t="s">
        <v>4846</v>
      </c>
      <c r="B1554" t="s">
        <v>4847</v>
      </c>
      <c r="C1554" t="s">
        <v>1346</v>
      </c>
      <c r="D1554" t="s">
        <v>74</v>
      </c>
      <c r="E1554" t="s">
        <v>13</v>
      </c>
      <c r="F1554">
        <v>36</v>
      </c>
      <c r="G1554">
        <v>0</v>
      </c>
      <c r="H1554" s="5" t="s">
        <v>22</v>
      </c>
      <c r="I1554" s="5">
        <v>0</v>
      </c>
      <c r="J1554" s="5">
        <v>0</v>
      </c>
      <c r="K1554" t="s">
        <v>9475</v>
      </c>
      <c r="L1554" cm="1">
        <f t="array" ref="L1554">wordCount(K1554)</f>
        <v>13</v>
      </c>
      <c r="M1554">
        <f t="shared" si="48"/>
        <v>65</v>
      </c>
      <c r="N1554">
        <v>8.3333333333333329E-2</v>
      </c>
      <c r="O1554" s="23" cm="1">
        <f t="array" ref="O1554">WordListCount(K1554,keywords!$A$2:$A$31)-WordListCount(K1554,keywords!$B$2:$B$31)</f>
        <v>0</v>
      </c>
      <c r="P1554" s="25">
        <f t="shared" si="49"/>
        <v>0.70834490740740741</v>
      </c>
      <c r="Q1554" s="23">
        <f>SUM($O$2:O1554)</f>
        <v>31</v>
      </c>
      <c r="Y1554" s="14"/>
      <c r="Z1554" s="13"/>
      <c r="AA1554"/>
    </row>
    <row r="1555" spans="1:27" x14ac:dyDescent="0.2">
      <c r="A1555" s="12" t="s">
        <v>4852</v>
      </c>
      <c r="B1555" t="s">
        <v>4854</v>
      </c>
      <c r="C1555" t="s">
        <v>589</v>
      </c>
      <c r="D1555" t="s">
        <v>590</v>
      </c>
      <c r="E1555" t="s">
        <v>13</v>
      </c>
      <c r="F1555">
        <v>385</v>
      </c>
      <c r="G1555">
        <v>72</v>
      </c>
      <c r="H1555" s="5" t="s">
        <v>22</v>
      </c>
      <c r="I1555" s="5">
        <v>0</v>
      </c>
      <c r="J1555" s="5">
        <v>0</v>
      </c>
      <c r="K1555" t="s">
        <v>10906</v>
      </c>
      <c r="L1555" cm="1">
        <f t="array" ref="L1555">wordCount(K1555)</f>
        <v>9</v>
      </c>
      <c r="M1555">
        <f t="shared" si="48"/>
        <v>56</v>
      </c>
      <c r="N1555">
        <v>0.81818181818181823</v>
      </c>
      <c r="O1555" s="23" cm="1">
        <f t="array" ref="O1555">WordListCount(K1555,keywords!$A$2:$A$31)-WordListCount(K1555,keywords!$B$2:$B$31)</f>
        <v>0</v>
      </c>
      <c r="P1555" s="25">
        <f t="shared" si="49"/>
        <v>0.70835648148148145</v>
      </c>
      <c r="Q1555" s="23">
        <f>SUM($O$2:O1555)</f>
        <v>31</v>
      </c>
      <c r="Y1555" s="14"/>
      <c r="Z1555" s="13"/>
      <c r="AA1555"/>
    </row>
    <row r="1556" spans="1:27" x14ac:dyDescent="0.2">
      <c r="A1556" s="12" t="s">
        <v>4852</v>
      </c>
      <c r="B1556" t="s">
        <v>4853</v>
      </c>
      <c r="C1556" t="s">
        <v>599</v>
      </c>
      <c r="D1556" t="s">
        <v>74</v>
      </c>
      <c r="E1556" t="s">
        <v>13</v>
      </c>
      <c r="F1556">
        <v>580</v>
      </c>
      <c r="G1556">
        <v>0</v>
      </c>
      <c r="H1556" s="5" t="s">
        <v>22</v>
      </c>
      <c r="I1556" s="5">
        <v>0</v>
      </c>
      <c r="J1556" s="5">
        <v>0</v>
      </c>
      <c r="K1556" t="s">
        <v>10905</v>
      </c>
      <c r="L1556" cm="1">
        <f t="array" ref="L1556">wordCount(K1556)</f>
        <v>11</v>
      </c>
      <c r="M1556">
        <f t="shared" si="48"/>
        <v>64</v>
      </c>
      <c r="N1556">
        <v>0.84615384615384615</v>
      </c>
      <c r="O1556" s="23" cm="1">
        <f t="array" ref="O1556">WordListCount(K1556,keywords!$A$2:$A$31)-WordListCount(K1556,keywords!$B$2:$B$31)</f>
        <v>0</v>
      </c>
      <c r="P1556" s="25">
        <f t="shared" si="49"/>
        <v>0.70835648148148145</v>
      </c>
      <c r="Q1556" s="23">
        <f>SUM($O$2:O1556)</f>
        <v>31</v>
      </c>
      <c r="Y1556" s="14"/>
      <c r="Z1556" s="13"/>
      <c r="AA1556"/>
    </row>
    <row r="1557" spans="1:27" x14ac:dyDescent="0.2">
      <c r="A1557" s="12" t="s">
        <v>4852</v>
      </c>
      <c r="B1557" t="s">
        <v>4855</v>
      </c>
      <c r="C1557" t="s">
        <v>306</v>
      </c>
      <c r="D1557" t="s">
        <v>307</v>
      </c>
      <c r="E1557" t="s">
        <v>13</v>
      </c>
      <c r="F1557">
        <v>228</v>
      </c>
      <c r="G1557">
        <v>1</v>
      </c>
      <c r="H1557" s="5" t="s">
        <v>22</v>
      </c>
      <c r="I1557" s="5">
        <v>0</v>
      </c>
      <c r="J1557" s="5">
        <v>0</v>
      </c>
      <c r="K1557" t="s">
        <v>9478</v>
      </c>
      <c r="L1557" cm="1">
        <f t="array" ref="L1557">wordCount(K1557)</f>
        <v>7</v>
      </c>
      <c r="M1557">
        <f t="shared" si="48"/>
        <v>105</v>
      </c>
      <c r="N1557">
        <v>0.53846153846153844</v>
      </c>
      <c r="O1557" s="23" cm="1">
        <f t="array" ref="O1557">WordListCount(K1557,keywords!$A$2:$A$31)-WordListCount(K1557,keywords!$B$2:$B$31)</f>
        <v>0</v>
      </c>
      <c r="P1557" s="25">
        <f t="shared" si="49"/>
        <v>0.70835648148148145</v>
      </c>
      <c r="Q1557" s="23">
        <f>SUM($O$2:O1557)</f>
        <v>31</v>
      </c>
      <c r="Y1557" s="14"/>
      <c r="Z1557" s="13"/>
      <c r="AA1557"/>
    </row>
    <row r="1558" spans="1:27" x14ac:dyDescent="0.2">
      <c r="A1558" s="12" t="s">
        <v>4858</v>
      </c>
      <c r="B1558" t="s">
        <v>4859</v>
      </c>
      <c r="C1558" t="s">
        <v>4860</v>
      </c>
      <c r="D1558" t="s">
        <v>3270</v>
      </c>
      <c r="E1558" t="s">
        <v>13</v>
      </c>
      <c r="F1558">
        <v>376</v>
      </c>
      <c r="G1558">
        <v>1085</v>
      </c>
      <c r="H1558" s="5" t="s">
        <v>59</v>
      </c>
      <c r="I1558" s="5">
        <v>0</v>
      </c>
      <c r="J1558" s="5">
        <v>0</v>
      </c>
      <c r="K1558" t="s">
        <v>11710</v>
      </c>
      <c r="L1558" cm="1">
        <f t="array" ref="L1558">wordCount(K1558)</f>
        <v>12</v>
      </c>
      <c r="M1558">
        <f t="shared" si="48"/>
        <v>59</v>
      </c>
      <c r="N1558">
        <v>0.56000000000000005</v>
      </c>
      <c r="O1558" s="23" cm="1">
        <f t="array" ref="O1558">WordListCount(K1558,keywords!$A$2:$A$31)-WordListCount(K1558,keywords!$B$2:$B$31)</f>
        <v>0</v>
      </c>
      <c r="P1558" s="25">
        <f t="shared" si="49"/>
        <v>0.70836805555555549</v>
      </c>
      <c r="Q1558" s="23">
        <f>SUM($O$2:O1558)</f>
        <v>31</v>
      </c>
      <c r="Y1558" s="14"/>
      <c r="Z1558" s="13"/>
      <c r="AA1558"/>
    </row>
    <row r="1559" spans="1:27" x14ac:dyDescent="0.2">
      <c r="A1559" s="12" t="s">
        <v>4856</v>
      </c>
      <c r="B1559" t="s">
        <v>4857</v>
      </c>
      <c r="C1559" t="s">
        <v>604</v>
      </c>
      <c r="D1559" t="s">
        <v>605</v>
      </c>
      <c r="E1559" t="s">
        <v>13</v>
      </c>
      <c r="F1559">
        <v>168</v>
      </c>
      <c r="G1559">
        <v>115</v>
      </c>
      <c r="H1559" s="5" t="s">
        <v>22</v>
      </c>
      <c r="I1559" s="5">
        <v>0</v>
      </c>
      <c r="J1559" s="5">
        <v>0</v>
      </c>
      <c r="K1559" t="s">
        <v>10907</v>
      </c>
      <c r="L1559" cm="1">
        <f t="array" ref="L1559">wordCount(K1559)</f>
        <v>13</v>
      </c>
      <c r="M1559">
        <f t="shared" si="48"/>
        <v>68</v>
      </c>
      <c r="N1559">
        <v>0.75</v>
      </c>
      <c r="O1559" s="23" cm="1">
        <f t="array" ref="O1559">WordListCount(K1559,keywords!$A$2:$A$31)-WordListCount(K1559,keywords!$B$2:$B$31)</f>
        <v>0</v>
      </c>
      <c r="P1559" s="25">
        <f t="shared" si="49"/>
        <v>0.70840277777777771</v>
      </c>
      <c r="Q1559" s="23">
        <f>SUM($O$2:O1559)</f>
        <v>31</v>
      </c>
      <c r="Y1559" s="14"/>
      <c r="Z1559" s="13"/>
      <c r="AA1559"/>
    </row>
    <row r="1560" spans="1:27" x14ac:dyDescent="0.2">
      <c r="A1560" s="12" t="s">
        <v>4861</v>
      </c>
      <c r="B1560" t="s">
        <v>2946</v>
      </c>
      <c r="C1560" t="s">
        <v>4862</v>
      </c>
      <c r="D1560" t="s">
        <v>3694</v>
      </c>
      <c r="E1560" t="s">
        <v>13</v>
      </c>
      <c r="F1560">
        <v>268</v>
      </c>
      <c r="G1560">
        <v>52</v>
      </c>
      <c r="H1560" s="5" t="s">
        <v>22</v>
      </c>
      <c r="I1560" s="5">
        <v>0</v>
      </c>
      <c r="J1560" s="5">
        <v>0</v>
      </c>
      <c r="K1560" t="s">
        <v>10480</v>
      </c>
      <c r="L1560" cm="1">
        <f t="array" ref="L1560">wordCount(K1560)</f>
        <v>22</v>
      </c>
      <c r="M1560">
        <f t="shared" si="48"/>
        <v>115</v>
      </c>
      <c r="N1560">
        <v>1</v>
      </c>
      <c r="O1560" s="23" cm="1">
        <f t="array" ref="O1560">WordListCount(K1560,keywords!$A$2:$A$31)-WordListCount(K1560,keywords!$B$2:$B$31)</f>
        <v>0</v>
      </c>
      <c r="P1560" s="25">
        <f t="shared" si="49"/>
        <v>0.70847222222222228</v>
      </c>
      <c r="Q1560" s="23">
        <f>SUM($O$2:O1560)</f>
        <v>31</v>
      </c>
      <c r="Y1560" s="14"/>
      <c r="Z1560" s="13"/>
      <c r="AA1560"/>
    </row>
    <row r="1561" spans="1:27" x14ac:dyDescent="0.2">
      <c r="A1561" s="12" t="s">
        <v>4863</v>
      </c>
      <c r="B1561" t="s">
        <v>4864</v>
      </c>
      <c r="C1561" t="s">
        <v>617</v>
      </c>
      <c r="D1561" t="s">
        <v>12</v>
      </c>
      <c r="E1561" t="s">
        <v>13</v>
      </c>
      <c r="F1561">
        <v>8725</v>
      </c>
      <c r="G1561">
        <v>268</v>
      </c>
      <c r="H1561" s="5" t="s">
        <v>22</v>
      </c>
      <c r="I1561" s="5">
        <v>0</v>
      </c>
      <c r="J1561" s="5">
        <v>0</v>
      </c>
      <c r="K1561" t="s">
        <v>10908</v>
      </c>
      <c r="L1561" cm="1">
        <f t="array" ref="L1561">wordCount(K1561)</f>
        <v>14</v>
      </c>
      <c r="M1561">
        <f t="shared" si="48"/>
        <v>101</v>
      </c>
      <c r="N1561">
        <v>0.8571428571428571</v>
      </c>
      <c r="O1561" s="23" cm="1">
        <f t="array" ref="O1561">WordListCount(K1561,keywords!$A$2:$A$31)-WordListCount(K1561,keywords!$B$2:$B$31)</f>
        <v>0</v>
      </c>
      <c r="P1561" s="25">
        <f t="shared" si="49"/>
        <v>0.70849537037037036</v>
      </c>
      <c r="Q1561" s="23">
        <f>SUM($O$2:O1561)</f>
        <v>31</v>
      </c>
      <c r="Y1561" s="14"/>
      <c r="Z1561" s="13"/>
      <c r="AA1561"/>
    </row>
    <row r="1562" spans="1:27" x14ac:dyDescent="0.2">
      <c r="A1562" s="12" t="s">
        <v>4865</v>
      </c>
      <c r="B1562" t="s">
        <v>4866</v>
      </c>
      <c r="C1562" t="s">
        <v>4059</v>
      </c>
      <c r="D1562" t="s">
        <v>12</v>
      </c>
      <c r="E1562" t="s">
        <v>13</v>
      </c>
      <c r="F1562">
        <v>365</v>
      </c>
      <c r="G1562">
        <v>454</v>
      </c>
      <c r="H1562" s="5" t="s">
        <v>22</v>
      </c>
      <c r="I1562" s="5">
        <v>0</v>
      </c>
      <c r="J1562" s="5">
        <v>0</v>
      </c>
      <c r="K1562" t="s">
        <v>9479</v>
      </c>
      <c r="L1562" cm="1">
        <f t="array" ref="L1562">wordCount(K1562)</f>
        <v>15</v>
      </c>
      <c r="M1562">
        <f t="shared" si="48"/>
        <v>94</v>
      </c>
      <c r="N1562">
        <v>0.5</v>
      </c>
      <c r="O1562" s="23" cm="1">
        <f t="array" ref="O1562">WordListCount(K1562,keywords!$A$2:$A$31)-WordListCount(K1562,keywords!$B$2:$B$31)</f>
        <v>0</v>
      </c>
      <c r="P1562" s="25">
        <f t="shared" si="49"/>
        <v>0.70851851851851855</v>
      </c>
      <c r="Q1562" s="23">
        <f>SUM($O$2:O1562)</f>
        <v>31</v>
      </c>
      <c r="Y1562" s="14"/>
      <c r="Z1562" s="13"/>
      <c r="AA1562"/>
    </row>
    <row r="1563" spans="1:27" x14ac:dyDescent="0.2">
      <c r="A1563" s="12" t="s">
        <v>4867</v>
      </c>
      <c r="B1563" t="s">
        <v>4868</v>
      </c>
      <c r="C1563" t="s">
        <v>4869</v>
      </c>
      <c r="D1563" t="s">
        <v>12</v>
      </c>
      <c r="E1563" t="s">
        <v>13</v>
      </c>
      <c r="F1563">
        <v>438</v>
      </c>
      <c r="G1563">
        <v>41</v>
      </c>
      <c r="H1563" s="5" t="s">
        <v>22</v>
      </c>
      <c r="I1563" s="5">
        <v>0</v>
      </c>
      <c r="J1563" s="5">
        <v>0</v>
      </c>
      <c r="K1563" t="s">
        <v>10909</v>
      </c>
      <c r="L1563" cm="1">
        <f t="array" ref="L1563">wordCount(K1563)</f>
        <v>10</v>
      </c>
      <c r="M1563">
        <f t="shared" si="48"/>
        <v>49</v>
      </c>
      <c r="N1563">
        <v>0.36363636363636365</v>
      </c>
      <c r="O1563" s="23" cm="1">
        <f t="array" ref="O1563">WordListCount(K1563,keywords!$A$2:$A$31)-WordListCount(K1563,keywords!$B$2:$B$31)</f>
        <v>0</v>
      </c>
      <c r="P1563" s="25">
        <f t="shared" si="49"/>
        <v>0.70868055555555554</v>
      </c>
      <c r="Q1563" s="23">
        <f>SUM($O$2:O1563)</f>
        <v>31</v>
      </c>
      <c r="Y1563" s="14"/>
      <c r="Z1563" s="13"/>
      <c r="AA1563"/>
    </row>
    <row r="1564" spans="1:27" x14ac:dyDescent="0.2">
      <c r="A1564" s="12" t="s">
        <v>4870</v>
      </c>
      <c r="B1564" t="s">
        <v>4871</v>
      </c>
      <c r="C1564" t="s">
        <v>631</v>
      </c>
      <c r="D1564" t="s">
        <v>12</v>
      </c>
      <c r="E1564" t="s">
        <v>13</v>
      </c>
      <c r="F1564">
        <v>93</v>
      </c>
      <c r="G1564">
        <v>2</v>
      </c>
      <c r="H1564" s="5" t="s">
        <v>86</v>
      </c>
      <c r="I1564" s="5">
        <v>0</v>
      </c>
      <c r="J1564" s="5">
        <v>0</v>
      </c>
      <c r="K1564" t="s">
        <v>9480</v>
      </c>
      <c r="L1564" cm="1">
        <f t="array" ref="L1564">wordCount(K1564)</f>
        <v>8</v>
      </c>
      <c r="M1564">
        <f t="shared" si="48"/>
        <v>43</v>
      </c>
      <c r="N1564">
        <v>0.77777777777777779</v>
      </c>
      <c r="O1564" s="23" cm="1">
        <f t="array" ref="O1564">WordListCount(K1564,keywords!$A$2:$A$31)-WordListCount(K1564,keywords!$B$2:$B$31)</f>
        <v>0</v>
      </c>
      <c r="P1564" s="25">
        <f t="shared" si="49"/>
        <v>0.70869212962962969</v>
      </c>
      <c r="Q1564" s="23">
        <f>SUM($O$2:O1564)</f>
        <v>31</v>
      </c>
      <c r="Y1564" s="14"/>
      <c r="Z1564" s="13"/>
      <c r="AA1564"/>
    </row>
    <row r="1565" spans="1:27" x14ac:dyDescent="0.2">
      <c r="A1565" s="12" t="s">
        <v>4872</v>
      </c>
      <c r="B1565" t="s">
        <v>4873</v>
      </c>
      <c r="C1565" t="s">
        <v>4874</v>
      </c>
      <c r="D1565" t="s">
        <v>2130</v>
      </c>
      <c r="E1565" t="s">
        <v>13</v>
      </c>
      <c r="F1565">
        <v>64</v>
      </c>
      <c r="G1565">
        <v>274</v>
      </c>
      <c r="H1565" s="5" t="s">
        <v>22</v>
      </c>
      <c r="I1565" s="5">
        <v>0</v>
      </c>
      <c r="J1565" s="5">
        <v>0</v>
      </c>
      <c r="K1565" t="s">
        <v>9481</v>
      </c>
      <c r="L1565" cm="1">
        <f t="array" ref="L1565">wordCount(K1565)</f>
        <v>7</v>
      </c>
      <c r="M1565">
        <f t="shared" si="48"/>
        <v>40</v>
      </c>
      <c r="N1565">
        <v>0.92307692307692313</v>
      </c>
      <c r="O1565" s="23" cm="1">
        <f t="array" ref="O1565">WordListCount(K1565,keywords!$A$2:$A$31)-WordListCount(K1565,keywords!$B$2:$B$31)</f>
        <v>0</v>
      </c>
      <c r="P1565" s="25">
        <f t="shared" si="49"/>
        <v>0.70900462962962962</v>
      </c>
      <c r="Q1565" s="23">
        <f>SUM($O$2:O1565)</f>
        <v>31</v>
      </c>
      <c r="Y1565" s="14"/>
      <c r="Z1565" s="13"/>
      <c r="AA1565"/>
    </row>
    <row r="1566" spans="1:27" x14ac:dyDescent="0.2">
      <c r="A1566" s="12" t="s">
        <v>4875</v>
      </c>
      <c r="B1566" t="s">
        <v>4876</v>
      </c>
      <c r="C1566" t="s">
        <v>2163</v>
      </c>
      <c r="D1566" t="s">
        <v>12</v>
      </c>
      <c r="E1566" t="s">
        <v>13</v>
      </c>
      <c r="F1566">
        <v>30</v>
      </c>
      <c r="G1566">
        <v>11</v>
      </c>
      <c r="H1566" s="5" t="s">
        <v>22</v>
      </c>
      <c r="I1566" s="5">
        <v>0</v>
      </c>
      <c r="J1566" s="5">
        <v>0</v>
      </c>
      <c r="K1566" t="s">
        <v>10910</v>
      </c>
      <c r="L1566" cm="1">
        <f t="array" ref="L1566">wordCount(K1566)</f>
        <v>9</v>
      </c>
      <c r="M1566">
        <f t="shared" si="48"/>
        <v>41</v>
      </c>
      <c r="N1566">
        <v>0.66666666666666663</v>
      </c>
      <c r="O1566" s="23" cm="1">
        <f t="array" ref="O1566">WordListCount(K1566,keywords!$A$2:$A$31)-WordListCount(K1566,keywords!$B$2:$B$31)</f>
        <v>0</v>
      </c>
      <c r="P1566" s="25">
        <f t="shared" si="49"/>
        <v>0.70907407407407408</v>
      </c>
      <c r="Q1566" s="23">
        <f>SUM($O$2:O1566)</f>
        <v>31</v>
      </c>
      <c r="Y1566" s="14"/>
      <c r="Z1566" s="13"/>
      <c r="AA1566"/>
    </row>
    <row r="1567" spans="1:27" x14ac:dyDescent="0.2">
      <c r="A1567" s="12" t="s">
        <v>4875</v>
      </c>
      <c r="B1567" t="s">
        <v>4877</v>
      </c>
      <c r="C1567" t="s">
        <v>4878</v>
      </c>
      <c r="D1567" t="s">
        <v>4879</v>
      </c>
      <c r="E1567" t="s">
        <v>13</v>
      </c>
      <c r="F1567">
        <v>244</v>
      </c>
      <c r="G1567">
        <v>240</v>
      </c>
      <c r="H1567" s="5" t="s">
        <v>22</v>
      </c>
      <c r="I1567" s="5">
        <v>0</v>
      </c>
      <c r="J1567" s="5">
        <v>0</v>
      </c>
      <c r="K1567" t="s">
        <v>9482</v>
      </c>
      <c r="L1567" cm="1">
        <f t="array" ref="L1567">wordCount(K1567)</f>
        <v>6</v>
      </c>
      <c r="M1567">
        <f t="shared" si="48"/>
        <v>28</v>
      </c>
      <c r="N1567">
        <v>0.77777777777777779</v>
      </c>
      <c r="O1567" s="23" cm="1">
        <f t="array" ref="O1567">WordListCount(K1567,keywords!$A$2:$A$31)-WordListCount(K1567,keywords!$B$2:$B$31)</f>
        <v>0</v>
      </c>
      <c r="P1567" s="25">
        <f t="shared" si="49"/>
        <v>0.70907407407407408</v>
      </c>
      <c r="Q1567" s="23">
        <f>SUM($O$2:O1567)</f>
        <v>31</v>
      </c>
      <c r="Y1567" s="14"/>
      <c r="Z1567" s="13"/>
      <c r="AA1567"/>
    </row>
    <row r="1568" spans="1:27" x14ac:dyDescent="0.2">
      <c r="A1568" s="12" t="s">
        <v>4880</v>
      </c>
      <c r="B1568" t="s">
        <v>4881</v>
      </c>
      <c r="C1568" t="s">
        <v>4882</v>
      </c>
      <c r="D1568" t="s">
        <v>1479</v>
      </c>
      <c r="E1568" t="s">
        <v>13</v>
      </c>
      <c r="F1568">
        <v>70</v>
      </c>
      <c r="G1568">
        <v>372</v>
      </c>
      <c r="H1568" s="5" t="s">
        <v>22</v>
      </c>
      <c r="I1568" s="5">
        <v>0</v>
      </c>
      <c r="J1568" s="5">
        <v>0</v>
      </c>
      <c r="K1568" t="s">
        <v>10911</v>
      </c>
      <c r="L1568" cm="1">
        <f t="array" ref="L1568">wordCount(K1568)</f>
        <v>17</v>
      </c>
      <c r="M1568">
        <f t="shared" si="48"/>
        <v>97</v>
      </c>
      <c r="N1568">
        <v>0.48275862068965519</v>
      </c>
      <c r="O1568" s="23" cm="1">
        <f t="array" ref="O1568">WordListCount(K1568,keywords!$A$2:$A$31)-WordListCount(K1568,keywords!$B$2:$B$31)</f>
        <v>0</v>
      </c>
      <c r="P1568" s="25">
        <f t="shared" si="49"/>
        <v>0.70918981481481491</v>
      </c>
      <c r="Q1568" s="23">
        <f>SUM($O$2:O1568)</f>
        <v>31</v>
      </c>
      <c r="Y1568" s="14"/>
      <c r="Z1568" s="13"/>
      <c r="AA1568"/>
    </row>
    <row r="1569" spans="1:27" x14ac:dyDescent="0.2">
      <c r="A1569" s="12" t="s">
        <v>4883</v>
      </c>
      <c r="B1569" t="s">
        <v>4884</v>
      </c>
      <c r="C1569" t="s">
        <v>713</v>
      </c>
      <c r="D1569" t="s">
        <v>714</v>
      </c>
      <c r="E1569" t="s">
        <v>13</v>
      </c>
      <c r="F1569">
        <v>4758</v>
      </c>
      <c r="G1569">
        <v>3442</v>
      </c>
      <c r="H1569" s="5" t="s">
        <v>22</v>
      </c>
      <c r="I1569" s="5">
        <v>0</v>
      </c>
      <c r="J1569" s="5">
        <v>0</v>
      </c>
      <c r="K1569" t="s">
        <v>9486</v>
      </c>
      <c r="L1569" cm="1">
        <f t="array" ref="L1569">wordCount(K1569)</f>
        <v>6</v>
      </c>
      <c r="M1569">
        <f t="shared" si="48"/>
        <v>36</v>
      </c>
      <c r="N1569">
        <v>0.88888888888888884</v>
      </c>
      <c r="O1569" s="23" cm="1">
        <f t="array" ref="O1569">WordListCount(K1569,keywords!$A$2:$A$31)-WordListCount(K1569,keywords!$B$2:$B$31)</f>
        <v>0</v>
      </c>
      <c r="P1569" s="25">
        <f t="shared" si="49"/>
        <v>0.70921296296296299</v>
      </c>
      <c r="Q1569" s="23">
        <f>SUM($O$2:O1569)</f>
        <v>31</v>
      </c>
      <c r="Y1569" s="14"/>
      <c r="Z1569" s="13"/>
      <c r="AA1569"/>
    </row>
    <row r="1570" spans="1:27" x14ac:dyDescent="0.2">
      <c r="A1570" s="12" t="s">
        <v>4885</v>
      </c>
      <c r="B1570" t="s">
        <v>4886</v>
      </c>
      <c r="C1570" t="s">
        <v>2888</v>
      </c>
      <c r="D1570" t="s">
        <v>112</v>
      </c>
      <c r="E1570" t="s">
        <v>13</v>
      </c>
      <c r="F1570">
        <v>84</v>
      </c>
      <c r="G1570">
        <v>57</v>
      </c>
      <c r="H1570" s="5" t="s">
        <v>22</v>
      </c>
      <c r="I1570" s="5">
        <v>0</v>
      </c>
      <c r="J1570" s="5">
        <v>0</v>
      </c>
      <c r="K1570" t="s">
        <v>9483</v>
      </c>
      <c r="L1570" cm="1">
        <f t="array" ref="L1570">wordCount(K1570)</f>
        <v>3</v>
      </c>
      <c r="M1570">
        <f t="shared" si="48"/>
        <v>17</v>
      </c>
      <c r="N1570">
        <v>0.4</v>
      </c>
      <c r="O1570" s="23" cm="1">
        <f t="array" ref="O1570">WordListCount(K1570,keywords!$A$2:$A$31)-WordListCount(K1570,keywords!$B$2:$B$31)</f>
        <v>-1</v>
      </c>
      <c r="P1570" s="25">
        <f t="shared" si="49"/>
        <v>0.70928240740740733</v>
      </c>
      <c r="Q1570" s="23">
        <f>SUM($O$2:O1570)</f>
        <v>30</v>
      </c>
      <c r="Y1570" s="14"/>
      <c r="Z1570" s="13"/>
      <c r="AA1570"/>
    </row>
    <row r="1571" spans="1:27" x14ac:dyDescent="0.2">
      <c r="A1571" s="12" t="s">
        <v>4887</v>
      </c>
      <c r="B1571" t="s">
        <v>4888</v>
      </c>
      <c r="C1571" t="s">
        <v>21</v>
      </c>
      <c r="D1571" t="s">
        <v>12</v>
      </c>
      <c r="E1571" t="s">
        <v>13</v>
      </c>
      <c r="F1571">
        <v>44</v>
      </c>
      <c r="G1571">
        <v>9</v>
      </c>
      <c r="H1571" s="5" t="s">
        <v>22</v>
      </c>
      <c r="I1571" s="5">
        <v>0</v>
      </c>
      <c r="J1571" s="5">
        <v>0</v>
      </c>
      <c r="K1571" t="s">
        <v>9484</v>
      </c>
      <c r="L1571" cm="1">
        <f t="array" ref="L1571">wordCount(K1571)</f>
        <v>5</v>
      </c>
      <c r="M1571">
        <f t="shared" si="48"/>
        <v>28</v>
      </c>
      <c r="N1571">
        <v>0.83333333333333337</v>
      </c>
      <c r="O1571" s="23" cm="1">
        <f t="array" ref="O1571">WordListCount(K1571,keywords!$A$2:$A$31)-WordListCount(K1571,keywords!$B$2:$B$31)</f>
        <v>0</v>
      </c>
      <c r="P1571" s="25">
        <f t="shared" si="49"/>
        <v>0.70934027777777775</v>
      </c>
      <c r="Q1571" s="23">
        <f>SUM($O$2:O1571)</f>
        <v>30</v>
      </c>
      <c r="Y1571" s="14"/>
      <c r="Z1571" s="13"/>
      <c r="AA1571"/>
    </row>
    <row r="1572" spans="1:27" x14ac:dyDescent="0.2">
      <c r="A1572" s="12" t="s">
        <v>4889</v>
      </c>
      <c r="B1572" t="s">
        <v>4890</v>
      </c>
      <c r="C1572" t="s">
        <v>4891</v>
      </c>
      <c r="D1572" t="s">
        <v>344</v>
      </c>
      <c r="E1572" t="s">
        <v>13</v>
      </c>
      <c r="F1572">
        <v>15</v>
      </c>
      <c r="G1572">
        <v>59</v>
      </c>
      <c r="H1572" s="5" t="s">
        <v>22</v>
      </c>
      <c r="I1572" s="5">
        <v>0</v>
      </c>
      <c r="J1572" s="5">
        <v>0</v>
      </c>
      <c r="K1572" t="s">
        <v>10912</v>
      </c>
      <c r="L1572" cm="1">
        <f t="array" ref="L1572">wordCount(K1572)</f>
        <v>24</v>
      </c>
      <c r="M1572">
        <f t="shared" si="48"/>
        <v>123</v>
      </c>
      <c r="N1572">
        <v>0.47499999999999998</v>
      </c>
      <c r="O1572" s="23" cm="1">
        <f t="array" ref="O1572">WordListCount(K1572,keywords!$A$2:$A$31)-WordListCount(K1572,keywords!$B$2:$B$31)</f>
        <v>0</v>
      </c>
      <c r="P1572" s="25">
        <f t="shared" si="49"/>
        <v>0.70939814814814817</v>
      </c>
      <c r="Q1572" s="23">
        <f>SUM($O$2:O1572)</f>
        <v>30</v>
      </c>
      <c r="Y1572" s="14"/>
      <c r="Z1572" s="13"/>
      <c r="AA1572"/>
    </row>
    <row r="1573" spans="1:27" x14ac:dyDescent="0.2">
      <c r="A1573" s="12" t="s">
        <v>4892</v>
      </c>
      <c r="B1573" t="s">
        <v>4893</v>
      </c>
      <c r="C1573" t="s">
        <v>1355</v>
      </c>
      <c r="D1573" t="s">
        <v>1356</v>
      </c>
      <c r="E1573" t="s">
        <v>13</v>
      </c>
      <c r="F1573">
        <v>64</v>
      </c>
      <c r="G1573">
        <v>34</v>
      </c>
      <c r="H1573" s="5" t="s">
        <v>382</v>
      </c>
      <c r="I1573" s="5">
        <v>0</v>
      </c>
      <c r="J1573" s="5">
        <v>0</v>
      </c>
      <c r="K1573" t="s">
        <v>9485</v>
      </c>
      <c r="L1573" cm="1">
        <f t="array" ref="L1573">wordCount(K1573)</f>
        <v>3</v>
      </c>
      <c r="M1573">
        <f t="shared" si="48"/>
        <v>17</v>
      </c>
      <c r="N1573">
        <v>0.6</v>
      </c>
      <c r="O1573" s="23" cm="1">
        <f t="array" ref="O1573">WordListCount(K1573,keywords!$A$2:$A$31)-WordListCount(K1573,keywords!$B$2:$B$31)</f>
        <v>0</v>
      </c>
      <c r="P1573" s="25">
        <f t="shared" si="49"/>
        <v>0.70951388888888889</v>
      </c>
      <c r="Q1573" s="23">
        <f>SUM($O$2:O1573)</f>
        <v>30</v>
      </c>
      <c r="Y1573" s="14"/>
      <c r="Z1573" s="13"/>
      <c r="AA1573"/>
    </row>
    <row r="1574" spans="1:27" x14ac:dyDescent="0.2">
      <c r="A1574" s="12" t="s">
        <v>4894</v>
      </c>
      <c r="B1574" t="s">
        <v>4895</v>
      </c>
      <c r="C1574" t="s">
        <v>4896</v>
      </c>
      <c r="D1574" t="s">
        <v>12</v>
      </c>
      <c r="E1574" t="s">
        <v>13</v>
      </c>
      <c r="F1574">
        <v>57</v>
      </c>
      <c r="G1574">
        <v>102</v>
      </c>
      <c r="H1574" s="5" t="s">
        <v>22</v>
      </c>
      <c r="I1574" s="5">
        <v>0</v>
      </c>
      <c r="J1574" s="5">
        <v>0</v>
      </c>
      <c r="K1574" t="s">
        <v>9047</v>
      </c>
      <c r="L1574" cm="1">
        <f t="array" ref="L1574">wordCount(K1574)</f>
        <v>1</v>
      </c>
      <c r="M1574">
        <f t="shared" si="48"/>
        <v>7</v>
      </c>
      <c r="N1574">
        <v>0.5</v>
      </c>
      <c r="O1574" s="23" cm="1">
        <f t="array" ref="O1574">WordListCount(K1574,keywords!$A$2:$A$31)-WordListCount(K1574,keywords!$B$2:$B$31)</f>
        <v>0</v>
      </c>
      <c r="P1574" s="25">
        <f t="shared" si="49"/>
        <v>0.70953703703703708</v>
      </c>
      <c r="Q1574" s="23">
        <f>SUM($O$2:O1574)</f>
        <v>30</v>
      </c>
      <c r="Y1574" s="14"/>
      <c r="Z1574" s="13"/>
      <c r="AA1574"/>
    </row>
    <row r="1575" spans="1:27" x14ac:dyDescent="0.2">
      <c r="A1575" s="12" t="s">
        <v>4897</v>
      </c>
      <c r="B1575" t="s">
        <v>4898</v>
      </c>
      <c r="C1575" t="s">
        <v>73</v>
      </c>
      <c r="D1575" t="s">
        <v>74</v>
      </c>
      <c r="E1575" t="s">
        <v>13</v>
      </c>
      <c r="F1575">
        <v>87</v>
      </c>
      <c r="G1575">
        <v>237</v>
      </c>
      <c r="H1575" s="5" t="s">
        <v>22</v>
      </c>
      <c r="I1575" s="5">
        <v>0</v>
      </c>
      <c r="J1575" s="5">
        <v>0</v>
      </c>
      <c r="K1575" t="s">
        <v>9404</v>
      </c>
      <c r="L1575" cm="1">
        <f t="array" ref="L1575">wordCount(K1575)</f>
        <v>7</v>
      </c>
      <c r="M1575">
        <f t="shared" si="48"/>
        <v>37</v>
      </c>
      <c r="N1575">
        <v>1</v>
      </c>
      <c r="O1575" s="23" cm="1">
        <f t="array" ref="O1575">WordListCount(K1575,keywords!$A$2:$A$31)-WordListCount(K1575,keywords!$B$2:$B$31)</f>
        <v>0</v>
      </c>
      <c r="P1575" s="25">
        <f t="shared" si="49"/>
        <v>0.70958333333333334</v>
      </c>
      <c r="Q1575" s="23">
        <f>SUM($O$2:O1575)</f>
        <v>30</v>
      </c>
      <c r="Y1575" s="14"/>
      <c r="Z1575" s="13"/>
      <c r="AA1575"/>
    </row>
    <row r="1576" spans="1:27" x14ac:dyDescent="0.2">
      <c r="A1576" s="12" t="s">
        <v>4899</v>
      </c>
      <c r="B1576" t="s">
        <v>4900</v>
      </c>
      <c r="C1576" t="s">
        <v>4901</v>
      </c>
      <c r="D1576" t="s">
        <v>2300</v>
      </c>
      <c r="E1576" t="s">
        <v>13</v>
      </c>
      <c r="F1576">
        <v>3542</v>
      </c>
      <c r="G1576">
        <v>3480</v>
      </c>
      <c r="H1576" s="5" t="s">
        <v>22</v>
      </c>
      <c r="I1576" s="5">
        <v>0</v>
      </c>
      <c r="J1576" s="5">
        <v>0</v>
      </c>
      <c r="K1576" t="s">
        <v>9486</v>
      </c>
      <c r="L1576" cm="1">
        <f t="array" ref="L1576">wordCount(K1576)</f>
        <v>6</v>
      </c>
      <c r="M1576">
        <f t="shared" si="48"/>
        <v>36</v>
      </c>
      <c r="N1576">
        <v>0.8571428571428571</v>
      </c>
      <c r="O1576" s="23" cm="1">
        <f t="array" ref="O1576">WordListCount(K1576,keywords!$A$2:$A$31)-WordListCount(K1576,keywords!$B$2:$B$31)</f>
        <v>0</v>
      </c>
      <c r="P1576" s="25">
        <f t="shared" si="49"/>
        <v>0.7096527777777778</v>
      </c>
      <c r="Q1576" s="23">
        <f>SUM($O$2:O1576)</f>
        <v>30</v>
      </c>
      <c r="Y1576" s="14"/>
      <c r="Z1576" s="13"/>
      <c r="AA1576"/>
    </row>
    <row r="1577" spans="1:27" x14ac:dyDescent="0.2">
      <c r="A1577" s="12" t="s">
        <v>4902</v>
      </c>
      <c r="B1577" t="s">
        <v>4903</v>
      </c>
      <c r="C1577" t="s">
        <v>4904</v>
      </c>
      <c r="D1577" t="s">
        <v>12</v>
      </c>
      <c r="E1577" t="s">
        <v>13</v>
      </c>
      <c r="F1577">
        <v>3414</v>
      </c>
      <c r="G1577">
        <v>3547</v>
      </c>
      <c r="H1577" s="5" t="s">
        <v>22</v>
      </c>
      <c r="I1577" s="5">
        <v>0</v>
      </c>
      <c r="J1577" s="5">
        <v>0</v>
      </c>
      <c r="K1577" t="s">
        <v>10913</v>
      </c>
      <c r="L1577" cm="1">
        <f t="array" ref="L1577">wordCount(K1577)</f>
        <v>11</v>
      </c>
      <c r="M1577">
        <f t="shared" si="48"/>
        <v>68</v>
      </c>
      <c r="N1577">
        <v>0.3</v>
      </c>
      <c r="O1577" s="23" cm="1">
        <f t="array" ref="O1577">WordListCount(K1577,keywords!$A$2:$A$31)-WordListCount(K1577,keywords!$B$2:$B$31)</f>
        <v>0</v>
      </c>
      <c r="P1577" s="25">
        <f t="shared" si="49"/>
        <v>0.70966435185185184</v>
      </c>
      <c r="Q1577" s="23">
        <f>SUM($O$2:O1577)</f>
        <v>30</v>
      </c>
      <c r="Y1577" s="14"/>
      <c r="Z1577" s="13"/>
      <c r="AA1577"/>
    </row>
    <row r="1578" spans="1:27" x14ac:dyDescent="0.2">
      <c r="A1578" s="12" t="s">
        <v>4902</v>
      </c>
      <c r="B1578" t="s">
        <v>4888</v>
      </c>
      <c r="C1578" t="s">
        <v>50</v>
      </c>
      <c r="D1578" t="s">
        <v>51</v>
      </c>
      <c r="E1578" t="s">
        <v>13</v>
      </c>
      <c r="F1578">
        <v>2057</v>
      </c>
      <c r="G1578">
        <v>453</v>
      </c>
      <c r="H1578" s="5" t="s">
        <v>22</v>
      </c>
      <c r="I1578" s="5">
        <v>0</v>
      </c>
      <c r="J1578" s="5">
        <v>0</v>
      </c>
      <c r="K1578" t="s">
        <v>9484</v>
      </c>
      <c r="L1578" cm="1">
        <f t="array" ref="L1578">wordCount(K1578)</f>
        <v>5</v>
      </c>
      <c r="M1578">
        <f t="shared" si="48"/>
        <v>28</v>
      </c>
      <c r="N1578">
        <v>0.83333333333333337</v>
      </c>
      <c r="O1578" s="23" cm="1">
        <f t="array" ref="O1578">WordListCount(K1578,keywords!$A$2:$A$31)-WordListCount(K1578,keywords!$B$2:$B$31)</f>
        <v>0</v>
      </c>
      <c r="P1578" s="25">
        <f t="shared" si="49"/>
        <v>0.70966435185185184</v>
      </c>
      <c r="Q1578" s="23">
        <f>SUM($O$2:O1578)</f>
        <v>30</v>
      </c>
      <c r="Y1578" s="14"/>
      <c r="Z1578" s="13"/>
      <c r="AA1578"/>
    </row>
    <row r="1579" spans="1:27" x14ac:dyDescent="0.2">
      <c r="A1579" s="12" t="s">
        <v>4905</v>
      </c>
      <c r="B1579" t="s">
        <v>4906</v>
      </c>
      <c r="C1579" t="s">
        <v>4907</v>
      </c>
      <c r="D1579" t="s">
        <v>1272</v>
      </c>
      <c r="E1579" t="s">
        <v>13</v>
      </c>
      <c r="F1579">
        <v>206</v>
      </c>
      <c r="G1579">
        <v>114</v>
      </c>
      <c r="H1579" s="5" t="s">
        <v>22</v>
      </c>
      <c r="I1579" s="5">
        <v>0</v>
      </c>
      <c r="J1579" s="5">
        <v>0</v>
      </c>
      <c r="K1579" t="s">
        <v>10914</v>
      </c>
      <c r="L1579" cm="1">
        <f t="array" ref="L1579">wordCount(K1579)</f>
        <v>21</v>
      </c>
      <c r="M1579">
        <f t="shared" si="48"/>
        <v>106</v>
      </c>
      <c r="N1579">
        <v>0.32</v>
      </c>
      <c r="O1579" s="23" cm="1">
        <f t="array" ref="O1579">WordListCount(K1579,keywords!$A$2:$A$31)-WordListCount(K1579,keywords!$B$2:$B$31)</f>
        <v>0</v>
      </c>
      <c r="P1579" s="25">
        <f t="shared" si="49"/>
        <v>0.70968749999999992</v>
      </c>
      <c r="Q1579" s="23">
        <f>SUM($O$2:O1579)</f>
        <v>30</v>
      </c>
      <c r="Y1579" s="14"/>
      <c r="Z1579" s="13"/>
      <c r="AA1579"/>
    </row>
    <row r="1580" spans="1:27" x14ac:dyDescent="0.2">
      <c r="A1580" s="12" t="s">
        <v>4908</v>
      </c>
      <c r="B1580" t="s">
        <v>4909</v>
      </c>
      <c r="C1580" t="s">
        <v>3964</v>
      </c>
      <c r="D1580" t="s">
        <v>1552</v>
      </c>
      <c r="E1580" t="s">
        <v>13</v>
      </c>
      <c r="F1580">
        <v>32</v>
      </c>
      <c r="G1580">
        <v>141</v>
      </c>
      <c r="H1580" s="5" t="s">
        <v>22</v>
      </c>
      <c r="I1580" s="5">
        <v>0</v>
      </c>
      <c r="J1580" s="5">
        <v>0</v>
      </c>
      <c r="K1580" t="s">
        <v>9487</v>
      </c>
      <c r="L1580" cm="1">
        <f t="array" ref="L1580">wordCount(K1580)</f>
        <v>7</v>
      </c>
      <c r="M1580">
        <f t="shared" si="48"/>
        <v>37</v>
      </c>
      <c r="N1580">
        <v>1</v>
      </c>
      <c r="O1580" s="23" cm="1">
        <f t="array" ref="O1580">WordListCount(K1580,keywords!$A$2:$A$31)-WordListCount(K1580,keywords!$B$2:$B$31)</f>
        <v>0</v>
      </c>
      <c r="P1580" s="25">
        <f t="shared" si="49"/>
        <v>0.70972222222222225</v>
      </c>
      <c r="Q1580" s="23">
        <f>SUM($O$2:O1580)</f>
        <v>30</v>
      </c>
      <c r="Y1580" s="14"/>
      <c r="Z1580" s="13"/>
      <c r="AA1580"/>
    </row>
    <row r="1581" spans="1:27" x14ac:dyDescent="0.2">
      <c r="A1581" s="12" t="s">
        <v>4910</v>
      </c>
      <c r="B1581" t="s">
        <v>4911</v>
      </c>
      <c r="C1581" t="s">
        <v>4912</v>
      </c>
      <c r="D1581" t="s">
        <v>12</v>
      </c>
      <c r="E1581" t="s">
        <v>13</v>
      </c>
      <c r="F1581">
        <v>12</v>
      </c>
      <c r="G1581">
        <v>35</v>
      </c>
      <c r="H1581" s="5" t="s">
        <v>22</v>
      </c>
      <c r="I1581" s="5">
        <v>0</v>
      </c>
      <c r="J1581" s="5">
        <v>0</v>
      </c>
      <c r="K1581" t="s">
        <v>9488</v>
      </c>
      <c r="L1581" cm="1">
        <f t="array" ref="L1581">wordCount(K1581)</f>
        <v>3</v>
      </c>
      <c r="M1581">
        <f t="shared" si="48"/>
        <v>19</v>
      </c>
      <c r="N1581">
        <v>0.83333333333333337</v>
      </c>
      <c r="O1581" s="23" cm="1">
        <f t="array" ref="O1581">WordListCount(K1581,keywords!$A$2:$A$31)-WordListCount(K1581,keywords!$B$2:$B$31)</f>
        <v>-1</v>
      </c>
      <c r="P1581" s="25">
        <f t="shared" si="49"/>
        <v>0.70973379629629629</v>
      </c>
      <c r="Q1581" s="23">
        <f>SUM($O$2:O1581)</f>
        <v>29</v>
      </c>
      <c r="Y1581" s="14"/>
      <c r="Z1581" s="13"/>
      <c r="AA1581"/>
    </row>
    <row r="1582" spans="1:27" x14ac:dyDescent="0.2">
      <c r="A1582" s="12" t="s">
        <v>4913</v>
      </c>
      <c r="B1582" t="s">
        <v>4914</v>
      </c>
      <c r="C1582" t="s">
        <v>4915</v>
      </c>
      <c r="D1582" t="s">
        <v>12</v>
      </c>
      <c r="E1582" t="s">
        <v>13</v>
      </c>
      <c r="F1582">
        <v>337</v>
      </c>
      <c r="G1582">
        <v>669</v>
      </c>
      <c r="H1582" s="5" t="s">
        <v>22</v>
      </c>
      <c r="I1582" s="5">
        <v>0</v>
      </c>
      <c r="J1582" s="5">
        <v>0</v>
      </c>
      <c r="K1582" t="s">
        <v>10915</v>
      </c>
      <c r="L1582" cm="1">
        <f t="array" ref="L1582">wordCount(K1582)</f>
        <v>23</v>
      </c>
      <c r="M1582">
        <f t="shared" si="48"/>
        <v>114</v>
      </c>
      <c r="N1582">
        <v>0.39285714285714285</v>
      </c>
      <c r="O1582" s="23" cm="1">
        <f t="array" ref="O1582">WordListCount(K1582,keywords!$A$2:$A$31)-WordListCount(K1582,keywords!$B$2:$B$31)</f>
        <v>0</v>
      </c>
      <c r="P1582" s="25">
        <f t="shared" si="49"/>
        <v>0.70978009259259256</v>
      </c>
      <c r="Q1582" s="23">
        <f>SUM($O$2:O1582)</f>
        <v>29</v>
      </c>
      <c r="Y1582" s="14"/>
      <c r="Z1582" s="13"/>
      <c r="AA1582"/>
    </row>
    <row r="1583" spans="1:27" x14ac:dyDescent="0.2">
      <c r="A1583" s="12" t="s">
        <v>4916</v>
      </c>
      <c r="B1583" t="s">
        <v>4917</v>
      </c>
      <c r="C1583" t="s">
        <v>4918</v>
      </c>
      <c r="D1583" t="s">
        <v>4919</v>
      </c>
      <c r="E1583" t="s">
        <v>13</v>
      </c>
      <c r="F1583">
        <v>5593</v>
      </c>
      <c r="G1583">
        <v>203</v>
      </c>
      <c r="H1583" s="5" t="s">
        <v>22</v>
      </c>
      <c r="I1583" s="5">
        <v>0</v>
      </c>
      <c r="J1583" s="5">
        <v>0</v>
      </c>
      <c r="K1583" t="s">
        <v>10916</v>
      </c>
      <c r="L1583" cm="1">
        <f t="array" ref="L1583">wordCount(K1583)</f>
        <v>24</v>
      </c>
      <c r="M1583">
        <f t="shared" si="48"/>
        <v>122</v>
      </c>
      <c r="N1583">
        <v>0.31034482758620691</v>
      </c>
      <c r="O1583" s="23" cm="1">
        <f t="array" ref="O1583">WordListCount(K1583,keywords!$A$2:$A$31)-WordListCount(K1583,keywords!$B$2:$B$31)</f>
        <v>-1</v>
      </c>
      <c r="P1583" s="25">
        <f t="shared" si="49"/>
        <v>0.70998842592592604</v>
      </c>
      <c r="Q1583" s="23">
        <f>SUM($O$2:O1583)</f>
        <v>28</v>
      </c>
      <c r="Y1583" s="14"/>
      <c r="Z1583" s="13"/>
      <c r="AA1583"/>
    </row>
    <row r="1584" spans="1:27" x14ac:dyDescent="0.2">
      <c r="A1584" s="12" t="s">
        <v>4920</v>
      </c>
      <c r="B1584" t="s">
        <v>4921</v>
      </c>
      <c r="C1584" t="s">
        <v>4922</v>
      </c>
      <c r="D1584" t="s">
        <v>12</v>
      </c>
      <c r="E1584" t="s">
        <v>13</v>
      </c>
      <c r="F1584">
        <v>201</v>
      </c>
      <c r="G1584">
        <v>188</v>
      </c>
      <c r="H1584" s="5" t="s">
        <v>22</v>
      </c>
      <c r="I1584" s="5">
        <v>0</v>
      </c>
      <c r="J1584" s="5">
        <v>0</v>
      </c>
      <c r="K1584" t="s">
        <v>10917</v>
      </c>
      <c r="L1584" cm="1">
        <f t="array" ref="L1584">wordCount(K1584)</f>
        <v>12</v>
      </c>
      <c r="M1584">
        <f t="shared" si="48"/>
        <v>75</v>
      </c>
      <c r="N1584">
        <v>0.6</v>
      </c>
      <c r="O1584" s="23" cm="1">
        <f t="array" ref="O1584">WordListCount(K1584,keywords!$A$2:$A$31)-WordListCount(K1584,keywords!$B$2:$B$31)</f>
        <v>0</v>
      </c>
      <c r="P1584" s="25">
        <f t="shared" si="49"/>
        <v>0.71009259259259261</v>
      </c>
      <c r="Q1584" s="23">
        <f>SUM($O$2:O1584)</f>
        <v>28</v>
      </c>
      <c r="Y1584" s="14"/>
      <c r="Z1584" s="13"/>
      <c r="AA1584"/>
    </row>
    <row r="1585" spans="1:27" x14ac:dyDescent="0.2">
      <c r="A1585" s="12" t="s">
        <v>4923</v>
      </c>
      <c r="B1585" t="s">
        <v>4900</v>
      </c>
      <c r="C1585" t="s">
        <v>651</v>
      </c>
      <c r="D1585" t="s">
        <v>652</v>
      </c>
      <c r="E1585" t="s">
        <v>13</v>
      </c>
      <c r="F1585">
        <v>13386</v>
      </c>
      <c r="G1585">
        <v>13241</v>
      </c>
      <c r="H1585" s="5" t="s">
        <v>22</v>
      </c>
      <c r="I1585" s="5">
        <v>0</v>
      </c>
      <c r="J1585" s="5">
        <v>0</v>
      </c>
      <c r="K1585" t="s">
        <v>9486</v>
      </c>
      <c r="L1585" cm="1">
        <f t="array" ref="L1585">wordCount(K1585)</f>
        <v>6</v>
      </c>
      <c r="M1585">
        <f t="shared" si="48"/>
        <v>36</v>
      </c>
      <c r="N1585">
        <v>0.8571428571428571</v>
      </c>
      <c r="O1585" s="23" cm="1">
        <f t="array" ref="O1585">WordListCount(K1585,keywords!$A$2:$A$31)-WordListCount(K1585,keywords!$B$2:$B$31)</f>
        <v>0</v>
      </c>
      <c r="P1585" s="25">
        <f t="shared" si="49"/>
        <v>0.71048611111111104</v>
      </c>
      <c r="Q1585" s="23">
        <f>SUM($O$2:O1585)</f>
        <v>28</v>
      </c>
      <c r="Y1585" s="14"/>
      <c r="Z1585" s="13"/>
      <c r="AA1585"/>
    </row>
    <row r="1586" spans="1:27" x14ac:dyDescent="0.2">
      <c r="A1586" s="12" t="s">
        <v>4924</v>
      </c>
      <c r="B1586" t="s">
        <v>4925</v>
      </c>
      <c r="C1586" t="s">
        <v>4926</v>
      </c>
      <c r="D1586" t="s">
        <v>12</v>
      </c>
      <c r="E1586" t="s">
        <v>13</v>
      </c>
      <c r="F1586">
        <v>123</v>
      </c>
      <c r="G1586">
        <v>235</v>
      </c>
      <c r="H1586" s="5" t="s">
        <v>22</v>
      </c>
      <c r="I1586" s="5">
        <v>0</v>
      </c>
      <c r="J1586" s="5">
        <v>0</v>
      </c>
      <c r="K1586" t="s">
        <v>10918</v>
      </c>
      <c r="L1586" cm="1">
        <f t="array" ref="L1586">wordCount(K1586)</f>
        <v>9</v>
      </c>
      <c r="M1586">
        <f t="shared" si="48"/>
        <v>46</v>
      </c>
      <c r="N1586">
        <v>0.7</v>
      </c>
      <c r="O1586" s="23" cm="1">
        <f t="array" ref="O1586">WordListCount(K1586,keywords!$A$2:$A$31)-WordListCount(K1586,keywords!$B$2:$B$31)</f>
        <v>0</v>
      </c>
      <c r="P1586" s="25">
        <f t="shared" si="49"/>
        <v>0.71054398148148146</v>
      </c>
      <c r="Q1586" s="23">
        <f>SUM($O$2:O1586)</f>
        <v>28</v>
      </c>
      <c r="Y1586" s="14"/>
      <c r="Z1586" s="13"/>
      <c r="AA1586"/>
    </row>
    <row r="1587" spans="1:27" x14ac:dyDescent="0.2">
      <c r="A1587" s="12" t="s">
        <v>4924</v>
      </c>
      <c r="B1587" t="s">
        <v>555</v>
      </c>
      <c r="C1587" t="s">
        <v>4927</v>
      </c>
      <c r="D1587" t="s">
        <v>12</v>
      </c>
      <c r="E1587" t="s">
        <v>13</v>
      </c>
      <c r="F1587">
        <v>12</v>
      </c>
      <c r="G1587">
        <v>5</v>
      </c>
      <c r="H1587" s="5" t="s">
        <v>42</v>
      </c>
      <c r="I1587" s="5">
        <v>0</v>
      </c>
      <c r="J1587" s="5">
        <v>0</v>
      </c>
      <c r="K1587" t="s">
        <v>9906</v>
      </c>
      <c r="L1587" cm="1">
        <f t="array" ref="L1587">wordCount(K1587)</f>
        <v>12</v>
      </c>
      <c r="M1587">
        <f t="shared" si="48"/>
        <v>74</v>
      </c>
      <c r="N1587">
        <v>0.92307692307692313</v>
      </c>
      <c r="O1587" s="23" cm="1">
        <f t="array" ref="O1587">WordListCount(K1587,keywords!$A$2:$A$31)-WordListCount(K1587,keywords!$B$2:$B$31)</f>
        <v>0</v>
      </c>
      <c r="P1587" s="25">
        <f t="shared" si="49"/>
        <v>0.71054398148148146</v>
      </c>
      <c r="Q1587" s="23">
        <f>SUM($O$2:O1587)</f>
        <v>28</v>
      </c>
      <c r="Y1587" s="14"/>
      <c r="Z1587" s="13"/>
      <c r="AA1587"/>
    </row>
    <row r="1588" spans="1:27" x14ac:dyDescent="0.2">
      <c r="A1588" s="12" t="s">
        <v>4928</v>
      </c>
      <c r="B1588" t="s">
        <v>4931</v>
      </c>
      <c r="C1588" t="s">
        <v>4932</v>
      </c>
      <c r="D1588" t="s">
        <v>176</v>
      </c>
      <c r="E1588" t="s">
        <v>13</v>
      </c>
      <c r="F1588">
        <v>159</v>
      </c>
      <c r="G1588">
        <v>722</v>
      </c>
      <c r="H1588" s="5" t="s">
        <v>22</v>
      </c>
      <c r="I1588" s="5">
        <v>0</v>
      </c>
      <c r="J1588" s="5">
        <v>0</v>
      </c>
      <c r="K1588" t="s">
        <v>9490</v>
      </c>
      <c r="L1588" cm="1">
        <f t="array" ref="L1588">wordCount(K1588)</f>
        <v>7</v>
      </c>
      <c r="M1588">
        <f t="shared" si="48"/>
        <v>33</v>
      </c>
      <c r="N1588">
        <v>0.83333333333333337</v>
      </c>
      <c r="O1588" s="23" cm="1">
        <f t="array" ref="O1588">WordListCount(K1588,keywords!$A$2:$A$31)-WordListCount(K1588,keywords!$B$2:$B$31)</f>
        <v>0</v>
      </c>
      <c r="P1588" s="25">
        <f t="shared" si="49"/>
        <v>0.71056712962962953</v>
      </c>
      <c r="Q1588" s="23">
        <f>SUM($O$2:O1588)</f>
        <v>28</v>
      </c>
      <c r="Y1588" s="14"/>
      <c r="Z1588" s="13"/>
      <c r="AA1588"/>
    </row>
    <row r="1589" spans="1:27" x14ac:dyDescent="0.2">
      <c r="A1589" s="12" t="s">
        <v>4928</v>
      </c>
      <c r="B1589" t="s">
        <v>4929</v>
      </c>
      <c r="C1589" t="s">
        <v>1307</v>
      </c>
      <c r="D1589" t="s">
        <v>1308</v>
      </c>
      <c r="E1589" t="s">
        <v>13</v>
      </c>
      <c r="F1589">
        <v>1133</v>
      </c>
      <c r="G1589">
        <v>1615</v>
      </c>
      <c r="H1589" s="5" t="s">
        <v>22</v>
      </c>
      <c r="I1589" s="5">
        <v>0</v>
      </c>
      <c r="J1589" s="5">
        <v>0</v>
      </c>
      <c r="K1589" t="s">
        <v>9489</v>
      </c>
      <c r="L1589" cm="1">
        <f t="array" ref="L1589">wordCount(K1589)</f>
        <v>8</v>
      </c>
      <c r="M1589">
        <f t="shared" si="48"/>
        <v>39</v>
      </c>
      <c r="N1589">
        <v>0.8571428571428571</v>
      </c>
      <c r="O1589" s="23" cm="1">
        <f t="array" ref="O1589">WordListCount(K1589,keywords!$A$2:$A$31)-WordListCount(K1589,keywords!$B$2:$B$31)</f>
        <v>0</v>
      </c>
      <c r="P1589" s="25">
        <f t="shared" si="49"/>
        <v>0.71056712962962953</v>
      </c>
      <c r="Q1589" s="23">
        <f>SUM($O$2:O1589)</f>
        <v>28</v>
      </c>
      <c r="Y1589" s="14"/>
      <c r="Z1589" s="13"/>
      <c r="AA1589"/>
    </row>
    <row r="1590" spans="1:27" x14ac:dyDescent="0.2">
      <c r="A1590" s="12" t="s">
        <v>4928</v>
      </c>
      <c r="B1590" t="s">
        <v>4900</v>
      </c>
      <c r="C1590" t="s">
        <v>4930</v>
      </c>
      <c r="D1590" t="s">
        <v>12</v>
      </c>
      <c r="E1590" t="s">
        <v>13</v>
      </c>
      <c r="F1590">
        <v>32626</v>
      </c>
      <c r="G1590">
        <v>5280</v>
      </c>
      <c r="H1590" s="5" t="s">
        <v>22</v>
      </c>
      <c r="I1590" s="5">
        <v>0</v>
      </c>
      <c r="J1590" s="5">
        <v>0</v>
      </c>
      <c r="K1590" t="s">
        <v>9486</v>
      </c>
      <c r="L1590" cm="1">
        <f t="array" ref="L1590">wordCount(K1590)</f>
        <v>6</v>
      </c>
      <c r="M1590">
        <f t="shared" si="48"/>
        <v>36</v>
      </c>
      <c r="N1590">
        <v>0.8571428571428571</v>
      </c>
      <c r="O1590" s="23" cm="1">
        <f t="array" ref="O1590">WordListCount(K1590,keywords!$A$2:$A$31)-WordListCount(K1590,keywords!$B$2:$B$31)</f>
        <v>0</v>
      </c>
      <c r="P1590" s="25">
        <f t="shared" si="49"/>
        <v>0.71056712962962953</v>
      </c>
      <c r="Q1590" s="23">
        <f>SUM($O$2:O1590)</f>
        <v>28</v>
      </c>
      <c r="Y1590" s="14"/>
      <c r="Z1590" s="13"/>
      <c r="AA1590"/>
    </row>
    <row r="1591" spans="1:27" x14ac:dyDescent="0.2">
      <c r="A1591" s="12" t="s">
        <v>4933</v>
      </c>
      <c r="B1591" t="s">
        <v>4934</v>
      </c>
      <c r="C1591" t="s">
        <v>4935</v>
      </c>
      <c r="D1591" t="s">
        <v>12</v>
      </c>
      <c r="E1591" t="s">
        <v>13</v>
      </c>
      <c r="F1591">
        <v>123</v>
      </c>
      <c r="G1591">
        <v>93</v>
      </c>
      <c r="H1591" s="5" t="s">
        <v>22</v>
      </c>
      <c r="I1591" s="5">
        <v>0</v>
      </c>
      <c r="J1591" s="5">
        <v>0</v>
      </c>
      <c r="K1591" t="s">
        <v>10919</v>
      </c>
      <c r="L1591" cm="1">
        <f t="array" ref="L1591">wordCount(K1591)</f>
        <v>9</v>
      </c>
      <c r="M1591">
        <f t="shared" si="48"/>
        <v>50</v>
      </c>
      <c r="N1591">
        <v>0.68421052631578949</v>
      </c>
      <c r="O1591" s="23" cm="1">
        <f t="array" ref="O1591">WordListCount(K1591,keywords!$A$2:$A$31)-WordListCount(K1591,keywords!$B$2:$B$31)</f>
        <v>1</v>
      </c>
      <c r="P1591" s="25">
        <f t="shared" si="49"/>
        <v>0.71062499999999995</v>
      </c>
      <c r="Q1591" s="23">
        <f>SUM($O$2:O1591)</f>
        <v>29</v>
      </c>
      <c r="Y1591" s="14"/>
      <c r="Z1591" s="13"/>
      <c r="AA1591"/>
    </row>
    <row r="1592" spans="1:27" x14ac:dyDescent="0.2">
      <c r="A1592" s="12" t="s">
        <v>4936</v>
      </c>
      <c r="B1592" t="s">
        <v>4937</v>
      </c>
      <c r="C1592" t="s">
        <v>4938</v>
      </c>
      <c r="D1592" t="s">
        <v>12</v>
      </c>
      <c r="E1592" t="s">
        <v>13</v>
      </c>
      <c r="F1592">
        <v>211</v>
      </c>
      <c r="G1592">
        <v>315</v>
      </c>
      <c r="H1592" s="5" t="s">
        <v>22</v>
      </c>
      <c r="I1592" s="5">
        <v>0</v>
      </c>
      <c r="J1592" s="5">
        <v>0</v>
      </c>
      <c r="K1592" t="s">
        <v>9491</v>
      </c>
      <c r="L1592" cm="1">
        <f t="array" ref="L1592">wordCount(K1592)</f>
        <v>8</v>
      </c>
      <c r="M1592">
        <f t="shared" si="48"/>
        <v>46</v>
      </c>
      <c r="N1592">
        <v>0.88235294117647056</v>
      </c>
      <c r="O1592" s="23" cm="1">
        <f t="array" ref="O1592">WordListCount(K1592,keywords!$A$2:$A$31)-WordListCount(K1592,keywords!$B$2:$B$31)</f>
        <v>0</v>
      </c>
      <c r="P1592" s="25">
        <f t="shared" si="49"/>
        <v>0.71067129629629633</v>
      </c>
      <c r="Q1592" s="23">
        <f>SUM($O$2:O1592)</f>
        <v>29</v>
      </c>
      <c r="Y1592" s="14"/>
      <c r="Z1592" s="13"/>
      <c r="AA1592"/>
    </row>
    <row r="1593" spans="1:27" x14ac:dyDescent="0.2">
      <c r="A1593" s="12" t="s">
        <v>4939</v>
      </c>
      <c r="B1593" t="s">
        <v>4943</v>
      </c>
      <c r="C1593" t="s">
        <v>4679</v>
      </c>
      <c r="D1593" t="s">
        <v>12</v>
      </c>
      <c r="E1593" t="s">
        <v>13</v>
      </c>
      <c r="F1593">
        <v>9</v>
      </c>
      <c r="G1593">
        <v>57</v>
      </c>
      <c r="H1593" s="5" t="s">
        <v>22</v>
      </c>
      <c r="I1593" s="5">
        <v>0</v>
      </c>
      <c r="J1593" s="5">
        <v>0</v>
      </c>
      <c r="K1593" t="s">
        <v>9492</v>
      </c>
      <c r="L1593" cm="1">
        <f t="array" ref="L1593">wordCount(K1593)</f>
        <v>5</v>
      </c>
      <c r="M1593">
        <f t="shared" si="48"/>
        <v>30</v>
      </c>
      <c r="N1593">
        <v>0.66666666666666663</v>
      </c>
      <c r="O1593" s="23" cm="1">
        <f t="array" ref="O1593">WordListCount(K1593,keywords!$A$2:$A$31)-WordListCount(K1593,keywords!$B$2:$B$31)</f>
        <v>0</v>
      </c>
      <c r="P1593" s="25">
        <f t="shared" si="49"/>
        <v>0.7107175925925926</v>
      </c>
      <c r="Q1593" s="23">
        <f>SUM($O$2:O1593)</f>
        <v>29</v>
      </c>
      <c r="Y1593" s="14"/>
      <c r="Z1593" s="13"/>
      <c r="AA1593"/>
    </row>
    <row r="1594" spans="1:27" x14ac:dyDescent="0.2">
      <c r="A1594" s="12" t="s">
        <v>4939</v>
      </c>
      <c r="B1594" t="s">
        <v>4940</v>
      </c>
      <c r="C1594" t="s">
        <v>4941</v>
      </c>
      <c r="D1594" t="s">
        <v>4942</v>
      </c>
      <c r="E1594" t="s">
        <v>13</v>
      </c>
      <c r="F1594">
        <v>20</v>
      </c>
      <c r="G1594">
        <v>95</v>
      </c>
      <c r="H1594" s="5" t="s">
        <v>22</v>
      </c>
      <c r="I1594" s="5">
        <v>0</v>
      </c>
      <c r="J1594" s="5">
        <v>0</v>
      </c>
      <c r="K1594" t="s">
        <v>10920</v>
      </c>
      <c r="L1594" cm="1">
        <f t="array" ref="L1594">wordCount(K1594)</f>
        <v>13</v>
      </c>
      <c r="M1594">
        <f t="shared" si="48"/>
        <v>72</v>
      </c>
      <c r="N1594">
        <v>0.27777777777777779</v>
      </c>
      <c r="O1594" s="23" cm="1">
        <f t="array" ref="O1594">WordListCount(K1594,keywords!$A$2:$A$31)-WordListCount(K1594,keywords!$B$2:$B$31)</f>
        <v>0</v>
      </c>
      <c r="P1594" s="25">
        <f t="shared" si="49"/>
        <v>0.7107175925925926</v>
      </c>
      <c r="Q1594" s="23">
        <f>SUM($O$2:O1594)</f>
        <v>29</v>
      </c>
      <c r="Y1594" s="14"/>
      <c r="Z1594" s="13"/>
      <c r="AA1594"/>
    </row>
    <row r="1595" spans="1:27" x14ac:dyDescent="0.2">
      <c r="A1595" s="12" t="s">
        <v>4944</v>
      </c>
      <c r="B1595" t="s">
        <v>4945</v>
      </c>
      <c r="C1595" t="s">
        <v>4946</v>
      </c>
      <c r="D1595" t="s">
        <v>1383</v>
      </c>
      <c r="E1595" t="s">
        <v>13</v>
      </c>
      <c r="F1595">
        <v>2590</v>
      </c>
      <c r="G1595">
        <v>1707</v>
      </c>
      <c r="H1595" s="5" t="s">
        <v>22</v>
      </c>
      <c r="I1595" s="5">
        <v>0</v>
      </c>
      <c r="J1595" s="5">
        <v>0</v>
      </c>
      <c r="K1595" t="s">
        <v>10921</v>
      </c>
      <c r="L1595" cm="1">
        <f t="array" ref="L1595">wordCount(K1595)</f>
        <v>5</v>
      </c>
      <c r="M1595">
        <f t="shared" si="48"/>
        <v>31</v>
      </c>
      <c r="N1595">
        <v>0.875</v>
      </c>
      <c r="O1595" s="23" cm="1">
        <f t="array" ref="O1595">WordListCount(K1595,keywords!$A$2:$A$31)-WordListCount(K1595,keywords!$B$2:$B$31)</f>
        <v>0</v>
      </c>
      <c r="P1595" s="25">
        <f t="shared" si="49"/>
        <v>0.71077546296296301</v>
      </c>
      <c r="Q1595" s="23">
        <f>SUM($O$2:O1595)</f>
        <v>29</v>
      </c>
      <c r="Y1595" s="14"/>
      <c r="Z1595" s="13"/>
      <c r="AA1595"/>
    </row>
    <row r="1596" spans="1:27" x14ac:dyDescent="0.2">
      <c r="A1596" s="12" t="s">
        <v>4947</v>
      </c>
      <c r="B1596" t="s">
        <v>4948</v>
      </c>
      <c r="C1596" t="s">
        <v>4949</v>
      </c>
      <c r="D1596" t="s">
        <v>4950</v>
      </c>
      <c r="E1596" t="s">
        <v>13</v>
      </c>
      <c r="F1596">
        <v>21</v>
      </c>
      <c r="G1596">
        <v>132</v>
      </c>
      <c r="H1596" s="5" t="s">
        <v>22</v>
      </c>
      <c r="I1596" s="5">
        <v>0</v>
      </c>
      <c r="J1596" s="5">
        <v>0</v>
      </c>
      <c r="K1596" t="s">
        <v>10922</v>
      </c>
      <c r="L1596" cm="1">
        <f t="array" ref="L1596">wordCount(K1596)</f>
        <v>25</v>
      </c>
      <c r="M1596">
        <f t="shared" si="48"/>
        <v>137</v>
      </c>
      <c r="N1596">
        <v>0.33333333333333331</v>
      </c>
      <c r="O1596" s="23" cm="1">
        <f t="array" ref="O1596">WordListCount(K1596,keywords!$A$2:$A$31)-WordListCount(K1596,keywords!$B$2:$B$31)</f>
        <v>0</v>
      </c>
      <c r="P1596" s="25">
        <f t="shared" si="49"/>
        <v>0.71099537037037042</v>
      </c>
      <c r="Q1596" s="23">
        <f>SUM($O$2:O1596)</f>
        <v>29</v>
      </c>
      <c r="Y1596" s="14"/>
      <c r="Z1596" s="13"/>
      <c r="AA1596"/>
    </row>
    <row r="1597" spans="1:27" x14ac:dyDescent="0.2">
      <c r="A1597" s="12" t="s">
        <v>4951</v>
      </c>
      <c r="B1597" t="s">
        <v>4952</v>
      </c>
      <c r="C1597" t="s">
        <v>657</v>
      </c>
      <c r="D1597" t="s">
        <v>658</v>
      </c>
      <c r="E1597" t="s">
        <v>13</v>
      </c>
      <c r="F1597">
        <v>3563</v>
      </c>
      <c r="G1597">
        <v>88</v>
      </c>
      <c r="H1597" s="5" t="s">
        <v>22</v>
      </c>
      <c r="I1597" s="5">
        <v>0</v>
      </c>
      <c r="J1597" s="5">
        <v>0</v>
      </c>
      <c r="K1597" t="s">
        <v>10923</v>
      </c>
      <c r="L1597" cm="1">
        <f t="array" ref="L1597">wordCount(K1597)</f>
        <v>9</v>
      </c>
      <c r="M1597">
        <f t="shared" si="48"/>
        <v>49</v>
      </c>
      <c r="N1597">
        <v>0.75</v>
      </c>
      <c r="O1597" s="23" cm="1">
        <f t="array" ref="O1597">WordListCount(K1597,keywords!$A$2:$A$31)-WordListCount(K1597,keywords!$B$2:$B$31)</f>
        <v>0</v>
      </c>
      <c r="P1597" s="25">
        <f t="shared" si="49"/>
        <v>0.71119212962962963</v>
      </c>
      <c r="Q1597" s="23">
        <f>SUM($O$2:O1597)</f>
        <v>29</v>
      </c>
      <c r="Y1597" s="14"/>
      <c r="Z1597" s="13"/>
      <c r="AA1597"/>
    </row>
    <row r="1598" spans="1:27" x14ac:dyDescent="0.2">
      <c r="A1598" s="12" t="s">
        <v>4953</v>
      </c>
      <c r="B1598" t="s">
        <v>4954</v>
      </c>
      <c r="C1598" t="s">
        <v>4955</v>
      </c>
      <c r="D1598" t="s">
        <v>12</v>
      </c>
      <c r="E1598" t="s">
        <v>13</v>
      </c>
      <c r="F1598">
        <v>39</v>
      </c>
      <c r="G1598">
        <v>114</v>
      </c>
      <c r="H1598" s="5" t="s">
        <v>22</v>
      </c>
      <c r="I1598" s="5">
        <v>0</v>
      </c>
      <c r="J1598" s="5">
        <v>0</v>
      </c>
      <c r="K1598" t="s">
        <v>9472</v>
      </c>
      <c r="L1598" cm="1">
        <f t="array" ref="L1598">wordCount(K1598)</f>
        <v>2</v>
      </c>
      <c r="M1598">
        <f t="shared" si="48"/>
        <v>13</v>
      </c>
      <c r="N1598">
        <v>0.66666666666666663</v>
      </c>
      <c r="O1598" s="23" cm="1">
        <f t="array" ref="O1598">WordListCount(K1598,keywords!$A$2:$A$31)-WordListCount(K1598,keywords!$B$2:$B$31)</f>
        <v>0</v>
      </c>
      <c r="P1598" s="25">
        <f t="shared" si="49"/>
        <v>0.7112384259259259</v>
      </c>
      <c r="Q1598" s="23">
        <f>SUM($O$2:O1598)</f>
        <v>29</v>
      </c>
      <c r="Y1598" s="14"/>
      <c r="Z1598" s="13"/>
      <c r="AA1598"/>
    </row>
    <row r="1599" spans="1:27" x14ac:dyDescent="0.2">
      <c r="A1599" s="12" t="s">
        <v>4956</v>
      </c>
      <c r="B1599" t="s">
        <v>4957</v>
      </c>
      <c r="C1599" t="s">
        <v>4958</v>
      </c>
      <c r="D1599" t="s">
        <v>4959</v>
      </c>
      <c r="E1599" t="s">
        <v>13</v>
      </c>
      <c r="F1599">
        <v>10164</v>
      </c>
      <c r="G1599">
        <v>0</v>
      </c>
      <c r="H1599" s="5" t="s">
        <v>22</v>
      </c>
      <c r="I1599" s="5">
        <v>0</v>
      </c>
      <c r="J1599" s="5">
        <v>0</v>
      </c>
      <c r="K1599" t="s">
        <v>10924</v>
      </c>
      <c r="L1599" cm="1">
        <f t="array" ref="L1599">wordCount(K1599)</f>
        <v>14</v>
      </c>
      <c r="M1599">
        <f t="shared" si="48"/>
        <v>92</v>
      </c>
      <c r="N1599">
        <v>0.5</v>
      </c>
      <c r="O1599" s="23" cm="1">
        <f t="array" ref="O1599">WordListCount(K1599,keywords!$A$2:$A$31)-WordListCount(K1599,keywords!$B$2:$B$31)</f>
        <v>0</v>
      </c>
      <c r="P1599" s="25">
        <f t="shared" si="49"/>
        <v>0.71129629629629632</v>
      </c>
      <c r="Q1599" s="23">
        <f>SUM($O$2:O1599)</f>
        <v>29</v>
      </c>
      <c r="Y1599" s="14"/>
      <c r="Z1599" s="13"/>
      <c r="AA1599"/>
    </row>
    <row r="1600" spans="1:27" x14ac:dyDescent="0.2">
      <c r="A1600" s="12" t="s">
        <v>4960</v>
      </c>
      <c r="B1600" t="s">
        <v>4961</v>
      </c>
      <c r="C1600" t="s">
        <v>4962</v>
      </c>
      <c r="D1600" t="s">
        <v>743</v>
      </c>
      <c r="E1600" t="s">
        <v>13</v>
      </c>
      <c r="F1600">
        <v>510</v>
      </c>
      <c r="G1600">
        <v>313</v>
      </c>
      <c r="H1600" s="5" t="s">
        <v>22</v>
      </c>
      <c r="I1600" s="5">
        <v>0</v>
      </c>
      <c r="J1600" s="5">
        <v>0</v>
      </c>
      <c r="K1600" t="s">
        <v>9493</v>
      </c>
      <c r="L1600" cm="1">
        <f t="array" ref="L1600">wordCount(K1600)</f>
        <v>10</v>
      </c>
      <c r="M1600">
        <f t="shared" si="48"/>
        <v>52</v>
      </c>
      <c r="N1600">
        <v>0.68</v>
      </c>
      <c r="O1600" s="23" cm="1">
        <f t="array" ref="O1600">WordListCount(K1600,keywords!$A$2:$A$31)-WordListCount(K1600,keywords!$B$2:$B$31)</f>
        <v>0</v>
      </c>
      <c r="P1600" s="25">
        <f t="shared" si="49"/>
        <v>0.71149305555555553</v>
      </c>
      <c r="Q1600" s="23">
        <f>SUM($O$2:O1600)</f>
        <v>29</v>
      </c>
      <c r="Y1600" s="14"/>
      <c r="Z1600" s="13"/>
      <c r="AA1600"/>
    </row>
    <row r="1601" spans="1:27" x14ac:dyDescent="0.2">
      <c r="A1601" s="12" t="s">
        <v>4963</v>
      </c>
      <c r="B1601" t="s">
        <v>4964</v>
      </c>
      <c r="C1601" t="s">
        <v>4965</v>
      </c>
      <c r="D1601" t="s">
        <v>4966</v>
      </c>
      <c r="E1601" t="s">
        <v>13</v>
      </c>
      <c r="F1601">
        <v>3155</v>
      </c>
      <c r="G1601">
        <v>372</v>
      </c>
      <c r="H1601" s="5" t="s">
        <v>22</v>
      </c>
      <c r="I1601" s="5">
        <v>0</v>
      </c>
      <c r="J1601" s="5">
        <v>0</v>
      </c>
      <c r="K1601" t="s">
        <v>10925</v>
      </c>
      <c r="L1601" cm="1">
        <f t="array" ref="L1601">wordCount(K1601)</f>
        <v>15</v>
      </c>
      <c r="M1601">
        <f t="shared" si="48"/>
        <v>66</v>
      </c>
      <c r="N1601">
        <v>0.5357142857142857</v>
      </c>
      <c r="O1601" s="23" cm="1">
        <f t="array" ref="O1601">WordListCount(K1601,keywords!$A$2:$A$31)-WordListCount(K1601,keywords!$B$2:$B$31)</f>
        <v>0</v>
      </c>
      <c r="P1601" s="25">
        <f t="shared" si="49"/>
        <v>0.71150462962962957</v>
      </c>
      <c r="Q1601" s="23">
        <f>SUM($O$2:O1601)</f>
        <v>29</v>
      </c>
      <c r="Y1601" s="14"/>
      <c r="Z1601" s="13"/>
      <c r="AA1601"/>
    </row>
    <row r="1602" spans="1:27" x14ac:dyDescent="0.2">
      <c r="A1602" s="12" t="s">
        <v>4967</v>
      </c>
      <c r="B1602" t="s">
        <v>4968</v>
      </c>
      <c r="C1602" t="s">
        <v>634</v>
      </c>
      <c r="D1602" t="s">
        <v>635</v>
      </c>
      <c r="E1602" t="s">
        <v>13</v>
      </c>
      <c r="F1602">
        <v>2120</v>
      </c>
      <c r="G1602">
        <v>4146</v>
      </c>
      <c r="H1602" s="5" t="s">
        <v>22</v>
      </c>
      <c r="I1602" s="5">
        <v>0</v>
      </c>
      <c r="J1602" s="5">
        <v>0</v>
      </c>
      <c r="K1602" t="s">
        <v>9494</v>
      </c>
      <c r="L1602" cm="1">
        <f t="array" ref="L1602">wordCount(K1602)</f>
        <v>21</v>
      </c>
      <c r="M1602">
        <f t="shared" ref="M1602:M1665" si="50">LEN(K1602)</f>
        <v>102</v>
      </c>
      <c r="N1602">
        <v>0.47058823529411764</v>
      </c>
      <c r="O1602" s="23" cm="1">
        <f t="array" ref="O1602">WordListCount(K1602,keywords!$A$2:$A$31)-WordListCount(K1602,keywords!$B$2:$B$31)</f>
        <v>2</v>
      </c>
      <c r="P1602" s="25">
        <f t="shared" ref="P1602:P1665" si="51">TIMEVALUE(RIGHT(A1602,8))</f>
        <v>0.71157407407407414</v>
      </c>
      <c r="Q1602" s="23">
        <f>SUM($O$2:O1602)</f>
        <v>31</v>
      </c>
      <c r="Y1602" s="14"/>
      <c r="Z1602" s="13"/>
      <c r="AA1602"/>
    </row>
    <row r="1603" spans="1:27" x14ac:dyDescent="0.2">
      <c r="A1603" s="12" t="s">
        <v>4969</v>
      </c>
      <c r="B1603" t="s">
        <v>4970</v>
      </c>
      <c r="C1603" t="s">
        <v>4971</v>
      </c>
      <c r="D1603" t="s">
        <v>4972</v>
      </c>
      <c r="E1603" t="s">
        <v>13</v>
      </c>
      <c r="F1603">
        <v>33</v>
      </c>
      <c r="G1603">
        <v>428</v>
      </c>
      <c r="H1603" s="5" t="s">
        <v>22</v>
      </c>
      <c r="I1603" s="5">
        <v>0</v>
      </c>
      <c r="J1603" s="5">
        <v>0</v>
      </c>
      <c r="K1603" t="s">
        <v>9495</v>
      </c>
      <c r="L1603" cm="1">
        <f t="array" ref="L1603">wordCount(K1603)</f>
        <v>9</v>
      </c>
      <c r="M1603">
        <f t="shared" si="50"/>
        <v>38</v>
      </c>
      <c r="N1603">
        <v>0.7142857142857143</v>
      </c>
      <c r="O1603" s="23" cm="1">
        <f t="array" ref="O1603">WordListCount(K1603,keywords!$A$2:$A$31)-WordListCount(K1603,keywords!$B$2:$B$31)</f>
        <v>0</v>
      </c>
      <c r="P1603" s="25">
        <f t="shared" si="51"/>
        <v>0.71190972222222226</v>
      </c>
      <c r="Q1603" s="23">
        <f>SUM($O$2:O1603)</f>
        <v>31</v>
      </c>
      <c r="Y1603" s="14"/>
      <c r="Z1603" s="13"/>
      <c r="AA1603"/>
    </row>
    <row r="1604" spans="1:27" x14ac:dyDescent="0.2">
      <c r="A1604" s="12" t="s">
        <v>4973</v>
      </c>
      <c r="B1604" t="s">
        <v>4974</v>
      </c>
      <c r="C1604" t="s">
        <v>4975</v>
      </c>
      <c r="D1604" t="s">
        <v>743</v>
      </c>
      <c r="E1604" t="s">
        <v>13</v>
      </c>
      <c r="F1604">
        <v>25</v>
      </c>
      <c r="G1604">
        <v>175</v>
      </c>
      <c r="H1604" s="5" t="s">
        <v>22</v>
      </c>
      <c r="I1604" s="5">
        <v>0</v>
      </c>
      <c r="J1604" s="5">
        <v>0</v>
      </c>
      <c r="K1604" t="s">
        <v>10926</v>
      </c>
      <c r="L1604" cm="1">
        <f t="array" ref="L1604">wordCount(K1604)</f>
        <v>16</v>
      </c>
      <c r="M1604">
        <f t="shared" si="50"/>
        <v>68</v>
      </c>
      <c r="N1604">
        <v>0.59259259259259256</v>
      </c>
      <c r="O1604" s="23" cm="1">
        <f t="array" ref="O1604">WordListCount(K1604,keywords!$A$2:$A$31)-WordListCount(K1604,keywords!$B$2:$B$31)</f>
        <v>-1</v>
      </c>
      <c r="P1604" s="25">
        <f t="shared" si="51"/>
        <v>0.71194444444444438</v>
      </c>
      <c r="Q1604" s="23">
        <f>SUM($O$2:O1604)</f>
        <v>30</v>
      </c>
      <c r="Y1604" s="14"/>
      <c r="Z1604" s="13"/>
      <c r="AA1604"/>
    </row>
    <row r="1605" spans="1:27" x14ac:dyDescent="0.2">
      <c r="A1605" s="12" t="s">
        <v>4976</v>
      </c>
      <c r="B1605" t="s">
        <v>4977</v>
      </c>
      <c r="C1605" t="s">
        <v>4978</v>
      </c>
      <c r="D1605" t="s">
        <v>4979</v>
      </c>
      <c r="E1605" t="s">
        <v>13</v>
      </c>
      <c r="F1605">
        <v>371</v>
      </c>
      <c r="G1605">
        <v>42</v>
      </c>
      <c r="H1605" s="5" t="s">
        <v>86</v>
      </c>
      <c r="I1605" s="5">
        <v>0</v>
      </c>
      <c r="J1605" s="5">
        <v>0</v>
      </c>
      <c r="K1605" t="s">
        <v>10927</v>
      </c>
      <c r="L1605" cm="1">
        <f t="array" ref="L1605">wordCount(K1605)</f>
        <v>10</v>
      </c>
      <c r="M1605">
        <f t="shared" si="50"/>
        <v>66</v>
      </c>
      <c r="N1605">
        <v>0.38461538461538464</v>
      </c>
      <c r="O1605" s="23" cm="1">
        <f t="array" ref="O1605">WordListCount(K1605,keywords!$A$2:$A$31)-WordListCount(K1605,keywords!$B$2:$B$31)</f>
        <v>0</v>
      </c>
      <c r="P1605" s="25">
        <f t="shared" si="51"/>
        <v>0.71219907407407401</v>
      </c>
      <c r="Q1605" s="23">
        <f>SUM($O$2:O1605)</f>
        <v>30</v>
      </c>
      <c r="Y1605" s="14"/>
      <c r="Z1605" s="13"/>
      <c r="AA1605"/>
    </row>
    <row r="1606" spans="1:27" x14ac:dyDescent="0.2">
      <c r="A1606" s="12" t="s">
        <v>4980</v>
      </c>
      <c r="B1606" t="s">
        <v>4981</v>
      </c>
      <c r="C1606" t="s">
        <v>4982</v>
      </c>
      <c r="D1606" t="s">
        <v>1913</v>
      </c>
      <c r="E1606" t="s">
        <v>13</v>
      </c>
      <c r="F1606">
        <v>232</v>
      </c>
      <c r="G1606">
        <v>177</v>
      </c>
      <c r="H1606" s="5" t="s">
        <v>22</v>
      </c>
      <c r="I1606" s="5">
        <v>0</v>
      </c>
      <c r="J1606" s="5">
        <v>0</v>
      </c>
      <c r="K1606" t="s">
        <v>10928</v>
      </c>
      <c r="L1606" cm="1">
        <f t="array" ref="L1606">wordCount(K1606)</f>
        <v>18</v>
      </c>
      <c r="M1606">
        <f t="shared" si="50"/>
        <v>90</v>
      </c>
      <c r="N1606">
        <v>0.39130434782608697</v>
      </c>
      <c r="O1606" s="23" cm="1">
        <f t="array" ref="O1606">WordListCount(K1606,keywords!$A$2:$A$31)-WordListCount(K1606,keywords!$B$2:$B$31)</f>
        <v>0</v>
      </c>
      <c r="P1606" s="25">
        <f t="shared" si="51"/>
        <v>0.71251157407407406</v>
      </c>
      <c r="Q1606" s="23">
        <f>SUM($O$2:O1606)</f>
        <v>30</v>
      </c>
      <c r="Y1606" s="14"/>
      <c r="Z1606" s="13"/>
      <c r="AA1606"/>
    </row>
    <row r="1607" spans="1:27" x14ac:dyDescent="0.2">
      <c r="A1607" s="12" t="s">
        <v>4983</v>
      </c>
      <c r="B1607" t="s">
        <v>4984</v>
      </c>
      <c r="C1607" t="s">
        <v>4985</v>
      </c>
      <c r="D1607" t="s">
        <v>81</v>
      </c>
      <c r="E1607" t="s">
        <v>13</v>
      </c>
      <c r="F1607">
        <v>56540</v>
      </c>
      <c r="G1607">
        <v>645</v>
      </c>
      <c r="H1607" s="5" t="s">
        <v>22</v>
      </c>
      <c r="I1607" s="5">
        <v>0</v>
      </c>
      <c r="J1607" s="5">
        <v>0</v>
      </c>
      <c r="K1607" t="s">
        <v>10929</v>
      </c>
      <c r="L1607" cm="1">
        <f t="array" ref="L1607">wordCount(K1607)</f>
        <v>18</v>
      </c>
      <c r="M1607">
        <f t="shared" si="50"/>
        <v>89</v>
      </c>
      <c r="N1607">
        <v>0.4</v>
      </c>
      <c r="O1607" s="23" cm="1">
        <f t="array" ref="O1607">WordListCount(K1607,keywords!$A$2:$A$31)-WordListCount(K1607,keywords!$B$2:$B$31)</f>
        <v>0</v>
      </c>
      <c r="P1607" s="25">
        <f t="shared" si="51"/>
        <v>0.71258101851851852</v>
      </c>
      <c r="Q1607" s="23">
        <f>SUM($O$2:O1607)</f>
        <v>30</v>
      </c>
      <c r="Y1607" s="14"/>
      <c r="Z1607" s="13"/>
      <c r="AA1607"/>
    </row>
    <row r="1608" spans="1:27" x14ac:dyDescent="0.2">
      <c r="A1608" s="12" t="s">
        <v>4986</v>
      </c>
      <c r="B1608" t="s">
        <v>4987</v>
      </c>
      <c r="C1608" t="s">
        <v>2888</v>
      </c>
      <c r="D1608" t="s">
        <v>112</v>
      </c>
      <c r="E1608" t="s">
        <v>13</v>
      </c>
      <c r="F1608">
        <v>84</v>
      </c>
      <c r="G1608">
        <v>57</v>
      </c>
      <c r="H1608" s="5" t="s">
        <v>22</v>
      </c>
      <c r="I1608" s="5">
        <v>0</v>
      </c>
      <c r="J1608" s="5">
        <v>0</v>
      </c>
      <c r="K1608" t="s">
        <v>10930</v>
      </c>
      <c r="L1608" cm="1">
        <f t="array" ref="L1608">wordCount(K1608)</f>
        <v>13</v>
      </c>
      <c r="M1608">
        <f t="shared" si="50"/>
        <v>68</v>
      </c>
      <c r="N1608">
        <v>0.4375</v>
      </c>
      <c r="O1608" s="23" cm="1">
        <f t="array" ref="O1608">WordListCount(K1608,keywords!$A$2:$A$31)-WordListCount(K1608,keywords!$B$2:$B$31)</f>
        <v>0</v>
      </c>
      <c r="P1608" s="25">
        <f t="shared" si="51"/>
        <v>0.71259259259259267</v>
      </c>
      <c r="Q1608" s="23">
        <f>SUM($O$2:O1608)</f>
        <v>30</v>
      </c>
      <c r="Y1608" s="14"/>
      <c r="Z1608" s="13"/>
      <c r="AA1608"/>
    </row>
    <row r="1609" spans="1:27" x14ac:dyDescent="0.2">
      <c r="A1609" s="12" t="s">
        <v>4988</v>
      </c>
      <c r="B1609" t="s">
        <v>4989</v>
      </c>
      <c r="C1609" t="s">
        <v>4975</v>
      </c>
      <c r="D1609" t="s">
        <v>743</v>
      </c>
      <c r="E1609" t="s">
        <v>13</v>
      </c>
      <c r="F1609">
        <v>25</v>
      </c>
      <c r="G1609">
        <v>175</v>
      </c>
      <c r="H1609" s="5" t="s">
        <v>22</v>
      </c>
      <c r="I1609" s="5">
        <v>0</v>
      </c>
      <c r="J1609" s="5">
        <v>0</v>
      </c>
      <c r="K1609" t="s">
        <v>10931</v>
      </c>
      <c r="L1609" cm="1">
        <f t="array" ref="L1609">wordCount(K1609)</f>
        <v>14</v>
      </c>
      <c r="M1609">
        <f t="shared" si="50"/>
        <v>64</v>
      </c>
      <c r="N1609">
        <v>0.59090909090909094</v>
      </c>
      <c r="O1609" s="23" cm="1">
        <f t="array" ref="O1609">WordListCount(K1609,keywords!$A$2:$A$31)-WordListCount(K1609,keywords!$B$2:$B$31)</f>
        <v>0</v>
      </c>
      <c r="P1609" s="25">
        <f t="shared" si="51"/>
        <v>0.71267361111111116</v>
      </c>
      <c r="Q1609" s="23">
        <f>SUM($O$2:O1609)</f>
        <v>30</v>
      </c>
      <c r="Y1609" s="14"/>
      <c r="Z1609" s="13"/>
      <c r="AA1609"/>
    </row>
    <row r="1610" spans="1:27" x14ac:dyDescent="0.2">
      <c r="A1610" s="12" t="s">
        <v>4990</v>
      </c>
      <c r="B1610" t="s">
        <v>4991</v>
      </c>
      <c r="C1610" t="s">
        <v>4992</v>
      </c>
      <c r="D1610" t="s">
        <v>12</v>
      </c>
      <c r="E1610" t="s">
        <v>13</v>
      </c>
      <c r="F1610">
        <v>4537</v>
      </c>
      <c r="G1610">
        <v>398</v>
      </c>
      <c r="H1610" s="5" t="s">
        <v>22</v>
      </c>
      <c r="I1610" s="5">
        <v>0</v>
      </c>
      <c r="J1610" s="5">
        <v>0</v>
      </c>
      <c r="K1610" t="s">
        <v>10932</v>
      </c>
      <c r="L1610" cm="1">
        <f t="array" ref="L1610">wordCount(K1610)</f>
        <v>15</v>
      </c>
      <c r="M1610">
        <f t="shared" si="50"/>
        <v>68</v>
      </c>
      <c r="N1610">
        <v>0.5</v>
      </c>
      <c r="O1610" s="23" cm="1">
        <f t="array" ref="O1610">WordListCount(K1610,keywords!$A$2:$A$31)-WordListCount(K1610,keywords!$B$2:$B$31)</f>
        <v>1</v>
      </c>
      <c r="P1610" s="25">
        <f t="shared" si="51"/>
        <v>0.7128472222222223</v>
      </c>
      <c r="Q1610" s="23">
        <f>SUM($O$2:O1610)</f>
        <v>31</v>
      </c>
      <c r="Y1610" s="14"/>
      <c r="Z1610" s="13"/>
      <c r="AA1610"/>
    </row>
    <row r="1611" spans="1:27" x14ac:dyDescent="0.2">
      <c r="A1611" s="12" t="s">
        <v>4993</v>
      </c>
      <c r="B1611" t="s">
        <v>4994</v>
      </c>
      <c r="C1611" t="s">
        <v>4995</v>
      </c>
      <c r="D1611" t="s">
        <v>12</v>
      </c>
      <c r="E1611" t="s">
        <v>13</v>
      </c>
      <c r="F1611">
        <v>251</v>
      </c>
      <c r="G1611">
        <v>9</v>
      </c>
      <c r="H1611" s="5" t="s">
        <v>22</v>
      </c>
      <c r="I1611" s="5">
        <v>0</v>
      </c>
      <c r="J1611" s="5">
        <v>0</v>
      </c>
      <c r="K1611" t="s">
        <v>10933</v>
      </c>
      <c r="L1611" cm="1">
        <f t="array" ref="L1611">wordCount(K1611)</f>
        <v>12</v>
      </c>
      <c r="M1611">
        <f t="shared" si="50"/>
        <v>55</v>
      </c>
      <c r="N1611">
        <v>0.60869565217391308</v>
      </c>
      <c r="O1611" s="23" cm="1">
        <f t="array" ref="O1611">WordListCount(K1611,keywords!$A$2:$A$31)-WordListCount(K1611,keywords!$B$2:$B$31)</f>
        <v>0</v>
      </c>
      <c r="P1611" s="25">
        <f t="shared" si="51"/>
        <v>0.71288194444444442</v>
      </c>
      <c r="Q1611" s="23">
        <f>SUM($O$2:O1611)</f>
        <v>31</v>
      </c>
      <c r="Y1611" s="14"/>
      <c r="Z1611" s="13"/>
      <c r="AA1611"/>
    </row>
    <row r="1612" spans="1:27" x14ac:dyDescent="0.2">
      <c r="A1612" s="12" t="s">
        <v>4996</v>
      </c>
      <c r="B1612" t="s">
        <v>4997</v>
      </c>
      <c r="C1612" t="s">
        <v>4998</v>
      </c>
      <c r="D1612" t="s">
        <v>4999</v>
      </c>
      <c r="E1612" t="s">
        <v>13</v>
      </c>
      <c r="F1612">
        <v>436</v>
      </c>
      <c r="G1612">
        <v>1289</v>
      </c>
      <c r="H1612" s="5" t="s">
        <v>22</v>
      </c>
      <c r="I1612" s="5">
        <v>0</v>
      </c>
      <c r="J1612" s="5">
        <v>0</v>
      </c>
      <c r="K1612" t="s">
        <v>9496</v>
      </c>
      <c r="L1612" cm="1">
        <f t="array" ref="L1612">wordCount(K1612)</f>
        <v>10</v>
      </c>
      <c r="M1612">
        <f t="shared" si="50"/>
        <v>71</v>
      </c>
      <c r="N1612">
        <v>0.57894736842105265</v>
      </c>
      <c r="O1612" s="23" cm="1">
        <f t="array" ref="O1612">WordListCount(K1612,keywords!$A$2:$A$31)-WordListCount(K1612,keywords!$B$2:$B$31)</f>
        <v>0</v>
      </c>
      <c r="P1612" s="25">
        <f t="shared" si="51"/>
        <v>0.71347222222222229</v>
      </c>
      <c r="Q1612" s="23">
        <f>SUM($O$2:O1612)</f>
        <v>31</v>
      </c>
      <c r="Y1612" s="14"/>
      <c r="Z1612" s="13"/>
      <c r="AA1612"/>
    </row>
    <row r="1613" spans="1:27" x14ac:dyDescent="0.2">
      <c r="A1613" s="12" t="s">
        <v>5000</v>
      </c>
      <c r="B1613" t="s">
        <v>5001</v>
      </c>
      <c r="C1613" t="s">
        <v>5002</v>
      </c>
      <c r="D1613" t="s">
        <v>1913</v>
      </c>
      <c r="E1613" t="s">
        <v>13</v>
      </c>
      <c r="F1613">
        <v>1325</v>
      </c>
      <c r="G1613">
        <v>971</v>
      </c>
      <c r="H1613" s="5" t="s">
        <v>22</v>
      </c>
      <c r="I1613" s="5">
        <v>0</v>
      </c>
      <c r="J1613" s="5">
        <v>0</v>
      </c>
      <c r="K1613" t="s">
        <v>10934</v>
      </c>
      <c r="L1613" cm="1">
        <f t="array" ref="L1613">wordCount(K1613)</f>
        <v>13</v>
      </c>
      <c r="M1613">
        <f t="shared" si="50"/>
        <v>79</v>
      </c>
      <c r="N1613">
        <v>0.4</v>
      </c>
      <c r="O1613" s="23" cm="1">
        <f t="array" ref="O1613">WordListCount(K1613,keywords!$A$2:$A$31)-WordListCount(K1613,keywords!$B$2:$B$31)</f>
        <v>0</v>
      </c>
      <c r="P1613" s="25">
        <f t="shared" si="51"/>
        <v>0.71351851851851855</v>
      </c>
      <c r="Q1613" s="23">
        <f>SUM($O$2:O1613)</f>
        <v>31</v>
      </c>
      <c r="Y1613" s="14"/>
      <c r="Z1613" s="13"/>
      <c r="AA1613"/>
    </row>
    <row r="1614" spans="1:27" x14ac:dyDescent="0.2">
      <c r="A1614" s="12" t="s">
        <v>5003</v>
      </c>
      <c r="B1614" t="s">
        <v>5004</v>
      </c>
      <c r="C1614" t="s">
        <v>5005</v>
      </c>
      <c r="D1614" t="s">
        <v>12</v>
      </c>
      <c r="E1614" t="s">
        <v>13</v>
      </c>
      <c r="F1614">
        <v>1</v>
      </c>
      <c r="G1614">
        <v>11</v>
      </c>
      <c r="H1614" s="5" t="s">
        <v>22</v>
      </c>
      <c r="I1614" s="5">
        <v>0</v>
      </c>
      <c r="J1614" s="5">
        <v>0</v>
      </c>
      <c r="K1614" t="s">
        <v>9497</v>
      </c>
      <c r="L1614" cm="1">
        <f t="array" ref="L1614">wordCount(K1614)</f>
        <v>17</v>
      </c>
      <c r="M1614">
        <f t="shared" si="50"/>
        <v>103</v>
      </c>
      <c r="N1614">
        <v>0.17647058823529413</v>
      </c>
      <c r="O1614" s="23" cm="1">
        <f t="array" ref="O1614">WordListCount(K1614,keywords!$A$2:$A$31)-WordListCount(K1614,keywords!$B$2:$B$31)</f>
        <v>-2</v>
      </c>
      <c r="P1614" s="25">
        <f t="shared" si="51"/>
        <v>0.71353009259259259</v>
      </c>
      <c r="Q1614" s="23">
        <f>SUM($O$2:O1614)</f>
        <v>29</v>
      </c>
      <c r="Y1614" s="14"/>
      <c r="Z1614" s="13"/>
      <c r="AA1614"/>
    </row>
    <row r="1615" spans="1:27" x14ac:dyDescent="0.2">
      <c r="A1615" s="12" t="s">
        <v>5006</v>
      </c>
      <c r="B1615" t="s">
        <v>5007</v>
      </c>
      <c r="C1615" t="s">
        <v>4992</v>
      </c>
      <c r="D1615" t="s">
        <v>12</v>
      </c>
      <c r="E1615" t="s">
        <v>13</v>
      </c>
      <c r="F1615">
        <v>4537</v>
      </c>
      <c r="G1615">
        <v>398</v>
      </c>
      <c r="H1615" s="5" t="s">
        <v>22</v>
      </c>
      <c r="I1615" s="5">
        <v>0</v>
      </c>
      <c r="J1615" s="5">
        <v>0</v>
      </c>
      <c r="K1615" t="s">
        <v>10935</v>
      </c>
      <c r="L1615" cm="1">
        <f t="array" ref="L1615">wordCount(K1615)</f>
        <v>11</v>
      </c>
      <c r="M1615">
        <f t="shared" si="50"/>
        <v>41</v>
      </c>
      <c r="N1615">
        <v>0.625</v>
      </c>
      <c r="O1615" s="23" cm="1">
        <f t="array" ref="O1615">WordListCount(K1615,keywords!$A$2:$A$31)-WordListCount(K1615,keywords!$B$2:$B$31)</f>
        <v>0</v>
      </c>
      <c r="P1615" s="25">
        <f t="shared" si="51"/>
        <v>0.71358796296296301</v>
      </c>
      <c r="Q1615" s="23">
        <f>SUM($O$2:O1615)</f>
        <v>29</v>
      </c>
      <c r="Y1615" s="14"/>
      <c r="Z1615" s="13"/>
      <c r="AA1615"/>
    </row>
    <row r="1616" spans="1:27" x14ac:dyDescent="0.2">
      <c r="A1616" s="12" t="s">
        <v>5008</v>
      </c>
      <c r="B1616" t="s">
        <v>5009</v>
      </c>
      <c r="C1616" t="s">
        <v>5010</v>
      </c>
      <c r="D1616" t="s">
        <v>5011</v>
      </c>
      <c r="E1616" t="s">
        <v>13</v>
      </c>
      <c r="F1616">
        <v>532</v>
      </c>
      <c r="G1616">
        <v>371</v>
      </c>
      <c r="H1616" s="5" t="s">
        <v>22</v>
      </c>
      <c r="I1616" s="5">
        <v>0</v>
      </c>
      <c r="J1616" s="5">
        <v>0</v>
      </c>
      <c r="K1616" t="s">
        <v>9498</v>
      </c>
      <c r="L1616" cm="1">
        <f t="array" ref="L1616">wordCount(K1616)</f>
        <v>19</v>
      </c>
      <c r="M1616">
        <f t="shared" si="50"/>
        <v>109</v>
      </c>
      <c r="N1616">
        <v>0.53125</v>
      </c>
      <c r="O1616" s="23" cm="1">
        <f t="array" ref="O1616">WordListCount(K1616,keywords!$A$2:$A$31)-WordListCount(K1616,keywords!$B$2:$B$31)</f>
        <v>0</v>
      </c>
      <c r="P1616" s="25">
        <f t="shared" si="51"/>
        <v>0.71359953703703705</v>
      </c>
      <c r="Q1616" s="23">
        <f>SUM($O$2:O1616)</f>
        <v>29</v>
      </c>
      <c r="Y1616" s="14"/>
      <c r="Z1616" s="13"/>
      <c r="AA1616"/>
    </row>
    <row r="1617" spans="1:27" x14ac:dyDescent="0.2">
      <c r="A1617" s="12" t="s">
        <v>5012</v>
      </c>
      <c r="B1617" t="s">
        <v>5013</v>
      </c>
      <c r="C1617" t="s">
        <v>5014</v>
      </c>
      <c r="D1617" t="s">
        <v>12</v>
      </c>
      <c r="E1617" t="s">
        <v>13</v>
      </c>
      <c r="F1617">
        <v>17687</v>
      </c>
      <c r="G1617">
        <v>14204</v>
      </c>
      <c r="H1617" s="5" t="s">
        <v>22</v>
      </c>
      <c r="I1617" s="5">
        <v>0</v>
      </c>
      <c r="J1617" s="5">
        <v>0</v>
      </c>
      <c r="K1617" t="s">
        <v>10936</v>
      </c>
      <c r="L1617" cm="1">
        <f t="array" ref="L1617">wordCount(K1617)</f>
        <v>13</v>
      </c>
      <c r="M1617">
        <f t="shared" si="50"/>
        <v>68</v>
      </c>
      <c r="N1617">
        <v>0.56521739130434778</v>
      </c>
      <c r="O1617" s="23" cm="1">
        <f t="array" ref="O1617">WordListCount(K1617,keywords!$A$2:$A$31)-WordListCount(K1617,keywords!$B$2:$B$31)</f>
        <v>1</v>
      </c>
      <c r="P1617" s="25">
        <f t="shared" si="51"/>
        <v>0.71393518518518517</v>
      </c>
      <c r="Q1617" s="23">
        <f>SUM($O$2:O1617)</f>
        <v>30</v>
      </c>
      <c r="Y1617" s="14"/>
      <c r="Z1617" s="13"/>
      <c r="AA1617"/>
    </row>
    <row r="1618" spans="1:27" x14ac:dyDescent="0.2">
      <c r="A1618" s="12" t="s">
        <v>5015</v>
      </c>
      <c r="B1618" t="s">
        <v>5016</v>
      </c>
      <c r="C1618" t="s">
        <v>5017</v>
      </c>
      <c r="D1618" t="s">
        <v>5018</v>
      </c>
      <c r="E1618" t="s">
        <v>13</v>
      </c>
      <c r="F1618">
        <v>980</v>
      </c>
      <c r="G1618">
        <v>640</v>
      </c>
      <c r="H1618" s="5" t="s">
        <v>22</v>
      </c>
      <c r="I1618" s="5">
        <v>0</v>
      </c>
      <c r="J1618" s="5">
        <v>0</v>
      </c>
      <c r="K1618" t="s">
        <v>10937</v>
      </c>
      <c r="L1618" cm="1">
        <f t="array" ref="L1618">wordCount(K1618)</f>
        <v>10</v>
      </c>
      <c r="M1618">
        <f t="shared" si="50"/>
        <v>47</v>
      </c>
      <c r="N1618">
        <v>0.47058823529411764</v>
      </c>
      <c r="O1618" s="23" cm="1">
        <f t="array" ref="O1618">WordListCount(K1618,keywords!$A$2:$A$31)-WordListCount(K1618,keywords!$B$2:$B$31)</f>
        <v>0</v>
      </c>
      <c r="P1618" s="25">
        <f t="shared" si="51"/>
        <v>0.71409722222222216</v>
      </c>
      <c r="Q1618" s="23">
        <f>SUM($O$2:O1618)</f>
        <v>30</v>
      </c>
      <c r="Y1618" s="14"/>
      <c r="Z1618" s="13"/>
      <c r="AA1618"/>
    </row>
    <row r="1619" spans="1:27" x14ac:dyDescent="0.2">
      <c r="A1619" s="12" t="s">
        <v>5019</v>
      </c>
      <c r="B1619" t="s">
        <v>5020</v>
      </c>
      <c r="C1619" t="s">
        <v>5021</v>
      </c>
      <c r="D1619" t="s">
        <v>12</v>
      </c>
      <c r="E1619" t="s">
        <v>13</v>
      </c>
      <c r="F1619">
        <v>1050</v>
      </c>
      <c r="G1619">
        <v>862</v>
      </c>
      <c r="H1619" s="5" t="s">
        <v>22</v>
      </c>
      <c r="I1619" s="5">
        <v>0</v>
      </c>
      <c r="J1619" s="5">
        <v>0</v>
      </c>
      <c r="K1619" t="s">
        <v>10938</v>
      </c>
      <c r="L1619" cm="1">
        <f t="array" ref="L1619">wordCount(K1619)</f>
        <v>18</v>
      </c>
      <c r="M1619">
        <f t="shared" si="50"/>
        <v>87</v>
      </c>
      <c r="N1619">
        <v>0.62857142857142856</v>
      </c>
      <c r="O1619" s="23" cm="1">
        <f t="array" ref="O1619">WordListCount(K1619,keywords!$A$2:$A$31)-WordListCount(K1619,keywords!$B$2:$B$31)</f>
        <v>0</v>
      </c>
      <c r="P1619" s="25">
        <f t="shared" si="51"/>
        <v>0.71452546296296304</v>
      </c>
      <c r="Q1619" s="23">
        <f>SUM($O$2:O1619)</f>
        <v>30</v>
      </c>
      <c r="Y1619" s="14"/>
      <c r="Z1619" s="13"/>
      <c r="AA1619"/>
    </row>
    <row r="1620" spans="1:27" x14ac:dyDescent="0.2">
      <c r="A1620" s="12" t="s">
        <v>5022</v>
      </c>
      <c r="B1620" t="s">
        <v>5023</v>
      </c>
      <c r="C1620" t="s">
        <v>5024</v>
      </c>
      <c r="D1620" t="s">
        <v>12</v>
      </c>
      <c r="E1620" t="s">
        <v>13</v>
      </c>
      <c r="F1620">
        <v>2514</v>
      </c>
      <c r="G1620">
        <v>3016</v>
      </c>
      <c r="H1620" s="5" t="s">
        <v>42</v>
      </c>
      <c r="I1620" s="5">
        <v>0</v>
      </c>
      <c r="J1620" s="5">
        <v>0</v>
      </c>
      <c r="K1620" t="s">
        <v>10939</v>
      </c>
      <c r="L1620" cm="1">
        <f t="array" ref="L1620">wordCount(K1620)</f>
        <v>16</v>
      </c>
      <c r="M1620">
        <f t="shared" si="50"/>
        <v>95</v>
      </c>
      <c r="N1620">
        <v>0.42857142857142855</v>
      </c>
      <c r="O1620" s="23" cm="1">
        <f t="array" ref="O1620">WordListCount(K1620,keywords!$A$2:$A$31)-WordListCount(K1620,keywords!$B$2:$B$31)</f>
        <v>0</v>
      </c>
      <c r="P1620" s="25">
        <f t="shared" si="51"/>
        <v>0.71474537037037045</v>
      </c>
      <c r="Q1620" s="23">
        <f>SUM($O$2:O1620)</f>
        <v>30</v>
      </c>
      <c r="Y1620" s="14"/>
      <c r="Z1620" s="13"/>
      <c r="AA1620"/>
    </row>
    <row r="1621" spans="1:27" x14ac:dyDescent="0.2">
      <c r="A1621" s="12" t="s">
        <v>5025</v>
      </c>
      <c r="B1621" t="s">
        <v>5026</v>
      </c>
      <c r="C1621" t="s">
        <v>5027</v>
      </c>
      <c r="D1621" t="s">
        <v>12</v>
      </c>
      <c r="E1621" t="s">
        <v>13</v>
      </c>
      <c r="F1621">
        <v>25</v>
      </c>
      <c r="G1621">
        <v>222</v>
      </c>
      <c r="H1621" s="5" t="s">
        <v>96</v>
      </c>
      <c r="I1621" s="5">
        <v>0</v>
      </c>
      <c r="J1621" s="5">
        <v>0</v>
      </c>
      <c r="K1621" t="s">
        <v>10940</v>
      </c>
      <c r="L1621" cm="1">
        <f t="array" ref="L1621">wordCount(K1621)</f>
        <v>13</v>
      </c>
      <c r="M1621">
        <f t="shared" si="50"/>
        <v>64</v>
      </c>
      <c r="N1621">
        <v>0.52173913043478259</v>
      </c>
      <c r="O1621" s="23" cm="1">
        <f t="array" ref="O1621">WordListCount(K1621,keywords!$A$2:$A$31)-WordListCount(K1621,keywords!$B$2:$B$31)</f>
        <v>0</v>
      </c>
      <c r="P1621" s="25">
        <f t="shared" si="51"/>
        <v>0.71484953703703702</v>
      </c>
      <c r="Q1621" s="23">
        <f>SUM($O$2:O1621)</f>
        <v>30</v>
      </c>
      <c r="Y1621" s="14"/>
      <c r="Z1621" s="13"/>
      <c r="AA1621"/>
    </row>
    <row r="1622" spans="1:27" x14ac:dyDescent="0.2">
      <c r="A1622" s="12" t="s">
        <v>5028</v>
      </c>
      <c r="B1622" t="s">
        <v>5029</v>
      </c>
      <c r="C1622" t="s">
        <v>5030</v>
      </c>
      <c r="D1622" t="s">
        <v>12</v>
      </c>
      <c r="E1622" t="s">
        <v>13</v>
      </c>
      <c r="F1622">
        <v>12</v>
      </c>
      <c r="G1622">
        <v>55</v>
      </c>
      <c r="H1622" s="5" t="s">
        <v>22</v>
      </c>
      <c r="I1622" s="5">
        <v>0</v>
      </c>
      <c r="J1622" s="5">
        <v>0</v>
      </c>
      <c r="K1622" t="s">
        <v>10941</v>
      </c>
      <c r="L1622" cm="1">
        <f t="array" ref="L1622">wordCount(K1622)</f>
        <v>13</v>
      </c>
      <c r="M1622">
        <f t="shared" si="50"/>
        <v>58</v>
      </c>
      <c r="N1622">
        <v>0.55555555555555558</v>
      </c>
      <c r="O1622" s="23" cm="1">
        <f t="array" ref="O1622">WordListCount(K1622,keywords!$A$2:$A$31)-WordListCount(K1622,keywords!$B$2:$B$31)</f>
        <v>0</v>
      </c>
      <c r="P1622" s="25">
        <f t="shared" si="51"/>
        <v>0.71506944444444442</v>
      </c>
      <c r="Q1622" s="23">
        <f>SUM($O$2:O1622)</f>
        <v>30</v>
      </c>
      <c r="Y1622" s="14"/>
      <c r="Z1622" s="13"/>
      <c r="AA1622"/>
    </row>
    <row r="1623" spans="1:27" x14ac:dyDescent="0.2">
      <c r="A1623" s="12" t="s">
        <v>5031</v>
      </c>
      <c r="B1623" t="s">
        <v>3161</v>
      </c>
      <c r="C1623" t="s">
        <v>119</v>
      </c>
      <c r="D1623" t="s">
        <v>120</v>
      </c>
      <c r="E1623" t="s">
        <v>13</v>
      </c>
      <c r="F1623">
        <v>16</v>
      </c>
      <c r="G1623">
        <v>39</v>
      </c>
      <c r="H1623" s="5" t="s">
        <v>22</v>
      </c>
      <c r="I1623" s="5">
        <v>0</v>
      </c>
      <c r="J1623" s="5">
        <v>0</v>
      </c>
      <c r="K1623" t="s">
        <v>9914</v>
      </c>
      <c r="L1623" cm="1">
        <f t="array" ref="L1623">wordCount(K1623)</f>
        <v>10</v>
      </c>
      <c r="M1623">
        <f t="shared" si="50"/>
        <v>49</v>
      </c>
      <c r="N1623">
        <v>0.9</v>
      </c>
      <c r="O1623" s="23" cm="1">
        <f t="array" ref="O1623">WordListCount(K1623,keywords!$A$2:$A$31)-WordListCount(K1623,keywords!$B$2:$B$31)</f>
        <v>0</v>
      </c>
      <c r="P1623" s="25">
        <f t="shared" si="51"/>
        <v>0.71531250000000002</v>
      </c>
      <c r="Q1623" s="23">
        <f>SUM($O$2:O1623)</f>
        <v>30</v>
      </c>
      <c r="Y1623" s="14"/>
      <c r="Z1623" s="13"/>
      <c r="AA1623"/>
    </row>
    <row r="1624" spans="1:27" x14ac:dyDescent="0.2">
      <c r="A1624" s="33" t="s">
        <v>5032</v>
      </c>
      <c r="B1624" s="34" t="s">
        <v>5033</v>
      </c>
      <c r="C1624" s="34" t="s">
        <v>123</v>
      </c>
      <c r="D1624" s="34" t="s">
        <v>124</v>
      </c>
      <c r="E1624" s="34" t="s">
        <v>13</v>
      </c>
      <c r="F1624" s="34">
        <v>837</v>
      </c>
      <c r="G1624" s="34">
        <v>898</v>
      </c>
      <c r="H1624" s="35" t="s">
        <v>125</v>
      </c>
      <c r="I1624" s="35">
        <v>0</v>
      </c>
      <c r="J1624" s="35">
        <v>0</v>
      </c>
      <c r="K1624" s="34" t="s">
        <v>9499</v>
      </c>
      <c r="L1624" s="34" cm="1">
        <f t="array" ref="L1624">wordCount(K1624)</f>
        <v>20</v>
      </c>
      <c r="M1624" s="34">
        <f t="shared" si="50"/>
        <v>89</v>
      </c>
      <c r="N1624" s="34">
        <v>0.8</v>
      </c>
      <c r="O1624" s="36" cm="1">
        <f t="array" ref="O1624">WordListCount(K1624,keywords!$A$2:$A$31)-WordListCount(K1624,keywords!$B$2:$B$31)</f>
        <v>0</v>
      </c>
      <c r="P1624" s="37">
        <f t="shared" si="51"/>
        <v>0.7153356481481481</v>
      </c>
      <c r="Q1624" s="23">
        <f>SUM($O$2:O1624)</f>
        <v>30</v>
      </c>
    </row>
    <row r="1625" spans="1:27" x14ac:dyDescent="0.2">
      <c r="A1625" s="12" t="s">
        <v>5034</v>
      </c>
      <c r="B1625" t="s">
        <v>5035</v>
      </c>
      <c r="C1625" t="s">
        <v>119</v>
      </c>
      <c r="D1625" t="s">
        <v>120</v>
      </c>
      <c r="E1625" t="s">
        <v>13</v>
      </c>
      <c r="F1625">
        <v>16</v>
      </c>
      <c r="G1625">
        <v>39</v>
      </c>
      <c r="H1625" s="5" t="s">
        <v>22</v>
      </c>
      <c r="I1625" s="5">
        <v>0</v>
      </c>
      <c r="J1625" s="5">
        <v>0</v>
      </c>
      <c r="K1625" t="s">
        <v>9914</v>
      </c>
      <c r="L1625" cm="1">
        <f t="array" ref="L1625">wordCount(K1625)</f>
        <v>10</v>
      </c>
      <c r="M1625">
        <f t="shared" si="50"/>
        <v>49</v>
      </c>
      <c r="N1625">
        <v>0.9</v>
      </c>
      <c r="O1625" s="23" cm="1">
        <f t="array" ref="O1625">WordListCount(K1625,keywords!$A$2:$A$31)-WordListCount(K1625,keywords!$B$2:$B$31)</f>
        <v>0</v>
      </c>
      <c r="P1625" s="25">
        <f t="shared" si="51"/>
        <v>0.71537037037037043</v>
      </c>
      <c r="Q1625" s="23">
        <f>SUM($O$2:O1625)</f>
        <v>30</v>
      </c>
      <c r="Y1625" s="14"/>
      <c r="Z1625" s="13"/>
      <c r="AA1625"/>
    </row>
    <row r="1626" spans="1:27" x14ac:dyDescent="0.2">
      <c r="A1626" s="12" t="s">
        <v>5036</v>
      </c>
      <c r="B1626" t="s">
        <v>5037</v>
      </c>
      <c r="C1626" t="s">
        <v>5038</v>
      </c>
      <c r="D1626" t="s">
        <v>12</v>
      </c>
      <c r="E1626" t="s">
        <v>13</v>
      </c>
      <c r="F1626">
        <v>6</v>
      </c>
      <c r="G1626">
        <v>31</v>
      </c>
      <c r="H1626" s="5" t="s">
        <v>22</v>
      </c>
      <c r="I1626" s="5">
        <v>0</v>
      </c>
      <c r="J1626" s="5">
        <v>0</v>
      </c>
      <c r="K1626" t="s">
        <v>10942</v>
      </c>
      <c r="L1626" cm="1">
        <f t="array" ref="L1626">wordCount(K1626)</f>
        <v>26</v>
      </c>
      <c r="M1626">
        <f t="shared" si="50"/>
        <v>119</v>
      </c>
      <c r="N1626">
        <v>0.38235294117647056</v>
      </c>
      <c r="O1626" s="23" cm="1">
        <f t="array" ref="O1626">WordListCount(K1626,keywords!$A$2:$A$31)-WordListCount(K1626,keywords!$B$2:$B$31)</f>
        <v>0</v>
      </c>
      <c r="P1626" s="25">
        <f t="shared" si="51"/>
        <v>0.71542824074074074</v>
      </c>
      <c r="Q1626" s="23">
        <f>SUM($O$2:O1626)</f>
        <v>30</v>
      </c>
      <c r="Y1626" s="14"/>
      <c r="Z1626" s="13"/>
      <c r="AA1626"/>
    </row>
    <row r="1627" spans="1:27" x14ac:dyDescent="0.2">
      <c r="A1627" s="12" t="s">
        <v>5039</v>
      </c>
      <c r="B1627" t="s">
        <v>5040</v>
      </c>
      <c r="C1627" t="s">
        <v>119</v>
      </c>
      <c r="D1627" t="s">
        <v>120</v>
      </c>
      <c r="E1627" t="s">
        <v>13</v>
      </c>
      <c r="F1627">
        <v>16</v>
      </c>
      <c r="G1627">
        <v>39</v>
      </c>
      <c r="H1627" s="5" t="s">
        <v>22</v>
      </c>
      <c r="I1627" s="5">
        <v>0</v>
      </c>
      <c r="J1627" s="5">
        <v>0</v>
      </c>
      <c r="K1627" t="s">
        <v>9914</v>
      </c>
      <c r="L1627" cm="1">
        <f t="array" ref="L1627">wordCount(K1627)</f>
        <v>10</v>
      </c>
      <c r="M1627">
        <f t="shared" si="50"/>
        <v>49</v>
      </c>
      <c r="N1627">
        <v>0.9</v>
      </c>
      <c r="O1627" s="23" cm="1">
        <f t="array" ref="O1627">WordListCount(K1627,keywords!$A$2:$A$31)-WordListCount(K1627,keywords!$B$2:$B$31)</f>
        <v>0</v>
      </c>
      <c r="P1627" s="25">
        <f t="shared" si="51"/>
        <v>0.71546296296296286</v>
      </c>
      <c r="Q1627" s="23">
        <f>SUM($O$2:O1627)</f>
        <v>30</v>
      </c>
      <c r="Y1627" s="14"/>
      <c r="Z1627" s="13"/>
      <c r="AA1627"/>
    </row>
    <row r="1628" spans="1:27" x14ac:dyDescent="0.2">
      <c r="A1628" s="12" t="s">
        <v>5041</v>
      </c>
      <c r="B1628" t="s">
        <v>5042</v>
      </c>
      <c r="C1628" t="s">
        <v>5043</v>
      </c>
      <c r="D1628" t="s">
        <v>5044</v>
      </c>
      <c r="E1628" t="s">
        <v>13</v>
      </c>
      <c r="F1628">
        <v>3975</v>
      </c>
      <c r="G1628">
        <v>877</v>
      </c>
      <c r="H1628" s="5" t="s">
        <v>22</v>
      </c>
      <c r="I1628" s="5">
        <v>0</v>
      </c>
      <c r="J1628" s="5">
        <v>0</v>
      </c>
      <c r="K1628" t="s">
        <v>9500</v>
      </c>
      <c r="L1628" cm="1">
        <f t="array" ref="L1628">wordCount(K1628)</f>
        <v>5</v>
      </c>
      <c r="M1628">
        <f t="shared" si="50"/>
        <v>20</v>
      </c>
      <c r="N1628">
        <v>0.7857142857142857</v>
      </c>
      <c r="O1628" s="23" cm="1">
        <f t="array" ref="O1628">WordListCount(K1628,keywords!$A$2:$A$31)-WordListCount(K1628,keywords!$B$2:$B$31)</f>
        <v>0</v>
      </c>
      <c r="P1628" s="25">
        <f t="shared" si="51"/>
        <v>0.71549768518518519</v>
      </c>
      <c r="Q1628" s="23">
        <f>SUM($O$2:O1628)</f>
        <v>30</v>
      </c>
      <c r="Y1628" s="14"/>
      <c r="Z1628" s="13"/>
      <c r="AA1628"/>
    </row>
    <row r="1629" spans="1:27" x14ac:dyDescent="0.2">
      <c r="A1629" s="12" t="s">
        <v>5045</v>
      </c>
      <c r="B1629" t="s">
        <v>5046</v>
      </c>
      <c r="C1629" t="s">
        <v>4107</v>
      </c>
      <c r="D1629" t="s">
        <v>564</v>
      </c>
      <c r="E1629" t="s">
        <v>13</v>
      </c>
      <c r="F1629">
        <v>129</v>
      </c>
      <c r="G1629">
        <v>240</v>
      </c>
      <c r="H1629" s="5" t="s">
        <v>22</v>
      </c>
      <c r="I1629" s="5">
        <v>0</v>
      </c>
      <c r="J1629" s="5">
        <v>0</v>
      </c>
      <c r="K1629" t="s">
        <v>9501</v>
      </c>
      <c r="L1629" cm="1">
        <f t="array" ref="L1629">wordCount(K1629)</f>
        <v>12</v>
      </c>
      <c r="M1629">
        <f t="shared" si="50"/>
        <v>66</v>
      </c>
      <c r="N1629">
        <v>0.54166666666666663</v>
      </c>
      <c r="O1629" s="23" cm="1">
        <f t="array" ref="O1629">WordListCount(K1629,keywords!$A$2:$A$31)-WordListCount(K1629,keywords!$B$2:$B$31)</f>
        <v>0</v>
      </c>
      <c r="P1629" s="25">
        <f t="shared" si="51"/>
        <v>0.7155555555555555</v>
      </c>
      <c r="Q1629" s="23">
        <f>SUM($O$2:O1629)</f>
        <v>30</v>
      </c>
      <c r="Y1629" s="14"/>
      <c r="Z1629" s="13"/>
      <c r="AA1629"/>
    </row>
    <row r="1630" spans="1:27" x14ac:dyDescent="0.2">
      <c r="A1630" s="12" t="s">
        <v>5047</v>
      </c>
      <c r="B1630" t="s">
        <v>5048</v>
      </c>
      <c r="C1630" t="s">
        <v>5049</v>
      </c>
      <c r="D1630" t="s">
        <v>5050</v>
      </c>
      <c r="E1630" t="s">
        <v>13</v>
      </c>
      <c r="F1630">
        <v>648</v>
      </c>
      <c r="G1630">
        <v>784</v>
      </c>
      <c r="H1630" s="5" t="s">
        <v>5051</v>
      </c>
      <c r="I1630" s="5">
        <v>0</v>
      </c>
      <c r="J1630" s="5">
        <v>0</v>
      </c>
      <c r="K1630" t="s">
        <v>10943</v>
      </c>
      <c r="L1630" cm="1">
        <f t="array" ref="L1630">wordCount(K1630)</f>
        <v>21</v>
      </c>
      <c r="M1630">
        <f t="shared" si="50"/>
        <v>102</v>
      </c>
      <c r="N1630">
        <v>0.37037037037037035</v>
      </c>
      <c r="O1630" s="23" cm="1">
        <f t="array" ref="O1630">WordListCount(K1630,keywords!$A$2:$A$31)-WordListCount(K1630,keywords!$B$2:$B$31)</f>
        <v>1</v>
      </c>
      <c r="P1630" s="25">
        <f t="shared" si="51"/>
        <v>0.71576388888888898</v>
      </c>
      <c r="Q1630" s="23">
        <f>SUM($O$2:O1630)</f>
        <v>31</v>
      </c>
      <c r="Y1630" s="14"/>
      <c r="Z1630" s="13"/>
      <c r="AA1630"/>
    </row>
    <row r="1631" spans="1:27" x14ac:dyDescent="0.2">
      <c r="A1631" s="12" t="s">
        <v>5052</v>
      </c>
      <c r="B1631" t="s">
        <v>5053</v>
      </c>
      <c r="C1631" t="s">
        <v>5054</v>
      </c>
      <c r="D1631" t="s">
        <v>5055</v>
      </c>
      <c r="E1631" t="s">
        <v>13</v>
      </c>
      <c r="F1631">
        <v>240</v>
      </c>
      <c r="G1631">
        <v>154</v>
      </c>
      <c r="H1631" s="5" t="s">
        <v>22</v>
      </c>
      <c r="I1631" s="5">
        <v>0</v>
      </c>
      <c r="J1631" s="5">
        <v>0</v>
      </c>
      <c r="K1631" t="s">
        <v>9502</v>
      </c>
      <c r="L1631" cm="1">
        <f t="array" ref="L1631">wordCount(K1631)</f>
        <v>9</v>
      </c>
      <c r="M1631">
        <f t="shared" si="50"/>
        <v>37</v>
      </c>
      <c r="N1631">
        <v>0.66666666666666663</v>
      </c>
      <c r="O1631" s="23" cm="1">
        <f t="array" ref="O1631">WordListCount(K1631,keywords!$A$2:$A$31)-WordListCount(K1631,keywords!$B$2:$B$31)</f>
        <v>1</v>
      </c>
      <c r="P1631" s="25">
        <f t="shared" si="51"/>
        <v>0.71589120370370374</v>
      </c>
      <c r="Q1631" s="23">
        <f>SUM($O$2:O1631)</f>
        <v>32</v>
      </c>
      <c r="Y1631" s="14"/>
      <c r="Z1631" s="13"/>
      <c r="AA1631"/>
    </row>
    <row r="1632" spans="1:27" x14ac:dyDescent="0.2">
      <c r="A1632" s="12" t="s">
        <v>5056</v>
      </c>
      <c r="B1632" t="s">
        <v>5057</v>
      </c>
      <c r="C1632" t="s">
        <v>796</v>
      </c>
      <c r="D1632" t="s">
        <v>797</v>
      </c>
      <c r="E1632" t="s">
        <v>13</v>
      </c>
      <c r="F1632">
        <v>3059</v>
      </c>
      <c r="G1632">
        <v>983</v>
      </c>
      <c r="H1632" s="5" t="s">
        <v>22</v>
      </c>
      <c r="I1632" s="5">
        <v>0</v>
      </c>
      <c r="J1632" s="5">
        <v>0</v>
      </c>
      <c r="K1632" t="s">
        <v>9503</v>
      </c>
      <c r="L1632" cm="1">
        <f t="array" ref="L1632">wordCount(K1632)</f>
        <v>8</v>
      </c>
      <c r="M1632">
        <f t="shared" si="50"/>
        <v>56</v>
      </c>
      <c r="N1632">
        <v>0.70588235294117652</v>
      </c>
      <c r="O1632" s="23" cm="1">
        <f t="array" ref="O1632">WordListCount(K1632,keywords!$A$2:$A$31)-WordListCount(K1632,keywords!$B$2:$B$31)</f>
        <v>0</v>
      </c>
      <c r="P1632" s="25">
        <f t="shared" si="51"/>
        <v>0.71621527777777771</v>
      </c>
      <c r="Q1632" s="23">
        <f>SUM($O$2:O1632)</f>
        <v>32</v>
      </c>
      <c r="Y1632" s="14"/>
      <c r="Z1632" s="13"/>
      <c r="AA1632"/>
    </row>
    <row r="1633" spans="1:27" x14ac:dyDescent="0.2">
      <c r="A1633" s="12" t="s">
        <v>5058</v>
      </c>
      <c r="B1633" t="s">
        <v>5059</v>
      </c>
      <c r="C1633" t="s">
        <v>5060</v>
      </c>
      <c r="D1633" t="s">
        <v>5061</v>
      </c>
      <c r="E1633" t="s">
        <v>13</v>
      </c>
      <c r="F1633">
        <v>2325</v>
      </c>
      <c r="G1633">
        <v>517</v>
      </c>
      <c r="H1633" s="5" t="s">
        <v>22</v>
      </c>
      <c r="I1633" s="5">
        <v>0</v>
      </c>
      <c r="J1633" s="5">
        <v>0</v>
      </c>
      <c r="K1633" t="s">
        <v>10944</v>
      </c>
      <c r="L1633" cm="1">
        <f t="array" ref="L1633">wordCount(K1633)</f>
        <v>4</v>
      </c>
      <c r="M1633">
        <f t="shared" si="50"/>
        <v>20</v>
      </c>
      <c r="N1633">
        <v>0.8571428571428571</v>
      </c>
      <c r="O1633" s="23" cm="1">
        <f t="array" ref="O1633">WordListCount(K1633,keywords!$A$2:$A$31)-WordListCount(K1633,keywords!$B$2:$B$31)</f>
        <v>0</v>
      </c>
      <c r="P1633" s="25">
        <f t="shared" si="51"/>
        <v>0.71629629629629632</v>
      </c>
      <c r="Q1633" s="23">
        <f>SUM($O$2:O1633)</f>
        <v>32</v>
      </c>
      <c r="Y1633" s="14"/>
      <c r="Z1633" s="13"/>
      <c r="AA1633"/>
    </row>
    <row r="1634" spans="1:27" x14ac:dyDescent="0.2">
      <c r="A1634" s="12" t="s">
        <v>5062</v>
      </c>
      <c r="B1634" t="s">
        <v>5063</v>
      </c>
      <c r="C1634" t="s">
        <v>5064</v>
      </c>
      <c r="D1634" t="s">
        <v>2483</v>
      </c>
      <c r="E1634" t="s">
        <v>13</v>
      </c>
      <c r="F1634">
        <v>512</v>
      </c>
      <c r="G1634">
        <v>786</v>
      </c>
      <c r="H1634" s="5" t="s">
        <v>22</v>
      </c>
      <c r="I1634" s="5">
        <v>0</v>
      </c>
      <c r="J1634" s="5">
        <v>0</v>
      </c>
      <c r="K1634" t="s">
        <v>9504</v>
      </c>
      <c r="L1634" cm="1">
        <f t="array" ref="L1634">wordCount(K1634)</f>
        <v>14</v>
      </c>
      <c r="M1634">
        <f t="shared" si="50"/>
        <v>63</v>
      </c>
      <c r="N1634">
        <v>0.67741935483870963</v>
      </c>
      <c r="O1634" s="23" cm="1">
        <f t="array" ref="O1634">WordListCount(K1634,keywords!$A$2:$A$31)-WordListCount(K1634,keywords!$B$2:$B$31)</f>
        <v>-1</v>
      </c>
      <c r="P1634" s="25">
        <f t="shared" si="51"/>
        <v>0.71681712962962962</v>
      </c>
      <c r="Q1634" s="23">
        <f>SUM($O$2:O1634)</f>
        <v>31</v>
      </c>
      <c r="Y1634" s="14"/>
      <c r="Z1634" s="13"/>
      <c r="AA1634"/>
    </row>
    <row r="1635" spans="1:27" x14ac:dyDescent="0.2">
      <c r="A1635" s="12" t="s">
        <v>5065</v>
      </c>
      <c r="B1635" t="s">
        <v>5066</v>
      </c>
      <c r="C1635" t="s">
        <v>5067</v>
      </c>
      <c r="D1635" t="s">
        <v>2130</v>
      </c>
      <c r="E1635" t="s">
        <v>13</v>
      </c>
      <c r="F1635">
        <v>226</v>
      </c>
      <c r="G1635">
        <v>838</v>
      </c>
      <c r="H1635" s="5" t="s">
        <v>22</v>
      </c>
      <c r="I1635" s="5">
        <v>0</v>
      </c>
      <c r="J1635" s="5">
        <v>0</v>
      </c>
      <c r="K1635" t="s">
        <v>9505</v>
      </c>
      <c r="L1635" cm="1">
        <f t="array" ref="L1635">wordCount(K1635)</f>
        <v>9</v>
      </c>
      <c r="M1635">
        <f t="shared" si="50"/>
        <v>52</v>
      </c>
      <c r="N1635">
        <v>0.3</v>
      </c>
      <c r="O1635" s="23" cm="1">
        <f t="array" ref="O1635">WordListCount(K1635,keywords!$A$2:$A$31)-WordListCount(K1635,keywords!$B$2:$B$31)</f>
        <v>0</v>
      </c>
      <c r="P1635" s="25">
        <f t="shared" si="51"/>
        <v>0.71688657407407408</v>
      </c>
      <c r="Q1635" s="23">
        <f>SUM($O$2:O1635)</f>
        <v>31</v>
      </c>
      <c r="Y1635" s="14"/>
      <c r="Z1635" s="13"/>
      <c r="AA1635"/>
    </row>
    <row r="1636" spans="1:27" x14ac:dyDescent="0.2">
      <c r="A1636" s="12" t="s">
        <v>5068</v>
      </c>
      <c r="B1636" t="s">
        <v>5069</v>
      </c>
      <c r="C1636" t="s">
        <v>5070</v>
      </c>
      <c r="D1636" t="s">
        <v>5071</v>
      </c>
      <c r="E1636" t="s">
        <v>13</v>
      </c>
      <c r="F1636">
        <v>4</v>
      </c>
      <c r="G1636">
        <v>51</v>
      </c>
      <c r="H1636" s="5" t="s">
        <v>22</v>
      </c>
      <c r="I1636" s="5">
        <v>0</v>
      </c>
      <c r="J1636" s="5">
        <v>0</v>
      </c>
      <c r="K1636" t="s">
        <v>10945</v>
      </c>
      <c r="L1636" cm="1">
        <f t="array" ref="L1636">wordCount(K1636)</f>
        <v>22</v>
      </c>
      <c r="M1636">
        <f t="shared" si="50"/>
        <v>116</v>
      </c>
      <c r="N1636">
        <v>0.47222222222222221</v>
      </c>
      <c r="O1636" s="23" cm="1">
        <f t="array" ref="O1636">WordListCount(K1636,keywords!$A$2:$A$31)-WordListCount(K1636,keywords!$B$2:$B$31)</f>
        <v>0</v>
      </c>
      <c r="P1636" s="25">
        <f t="shared" si="51"/>
        <v>0.71689814814814812</v>
      </c>
      <c r="Q1636" s="23">
        <f>SUM($O$2:O1636)</f>
        <v>31</v>
      </c>
      <c r="Y1636" s="14"/>
      <c r="Z1636" s="13"/>
      <c r="AA1636"/>
    </row>
    <row r="1637" spans="1:27" x14ac:dyDescent="0.2">
      <c r="A1637" s="12" t="s">
        <v>5072</v>
      </c>
      <c r="B1637" t="s">
        <v>5073</v>
      </c>
      <c r="C1637" t="s">
        <v>5074</v>
      </c>
      <c r="D1637" t="s">
        <v>1483</v>
      </c>
      <c r="E1637" t="s">
        <v>13</v>
      </c>
      <c r="F1637">
        <v>144</v>
      </c>
      <c r="G1637">
        <v>539</v>
      </c>
      <c r="H1637" s="5" t="s">
        <v>22</v>
      </c>
      <c r="I1637" s="5">
        <v>0</v>
      </c>
      <c r="J1637" s="5">
        <v>0</v>
      </c>
      <c r="K1637" t="s">
        <v>9506</v>
      </c>
      <c r="L1637" cm="1">
        <f t="array" ref="L1637">wordCount(K1637)</f>
        <v>26</v>
      </c>
      <c r="M1637">
        <f t="shared" si="50"/>
        <v>127</v>
      </c>
      <c r="N1637">
        <v>0.375</v>
      </c>
      <c r="O1637" s="23" cm="1">
        <f t="array" ref="O1637">WordListCount(K1637,keywords!$A$2:$A$31)-WordListCount(K1637,keywords!$B$2:$B$31)</f>
        <v>1</v>
      </c>
      <c r="P1637" s="25">
        <f t="shared" si="51"/>
        <v>0.71710648148148148</v>
      </c>
      <c r="Q1637" s="23">
        <f>SUM($O$2:O1637)</f>
        <v>32</v>
      </c>
      <c r="Y1637" s="14"/>
      <c r="Z1637" s="13"/>
      <c r="AA1637"/>
    </row>
    <row r="1638" spans="1:27" x14ac:dyDescent="0.2">
      <c r="A1638" s="12" t="s">
        <v>5075</v>
      </c>
      <c r="B1638" t="s">
        <v>5076</v>
      </c>
      <c r="C1638" t="s">
        <v>5077</v>
      </c>
      <c r="D1638" t="s">
        <v>337</v>
      </c>
      <c r="E1638" t="s">
        <v>13</v>
      </c>
      <c r="F1638">
        <v>194</v>
      </c>
      <c r="G1638">
        <v>297</v>
      </c>
      <c r="H1638" s="5" t="s">
        <v>22</v>
      </c>
      <c r="I1638" s="5">
        <v>0</v>
      </c>
      <c r="J1638" s="5">
        <v>0</v>
      </c>
      <c r="K1638" t="s">
        <v>10946</v>
      </c>
      <c r="L1638" cm="1">
        <f t="array" ref="L1638">wordCount(K1638)</f>
        <v>14</v>
      </c>
      <c r="M1638">
        <f t="shared" si="50"/>
        <v>78</v>
      </c>
      <c r="N1638">
        <v>0.5</v>
      </c>
      <c r="O1638" s="23" cm="1">
        <f t="array" ref="O1638">WordListCount(K1638,keywords!$A$2:$A$31)-WordListCount(K1638,keywords!$B$2:$B$31)</f>
        <v>0</v>
      </c>
      <c r="P1638" s="25">
        <f t="shared" si="51"/>
        <v>0.7176851851851852</v>
      </c>
      <c r="Q1638" s="23">
        <f>SUM($O$2:O1638)</f>
        <v>32</v>
      </c>
      <c r="Y1638" s="14"/>
      <c r="Z1638" s="13"/>
      <c r="AA1638"/>
    </row>
    <row r="1639" spans="1:27" x14ac:dyDescent="0.2">
      <c r="A1639" s="12" t="s">
        <v>5078</v>
      </c>
      <c r="B1639" t="s">
        <v>5079</v>
      </c>
      <c r="C1639" t="s">
        <v>5080</v>
      </c>
      <c r="D1639" t="s">
        <v>5081</v>
      </c>
      <c r="E1639" t="s">
        <v>13</v>
      </c>
      <c r="F1639">
        <v>70</v>
      </c>
      <c r="G1639">
        <v>134</v>
      </c>
      <c r="H1639" s="5" t="s">
        <v>22</v>
      </c>
      <c r="I1639" s="5">
        <v>0</v>
      </c>
      <c r="J1639" s="5">
        <v>0</v>
      </c>
      <c r="K1639" t="s">
        <v>10947</v>
      </c>
      <c r="L1639" cm="1">
        <f t="array" ref="L1639">wordCount(K1639)</f>
        <v>13</v>
      </c>
      <c r="M1639">
        <f t="shared" si="50"/>
        <v>57</v>
      </c>
      <c r="N1639">
        <v>0.5</v>
      </c>
      <c r="O1639" s="23" cm="1">
        <f t="array" ref="O1639">WordListCount(K1639,keywords!$A$2:$A$31)-WordListCount(K1639,keywords!$B$2:$B$31)</f>
        <v>0</v>
      </c>
      <c r="P1639" s="25">
        <f t="shared" si="51"/>
        <v>0.71773148148148147</v>
      </c>
      <c r="Q1639" s="23">
        <f>SUM($O$2:O1639)</f>
        <v>32</v>
      </c>
      <c r="Y1639" s="14"/>
      <c r="Z1639" s="13"/>
      <c r="AA1639"/>
    </row>
    <row r="1640" spans="1:27" x14ac:dyDescent="0.2">
      <c r="A1640" s="12" t="s">
        <v>5082</v>
      </c>
      <c r="B1640" t="s">
        <v>5083</v>
      </c>
      <c r="C1640" t="s">
        <v>5084</v>
      </c>
      <c r="D1640" t="s">
        <v>12</v>
      </c>
      <c r="E1640" t="s">
        <v>13</v>
      </c>
      <c r="F1640">
        <v>216</v>
      </c>
      <c r="G1640">
        <v>125</v>
      </c>
      <c r="H1640" s="5" t="s">
        <v>22</v>
      </c>
      <c r="I1640" s="5">
        <v>0</v>
      </c>
      <c r="J1640" s="5">
        <v>0</v>
      </c>
      <c r="K1640" t="s">
        <v>10948</v>
      </c>
      <c r="L1640" cm="1">
        <f t="array" ref="L1640">wordCount(K1640)</f>
        <v>14</v>
      </c>
      <c r="M1640">
        <f t="shared" si="50"/>
        <v>79</v>
      </c>
      <c r="N1640">
        <v>0.3888888888888889</v>
      </c>
      <c r="O1640" s="23" cm="1">
        <f t="array" ref="O1640">WordListCount(K1640,keywords!$A$2:$A$31)-WordListCount(K1640,keywords!$B$2:$B$31)</f>
        <v>1</v>
      </c>
      <c r="P1640" s="25">
        <f t="shared" si="51"/>
        <v>0.71775462962962966</v>
      </c>
      <c r="Q1640" s="23">
        <f>SUM($O$2:O1640)</f>
        <v>33</v>
      </c>
      <c r="Y1640" s="14"/>
      <c r="Z1640" s="13"/>
      <c r="AA1640"/>
    </row>
    <row r="1641" spans="1:27" x14ac:dyDescent="0.2">
      <c r="A1641" s="12" t="s">
        <v>5085</v>
      </c>
      <c r="B1641" t="s">
        <v>5086</v>
      </c>
      <c r="C1641" t="s">
        <v>5087</v>
      </c>
      <c r="D1641" t="s">
        <v>12</v>
      </c>
      <c r="E1641" t="s">
        <v>13</v>
      </c>
      <c r="F1641">
        <v>171</v>
      </c>
      <c r="G1641">
        <v>236</v>
      </c>
      <c r="H1641" s="5" t="s">
        <v>22</v>
      </c>
      <c r="I1641" s="5">
        <v>0</v>
      </c>
      <c r="J1641" s="5">
        <v>0</v>
      </c>
      <c r="K1641" t="s">
        <v>9507</v>
      </c>
      <c r="L1641" cm="1">
        <f t="array" ref="L1641">wordCount(K1641)</f>
        <v>18</v>
      </c>
      <c r="M1641">
        <f t="shared" si="50"/>
        <v>101</v>
      </c>
      <c r="N1641">
        <v>0.51724137931034486</v>
      </c>
      <c r="O1641" s="23" cm="1">
        <f t="array" ref="O1641">WordListCount(K1641,keywords!$A$2:$A$31)-WordListCount(K1641,keywords!$B$2:$B$31)</f>
        <v>-1</v>
      </c>
      <c r="P1641" s="25">
        <f t="shared" si="51"/>
        <v>0.71782407407407411</v>
      </c>
      <c r="Q1641" s="23">
        <f>SUM($O$2:O1641)</f>
        <v>32</v>
      </c>
      <c r="Y1641" s="14"/>
      <c r="Z1641" s="13"/>
      <c r="AA1641"/>
    </row>
    <row r="1642" spans="1:27" x14ac:dyDescent="0.2">
      <c r="A1642" s="12" t="s">
        <v>5088</v>
      </c>
      <c r="B1642" t="s">
        <v>5089</v>
      </c>
      <c r="C1642" t="s">
        <v>1933</v>
      </c>
      <c r="D1642" t="s">
        <v>12</v>
      </c>
      <c r="E1642" t="s">
        <v>13</v>
      </c>
      <c r="F1642">
        <v>29984</v>
      </c>
      <c r="G1642">
        <v>981</v>
      </c>
      <c r="H1642" s="5" t="s">
        <v>59</v>
      </c>
      <c r="I1642" s="5">
        <v>0</v>
      </c>
      <c r="J1642" s="5">
        <v>0</v>
      </c>
      <c r="K1642" t="s">
        <v>9508</v>
      </c>
      <c r="L1642" cm="1">
        <f t="array" ref="L1642">wordCount(K1642)</f>
        <v>3</v>
      </c>
      <c r="M1642">
        <f t="shared" si="50"/>
        <v>6</v>
      </c>
      <c r="N1642">
        <v>0.8571428571428571</v>
      </c>
      <c r="O1642" s="23" cm="1">
        <f t="array" ref="O1642">WordListCount(K1642,keywords!$A$2:$A$31)-WordListCount(K1642,keywords!$B$2:$B$31)</f>
        <v>0</v>
      </c>
      <c r="P1642" s="25">
        <f t="shared" si="51"/>
        <v>0.71797453703703706</v>
      </c>
      <c r="Q1642" s="23">
        <f>SUM($O$2:O1642)</f>
        <v>32</v>
      </c>
      <c r="Y1642" s="14"/>
      <c r="Z1642" s="13"/>
      <c r="AA1642"/>
    </row>
    <row r="1643" spans="1:27" x14ac:dyDescent="0.2">
      <c r="A1643" s="12" t="s">
        <v>5090</v>
      </c>
      <c r="B1643" t="s">
        <v>5091</v>
      </c>
      <c r="C1643" t="s">
        <v>5092</v>
      </c>
      <c r="D1643" t="s">
        <v>5093</v>
      </c>
      <c r="E1643" t="s">
        <v>13</v>
      </c>
      <c r="F1643">
        <v>5173</v>
      </c>
      <c r="G1643">
        <v>5108</v>
      </c>
      <c r="H1643" s="5" t="s">
        <v>22</v>
      </c>
      <c r="I1643" s="5">
        <v>0</v>
      </c>
      <c r="J1643" s="5">
        <v>0</v>
      </c>
      <c r="K1643" t="s">
        <v>9509</v>
      </c>
      <c r="L1643" cm="1">
        <f t="array" ref="L1643">wordCount(K1643)</f>
        <v>13</v>
      </c>
      <c r="M1643">
        <f t="shared" si="50"/>
        <v>79</v>
      </c>
      <c r="N1643">
        <v>0.42857142857142855</v>
      </c>
      <c r="O1643" s="23" cm="1">
        <f t="array" ref="O1643">WordListCount(K1643,keywords!$A$2:$A$31)-WordListCount(K1643,keywords!$B$2:$B$31)</f>
        <v>0</v>
      </c>
      <c r="P1643" s="25">
        <f t="shared" si="51"/>
        <v>0.71802083333333344</v>
      </c>
      <c r="Q1643" s="23">
        <f>SUM($O$2:O1643)</f>
        <v>32</v>
      </c>
      <c r="Y1643" s="14"/>
      <c r="Z1643" s="13"/>
      <c r="AA1643"/>
    </row>
    <row r="1644" spans="1:27" x14ac:dyDescent="0.2">
      <c r="A1644" s="12" t="s">
        <v>5094</v>
      </c>
      <c r="B1644" t="s">
        <v>5095</v>
      </c>
      <c r="C1644" t="s">
        <v>5096</v>
      </c>
      <c r="D1644" t="s">
        <v>5097</v>
      </c>
      <c r="E1644" t="s">
        <v>13</v>
      </c>
      <c r="F1644">
        <v>2685</v>
      </c>
      <c r="G1644">
        <v>1091</v>
      </c>
      <c r="H1644" s="5" t="s">
        <v>22</v>
      </c>
      <c r="I1644" s="5">
        <v>0</v>
      </c>
      <c r="J1644" s="5">
        <v>0</v>
      </c>
      <c r="K1644" t="s">
        <v>9510</v>
      </c>
      <c r="L1644" cm="1">
        <f t="array" ref="L1644">wordCount(K1644)</f>
        <v>9</v>
      </c>
      <c r="M1644">
        <f t="shared" si="50"/>
        <v>46</v>
      </c>
      <c r="N1644">
        <v>0.5714285714285714</v>
      </c>
      <c r="O1644" s="23" cm="1">
        <f t="array" ref="O1644">WordListCount(K1644,keywords!$A$2:$A$31)-WordListCount(K1644,keywords!$B$2:$B$31)</f>
        <v>0</v>
      </c>
      <c r="P1644" s="25">
        <f t="shared" si="51"/>
        <v>0.71821759259259255</v>
      </c>
      <c r="Q1644" s="23">
        <f>SUM($O$2:O1644)</f>
        <v>32</v>
      </c>
      <c r="Y1644" s="14"/>
      <c r="Z1644" s="13"/>
      <c r="AA1644"/>
    </row>
    <row r="1645" spans="1:27" x14ac:dyDescent="0.2">
      <c r="A1645" s="12" t="s">
        <v>5098</v>
      </c>
      <c r="B1645" t="s">
        <v>5099</v>
      </c>
      <c r="C1645" t="s">
        <v>5100</v>
      </c>
      <c r="D1645" t="s">
        <v>12</v>
      </c>
      <c r="E1645" t="s">
        <v>13</v>
      </c>
      <c r="F1645">
        <v>31</v>
      </c>
      <c r="G1645">
        <v>271</v>
      </c>
      <c r="H1645" s="5" t="s">
        <v>22</v>
      </c>
      <c r="I1645" s="5">
        <v>0</v>
      </c>
      <c r="J1645" s="5">
        <v>0</v>
      </c>
      <c r="K1645" t="s">
        <v>10949</v>
      </c>
      <c r="L1645" cm="1">
        <f t="array" ref="L1645">wordCount(K1645)</f>
        <v>14</v>
      </c>
      <c r="M1645">
        <f t="shared" si="50"/>
        <v>62</v>
      </c>
      <c r="N1645">
        <v>0.43478260869565216</v>
      </c>
      <c r="O1645" s="23" cm="1">
        <f t="array" ref="O1645">WordListCount(K1645,keywords!$A$2:$A$31)-WordListCount(K1645,keywords!$B$2:$B$31)</f>
        <v>0</v>
      </c>
      <c r="P1645" s="25">
        <f t="shared" si="51"/>
        <v>0.71825231481481477</v>
      </c>
      <c r="Q1645" s="23">
        <f>SUM($O$2:O1645)</f>
        <v>32</v>
      </c>
      <c r="Y1645" s="14"/>
      <c r="Z1645" s="13"/>
      <c r="AA1645"/>
    </row>
    <row r="1646" spans="1:27" x14ac:dyDescent="0.2">
      <c r="A1646" s="12" t="s">
        <v>5101</v>
      </c>
      <c r="B1646" t="s">
        <v>5102</v>
      </c>
      <c r="C1646" t="s">
        <v>5103</v>
      </c>
      <c r="D1646" t="s">
        <v>5104</v>
      </c>
      <c r="E1646" t="s">
        <v>13</v>
      </c>
      <c r="F1646">
        <v>17</v>
      </c>
      <c r="G1646">
        <v>109</v>
      </c>
      <c r="H1646" s="5" t="s">
        <v>22</v>
      </c>
      <c r="I1646" s="5">
        <v>0</v>
      </c>
      <c r="J1646" s="5">
        <v>0</v>
      </c>
      <c r="K1646" t="s">
        <v>9511</v>
      </c>
      <c r="L1646" cm="1">
        <f t="array" ref="L1646">wordCount(K1646)</f>
        <v>18</v>
      </c>
      <c r="M1646">
        <f t="shared" si="50"/>
        <v>94</v>
      </c>
      <c r="N1646">
        <v>0.27272727272727271</v>
      </c>
      <c r="O1646" s="23" cm="1">
        <f t="array" ref="O1646">WordListCount(K1646,keywords!$A$2:$A$31)-WordListCount(K1646,keywords!$B$2:$B$31)</f>
        <v>-1</v>
      </c>
      <c r="P1646" s="25">
        <f t="shared" si="51"/>
        <v>0.71863425925925928</v>
      </c>
      <c r="Q1646" s="23">
        <f>SUM($O$2:O1646)</f>
        <v>31</v>
      </c>
      <c r="Y1646" s="14"/>
      <c r="Z1646" s="13"/>
      <c r="AA1646"/>
    </row>
    <row r="1647" spans="1:27" x14ac:dyDescent="0.2">
      <c r="A1647" s="12" t="s">
        <v>5105</v>
      </c>
      <c r="B1647" t="s">
        <v>5106</v>
      </c>
      <c r="C1647" t="s">
        <v>5107</v>
      </c>
      <c r="D1647" t="s">
        <v>12</v>
      </c>
      <c r="E1647" t="s">
        <v>13</v>
      </c>
      <c r="F1647">
        <v>11278</v>
      </c>
      <c r="G1647">
        <v>126</v>
      </c>
      <c r="H1647" s="5" t="s">
        <v>382</v>
      </c>
      <c r="I1647" s="5">
        <v>0</v>
      </c>
      <c r="J1647" s="5">
        <v>0</v>
      </c>
      <c r="K1647" t="s">
        <v>10950</v>
      </c>
      <c r="L1647" cm="1">
        <f t="array" ref="L1647">wordCount(K1647)</f>
        <v>14</v>
      </c>
      <c r="M1647">
        <f t="shared" si="50"/>
        <v>72</v>
      </c>
      <c r="N1647">
        <v>0.4</v>
      </c>
      <c r="O1647" s="23" cm="1">
        <f t="array" ref="O1647">WordListCount(K1647,keywords!$A$2:$A$31)-WordListCount(K1647,keywords!$B$2:$B$31)</f>
        <v>0</v>
      </c>
      <c r="P1647" s="25">
        <f t="shared" si="51"/>
        <v>0.71865740740740736</v>
      </c>
      <c r="Q1647" s="23">
        <f>SUM($O$2:O1647)</f>
        <v>31</v>
      </c>
      <c r="Y1647" s="14"/>
      <c r="Z1647" s="13"/>
      <c r="AA1647"/>
    </row>
    <row r="1648" spans="1:27" x14ac:dyDescent="0.2">
      <c r="A1648" s="12" t="s">
        <v>5108</v>
      </c>
      <c r="B1648" t="s">
        <v>5109</v>
      </c>
      <c r="C1648" t="s">
        <v>172</v>
      </c>
      <c r="D1648" t="s">
        <v>12</v>
      </c>
      <c r="E1648" t="s">
        <v>13</v>
      </c>
      <c r="F1648">
        <v>3</v>
      </c>
      <c r="G1648">
        <v>1</v>
      </c>
      <c r="H1648" s="5" t="s">
        <v>22</v>
      </c>
      <c r="I1648" s="5">
        <v>0</v>
      </c>
      <c r="J1648" s="5">
        <v>0</v>
      </c>
      <c r="K1648" t="s">
        <v>10951</v>
      </c>
      <c r="L1648" cm="1">
        <f t="array" ref="L1648">wordCount(K1648)</f>
        <v>6</v>
      </c>
      <c r="M1648">
        <f t="shared" si="50"/>
        <v>30</v>
      </c>
      <c r="N1648">
        <v>0.78947368421052633</v>
      </c>
      <c r="O1648" s="23" cm="1">
        <f t="array" ref="O1648">WordListCount(K1648,keywords!$A$2:$A$31)-WordListCount(K1648,keywords!$B$2:$B$31)</f>
        <v>0</v>
      </c>
      <c r="P1648" s="25">
        <f t="shared" si="51"/>
        <v>0.71873842592592585</v>
      </c>
      <c r="Q1648" s="23">
        <f>SUM($O$2:O1648)</f>
        <v>31</v>
      </c>
      <c r="Y1648" s="14"/>
      <c r="Z1648" s="13"/>
      <c r="AA1648"/>
    </row>
    <row r="1649" spans="1:27" x14ac:dyDescent="0.2">
      <c r="A1649" s="12" t="s">
        <v>5110</v>
      </c>
      <c r="B1649" t="s">
        <v>5111</v>
      </c>
      <c r="C1649" t="s">
        <v>179</v>
      </c>
      <c r="D1649" t="s">
        <v>180</v>
      </c>
      <c r="E1649" t="s">
        <v>13</v>
      </c>
      <c r="F1649">
        <v>972</v>
      </c>
      <c r="G1649">
        <v>180</v>
      </c>
      <c r="H1649" s="5" t="s">
        <v>22</v>
      </c>
      <c r="I1649" s="5">
        <v>0</v>
      </c>
      <c r="J1649" s="5">
        <v>0</v>
      </c>
      <c r="K1649" t="s">
        <v>10952</v>
      </c>
      <c r="L1649" cm="1">
        <f t="array" ref="L1649">wordCount(K1649)</f>
        <v>17</v>
      </c>
      <c r="M1649">
        <f t="shared" si="50"/>
        <v>96</v>
      </c>
      <c r="N1649">
        <v>0.75</v>
      </c>
      <c r="O1649" s="23" cm="1">
        <f t="array" ref="O1649">WordListCount(K1649,keywords!$A$2:$A$31)-WordListCount(K1649,keywords!$B$2:$B$31)</f>
        <v>0</v>
      </c>
      <c r="P1649" s="25">
        <f t="shared" si="51"/>
        <v>0.71877314814814808</v>
      </c>
      <c r="Q1649" s="23">
        <f>SUM($O$2:O1649)</f>
        <v>31</v>
      </c>
      <c r="Y1649" s="14"/>
      <c r="Z1649" s="13"/>
      <c r="AA1649"/>
    </row>
    <row r="1650" spans="1:27" x14ac:dyDescent="0.2">
      <c r="A1650" s="12" t="s">
        <v>5112</v>
      </c>
      <c r="B1650" t="s">
        <v>5113</v>
      </c>
      <c r="C1650" t="s">
        <v>5114</v>
      </c>
      <c r="D1650" t="s">
        <v>5115</v>
      </c>
      <c r="E1650" t="s">
        <v>13</v>
      </c>
      <c r="F1650">
        <v>573</v>
      </c>
      <c r="G1650">
        <v>419</v>
      </c>
      <c r="H1650" s="5" t="s">
        <v>22</v>
      </c>
      <c r="I1650" s="5">
        <v>0</v>
      </c>
      <c r="J1650" s="5">
        <v>0</v>
      </c>
      <c r="K1650" t="s">
        <v>10953</v>
      </c>
      <c r="L1650" cm="1">
        <f t="array" ref="L1650">wordCount(K1650)</f>
        <v>15</v>
      </c>
      <c r="M1650">
        <f t="shared" si="50"/>
        <v>63</v>
      </c>
      <c r="N1650">
        <v>0.6</v>
      </c>
      <c r="O1650" s="23" cm="1">
        <f t="array" ref="O1650">WordListCount(K1650,keywords!$A$2:$A$31)-WordListCount(K1650,keywords!$B$2:$B$31)</f>
        <v>0</v>
      </c>
      <c r="P1650" s="25">
        <f t="shared" si="51"/>
        <v>0.71880787037037042</v>
      </c>
      <c r="Q1650" s="23">
        <f>SUM($O$2:O1650)</f>
        <v>31</v>
      </c>
      <c r="Y1650" s="14"/>
      <c r="Z1650" s="13"/>
      <c r="AA1650"/>
    </row>
    <row r="1651" spans="1:27" x14ac:dyDescent="0.2">
      <c r="A1651" s="12" t="s">
        <v>5116</v>
      </c>
      <c r="B1651" t="s">
        <v>5117</v>
      </c>
      <c r="C1651" t="s">
        <v>5118</v>
      </c>
      <c r="D1651" t="s">
        <v>12</v>
      </c>
      <c r="E1651" t="s">
        <v>13</v>
      </c>
      <c r="F1651">
        <v>5</v>
      </c>
      <c r="G1651">
        <v>9</v>
      </c>
      <c r="H1651" s="5" t="s">
        <v>22</v>
      </c>
      <c r="I1651" s="5">
        <v>0</v>
      </c>
      <c r="J1651" s="5">
        <v>0</v>
      </c>
      <c r="K1651" t="s">
        <v>10954</v>
      </c>
      <c r="L1651" cm="1">
        <f t="array" ref="L1651">wordCount(K1651)</f>
        <v>11</v>
      </c>
      <c r="M1651">
        <f t="shared" si="50"/>
        <v>49</v>
      </c>
      <c r="N1651">
        <v>0.55000000000000004</v>
      </c>
      <c r="O1651" s="23" cm="1">
        <f t="array" ref="O1651">WordListCount(K1651,keywords!$A$2:$A$31)-WordListCount(K1651,keywords!$B$2:$B$31)</f>
        <v>0</v>
      </c>
      <c r="P1651" s="25">
        <f t="shared" si="51"/>
        <v>0.71902777777777782</v>
      </c>
      <c r="Q1651" s="23">
        <f>SUM($O$2:O1651)</f>
        <v>31</v>
      </c>
      <c r="Y1651" s="14"/>
      <c r="Z1651" s="13"/>
      <c r="AA1651"/>
    </row>
    <row r="1652" spans="1:27" x14ac:dyDescent="0.2">
      <c r="A1652" s="12" t="s">
        <v>5119</v>
      </c>
      <c r="B1652" t="s">
        <v>5120</v>
      </c>
      <c r="C1652" t="s">
        <v>459</v>
      </c>
      <c r="D1652" t="s">
        <v>12</v>
      </c>
      <c r="E1652" t="s">
        <v>13</v>
      </c>
      <c r="F1652">
        <v>12</v>
      </c>
      <c r="G1652">
        <v>1</v>
      </c>
      <c r="H1652" s="5" t="s">
        <v>22</v>
      </c>
      <c r="I1652" s="5">
        <v>0</v>
      </c>
      <c r="J1652" s="5">
        <v>0</v>
      </c>
      <c r="K1652" t="s">
        <v>9512</v>
      </c>
      <c r="L1652" cm="1">
        <f t="array" ref="L1652">wordCount(K1652)</f>
        <v>15</v>
      </c>
      <c r="M1652">
        <f t="shared" si="50"/>
        <v>103</v>
      </c>
      <c r="N1652">
        <v>0.8125</v>
      </c>
      <c r="O1652" s="23" cm="1">
        <f t="array" ref="O1652">WordListCount(K1652,keywords!$A$2:$A$31)-WordListCount(K1652,keywords!$B$2:$B$31)</f>
        <v>0</v>
      </c>
      <c r="P1652" s="25">
        <f t="shared" si="51"/>
        <v>0.7193518518518518</v>
      </c>
      <c r="Q1652" s="23">
        <f>SUM($O$2:O1652)</f>
        <v>31</v>
      </c>
      <c r="Y1652" s="14"/>
      <c r="Z1652" s="13"/>
      <c r="AA1652"/>
    </row>
    <row r="1653" spans="1:27" x14ac:dyDescent="0.2">
      <c r="A1653" s="12" t="s">
        <v>5121</v>
      </c>
      <c r="B1653" t="s">
        <v>5122</v>
      </c>
      <c r="C1653" t="s">
        <v>511</v>
      </c>
      <c r="D1653" t="s">
        <v>512</v>
      </c>
      <c r="E1653" t="s">
        <v>13</v>
      </c>
      <c r="F1653">
        <v>1898</v>
      </c>
      <c r="G1653">
        <v>540</v>
      </c>
      <c r="H1653" s="5" t="s">
        <v>22</v>
      </c>
      <c r="I1653" s="5">
        <v>0</v>
      </c>
      <c r="J1653" s="5">
        <v>0</v>
      </c>
      <c r="K1653" t="s">
        <v>9513</v>
      </c>
      <c r="L1653" cm="1">
        <f t="array" ref="L1653">wordCount(K1653)</f>
        <v>9</v>
      </c>
      <c r="M1653">
        <f t="shared" si="50"/>
        <v>45</v>
      </c>
      <c r="N1653">
        <v>0.88888888888888884</v>
      </c>
      <c r="O1653" s="23" cm="1">
        <f t="array" ref="O1653">WordListCount(K1653,keywords!$A$2:$A$31)-WordListCount(K1653,keywords!$B$2:$B$31)</f>
        <v>0</v>
      </c>
      <c r="P1653" s="25">
        <f t="shared" si="51"/>
        <v>0.71949074074074071</v>
      </c>
      <c r="Q1653" s="23">
        <f>SUM($O$2:O1653)</f>
        <v>31</v>
      </c>
      <c r="Y1653" s="14"/>
      <c r="Z1653" s="13"/>
      <c r="AA1653"/>
    </row>
    <row r="1654" spans="1:27" x14ac:dyDescent="0.2">
      <c r="A1654" s="12" t="s">
        <v>5123</v>
      </c>
      <c r="B1654" t="s">
        <v>5124</v>
      </c>
      <c r="C1654" t="s">
        <v>5125</v>
      </c>
      <c r="D1654" t="s">
        <v>12</v>
      </c>
      <c r="E1654" t="s">
        <v>13</v>
      </c>
      <c r="F1654">
        <v>2</v>
      </c>
      <c r="G1654">
        <v>82</v>
      </c>
      <c r="H1654" s="5" t="s">
        <v>22</v>
      </c>
      <c r="I1654" s="5">
        <v>0</v>
      </c>
      <c r="J1654" s="5">
        <v>0</v>
      </c>
      <c r="K1654" t="s">
        <v>9514</v>
      </c>
      <c r="L1654" cm="1">
        <f t="array" ref="L1654">wordCount(K1654)</f>
        <v>9</v>
      </c>
      <c r="M1654">
        <f t="shared" si="50"/>
        <v>53</v>
      </c>
      <c r="N1654">
        <v>0.75</v>
      </c>
      <c r="O1654" s="23" cm="1">
        <f t="array" ref="O1654">WordListCount(K1654,keywords!$A$2:$A$31)-WordListCount(K1654,keywords!$B$2:$B$31)</f>
        <v>1</v>
      </c>
      <c r="P1654" s="25">
        <f t="shared" si="51"/>
        <v>0.71954861111111112</v>
      </c>
      <c r="Q1654" s="23">
        <f>SUM($O$2:O1654)</f>
        <v>32</v>
      </c>
      <c r="Y1654" s="14"/>
      <c r="Z1654" s="13"/>
      <c r="AA1654"/>
    </row>
    <row r="1655" spans="1:27" x14ac:dyDescent="0.2">
      <c r="A1655" s="12" t="s">
        <v>5126</v>
      </c>
      <c r="B1655" t="s">
        <v>5127</v>
      </c>
      <c r="C1655" t="s">
        <v>5128</v>
      </c>
      <c r="D1655" t="s">
        <v>1479</v>
      </c>
      <c r="E1655" t="s">
        <v>13</v>
      </c>
      <c r="F1655">
        <v>196</v>
      </c>
      <c r="G1655">
        <v>209</v>
      </c>
      <c r="H1655" s="5" t="s">
        <v>22</v>
      </c>
      <c r="I1655" s="5">
        <v>0</v>
      </c>
      <c r="J1655" s="5">
        <v>0</v>
      </c>
      <c r="K1655" t="s">
        <v>10955</v>
      </c>
      <c r="L1655" cm="1">
        <f t="array" ref="L1655">wordCount(K1655)</f>
        <v>15</v>
      </c>
      <c r="M1655">
        <f t="shared" si="50"/>
        <v>93</v>
      </c>
      <c r="N1655">
        <v>0.55555555555555558</v>
      </c>
      <c r="O1655" s="23" cm="1">
        <f t="array" ref="O1655">WordListCount(K1655,keywords!$A$2:$A$31)-WordListCount(K1655,keywords!$B$2:$B$31)</f>
        <v>0</v>
      </c>
      <c r="P1655" s="25">
        <f t="shared" si="51"/>
        <v>0.71996527777777775</v>
      </c>
      <c r="Q1655" s="23">
        <f>SUM($O$2:O1655)</f>
        <v>32</v>
      </c>
      <c r="Y1655" s="14"/>
      <c r="Z1655" s="13"/>
      <c r="AA1655"/>
    </row>
    <row r="1656" spans="1:27" x14ac:dyDescent="0.2">
      <c r="A1656" s="12" t="s">
        <v>5129</v>
      </c>
      <c r="B1656" t="s">
        <v>5130</v>
      </c>
      <c r="C1656" t="s">
        <v>5131</v>
      </c>
      <c r="D1656" t="s">
        <v>5115</v>
      </c>
      <c r="E1656" t="s">
        <v>13</v>
      </c>
      <c r="F1656">
        <v>74</v>
      </c>
      <c r="G1656">
        <v>987</v>
      </c>
      <c r="H1656" s="5" t="s">
        <v>22</v>
      </c>
      <c r="I1656" s="5">
        <v>0</v>
      </c>
      <c r="J1656" s="5">
        <v>0</v>
      </c>
      <c r="K1656" t="s">
        <v>10956</v>
      </c>
      <c r="L1656" cm="1">
        <f t="array" ref="L1656">wordCount(K1656)</f>
        <v>7</v>
      </c>
      <c r="M1656">
        <f t="shared" si="50"/>
        <v>51</v>
      </c>
      <c r="N1656">
        <v>0.68421052631578949</v>
      </c>
      <c r="O1656" s="23" cm="1">
        <f t="array" ref="O1656">WordListCount(K1656,keywords!$A$2:$A$31)-WordListCount(K1656,keywords!$B$2:$B$31)</f>
        <v>0</v>
      </c>
      <c r="P1656" s="25">
        <f t="shared" si="51"/>
        <v>0.71998842592592593</v>
      </c>
      <c r="Q1656" s="23">
        <f>SUM($O$2:O1656)</f>
        <v>32</v>
      </c>
      <c r="Y1656" s="14"/>
      <c r="Z1656" s="13"/>
      <c r="AA1656"/>
    </row>
    <row r="1657" spans="1:27" x14ac:dyDescent="0.2">
      <c r="A1657" s="12" t="s">
        <v>5132</v>
      </c>
      <c r="B1657" t="s">
        <v>5133</v>
      </c>
      <c r="C1657" t="s">
        <v>5134</v>
      </c>
      <c r="D1657" t="s">
        <v>12</v>
      </c>
      <c r="E1657" t="s">
        <v>13</v>
      </c>
      <c r="F1657">
        <v>143</v>
      </c>
      <c r="G1657">
        <v>166</v>
      </c>
      <c r="H1657" s="5" t="s">
        <v>677</v>
      </c>
      <c r="I1657" s="5">
        <v>0</v>
      </c>
      <c r="J1657" s="5">
        <v>0</v>
      </c>
      <c r="K1657" t="s">
        <v>10957</v>
      </c>
      <c r="L1657" cm="1">
        <f t="array" ref="L1657">wordCount(K1657)</f>
        <v>20</v>
      </c>
      <c r="M1657">
        <f t="shared" si="50"/>
        <v>103</v>
      </c>
      <c r="N1657">
        <v>0.32</v>
      </c>
      <c r="O1657" s="23" cm="1">
        <f t="array" ref="O1657">WordListCount(K1657,keywords!$A$2:$A$31)-WordListCount(K1657,keywords!$B$2:$B$31)</f>
        <v>0</v>
      </c>
      <c r="P1657" s="25">
        <f t="shared" si="51"/>
        <v>0.72000000000000008</v>
      </c>
      <c r="Q1657" s="23">
        <f>SUM($O$2:O1657)</f>
        <v>32</v>
      </c>
      <c r="Y1657" s="14"/>
      <c r="Z1657" s="13"/>
      <c r="AA1657"/>
    </row>
    <row r="1658" spans="1:27" x14ac:dyDescent="0.2">
      <c r="A1658" s="12" t="s">
        <v>5135</v>
      </c>
      <c r="B1658" t="s">
        <v>5136</v>
      </c>
      <c r="C1658" t="s">
        <v>5125</v>
      </c>
      <c r="D1658" t="s">
        <v>12</v>
      </c>
      <c r="E1658" t="s">
        <v>13</v>
      </c>
      <c r="F1658">
        <v>2</v>
      </c>
      <c r="G1658">
        <v>82</v>
      </c>
      <c r="H1658" s="5" t="s">
        <v>22</v>
      </c>
      <c r="I1658" s="5">
        <v>0</v>
      </c>
      <c r="J1658" s="5">
        <v>0</v>
      </c>
      <c r="K1658" t="s">
        <v>9515</v>
      </c>
      <c r="L1658" cm="1">
        <f t="array" ref="L1658">wordCount(K1658)</f>
        <v>9</v>
      </c>
      <c r="M1658">
        <f t="shared" si="50"/>
        <v>49</v>
      </c>
      <c r="N1658">
        <v>0.36363636363636365</v>
      </c>
      <c r="O1658" s="23" cm="1">
        <f t="array" ref="O1658">WordListCount(K1658,keywords!$A$2:$A$31)-WordListCount(K1658,keywords!$B$2:$B$31)</f>
        <v>0</v>
      </c>
      <c r="P1658" s="25">
        <f t="shared" si="51"/>
        <v>0.72015046296296292</v>
      </c>
      <c r="Q1658" s="23">
        <f>SUM($O$2:O1658)</f>
        <v>32</v>
      </c>
      <c r="Y1658" s="14"/>
      <c r="Z1658" s="13"/>
      <c r="AA1658"/>
    </row>
    <row r="1659" spans="1:27" x14ac:dyDescent="0.2">
      <c r="A1659" s="12" t="s">
        <v>5137</v>
      </c>
      <c r="B1659" t="s">
        <v>5138</v>
      </c>
      <c r="C1659" t="s">
        <v>5139</v>
      </c>
      <c r="D1659" t="s">
        <v>12</v>
      </c>
      <c r="E1659" t="s">
        <v>13</v>
      </c>
      <c r="F1659">
        <v>89</v>
      </c>
      <c r="G1659">
        <v>60</v>
      </c>
      <c r="H1659" s="5" t="s">
        <v>22</v>
      </c>
      <c r="I1659" s="5">
        <v>0</v>
      </c>
      <c r="J1659" s="5">
        <v>0</v>
      </c>
      <c r="K1659" t="s">
        <v>10958</v>
      </c>
      <c r="L1659" cm="1">
        <f t="array" ref="L1659">wordCount(K1659)</f>
        <v>10</v>
      </c>
      <c r="M1659">
        <f t="shared" si="50"/>
        <v>53</v>
      </c>
      <c r="N1659">
        <v>0.5</v>
      </c>
      <c r="O1659" s="23" cm="1">
        <f t="array" ref="O1659">WordListCount(K1659,keywords!$A$2:$A$31)-WordListCount(K1659,keywords!$B$2:$B$31)</f>
        <v>0</v>
      </c>
      <c r="P1659" s="25">
        <f t="shared" si="51"/>
        <v>0.72017361111111111</v>
      </c>
      <c r="Q1659" s="23">
        <f>SUM($O$2:O1659)</f>
        <v>32</v>
      </c>
      <c r="Y1659" s="14"/>
      <c r="Z1659" s="13"/>
      <c r="AA1659"/>
    </row>
    <row r="1660" spans="1:27" x14ac:dyDescent="0.2">
      <c r="A1660" s="33" t="s">
        <v>5140</v>
      </c>
      <c r="B1660" s="34" t="s">
        <v>5141</v>
      </c>
      <c r="C1660" s="34" t="s">
        <v>123</v>
      </c>
      <c r="D1660" s="34" t="s">
        <v>124</v>
      </c>
      <c r="E1660" s="34" t="s">
        <v>13</v>
      </c>
      <c r="F1660" s="34">
        <v>837</v>
      </c>
      <c r="G1660" s="34">
        <v>898</v>
      </c>
      <c r="H1660" s="35" t="s">
        <v>125</v>
      </c>
      <c r="I1660" s="35">
        <v>0</v>
      </c>
      <c r="J1660" s="35">
        <v>0</v>
      </c>
      <c r="K1660" s="34" t="s">
        <v>9516</v>
      </c>
      <c r="L1660" s="34" cm="1">
        <f t="array" ref="L1660">wordCount(K1660)</f>
        <v>21</v>
      </c>
      <c r="M1660" s="34">
        <f t="shared" si="50"/>
        <v>98</v>
      </c>
      <c r="N1660" s="34">
        <v>0.81818181818181823</v>
      </c>
      <c r="O1660" s="36" cm="1">
        <f t="array" ref="O1660">WordListCount(K1660,keywords!$A$2:$A$31)-WordListCount(K1660,keywords!$B$2:$B$31)</f>
        <v>0</v>
      </c>
      <c r="P1660" s="37">
        <f t="shared" si="51"/>
        <v>0.72019675925925919</v>
      </c>
      <c r="Q1660" s="23">
        <f>SUM($O$2:O1660)</f>
        <v>32</v>
      </c>
    </row>
    <row r="1661" spans="1:27" x14ac:dyDescent="0.2">
      <c r="A1661" s="12" t="s">
        <v>5142</v>
      </c>
      <c r="B1661" t="s">
        <v>5143</v>
      </c>
      <c r="C1661" t="s">
        <v>5144</v>
      </c>
      <c r="D1661" t="s">
        <v>12</v>
      </c>
      <c r="E1661" t="s">
        <v>13</v>
      </c>
      <c r="F1661">
        <v>12</v>
      </c>
      <c r="G1661">
        <v>51</v>
      </c>
      <c r="H1661" s="5" t="s">
        <v>22</v>
      </c>
      <c r="I1661" s="5">
        <v>0</v>
      </c>
      <c r="J1661" s="5">
        <v>0</v>
      </c>
      <c r="K1661" t="s">
        <v>10959</v>
      </c>
      <c r="L1661" cm="1">
        <f t="array" ref="L1661">wordCount(K1661)</f>
        <v>6</v>
      </c>
      <c r="M1661">
        <f t="shared" si="50"/>
        <v>33</v>
      </c>
      <c r="N1661">
        <v>0.625</v>
      </c>
      <c r="O1661" s="23" cm="1">
        <f t="array" ref="O1661">WordListCount(K1661,keywords!$A$2:$A$31)-WordListCount(K1661,keywords!$B$2:$B$31)</f>
        <v>-1</v>
      </c>
      <c r="P1661" s="25">
        <f t="shared" si="51"/>
        <v>0.72045138888888882</v>
      </c>
      <c r="Q1661" s="23">
        <f>SUM($O$2:O1661)</f>
        <v>31</v>
      </c>
      <c r="Y1661" s="14"/>
      <c r="Z1661" s="13"/>
      <c r="AA1661"/>
    </row>
    <row r="1662" spans="1:27" x14ac:dyDescent="0.2">
      <c r="A1662" s="12" t="s">
        <v>5145</v>
      </c>
      <c r="B1662" t="s">
        <v>5146</v>
      </c>
      <c r="C1662" t="s">
        <v>5147</v>
      </c>
      <c r="D1662" t="s">
        <v>5148</v>
      </c>
      <c r="E1662" t="s">
        <v>13</v>
      </c>
      <c r="F1662">
        <v>473</v>
      </c>
      <c r="G1662">
        <v>270</v>
      </c>
      <c r="H1662" s="5" t="s">
        <v>22</v>
      </c>
      <c r="I1662" s="5">
        <v>0</v>
      </c>
      <c r="J1662" s="5">
        <v>0</v>
      </c>
      <c r="K1662" t="s">
        <v>10960</v>
      </c>
      <c r="L1662" cm="1">
        <f t="array" ref="L1662">wordCount(K1662)</f>
        <v>5</v>
      </c>
      <c r="M1662">
        <f t="shared" si="50"/>
        <v>22</v>
      </c>
      <c r="N1662">
        <v>0.73684210526315785</v>
      </c>
      <c r="O1662" s="23" cm="1">
        <f t="array" ref="O1662">WordListCount(K1662,keywords!$A$2:$A$31)-WordListCount(K1662,keywords!$B$2:$B$31)</f>
        <v>0</v>
      </c>
      <c r="P1662" s="25">
        <f t="shared" si="51"/>
        <v>0.72050925925925924</v>
      </c>
      <c r="Q1662" s="23">
        <f>SUM($O$2:O1662)</f>
        <v>31</v>
      </c>
      <c r="Y1662" s="14"/>
      <c r="Z1662" s="13"/>
      <c r="AA1662"/>
    </row>
    <row r="1663" spans="1:27" x14ac:dyDescent="0.2">
      <c r="A1663" s="12" t="s">
        <v>5149</v>
      </c>
      <c r="B1663" t="s">
        <v>5150</v>
      </c>
      <c r="C1663" t="s">
        <v>5151</v>
      </c>
      <c r="D1663" t="s">
        <v>5152</v>
      </c>
      <c r="E1663" t="s">
        <v>13</v>
      </c>
      <c r="F1663">
        <v>866</v>
      </c>
      <c r="G1663">
        <v>1918</v>
      </c>
      <c r="H1663" s="5" t="s">
        <v>22</v>
      </c>
      <c r="I1663" s="5">
        <v>0</v>
      </c>
      <c r="J1663" s="5">
        <v>0</v>
      </c>
      <c r="K1663" t="s">
        <v>10961</v>
      </c>
      <c r="L1663" cm="1">
        <f t="array" ref="L1663">wordCount(K1663)</f>
        <v>22</v>
      </c>
      <c r="M1663">
        <f t="shared" si="50"/>
        <v>110</v>
      </c>
      <c r="N1663">
        <v>0.26923076923076922</v>
      </c>
      <c r="O1663" s="23" cm="1">
        <f t="array" ref="O1663">WordListCount(K1663,keywords!$A$2:$A$31)-WordListCount(K1663,keywords!$B$2:$B$31)</f>
        <v>1</v>
      </c>
      <c r="P1663" s="25">
        <f t="shared" si="51"/>
        <v>0.72052083333333339</v>
      </c>
      <c r="Q1663" s="23">
        <f>SUM($O$2:O1663)</f>
        <v>32</v>
      </c>
      <c r="Y1663" s="14"/>
      <c r="Z1663" s="13"/>
      <c r="AA1663"/>
    </row>
    <row r="1664" spans="1:27" x14ac:dyDescent="0.2">
      <c r="A1664" s="12" t="s">
        <v>5153</v>
      </c>
      <c r="B1664" t="s">
        <v>5154</v>
      </c>
      <c r="C1664" t="s">
        <v>5155</v>
      </c>
      <c r="D1664" t="s">
        <v>883</v>
      </c>
      <c r="E1664" t="s">
        <v>13</v>
      </c>
      <c r="F1664">
        <v>579</v>
      </c>
      <c r="G1664">
        <v>940</v>
      </c>
      <c r="H1664" s="5" t="s">
        <v>22</v>
      </c>
      <c r="I1664" s="5">
        <v>0</v>
      </c>
      <c r="J1664" s="5">
        <v>0</v>
      </c>
      <c r="K1664" t="s">
        <v>10962</v>
      </c>
      <c r="L1664" cm="1">
        <f t="array" ref="L1664">wordCount(K1664)</f>
        <v>24</v>
      </c>
      <c r="M1664">
        <f t="shared" si="50"/>
        <v>126</v>
      </c>
      <c r="N1664">
        <v>0.17391304347826086</v>
      </c>
      <c r="O1664" s="23" cm="1">
        <f t="array" ref="O1664">WordListCount(K1664,keywords!$A$2:$A$31)-WordListCount(K1664,keywords!$B$2:$B$31)</f>
        <v>0</v>
      </c>
      <c r="P1664" s="25">
        <f t="shared" si="51"/>
        <v>0.72064814814814815</v>
      </c>
      <c r="Q1664" s="23">
        <f>SUM($O$2:O1664)</f>
        <v>32</v>
      </c>
      <c r="Y1664" s="14"/>
      <c r="Z1664" s="13"/>
      <c r="AA1664"/>
    </row>
    <row r="1665" spans="1:27" x14ac:dyDescent="0.2">
      <c r="A1665" s="12" t="s">
        <v>5156</v>
      </c>
      <c r="B1665" t="s">
        <v>5157</v>
      </c>
      <c r="C1665" t="s">
        <v>5158</v>
      </c>
      <c r="D1665" t="s">
        <v>12</v>
      </c>
      <c r="E1665" t="s">
        <v>13</v>
      </c>
      <c r="F1665">
        <v>450</v>
      </c>
      <c r="G1665">
        <v>977</v>
      </c>
      <c r="H1665" s="5" t="s">
        <v>22</v>
      </c>
      <c r="I1665" s="5">
        <v>0</v>
      </c>
      <c r="J1665" s="5">
        <v>0</v>
      </c>
      <c r="K1665" t="s">
        <v>10963</v>
      </c>
      <c r="L1665" cm="1">
        <f t="array" ref="L1665">wordCount(K1665)</f>
        <v>10</v>
      </c>
      <c r="M1665">
        <f t="shared" si="50"/>
        <v>55</v>
      </c>
      <c r="N1665">
        <v>0.61538461538461542</v>
      </c>
      <c r="O1665" s="23" cm="1">
        <f t="array" ref="O1665">WordListCount(K1665,keywords!$A$2:$A$31)-WordListCount(K1665,keywords!$B$2:$B$31)</f>
        <v>0</v>
      </c>
      <c r="P1665" s="25">
        <f t="shared" si="51"/>
        <v>0.72121527777777772</v>
      </c>
      <c r="Q1665" s="23">
        <f>SUM($O$2:O1665)</f>
        <v>32</v>
      </c>
      <c r="Y1665" s="14"/>
      <c r="Z1665" s="13"/>
      <c r="AA1665"/>
    </row>
    <row r="1666" spans="1:27" x14ac:dyDescent="0.2">
      <c r="A1666" s="12" t="s">
        <v>5159</v>
      </c>
      <c r="B1666" t="s">
        <v>5160</v>
      </c>
      <c r="C1666" t="s">
        <v>5161</v>
      </c>
      <c r="D1666" t="s">
        <v>5162</v>
      </c>
      <c r="E1666" t="s">
        <v>13</v>
      </c>
      <c r="F1666">
        <v>129</v>
      </c>
      <c r="G1666">
        <v>603</v>
      </c>
      <c r="H1666" s="5" t="s">
        <v>22</v>
      </c>
      <c r="I1666" s="5">
        <v>0</v>
      </c>
      <c r="J1666" s="5">
        <v>0</v>
      </c>
      <c r="K1666" t="s">
        <v>10964</v>
      </c>
      <c r="L1666" cm="1">
        <f t="array" ref="L1666">wordCount(K1666)</f>
        <v>17</v>
      </c>
      <c r="M1666">
        <f t="shared" ref="M1666:M1729" si="52">LEN(K1666)</f>
        <v>83</v>
      </c>
      <c r="N1666">
        <v>0.6875</v>
      </c>
      <c r="O1666" s="23" cm="1">
        <f t="array" ref="O1666">WordListCount(K1666,keywords!$A$2:$A$31)-WordListCount(K1666,keywords!$B$2:$B$31)</f>
        <v>2</v>
      </c>
      <c r="P1666" s="25">
        <f t="shared" ref="P1666:P1729" si="53">TIMEVALUE(RIGHT(A1666,8))</f>
        <v>0.72153935185185192</v>
      </c>
      <c r="Q1666" s="23">
        <f>SUM($O$2:O1666)</f>
        <v>34</v>
      </c>
      <c r="Y1666" s="14"/>
      <c r="Z1666" s="13"/>
      <c r="AA1666"/>
    </row>
    <row r="1667" spans="1:27" x14ac:dyDescent="0.2">
      <c r="A1667" s="12" t="s">
        <v>5163</v>
      </c>
      <c r="B1667" t="s">
        <v>5164</v>
      </c>
      <c r="C1667" t="s">
        <v>2057</v>
      </c>
      <c r="D1667" t="s">
        <v>2058</v>
      </c>
      <c r="E1667" t="s">
        <v>13</v>
      </c>
      <c r="F1667">
        <v>101</v>
      </c>
      <c r="G1667">
        <v>89</v>
      </c>
      <c r="H1667" s="5" t="s">
        <v>22</v>
      </c>
      <c r="I1667" s="5">
        <v>0</v>
      </c>
      <c r="J1667" s="5">
        <v>0</v>
      </c>
      <c r="K1667" t="s">
        <v>10965</v>
      </c>
      <c r="L1667" cm="1">
        <f t="array" ref="L1667">wordCount(K1667)</f>
        <v>10</v>
      </c>
      <c r="M1667">
        <f t="shared" si="52"/>
        <v>54</v>
      </c>
      <c r="N1667">
        <v>0.65</v>
      </c>
      <c r="O1667" s="23" cm="1">
        <f t="array" ref="O1667">WordListCount(K1667,keywords!$A$2:$A$31)-WordListCount(K1667,keywords!$B$2:$B$31)</f>
        <v>0</v>
      </c>
      <c r="P1667" s="25">
        <f t="shared" si="53"/>
        <v>0.72155092592592596</v>
      </c>
      <c r="Q1667" s="23">
        <f>SUM($O$2:O1667)</f>
        <v>34</v>
      </c>
      <c r="Y1667" s="14"/>
      <c r="Z1667" s="13"/>
      <c r="AA1667"/>
    </row>
    <row r="1668" spans="1:27" x14ac:dyDescent="0.2">
      <c r="A1668" s="12" t="s">
        <v>5165</v>
      </c>
      <c r="B1668" t="s">
        <v>5166</v>
      </c>
      <c r="C1668" t="s">
        <v>5167</v>
      </c>
      <c r="D1668" t="s">
        <v>1830</v>
      </c>
      <c r="E1668" t="s">
        <v>13</v>
      </c>
      <c r="F1668">
        <v>946</v>
      </c>
      <c r="G1668">
        <v>634</v>
      </c>
      <c r="H1668" s="5" t="s">
        <v>22</v>
      </c>
      <c r="I1668" s="5">
        <v>0</v>
      </c>
      <c r="J1668" s="5">
        <v>0</v>
      </c>
      <c r="K1668" t="s">
        <v>10966</v>
      </c>
      <c r="L1668" cm="1">
        <f t="array" ref="L1668">wordCount(K1668)</f>
        <v>24</v>
      </c>
      <c r="M1668">
        <f t="shared" si="52"/>
        <v>114</v>
      </c>
      <c r="N1668">
        <v>0.6</v>
      </c>
      <c r="O1668" s="23" cm="1">
        <f t="array" ref="O1668">WordListCount(K1668,keywords!$A$2:$A$31)-WordListCount(K1668,keywords!$B$2:$B$31)</f>
        <v>0</v>
      </c>
      <c r="P1668" s="25">
        <f t="shared" si="53"/>
        <v>0.72180555555555559</v>
      </c>
      <c r="Q1668" s="23">
        <f>SUM($O$2:O1668)</f>
        <v>34</v>
      </c>
      <c r="Y1668" s="14"/>
      <c r="Z1668" s="13"/>
      <c r="AA1668"/>
    </row>
    <row r="1669" spans="1:27" x14ac:dyDescent="0.2">
      <c r="A1669" s="12" t="s">
        <v>5168</v>
      </c>
      <c r="B1669" t="s">
        <v>5169</v>
      </c>
      <c r="C1669" t="s">
        <v>5170</v>
      </c>
      <c r="D1669" t="s">
        <v>5171</v>
      </c>
      <c r="E1669" t="s">
        <v>13</v>
      </c>
      <c r="F1669">
        <v>4041</v>
      </c>
      <c r="G1669">
        <v>155</v>
      </c>
      <c r="H1669" s="5" t="s">
        <v>22</v>
      </c>
      <c r="I1669" s="5">
        <v>0</v>
      </c>
      <c r="J1669" s="5">
        <v>0</v>
      </c>
      <c r="K1669" t="s">
        <v>10967</v>
      </c>
      <c r="L1669" cm="1">
        <f t="array" ref="L1669">wordCount(K1669)</f>
        <v>21</v>
      </c>
      <c r="M1669">
        <f t="shared" si="52"/>
        <v>115</v>
      </c>
      <c r="N1669">
        <v>0.16666666666666666</v>
      </c>
      <c r="O1669" s="23" cm="1">
        <f t="array" ref="O1669">WordListCount(K1669,keywords!$A$2:$A$31)-WordListCount(K1669,keywords!$B$2:$B$31)</f>
        <v>0</v>
      </c>
      <c r="P1669" s="25">
        <f t="shared" si="53"/>
        <v>0.72188657407407408</v>
      </c>
      <c r="Q1669" s="23">
        <f>SUM($O$2:O1669)</f>
        <v>34</v>
      </c>
      <c r="Y1669" s="14"/>
      <c r="Z1669" s="13"/>
      <c r="AA1669"/>
    </row>
    <row r="1670" spans="1:27" x14ac:dyDescent="0.2">
      <c r="A1670" s="12" t="s">
        <v>5172</v>
      </c>
      <c r="B1670" t="s">
        <v>5173</v>
      </c>
      <c r="C1670" t="s">
        <v>511</v>
      </c>
      <c r="D1670" t="s">
        <v>512</v>
      </c>
      <c r="E1670" t="s">
        <v>13</v>
      </c>
      <c r="F1670">
        <v>1898</v>
      </c>
      <c r="G1670">
        <v>540</v>
      </c>
      <c r="H1670" s="5" t="s">
        <v>22</v>
      </c>
      <c r="I1670" s="5">
        <v>0</v>
      </c>
      <c r="J1670" s="5">
        <v>0</v>
      </c>
      <c r="K1670" t="s">
        <v>9517</v>
      </c>
      <c r="L1670" cm="1">
        <f t="array" ref="L1670">wordCount(K1670)</f>
        <v>11</v>
      </c>
      <c r="M1670">
        <f t="shared" si="52"/>
        <v>55</v>
      </c>
      <c r="N1670">
        <v>0.90909090909090906</v>
      </c>
      <c r="O1670" s="23" cm="1">
        <f t="array" ref="O1670">WordListCount(K1670,keywords!$A$2:$A$31)-WordListCount(K1670,keywords!$B$2:$B$31)</f>
        <v>0</v>
      </c>
      <c r="P1670" s="25">
        <f t="shared" si="53"/>
        <v>0.7219444444444445</v>
      </c>
      <c r="Q1670" s="23">
        <f>SUM($O$2:O1670)</f>
        <v>34</v>
      </c>
      <c r="Y1670" s="14"/>
      <c r="Z1670" s="13"/>
      <c r="AA1670"/>
    </row>
    <row r="1671" spans="1:27" x14ac:dyDescent="0.2">
      <c r="A1671" s="12" t="s">
        <v>5174</v>
      </c>
      <c r="B1671" t="s">
        <v>5175</v>
      </c>
      <c r="C1671" t="s">
        <v>5176</v>
      </c>
      <c r="D1671" t="s">
        <v>12</v>
      </c>
      <c r="E1671" t="s">
        <v>13</v>
      </c>
      <c r="F1671">
        <v>73</v>
      </c>
      <c r="G1671">
        <v>419</v>
      </c>
      <c r="H1671" s="5" t="s">
        <v>22</v>
      </c>
      <c r="I1671" s="5">
        <v>0</v>
      </c>
      <c r="J1671" s="5">
        <v>0</v>
      </c>
      <c r="K1671" t="s">
        <v>10968</v>
      </c>
      <c r="L1671" cm="1">
        <f t="array" ref="L1671">wordCount(K1671)</f>
        <v>15</v>
      </c>
      <c r="M1671">
        <f t="shared" si="52"/>
        <v>86</v>
      </c>
      <c r="N1671">
        <v>0.58333333333333337</v>
      </c>
      <c r="O1671" s="23" cm="1">
        <f t="array" ref="O1671">WordListCount(K1671,keywords!$A$2:$A$31)-WordListCount(K1671,keywords!$B$2:$B$31)</f>
        <v>0</v>
      </c>
      <c r="P1671" s="25">
        <f t="shared" si="53"/>
        <v>0.72204861111111107</v>
      </c>
      <c r="Q1671" s="23">
        <f>SUM($O$2:O1671)</f>
        <v>34</v>
      </c>
      <c r="Y1671" s="14"/>
      <c r="Z1671" s="13"/>
      <c r="AA1671"/>
    </row>
    <row r="1672" spans="1:27" x14ac:dyDescent="0.2">
      <c r="A1672" s="12" t="s">
        <v>5177</v>
      </c>
      <c r="B1672" t="s">
        <v>5178</v>
      </c>
      <c r="C1672" t="s">
        <v>5179</v>
      </c>
      <c r="D1672" t="s">
        <v>5180</v>
      </c>
      <c r="E1672" t="s">
        <v>13</v>
      </c>
      <c r="F1672">
        <v>112</v>
      </c>
      <c r="G1672">
        <v>302</v>
      </c>
      <c r="H1672" s="5" t="s">
        <v>22</v>
      </c>
      <c r="I1672" s="5">
        <v>0</v>
      </c>
      <c r="J1672" s="5">
        <v>0</v>
      </c>
      <c r="K1672" t="s">
        <v>10969</v>
      </c>
      <c r="L1672" cm="1">
        <f t="array" ref="L1672">wordCount(K1672)</f>
        <v>7</v>
      </c>
      <c r="M1672">
        <f t="shared" si="52"/>
        <v>37</v>
      </c>
      <c r="N1672">
        <v>0.84210526315789469</v>
      </c>
      <c r="O1672" s="23" cm="1">
        <f t="array" ref="O1672">WordListCount(K1672,keywords!$A$2:$A$31)-WordListCount(K1672,keywords!$B$2:$B$31)</f>
        <v>0</v>
      </c>
      <c r="P1672" s="25">
        <f t="shared" si="53"/>
        <v>0.72231481481481474</v>
      </c>
      <c r="Q1672" s="23">
        <f>SUM($O$2:O1672)</f>
        <v>34</v>
      </c>
      <c r="Y1672" s="14"/>
      <c r="Z1672" s="13"/>
      <c r="AA1672"/>
    </row>
    <row r="1673" spans="1:27" x14ac:dyDescent="0.2">
      <c r="A1673" s="12" t="s">
        <v>5181</v>
      </c>
      <c r="B1673" t="s">
        <v>5182</v>
      </c>
      <c r="C1673" t="s">
        <v>1149</v>
      </c>
      <c r="D1673" t="s">
        <v>597</v>
      </c>
      <c r="E1673" t="s">
        <v>13</v>
      </c>
      <c r="F1673">
        <v>299</v>
      </c>
      <c r="G1673">
        <v>310</v>
      </c>
      <c r="H1673" s="5" t="s">
        <v>22</v>
      </c>
      <c r="I1673" s="5">
        <v>0</v>
      </c>
      <c r="J1673" s="5">
        <v>0</v>
      </c>
      <c r="K1673" t="s">
        <v>10970</v>
      </c>
      <c r="L1673" cm="1">
        <f t="array" ref="L1673">wordCount(K1673)</f>
        <v>13</v>
      </c>
      <c r="M1673">
        <f t="shared" si="52"/>
        <v>90</v>
      </c>
      <c r="N1673">
        <v>0.42857142857142855</v>
      </c>
      <c r="O1673" s="23" cm="1">
        <f t="array" ref="O1673">WordListCount(K1673,keywords!$A$2:$A$31)-WordListCount(K1673,keywords!$B$2:$B$31)</f>
        <v>0</v>
      </c>
      <c r="P1673" s="25">
        <f t="shared" si="53"/>
        <v>0.72291666666666676</v>
      </c>
      <c r="Q1673" s="23">
        <f>SUM($O$2:O1673)</f>
        <v>34</v>
      </c>
      <c r="Y1673" s="14"/>
      <c r="Z1673" s="13"/>
      <c r="AA1673"/>
    </row>
    <row r="1674" spans="1:27" x14ac:dyDescent="0.2">
      <c r="A1674" s="12" t="s">
        <v>5183</v>
      </c>
      <c r="B1674" t="s">
        <v>5184</v>
      </c>
      <c r="C1674" t="s">
        <v>5185</v>
      </c>
      <c r="D1674" t="s">
        <v>12</v>
      </c>
      <c r="E1674" t="s">
        <v>13</v>
      </c>
      <c r="F1674">
        <v>104</v>
      </c>
      <c r="G1674">
        <v>78</v>
      </c>
      <c r="H1674" s="5" t="s">
        <v>393</v>
      </c>
      <c r="I1674" s="5">
        <v>0</v>
      </c>
      <c r="J1674" s="5">
        <v>0</v>
      </c>
      <c r="K1674" t="s">
        <v>10971</v>
      </c>
      <c r="L1674" cm="1">
        <f t="array" ref="L1674">wordCount(K1674)</f>
        <v>2</v>
      </c>
      <c r="M1674">
        <f t="shared" si="52"/>
        <v>12</v>
      </c>
      <c r="N1674">
        <v>0.8666666666666667</v>
      </c>
      <c r="O1674" s="23" cm="1">
        <f t="array" ref="O1674">WordListCount(K1674,keywords!$A$2:$A$31)-WordListCount(K1674,keywords!$B$2:$B$31)</f>
        <v>0</v>
      </c>
      <c r="P1674" s="25">
        <f t="shared" si="53"/>
        <v>0.72310185185185183</v>
      </c>
      <c r="Q1674" s="23">
        <f>SUM($O$2:O1674)</f>
        <v>34</v>
      </c>
      <c r="Y1674" s="14"/>
      <c r="Z1674" s="13"/>
      <c r="AA1674"/>
    </row>
    <row r="1675" spans="1:27" x14ac:dyDescent="0.2">
      <c r="A1675" s="12" t="s">
        <v>5183</v>
      </c>
      <c r="B1675" t="s">
        <v>5186</v>
      </c>
      <c r="C1675" t="s">
        <v>5187</v>
      </c>
      <c r="D1675" t="s">
        <v>5188</v>
      </c>
      <c r="E1675" t="s">
        <v>13</v>
      </c>
      <c r="F1675">
        <v>123</v>
      </c>
      <c r="G1675">
        <v>0</v>
      </c>
      <c r="H1675" s="5" t="s">
        <v>22</v>
      </c>
      <c r="I1675" s="5">
        <v>0</v>
      </c>
      <c r="J1675" s="5">
        <v>0</v>
      </c>
      <c r="K1675" t="s">
        <v>10972</v>
      </c>
      <c r="L1675" cm="1">
        <f t="array" ref="L1675">wordCount(K1675)</f>
        <v>26</v>
      </c>
      <c r="M1675">
        <f t="shared" si="52"/>
        <v>139</v>
      </c>
      <c r="N1675">
        <v>0.30303030303030304</v>
      </c>
      <c r="O1675" s="23" cm="1">
        <f t="array" ref="O1675">WordListCount(K1675,keywords!$A$2:$A$31)-WordListCount(K1675,keywords!$B$2:$B$31)</f>
        <v>0</v>
      </c>
      <c r="P1675" s="25">
        <f t="shared" si="53"/>
        <v>0.72310185185185183</v>
      </c>
      <c r="Q1675" s="23">
        <f>SUM($O$2:O1675)</f>
        <v>34</v>
      </c>
      <c r="Y1675" s="14"/>
      <c r="Z1675" s="13"/>
      <c r="AA1675"/>
    </row>
    <row r="1676" spans="1:27" x14ac:dyDescent="0.2">
      <c r="A1676" s="12" t="s">
        <v>5189</v>
      </c>
      <c r="B1676" t="s">
        <v>5190</v>
      </c>
      <c r="C1676" t="s">
        <v>1718</v>
      </c>
      <c r="D1676" t="s">
        <v>1719</v>
      </c>
      <c r="E1676" t="s">
        <v>13</v>
      </c>
      <c r="F1676">
        <v>4</v>
      </c>
      <c r="G1676">
        <v>0</v>
      </c>
      <c r="H1676" s="5" t="s">
        <v>22</v>
      </c>
      <c r="I1676" s="5">
        <v>0</v>
      </c>
      <c r="J1676" s="5">
        <v>0</v>
      </c>
      <c r="K1676" t="s">
        <v>9518</v>
      </c>
      <c r="L1676" cm="1">
        <f t="array" ref="L1676">wordCount(K1676)</f>
        <v>7</v>
      </c>
      <c r="M1676">
        <f t="shared" si="52"/>
        <v>40</v>
      </c>
      <c r="N1676">
        <v>0.44444444444444442</v>
      </c>
      <c r="O1676" s="23" cm="1">
        <f t="array" ref="O1676">WordListCount(K1676,keywords!$A$2:$A$31)-WordListCount(K1676,keywords!$B$2:$B$31)</f>
        <v>0</v>
      </c>
      <c r="P1676" s="25">
        <f t="shared" si="53"/>
        <v>0.72356481481481483</v>
      </c>
      <c r="Q1676" s="23">
        <f>SUM($O$2:O1676)</f>
        <v>34</v>
      </c>
      <c r="Y1676" s="14"/>
      <c r="Z1676" s="13"/>
      <c r="AA1676"/>
    </row>
    <row r="1677" spans="1:27" x14ac:dyDescent="0.2">
      <c r="A1677" s="12" t="s">
        <v>5191</v>
      </c>
      <c r="B1677" t="s">
        <v>5192</v>
      </c>
      <c r="C1677" t="s">
        <v>5193</v>
      </c>
      <c r="D1677" t="s">
        <v>12</v>
      </c>
      <c r="E1677" t="s">
        <v>13</v>
      </c>
      <c r="F1677">
        <v>1</v>
      </c>
      <c r="G1677">
        <v>3</v>
      </c>
      <c r="H1677" s="5" t="s">
        <v>22</v>
      </c>
      <c r="I1677" s="5">
        <v>0</v>
      </c>
      <c r="J1677" s="5">
        <v>0</v>
      </c>
      <c r="K1677" t="s">
        <v>10973</v>
      </c>
      <c r="L1677" cm="1">
        <f t="array" ref="L1677">wordCount(K1677)</f>
        <v>14</v>
      </c>
      <c r="M1677">
        <f t="shared" si="52"/>
        <v>63</v>
      </c>
      <c r="N1677">
        <v>0.55555555555555558</v>
      </c>
      <c r="O1677" s="23" cm="1">
        <f t="array" ref="O1677">WordListCount(K1677,keywords!$A$2:$A$31)-WordListCount(K1677,keywords!$B$2:$B$31)</f>
        <v>0</v>
      </c>
      <c r="P1677" s="25">
        <f t="shared" si="53"/>
        <v>0.72357638888888898</v>
      </c>
      <c r="Q1677" s="23">
        <f>SUM($O$2:O1677)</f>
        <v>34</v>
      </c>
      <c r="Y1677" s="14"/>
      <c r="Z1677" s="13"/>
      <c r="AA1677"/>
    </row>
    <row r="1678" spans="1:27" x14ac:dyDescent="0.2">
      <c r="A1678" s="12" t="s">
        <v>5194</v>
      </c>
      <c r="B1678" t="s">
        <v>5195</v>
      </c>
      <c r="C1678" t="s">
        <v>5196</v>
      </c>
      <c r="D1678" t="s">
        <v>5197</v>
      </c>
      <c r="E1678" t="s">
        <v>13</v>
      </c>
      <c r="F1678">
        <v>6545</v>
      </c>
      <c r="G1678">
        <v>482</v>
      </c>
      <c r="H1678" s="5" t="s">
        <v>22</v>
      </c>
      <c r="I1678" s="5">
        <v>0</v>
      </c>
      <c r="J1678" s="5">
        <v>0</v>
      </c>
      <c r="K1678" t="s">
        <v>10974</v>
      </c>
      <c r="L1678" cm="1">
        <f t="array" ref="L1678">wordCount(K1678)</f>
        <v>11</v>
      </c>
      <c r="M1678">
        <f t="shared" si="52"/>
        <v>45</v>
      </c>
      <c r="N1678">
        <v>0.625</v>
      </c>
      <c r="O1678" s="23" cm="1">
        <f t="array" ref="O1678">WordListCount(K1678,keywords!$A$2:$A$31)-WordListCount(K1678,keywords!$B$2:$B$31)</f>
        <v>0</v>
      </c>
      <c r="P1678" s="25">
        <f t="shared" si="53"/>
        <v>0.72362268518518524</v>
      </c>
      <c r="Q1678" s="23">
        <f>SUM($O$2:O1678)</f>
        <v>34</v>
      </c>
      <c r="Y1678" s="14"/>
      <c r="Z1678" s="13"/>
      <c r="AA1678"/>
    </row>
    <row r="1679" spans="1:27" x14ac:dyDescent="0.2">
      <c r="A1679" s="12" t="s">
        <v>5198</v>
      </c>
      <c r="B1679" t="s">
        <v>5199</v>
      </c>
      <c r="C1679" t="s">
        <v>5200</v>
      </c>
      <c r="D1679" t="s">
        <v>5201</v>
      </c>
      <c r="E1679" t="s">
        <v>13</v>
      </c>
      <c r="F1679">
        <v>51</v>
      </c>
      <c r="G1679">
        <v>114</v>
      </c>
      <c r="H1679" s="5" t="s">
        <v>22</v>
      </c>
      <c r="I1679" s="5">
        <v>0</v>
      </c>
      <c r="J1679" s="5">
        <v>0</v>
      </c>
      <c r="K1679" t="s">
        <v>9519</v>
      </c>
      <c r="L1679" cm="1">
        <f t="array" ref="L1679">wordCount(K1679)</f>
        <v>14</v>
      </c>
      <c r="M1679">
        <f t="shared" si="52"/>
        <v>82</v>
      </c>
      <c r="N1679">
        <v>0.52</v>
      </c>
      <c r="O1679" s="23" cm="1">
        <f t="array" ref="O1679">WordListCount(K1679,keywords!$A$2:$A$31)-WordListCount(K1679,keywords!$B$2:$B$31)</f>
        <v>1</v>
      </c>
      <c r="P1679" s="25">
        <f t="shared" si="53"/>
        <v>0.72368055555555555</v>
      </c>
      <c r="Q1679" s="23">
        <f>SUM($O$2:O1679)</f>
        <v>35</v>
      </c>
      <c r="Y1679" s="14"/>
      <c r="Z1679" s="13"/>
      <c r="AA1679"/>
    </row>
    <row r="1680" spans="1:27" x14ac:dyDescent="0.2">
      <c r="A1680" s="12" t="s">
        <v>5202</v>
      </c>
      <c r="B1680" t="s">
        <v>5203</v>
      </c>
      <c r="C1680" t="s">
        <v>5204</v>
      </c>
      <c r="D1680" t="s">
        <v>5205</v>
      </c>
      <c r="E1680" t="s">
        <v>13</v>
      </c>
      <c r="F1680">
        <v>713</v>
      </c>
      <c r="G1680">
        <v>798</v>
      </c>
      <c r="H1680" s="5" t="s">
        <v>22</v>
      </c>
      <c r="I1680" s="5">
        <v>0</v>
      </c>
      <c r="J1680" s="5">
        <v>0</v>
      </c>
      <c r="K1680" t="s">
        <v>9520</v>
      </c>
      <c r="L1680" cm="1">
        <f t="array" ref="L1680">wordCount(K1680)</f>
        <v>13</v>
      </c>
      <c r="M1680">
        <f t="shared" si="52"/>
        <v>87</v>
      </c>
      <c r="N1680">
        <v>0.53846153846153844</v>
      </c>
      <c r="O1680" s="23" cm="1">
        <f t="array" ref="O1680">WordListCount(K1680,keywords!$A$2:$A$31)-WordListCount(K1680,keywords!$B$2:$B$31)</f>
        <v>0</v>
      </c>
      <c r="P1680" s="25">
        <f t="shared" si="53"/>
        <v>0.72372685185185182</v>
      </c>
      <c r="Q1680" s="23">
        <f>SUM($O$2:O1680)</f>
        <v>35</v>
      </c>
      <c r="Y1680" s="14"/>
      <c r="Z1680" s="13"/>
      <c r="AA1680"/>
    </row>
    <row r="1681" spans="1:27" x14ac:dyDescent="0.2">
      <c r="A1681" s="12" t="s">
        <v>5206</v>
      </c>
      <c r="B1681" t="s">
        <v>5207</v>
      </c>
      <c r="C1681" t="s">
        <v>5134</v>
      </c>
      <c r="D1681" t="s">
        <v>12</v>
      </c>
      <c r="E1681" t="s">
        <v>13</v>
      </c>
      <c r="F1681">
        <v>143</v>
      </c>
      <c r="G1681">
        <v>166</v>
      </c>
      <c r="H1681" s="5" t="s">
        <v>677</v>
      </c>
      <c r="I1681" s="5">
        <v>0</v>
      </c>
      <c r="J1681" s="5">
        <v>0</v>
      </c>
      <c r="K1681" t="s">
        <v>10975</v>
      </c>
      <c r="L1681" cm="1">
        <f t="array" ref="L1681">wordCount(K1681)</f>
        <v>16</v>
      </c>
      <c r="M1681">
        <f t="shared" si="52"/>
        <v>80</v>
      </c>
      <c r="N1681">
        <v>0.5625</v>
      </c>
      <c r="O1681" s="23" cm="1">
        <f t="array" ref="O1681">WordListCount(K1681,keywords!$A$2:$A$31)-WordListCount(K1681,keywords!$B$2:$B$31)</f>
        <v>0</v>
      </c>
      <c r="P1681" s="25">
        <f t="shared" si="53"/>
        <v>0.72386574074074073</v>
      </c>
      <c r="Q1681" s="23">
        <f>SUM($O$2:O1681)</f>
        <v>35</v>
      </c>
      <c r="Y1681" s="14"/>
      <c r="Z1681" s="13"/>
      <c r="AA1681"/>
    </row>
    <row r="1682" spans="1:27" x14ac:dyDescent="0.2">
      <c r="A1682" s="12" t="s">
        <v>5208</v>
      </c>
      <c r="B1682" t="s">
        <v>5209</v>
      </c>
      <c r="C1682" t="s">
        <v>5210</v>
      </c>
      <c r="D1682" t="s">
        <v>5211</v>
      </c>
      <c r="E1682" t="s">
        <v>13</v>
      </c>
      <c r="F1682">
        <v>2089</v>
      </c>
      <c r="G1682">
        <v>4647</v>
      </c>
      <c r="H1682" s="5" t="s">
        <v>22</v>
      </c>
      <c r="I1682" s="5">
        <v>0</v>
      </c>
      <c r="J1682" s="5">
        <v>0</v>
      </c>
      <c r="K1682" t="s">
        <v>10976</v>
      </c>
      <c r="L1682" cm="1">
        <f t="array" ref="L1682">wordCount(K1682)</f>
        <v>9</v>
      </c>
      <c r="M1682">
        <f t="shared" si="52"/>
        <v>37</v>
      </c>
      <c r="N1682">
        <v>0.65</v>
      </c>
      <c r="O1682" s="23" cm="1">
        <f t="array" ref="O1682">WordListCount(K1682,keywords!$A$2:$A$31)-WordListCount(K1682,keywords!$B$2:$B$31)</f>
        <v>0</v>
      </c>
      <c r="P1682" s="25">
        <f t="shared" si="53"/>
        <v>0.72406250000000005</v>
      </c>
      <c r="Q1682" s="23">
        <f>SUM($O$2:O1682)</f>
        <v>35</v>
      </c>
      <c r="Y1682" s="14"/>
      <c r="Z1682" s="13"/>
      <c r="AA1682"/>
    </row>
    <row r="1683" spans="1:27" x14ac:dyDescent="0.2">
      <c r="A1683" s="12" t="s">
        <v>5212</v>
      </c>
      <c r="B1683" t="s">
        <v>5213</v>
      </c>
      <c r="C1683" t="s">
        <v>5214</v>
      </c>
      <c r="D1683" t="s">
        <v>5215</v>
      </c>
      <c r="E1683" t="s">
        <v>13</v>
      </c>
      <c r="F1683">
        <v>2058</v>
      </c>
      <c r="G1683">
        <v>503</v>
      </c>
      <c r="H1683" s="5" t="s">
        <v>22</v>
      </c>
      <c r="I1683" s="5">
        <v>0</v>
      </c>
      <c r="J1683" s="5">
        <v>0</v>
      </c>
      <c r="K1683" t="s">
        <v>10977</v>
      </c>
      <c r="L1683" cm="1">
        <f t="array" ref="L1683">wordCount(K1683)</f>
        <v>14</v>
      </c>
      <c r="M1683">
        <f t="shared" si="52"/>
        <v>71</v>
      </c>
      <c r="N1683">
        <v>0.62962962962962965</v>
      </c>
      <c r="O1683" s="23" cm="1">
        <f t="array" ref="O1683">WordListCount(K1683,keywords!$A$2:$A$31)-WordListCount(K1683,keywords!$B$2:$B$31)</f>
        <v>0</v>
      </c>
      <c r="P1683" s="25">
        <f t="shared" si="53"/>
        <v>0.72414351851851855</v>
      </c>
      <c r="Q1683" s="23">
        <f>SUM($O$2:O1683)</f>
        <v>35</v>
      </c>
      <c r="Y1683" s="14"/>
      <c r="Z1683" s="13"/>
      <c r="AA1683"/>
    </row>
    <row r="1684" spans="1:27" x14ac:dyDescent="0.2">
      <c r="A1684" s="12" t="s">
        <v>5216</v>
      </c>
      <c r="B1684" t="s">
        <v>5217</v>
      </c>
      <c r="C1684" t="s">
        <v>5218</v>
      </c>
      <c r="D1684">
        <v>0</v>
      </c>
      <c r="E1684" t="s">
        <v>13</v>
      </c>
      <c r="F1684">
        <v>49</v>
      </c>
      <c r="G1684">
        <v>181</v>
      </c>
      <c r="H1684" s="5" t="s">
        <v>22</v>
      </c>
      <c r="I1684" s="5">
        <v>0</v>
      </c>
      <c r="J1684" s="5">
        <v>0</v>
      </c>
      <c r="K1684" t="s">
        <v>10978</v>
      </c>
      <c r="L1684" cm="1">
        <f t="array" ref="L1684">wordCount(K1684)</f>
        <v>8</v>
      </c>
      <c r="M1684">
        <f t="shared" si="52"/>
        <v>44</v>
      </c>
      <c r="N1684">
        <v>0.58823529411764708</v>
      </c>
      <c r="O1684" s="23" cm="1">
        <f t="array" ref="O1684">WordListCount(K1684,keywords!$A$2:$A$31)-WordListCount(K1684,keywords!$B$2:$B$31)</f>
        <v>0</v>
      </c>
      <c r="P1684" s="25">
        <f t="shared" si="53"/>
        <v>0.72439814814814818</v>
      </c>
      <c r="Q1684" s="23">
        <f>SUM($O$2:O1684)</f>
        <v>35</v>
      </c>
      <c r="Y1684" s="14"/>
      <c r="Z1684" s="13"/>
      <c r="AA1684"/>
    </row>
    <row r="1685" spans="1:27" x14ac:dyDescent="0.2">
      <c r="A1685" s="12" t="s">
        <v>5219</v>
      </c>
      <c r="B1685" t="s">
        <v>5220</v>
      </c>
      <c r="C1685" t="s">
        <v>5221</v>
      </c>
      <c r="D1685" t="s">
        <v>1448</v>
      </c>
      <c r="E1685" t="s">
        <v>13</v>
      </c>
      <c r="F1685">
        <v>170</v>
      </c>
      <c r="G1685">
        <v>1093</v>
      </c>
      <c r="H1685" s="5" t="s">
        <v>22</v>
      </c>
      <c r="I1685" s="5">
        <v>0</v>
      </c>
      <c r="J1685" s="5">
        <v>0</v>
      </c>
      <c r="K1685" t="s">
        <v>10979</v>
      </c>
      <c r="L1685" cm="1">
        <f t="array" ref="L1685">wordCount(K1685)</f>
        <v>19</v>
      </c>
      <c r="M1685">
        <f t="shared" si="52"/>
        <v>104</v>
      </c>
      <c r="N1685">
        <v>0.10526315789473684</v>
      </c>
      <c r="O1685" s="23" cm="1">
        <f t="array" ref="O1685">WordListCount(K1685,keywords!$A$2:$A$31)-WordListCount(K1685,keywords!$B$2:$B$31)</f>
        <v>0</v>
      </c>
      <c r="P1685" s="25">
        <f t="shared" si="53"/>
        <v>0.72462962962962962</v>
      </c>
      <c r="Q1685" s="23">
        <f>SUM($O$2:O1685)</f>
        <v>35</v>
      </c>
      <c r="Y1685" s="14"/>
      <c r="Z1685" s="13"/>
      <c r="AA1685"/>
    </row>
    <row r="1686" spans="1:27" x14ac:dyDescent="0.2">
      <c r="A1686" s="12" t="s">
        <v>5222</v>
      </c>
      <c r="B1686" t="s">
        <v>5223</v>
      </c>
      <c r="C1686" t="s">
        <v>5224</v>
      </c>
      <c r="D1686" t="s">
        <v>12</v>
      </c>
      <c r="E1686" t="s">
        <v>13</v>
      </c>
      <c r="F1686">
        <v>13</v>
      </c>
      <c r="G1686">
        <v>50</v>
      </c>
      <c r="H1686" s="5" t="s">
        <v>22</v>
      </c>
      <c r="I1686" s="5">
        <v>0</v>
      </c>
      <c r="J1686" s="5">
        <v>0</v>
      </c>
      <c r="K1686" t="s">
        <v>10980</v>
      </c>
      <c r="L1686" cm="1">
        <f t="array" ref="L1686">wordCount(K1686)</f>
        <v>5</v>
      </c>
      <c r="M1686">
        <f t="shared" si="52"/>
        <v>32</v>
      </c>
      <c r="N1686">
        <v>0.70588235294117652</v>
      </c>
      <c r="O1686" s="23" cm="1">
        <f t="array" ref="O1686">WordListCount(K1686,keywords!$A$2:$A$31)-WordListCount(K1686,keywords!$B$2:$B$31)</f>
        <v>1</v>
      </c>
      <c r="P1686" s="25">
        <f t="shared" si="53"/>
        <v>0.72478009259259257</v>
      </c>
      <c r="Q1686" s="23">
        <f>SUM($O$2:O1686)</f>
        <v>36</v>
      </c>
      <c r="Y1686" s="14"/>
      <c r="Z1686" s="13"/>
      <c r="AA1686"/>
    </row>
    <row r="1687" spans="1:27" x14ac:dyDescent="0.2">
      <c r="A1687" s="12" t="s">
        <v>5225</v>
      </c>
      <c r="B1687" t="s">
        <v>5226</v>
      </c>
      <c r="C1687" t="s">
        <v>5227</v>
      </c>
      <c r="D1687" t="s">
        <v>12</v>
      </c>
      <c r="E1687" t="s">
        <v>13</v>
      </c>
      <c r="F1687">
        <v>5</v>
      </c>
      <c r="G1687">
        <v>66</v>
      </c>
      <c r="H1687" s="5" t="s">
        <v>22</v>
      </c>
      <c r="I1687" s="5">
        <v>0</v>
      </c>
      <c r="J1687" s="5">
        <v>0</v>
      </c>
      <c r="K1687" t="s">
        <v>10981</v>
      </c>
      <c r="L1687" cm="1">
        <f t="array" ref="L1687">wordCount(K1687)</f>
        <v>6</v>
      </c>
      <c r="M1687">
        <f t="shared" si="52"/>
        <v>25</v>
      </c>
      <c r="N1687">
        <v>0.82352941176470584</v>
      </c>
      <c r="O1687" s="23" cm="1">
        <f t="array" ref="O1687">WordListCount(K1687,keywords!$A$2:$A$31)-WordListCount(K1687,keywords!$B$2:$B$31)</f>
        <v>0</v>
      </c>
      <c r="P1687" s="25">
        <f t="shared" si="53"/>
        <v>0.72496527777777775</v>
      </c>
      <c r="Q1687" s="23">
        <f>SUM($O$2:O1687)</f>
        <v>36</v>
      </c>
      <c r="Y1687" s="14"/>
      <c r="Z1687" s="13"/>
      <c r="AA1687"/>
    </row>
    <row r="1688" spans="1:27" x14ac:dyDescent="0.2">
      <c r="A1688" s="12" t="s">
        <v>5228</v>
      </c>
      <c r="B1688" t="s">
        <v>5229</v>
      </c>
      <c r="C1688" t="s">
        <v>5230</v>
      </c>
      <c r="D1688" t="s">
        <v>12</v>
      </c>
      <c r="E1688" t="s">
        <v>13</v>
      </c>
      <c r="F1688">
        <v>240</v>
      </c>
      <c r="G1688">
        <v>573</v>
      </c>
      <c r="H1688" s="5" t="s">
        <v>22</v>
      </c>
      <c r="I1688" s="5">
        <v>0</v>
      </c>
      <c r="J1688" s="5">
        <v>0</v>
      </c>
      <c r="K1688" t="s">
        <v>9521</v>
      </c>
      <c r="L1688" cm="1">
        <f t="array" ref="L1688">wordCount(K1688)</f>
        <v>4</v>
      </c>
      <c r="M1688">
        <f t="shared" si="52"/>
        <v>23</v>
      </c>
      <c r="N1688">
        <v>0.72727272727272729</v>
      </c>
      <c r="O1688" s="23" cm="1">
        <f t="array" ref="O1688">WordListCount(K1688,keywords!$A$2:$A$31)-WordListCount(K1688,keywords!$B$2:$B$31)</f>
        <v>0</v>
      </c>
      <c r="P1688" s="25">
        <f t="shared" si="53"/>
        <v>0.72498842592592594</v>
      </c>
      <c r="Q1688" s="23">
        <f>SUM($O$2:O1688)</f>
        <v>36</v>
      </c>
      <c r="Y1688" s="14"/>
      <c r="Z1688" s="13"/>
      <c r="AA1688"/>
    </row>
    <row r="1689" spans="1:27" x14ac:dyDescent="0.2">
      <c r="A1689" s="12" t="s">
        <v>5231</v>
      </c>
      <c r="B1689" t="s">
        <v>5232</v>
      </c>
      <c r="C1689" t="s">
        <v>5233</v>
      </c>
      <c r="D1689" t="s">
        <v>12</v>
      </c>
      <c r="E1689" t="s">
        <v>13</v>
      </c>
      <c r="F1689">
        <v>49</v>
      </c>
      <c r="G1689">
        <v>146</v>
      </c>
      <c r="H1689" s="5" t="s">
        <v>22</v>
      </c>
      <c r="I1689" s="5">
        <v>0</v>
      </c>
      <c r="J1689" s="5">
        <v>0</v>
      </c>
      <c r="K1689" t="s">
        <v>10982</v>
      </c>
      <c r="L1689" cm="1">
        <f t="array" ref="L1689">wordCount(K1689)</f>
        <v>20</v>
      </c>
      <c r="M1689">
        <f t="shared" si="52"/>
        <v>118</v>
      </c>
      <c r="N1689">
        <v>0.51515151515151514</v>
      </c>
      <c r="O1689" s="23" cm="1">
        <f t="array" ref="O1689">WordListCount(K1689,keywords!$A$2:$A$31)-WordListCount(K1689,keywords!$B$2:$B$31)</f>
        <v>0</v>
      </c>
      <c r="P1689" s="25">
        <f t="shared" si="53"/>
        <v>0.72504629629629624</v>
      </c>
      <c r="Q1689" s="23">
        <f>SUM($O$2:O1689)</f>
        <v>36</v>
      </c>
      <c r="Y1689" s="14"/>
      <c r="Z1689" s="13"/>
      <c r="AA1689"/>
    </row>
    <row r="1690" spans="1:27" x14ac:dyDescent="0.2">
      <c r="A1690" s="12" t="s">
        <v>5234</v>
      </c>
      <c r="B1690" t="s">
        <v>5235</v>
      </c>
      <c r="C1690" t="s">
        <v>5236</v>
      </c>
      <c r="D1690" t="s">
        <v>12</v>
      </c>
      <c r="E1690" t="s">
        <v>13</v>
      </c>
      <c r="F1690">
        <v>520</v>
      </c>
      <c r="G1690">
        <v>1752</v>
      </c>
      <c r="H1690" s="5" t="s">
        <v>22</v>
      </c>
      <c r="I1690" s="5">
        <v>0</v>
      </c>
      <c r="J1690" s="5">
        <v>0</v>
      </c>
      <c r="K1690" t="s">
        <v>10983</v>
      </c>
      <c r="L1690" cm="1">
        <f t="array" ref="L1690">wordCount(K1690)</f>
        <v>13</v>
      </c>
      <c r="M1690">
        <f t="shared" si="52"/>
        <v>63</v>
      </c>
      <c r="N1690">
        <v>0.56000000000000005</v>
      </c>
      <c r="O1690" s="23" cm="1">
        <f t="array" ref="O1690">WordListCount(K1690,keywords!$A$2:$A$31)-WordListCount(K1690,keywords!$B$2:$B$31)</f>
        <v>0</v>
      </c>
      <c r="P1690" s="25">
        <f t="shared" si="53"/>
        <v>0.72517361111111101</v>
      </c>
      <c r="Q1690" s="23">
        <f>SUM($O$2:O1690)</f>
        <v>36</v>
      </c>
      <c r="Y1690" s="14"/>
      <c r="Z1690" s="13"/>
      <c r="AA1690"/>
    </row>
    <row r="1691" spans="1:27" x14ac:dyDescent="0.2">
      <c r="A1691" s="12" t="s">
        <v>5237</v>
      </c>
      <c r="B1691" t="s">
        <v>5238</v>
      </c>
      <c r="C1691" t="s">
        <v>5239</v>
      </c>
      <c r="D1691" t="s">
        <v>1967</v>
      </c>
      <c r="E1691" t="s">
        <v>13</v>
      </c>
      <c r="F1691">
        <v>392</v>
      </c>
      <c r="G1691">
        <v>969</v>
      </c>
      <c r="H1691" s="5" t="s">
        <v>22</v>
      </c>
      <c r="I1691" s="5">
        <v>0</v>
      </c>
      <c r="J1691" s="5">
        <v>0</v>
      </c>
      <c r="K1691" t="s">
        <v>9522</v>
      </c>
      <c r="L1691" cm="1">
        <f t="array" ref="L1691">wordCount(K1691)</f>
        <v>16</v>
      </c>
      <c r="M1691">
        <f t="shared" si="52"/>
        <v>107</v>
      </c>
      <c r="N1691">
        <v>0.61111111111111116</v>
      </c>
      <c r="O1691" s="23" cm="1">
        <f t="array" ref="O1691">WordListCount(K1691,keywords!$A$2:$A$31)-WordListCount(K1691,keywords!$B$2:$B$31)</f>
        <v>0</v>
      </c>
      <c r="P1691" s="25">
        <f t="shared" si="53"/>
        <v>0.7251967592592593</v>
      </c>
      <c r="Q1691" s="23">
        <f>SUM($O$2:O1691)</f>
        <v>36</v>
      </c>
      <c r="Y1691" s="14"/>
      <c r="Z1691" s="13"/>
      <c r="AA1691"/>
    </row>
    <row r="1692" spans="1:27" x14ac:dyDescent="0.2">
      <c r="A1692" s="12" t="s">
        <v>5237</v>
      </c>
      <c r="B1692" t="s">
        <v>5240</v>
      </c>
      <c r="C1692" t="s">
        <v>5241</v>
      </c>
      <c r="D1692" t="s">
        <v>12</v>
      </c>
      <c r="E1692" t="s">
        <v>13</v>
      </c>
      <c r="F1692">
        <v>159</v>
      </c>
      <c r="G1692">
        <v>193</v>
      </c>
      <c r="H1692" s="5" t="s">
        <v>22</v>
      </c>
      <c r="I1692" s="5">
        <v>0</v>
      </c>
      <c r="J1692" s="5">
        <v>0</v>
      </c>
      <c r="K1692" t="s">
        <v>10984</v>
      </c>
      <c r="L1692" cm="1">
        <f t="array" ref="L1692">wordCount(K1692)</f>
        <v>20</v>
      </c>
      <c r="M1692">
        <f t="shared" si="52"/>
        <v>74</v>
      </c>
      <c r="N1692">
        <v>0.21052631578947367</v>
      </c>
      <c r="O1692" s="23" cm="1">
        <f t="array" ref="O1692">WordListCount(K1692,keywords!$A$2:$A$31)-WordListCount(K1692,keywords!$B$2:$B$31)</f>
        <v>0</v>
      </c>
      <c r="P1692" s="25">
        <f t="shared" si="53"/>
        <v>0.7251967592592593</v>
      </c>
      <c r="Q1692" s="23">
        <f>SUM($O$2:O1692)</f>
        <v>36</v>
      </c>
      <c r="Y1692" s="14"/>
      <c r="Z1692" s="13"/>
      <c r="AA1692"/>
    </row>
    <row r="1693" spans="1:27" x14ac:dyDescent="0.2">
      <c r="A1693" s="12" t="s">
        <v>5242</v>
      </c>
      <c r="B1693" t="s">
        <v>5243</v>
      </c>
      <c r="C1693" t="s">
        <v>256</v>
      </c>
      <c r="D1693" t="s">
        <v>257</v>
      </c>
      <c r="E1693" t="s">
        <v>13</v>
      </c>
      <c r="F1693">
        <v>49</v>
      </c>
      <c r="G1693">
        <v>0</v>
      </c>
      <c r="H1693" s="5" t="s">
        <v>22</v>
      </c>
      <c r="I1693" s="5">
        <v>0</v>
      </c>
      <c r="J1693" s="5">
        <v>0</v>
      </c>
      <c r="K1693" t="s">
        <v>10985</v>
      </c>
      <c r="L1693" cm="1">
        <f t="array" ref="L1693">wordCount(K1693)</f>
        <v>15</v>
      </c>
      <c r="M1693">
        <f t="shared" si="52"/>
        <v>74</v>
      </c>
      <c r="N1693">
        <v>0.52631578947368418</v>
      </c>
      <c r="O1693" s="23" cm="1">
        <f t="array" ref="O1693">WordListCount(K1693,keywords!$A$2:$A$31)-WordListCount(K1693,keywords!$B$2:$B$31)</f>
        <v>0</v>
      </c>
      <c r="P1693" s="25">
        <f t="shared" si="53"/>
        <v>0.72521990740740738</v>
      </c>
      <c r="Q1693" s="23">
        <f>SUM($O$2:O1693)</f>
        <v>36</v>
      </c>
      <c r="Y1693" s="14"/>
      <c r="Z1693" s="13"/>
      <c r="AA1693"/>
    </row>
    <row r="1694" spans="1:27" x14ac:dyDescent="0.2">
      <c r="A1694" s="12" t="s">
        <v>5244</v>
      </c>
      <c r="B1694" t="s">
        <v>5245</v>
      </c>
      <c r="C1694" t="s">
        <v>5246</v>
      </c>
      <c r="D1694" t="s">
        <v>5247</v>
      </c>
      <c r="E1694" t="s">
        <v>13</v>
      </c>
      <c r="F1694">
        <v>13</v>
      </c>
      <c r="G1694">
        <v>18</v>
      </c>
      <c r="H1694" s="5" t="s">
        <v>22</v>
      </c>
      <c r="I1694" s="5">
        <v>0</v>
      </c>
      <c r="J1694" s="5">
        <v>0</v>
      </c>
      <c r="K1694" t="s">
        <v>9523</v>
      </c>
      <c r="L1694" cm="1">
        <f t="array" ref="L1694">wordCount(K1694)</f>
        <v>16</v>
      </c>
      <c r="M1694">
        <f t="shared" si="52"/>
        <v>92</v>
      </c>
      <c r="N1694">
        <v>0.55555555555555558</v>
      </c>
      <c r="O1694" s="23" cm="1">
        <f t="array" ref="O1694">WordListCount(K1694,keywords!$A$2:$A$31)-WordListCount(K1694,keywords!$B$2:$B$31)</f>
        <v>0</v>
      </c>
      <c r="P1694" s="25">
        <f t="shared" si="53"/>
        <v>0.72524305555555557</v>
      </c>
      <c r="Q1694" s="23">
        <f>SUM($O$2:O1694)</f>
        <v>36</v>
      </c>
      <c r="Y1694" s="14"/>
      <c r="Z1694" s="13"/>
      <c r="AA1694"/>
    </row>
    <row r="1695" spans="1:27" x14ac:dyDescent="0.2">
      <c r="A1695" s="12" t="s">
        <v>5248</v>
      </c>
      <c r="B1695" t="s">
        <v>5249</v>
      </c>
      <c r="C1695" t="s">
        <v>5250</v>
      </c>
      <c r="D1695" t="s">
        <v>441</v>
      </c>
      <c r="E1695" t="s">
        <v>13</v>
      </c>
      <c r="F1695">
        <v>2</v>
      </c>
      <c r="G1695">
        <v>29</v>
      </c>
      <c r="H1695" s="5" t="s">
        <v>22</v>
      </c>
      <c r="I1695" s="5">
        <v>0</v>
      </c>
      <c r="J1695" s="5">
        <v>0</v>
      </c>
      <c r="K1695" t="s">
        <v>9524</v>
      </c>
      <c r="L1695" cm="1">
        <f t="array" ref="L1695">wordCount(K1695)</f>
        <v>10</v>
      </c>
      <c r="M1695">
        <f t="shared" si="52"/>
        <v>46</v>
      </c>
      <c r="N1695">
        <v>0.625</v>
      </c>
      <c r="O1695" s="23" cm="1">
        <f t="array" ref="O1695">WordListCount(K1695,keywords!$A$2:$A$31)-WordListCount(K1695,keywords!$B$2:$B$31)</f>
        <v>0</v>
      </c>
      <c r="P1695" s="25">
        <f t="shared" si="53"/>
        <v>0.72535879629629629</v>
      </c>
      <c r="Q1695" s="23">
        <f>SUM($O$2:O1695)</f>
        <v>36</v>
      </c>
      <c r="Y1695" s="14"/>
      <c r="Z1695" s="13"/>
      <c r="AA1695"/>
    </row>
    <row r="1696" spans="1:27" x14ac:dyDescent="0.2">
      <c r="A1696" s="12" t="s">
        <v>5251</v>
      </c>
      <c r="B1696" t="s">
        <v>5252</v>
      </c>
      <c r="C1696" t="s">
        <v>5253</v>
      </c>
      <c r="D1696" t="s">
        <v>5254</v>
      </c>
      <c r="E1696" t="s">
        <v>13</v>
      </c>
      <c r="F1696">
        <v>18</v>
      </c>
      <c r="G1696">
        <v>350</v>
      </c>
      <c r="H1696" s="5" t="s">
        <v>22</v>
      </c>
      <c r="I1696" s="5">
        <v>0</v>
      </c>
      <c r="J1696" s="5">
        <v>0</v>
      </c>
      <c r="K1696" t="s">
        <v>10986</v>
      </c>
      <c r="L1696" cm="1">
        <f t="array" ref="L1696">wordCount(K1696)</f>
        <v>22</v>
      </c>
      <c r="M1696">
        <f t="shared" si="52"/>
        <v>99</v>
      </c>
      <c r="N1696">
        <v>0.53333333333333333</v>
      </c>
      <c r="O1696" s="23" cm="1">
        <f t="array" ref="O1696">WordListCount(K1696,keywords!$A$2:$A$31)-WordListCount(K1696,keywords!$B$2:$B$31)</f>
        <v>0</v>
      </c>
      <c r="P1696" s="25">
        <f t="shared" si="53"/>
        <v>0.72552083333333339</v>
      </c>
      <c r="Q1696" s="23">
        <f>SUM($O$2:O1696)</f>
        <v>36</v>
      </c>
      <c r="Y1696" s="14"/>
      <c r="Z1696" s="13"/>
      <c r="AA1696"/>
    </row>
    <row r="1697" spans="1:27" x14ac:dyDescent="0.2">
      <c r="A1697" s="12" t="s">
        <v>5255</v>
      </c>
      <c r="B1697" t="s">
        <v>5256</v>
      </c>
      <c r="C1697" t="s">
        <v>5257</v>
      </c>
      <c r="D1697" t="s">
        <v>5258</v>
      </c>
      <c r="E1697" t="s">
        <v>13</v>
      </c>
      <c r="F1697">
        <v>94</v>
      </c>
      <c r="G1697">
        <v>54</v>
      </c>
      <c r="H1697" s="5" t="s">
        <v>22</v>
      </c>
      <c r="I1697" s="5">
        <v>0</v>
      </c>
      <c r="J1697" s="5">
        <v>0</v>
      </c>
      <c r="K1697" t="s">
        <v>10987</v>
      </c>
      <c r="L1697" cm="1">
        <f t="array" ref="L1697">wordCount(K1697)</f>
        <v>15</v>
      </c>
      <c r="M1697">
        <f t="shared" si="52"/>
        <v>78</v>
      </c>
      <c r="N1697">
        <v>0.54838709677419351</v>
      </c>
      <c r="O1697" s="23" cm="1">
        <f t="array" ref="O1697">WordListCount(K1697,keywords!$A$2:$A$31)-WordListCount(K1697,keywords!$B$2:$B$31)</f>
        <v>0</v>
      </c>
      <c r="P1697" s="25">
        <f t="shared" si="53"/>
        <v>0.72591435185185194</v>
      </c>
      <c r="Q1697" s="23">
        <f>SUM($O$2:O1697)</f>
        <v>36</v>
      </c>
      <c r="Y1697" s="14"/>
      <c r="Z1697" s="13"/>
      <c r="AA1697"/>
    </row>
    <row r="1698" spans="1:27" x14ac:dyDescent="0.2">
      <c r="A1698" s="12" t="s">
        <v>5259</v>
      </c>
      <c r="B1698" t="s">
        <v>5260</v>
      </c>
      <c r="C1698" t="s">
        <v>5261</v>
      </c>
      <c r="D1698" t="s">
        <v>2327</v>
      </c>
      <c r="E1698" t="s">
        <v>13</v>
      </c>
      <c r="F1698">
        <v>28</v>
      </c>
      <c r="G1698">
        <v>278</v>
      </c>
      <c r="H1698" s="5" t="s">
        <v>22</v>
      </c>
      <c r="I1698" s="5">
        <v>0</v>
      </c>
      <c r="J1698" s="5">
        <v>0</v>
      </c>
      <c r="K1698" t="s">
        <v>10988</v>
      </c>
      <c r="L1698" cm="1">
        <f t="array" ref="L1698">wordCount(K1698)</f>
        <v>25</v>
      </c>
      <c r="M1698">
        <f t="shared" si="52"/>
        <v>119</v>
      </c>
      <c r="N1698">
        <v>0.3125</v>
      </c>
      <c r="O1698" s="23" cm="1">
        <f t="array" ref="O1698">WordListCount(K1698,keywords!$A$2:$A$31)-WordListCount(K1698,keywords!$B$2:$B$31)</f>
        <v>1</v>
      </c>
      <c r="P1698" s="25">
        <f t="shared" si="53"/>
        <v>0.72601851851851851</v>
      </c>
      <c r="Q1698" s="23">
        <f>SUM($O$2:O1698)</f>
        <v>37</v>
      </c>
      <c r="Y1698" s="14"/>
      <c r="Z1698" s="13"/>
      <c r="AA1698"/>
    </row>
    <row r="1699" spans="1:27" x14ac:dyDescent="0.2">
      <c r="A1699" s="12" t="s">
        <v>5262</v>
      </c>
      <c r="B1699" t="s">
        <v>5263</v>
      </c>
      <c r="C1699" t="s">
        <v>5264</v>
      </c>
      <c r="D1699" t="s">
        <v>1061</v>
      </c>
      <c r="E1699" t="s">
        <v>13</v>
      </c>
      <c r="F1699">
        <v>7</v>
      </c>
      <c r="G1699">
        <v>59</v>
      </c>
      <c r="H1699" s="5" t="s">
        <v>22</v>
      </c>
      <c r="I1699" s="5">
        <v>0</v>
      </c>
      <c r="J1699" s="5">
        <v>0</v>
      </c>
      <c r="K1699" t="s">
        <v>9525</v>
      </c>
      <c r="L1699" cm="1">
        <f t="array" ref="L1699">wordCount(K1699)</f>
        <v>1</v>
      </c>
      <c r="M1699">
        <f t="shared" si="52"/>
        <v>5</v>
      </c>
      <c r="N1699">
        <v>0.8571428571428571</v>
      </c>
      <c r="O1699" s="23" cm="1">
        <f t="array" ref="O1699">WordListCount(K1699,keywords!$A$2:$A$31)-WordListCount(K1699,keywords!$B$2:$B$31)</f>
        <v>0</v>
      </c>
      <c r="P1699" s="25">
        <f t="shared" si="53"/>
        <v>0.72643518518518524</v>
      </c>
      <c r="Q1699" s="23">
        <f>SUM($O$2:O1699)</f>
        <v>37</v>
      </c>
      <c r="Y1699" s="14"/>
      <c r="Z1699" s="13"/>
      <c r="AA1699"/>
    </row>
    <row r="1700" spans="1:27" x14ac:dyDescent="0.2">
      <c r="A1700" s="12" t="s">
        <v>5265</v>
      </c>
      <c r="B1700" t="s">
        <v>5266</v>
      </c>
      <c r="C1700" t="s">
        <v>5267</v>
      </c>
      <c r="D1700" t="s">
        <v>1061</v>
      </c>
      <c r="E1700" t="s">
        <v>13</v>
      </c>
      <c r="F1700">
        <v>1124</v>
      </c>
      <c r="G1700">
        <v>676</v>
      </c>
      <c r="H1700" s="5" t="s">
        <v>22</v>
      </c>
      <c r="I1700" s="5">
        <v>0</v>
      </c>
      <c r="J1700" s="5">
        <v>0</v>
      </c>
      <c r="K1700" t="s">
        <v>9526</v>
      </c>
      <c r="L1700" cm="1">
        <f t="array" ref="L1700">wordCount(K1700)</f>
        <v>9</v>
      </c>
      <c r="M1700">
        <f t="shared" si="52"/>
        <v>46</v>
      </c>
      <c r="N1700">
        <v>0.36363636363636365</v>
      </c>
      <c r="O1700" s="23" cm="1">
        <f t="array" ref="O1700">WordListCount(K1700,keywords!$A$2:$A$31)-WordListCount(K1700,keywords!$B$2:$B$31)</f>
        <v>0</v>
      </c>
      <c r="P1700" s="25">
        <f t="shared" si="53"/>
        <v>0.72646990740740736</v>
      </c>
      <c r="Q1700" s="23">
        <f>SUM($O$2:O1700)</f>
        <v>37</v>
      </c>
      <c r="Y1700" s="14"/>
      <c r="Z1700" s="13"/>
      <c r="AA1700"/>
    </row>
    <row r="1701" spans="1:27" x14ac:dyDescent="0.2">
      <c r="A1701" s="12" t="s">
        <v>5268</v>
      </c>
      <c r="B1701" t="s">
        <v>5269</v>
      </c>
      <c r="C1701" t="s">
        <v>5270</v>
      </c>
      <c r="D1701" t="s">
        <v>5271</v>
      </c>
      <c r="E1701" t="s">
        <v>13</v>
      </c>
      <c r="F1701">
        <v>2801</v>
      </c>
      <c r="G1701">
        <v>1195</v>
      </c>
      <c r="H1701" s="5" t="s">
        <v>22</v>
      </c>
      <c r="I1701" s="5">
        <v>0</v>
      </c>
      <c r="J1701" s="5">
        <v>0</v>
      </c>
      <c r="K1701" t="s">
        <v>10989</v>
      </c>
      <c r="L1701" cm="1">
        <f t="array" ref="L1701">wordCount(K1701)</f>
        <v>26</v>
      </c>
      <c r="M1701">
        <f t="shared" si="52"/>
        <v>130</v>
      </c>
      <c r="N1701">
        <v>0.86956521739130432</v>
      </c>
      <c r="O1701" s="23" cm="1">
        <f t="array" ref="O1701">WordListCount(K1701,keywords!$A$2:$A$31)-WordListCount(K1701,keywords!$B$2:$B$31)</f>
        <v>0</v>
      </c>
      <c r="P1701" s="25">
        <f t="shared" si="53"/>
        <v>0.72650462962962958</v>
      </c>
      <c r="Q1701" s="23">
        <f>SUM($O$2:O1701)</f>
        <v>37</v>
      </c>
      <c r="Y1701" s="14"/>
      <c r="Z1701" s="13"/>
      <c r="AA1701"/>
    </row>
    <row r="1702" spans="1:27" x14ac:dyDescent="0.2">
      <c r="A1702" s="12" t="s">
        <v>5272</v>
      </c>
      <c r="B1702" t="s">
        <v>5273</v>
      </c>
      <c r="C1702" t="s">
        <v>5274</v>
      </c>
      <c r="D1702" t="s">
        <v>12</v>
      </c>
      <c r="E1702" t="s">
        <v>13</v>
      </c>
      <c r="F1702">
        <v>25</v>
      </c>
      <c r="G1702">
        <v>139</v>
      </c>
      <c r="H1702" s="5" t="s">
        <v>22</v>
      </c>
      <c r="I1702" s="5">
        <v>0</v>
      </c>
      <c r="J1702" s="5">
        <v>0</v>
      </c>
      <c r="K1702" t="s">
        <v>10990</v>
      </c>
      <c r="L1702" cm="1">
        <f t="array" ref="L1702">wordCount(K1702)</f>
        <v>13</v>
      </c>
      <c r="M1702">
        <f t="shared" si="52"/>
        <v>71</v>
      </c>
      <c r="N1702">
        <v>0.375</v>
      </c>
      <c r="O1702" s="23" cm="1">
        <f t="array" ref="O1702">WordListCount(K1702,keywords!$A$2:$A$31)-WordListCount(K1702,keywords!$B$2:$B$31)</f>
        <v>0</v>
      </c>
      <c r="P1702" s="25">
        <f t="shared" si="53"/>
        <v>0.72666666666666668</v>
      </c>
      <c r="Q1702" s="23">
        <f>SUM($O$2:O1702)</f>
        <v>37</v>
      </c>
      <c r="Y1702" s="14"/>
      <c r="Z1702" s="13"/>
      <c r="AA1702"/>
    </row>
    <row r="1703" spans="1:27" x14ac:dyDescent="0.2">
      <c r="A1703" s="12" t="s">
        <v>5275</v>
      </c>
      <c r="B1703" t="s">
        <v>5276</v>
      </c>
      <c r="C1703" t="s">
        <v>5277</v>
      </c>
      <c r="D1703" t="s">
        <v>12</v>
      </c>
      <c r="E1703" t="s">
        <v>13</v>
      </c>
      <c r="F1703">
        <v>29</v>
      </c>
      <c r="G1703">
        <v>258</v>
      </c>
      <c r="H1703" s="5" t="s">
        <v>22</v>
      </c>
      <c r="I1703" s="5">
        <v>0</v>
      </c>
      <c r="J1703" s="5">
        <v>0</v>
      </c>
      <c r="K1703" t="s">
        <v>10991</v>
      </c>
      <c r="L1703" cm="1">
        <f t="array" ref="L1703">wordCount(K1703)</f>
        <v>15</v>
      </c>
      <c r="M1703">
        <f t="shared" si="52"/>
        <v>66</v>
      </c>
      <c r="N1703">
        <v>0.46666666666666667</v>
      </c>
      <c r="O1703" s="23" cm="1">
        <f t="array" ref="O1703">WordListCount(K1703,keywords!$A$2:$A$31)-WordListCount(K1703,keywords!$B$2:$B$31)</f>
        <v>1</v>
      </c>
      <c r="P1703" s="25">
        <f t="shared" si="53"/>
        <v>0.72692129629629632</v>
      </c>
      <c r="Q1703" s="23">
        <f>SUM($O$2:O1703)</f>
        <v>38</v>
      </c>
      <c r="Y1703" s="14"/>
      <c r="Z1703" s="13"/>
      <c r="AA1703"/>
    </row>
    <row r="1704" spans="1:27" x14ac:dyDescent="0.2">
      <c r="A1704" s="12" t="s">
        <v>5278</v>
      </c>
      <c r="B1704" t="s">
        <v>5279</v>
      </c>
      <c r="C1704" t="s">
        <v>5280</v>
      </c>
      <c r="D1704" t="s">
        <v>5281</v>
      </c>
      <c r="E1704" t="s">
        <v>13</v>
      </c>
      <c r="F1704">
        <v>88</v>
      </c>
      <c r="G1704">
        <v>160</v>
      </c>
      <c r="H1704" s="5" t="s">
        <v>22</v>
      </c>
      <c r="I1704" s="5">
        <v>0</v>
      </c>
      <c r="J1704" s="5">
        <v>0</v>
      </c>
      <c r="K1704" t="s">
        <v>10992</v>
      </c>
      <c r="L1704" cm="1">
        <f t="array" ref="L1704">wordCount(K1704)</f>
        <v>20</v>
      </c>
      <c r="M1704">
        <f t="shared" si="52"/>
        <v>104</v>
      </c>
      <c r="N1704">
        <v>0.5</v>
      </c>
      <c r="O1704" s="23" cm="1">
        <f t="array" ref="O1704">WordListCount(K1704,keywords!$A$2:$A$31)-WordListCount(K1704,keywords!$B$2:$B$31)</f>
        <v>1</v>
      </c>
      <c r="P1704" s="25">
        <f t="shared" si="53"/>
        <v>0.72707175925925915</v>
      </c>
      <c r="Q1704" s="23">
        <f>SUM($O$2:O1704)</f>
        <v>39</v>
      </c>
      <c r="Y1704" s="14"/>
      <c r="Z1704" s="13"/>
      <c r="AA1704"/>
    </row>
    <row r="1705" spans="1:27" x14ac:dyDescent="0.2">
      <c r="A1705" s="12" t="s">
        <v>5282</v>
      </c>
      <c r="B1705" t="s">
        <v>5283</v>
      </c>
      <c r="C1705" t="s">
        <v>5284</v>
      </c>
      <c r="D1705" t="s">
        <v>1091</v>
      </c>
      <c r="E1705" t="s">
        <v>13</v>
      </c>
      <c r="F1705">
        <v>22</v>
      </c>
      <c r="G1705">
        <v>59</v>
      </c>
      <c r="H1705" s="5" t="s">
        <v>22</v>
      </c>
      <c r="I1705" s="5">
        <v>0</v>
      </c>
      <c r="J1705" s="5">
        <v>0</v>
      </c>
      <c r="K1705" t="s">
        <v>10993</v>
      </c>
      <c r="L1705" cm="1">
        <f t="array" ref="L1705">wordCount(K1705)</f>
        <v>9</v>
      </c>
      <c r="M1705">
        <f t="shared" si="52"/>
        <v>36</v>
      </c>
      <c r="N1705">
        <v>0.61111111111111116</v>
      </c>
      <c r="O1705" s="23" cm="1">
        <f t="array" ref="O1705">WordListCount(K1705,keywords!$A$2:$A$31)-WordListCount(K1705,keywords!$B$2:$B$31)</f>
        <v>0</v>
      </c>
      <c r="P1705" s="25">
        <f t="shared" si="53"/>
        <v>0.72722222222222221</v>
      </c>
      <c r="Q1705" s="23">
        <f>SUM($O$2:O1705)</f>
        <v>39</v>
      </c>
      <c r="Y1705" s="14"/>
      <c r="Z1705" s="13"/>
      <c r="AA1705"/>
    </row>
    <row r="1706" spans="1:27" x14ac:dyDescent="0.2">
      <c r="A1706" s="12" t="s">
        <v>5285</v>
      </c>
      <c r="B1706" t="s">
        <v>5286</v>
      </c>
      <c r="C1706" t="s">
        <v>5287</v>
      </c>
      <c r="D1706" t="s">
        <v>5288</v>
      </c>
      <c r="E1706" t="s">
        <v>13</v>
      </c>
      <c r="F1706">
        <v>362</v>
      </c>
      <c r="G1706">
        <v>652</v>
      </c>
      <c r="H1706" s="5" t="s">
        <v>22</v>
      </c>
      <c r="I1706" s="5">
        <v>0</v>
      </c>
      <c r="J1706" s="5">
        <v>0</v>
      </c>
      <c r="K1706" t="s">
        <v>10994</v>
      </c>
      <c r="L1706" cm="1">
        <f t="array" ref="L1706">wordCount(K1706)</f>
        <v>9</v>
      </c>
      <c r="M1706">
        <f t="shared" si="52"/>
        <v>49</v>
      </c>
      <c r="N1706">
        <v>0.61904761904761907</v>
      </c>
      <c r="O1706" s="23" cm="1">
        <f t="array" ref="O1706">WordListCount(K1706,keywords!$A$2:$A$31)-WordListCount(K1706,keywords!$B$2:$B$31)</f>
        <v>0</v>
      </c>
      <c r="P1706" s="25">
        <f t="shared" si="53"/>
        <v>0.72734953703703698</v>
      </c>
      <c r="Q1706" s="23">
        <f>SUM($O$2:O1706)</f>
        <v>39</v>
      </c>
      <c r="Y1706" s="14"/>
      <c r="Z1706" s="13"/>
      <c r="AA1706"/>
    </row>
    <row r="1707" spans="1:27" x14ac:dyDescent="0.2">
      <c r="A1707" s="12" t="s">
        <v>5289</v>
      </c>
      <c r="B1707" t="s">
        <v>5290</v>
      </c>
      <c r="C1707" t="s">
        <v>5291</v>
      </c>
      <c r="D1707" t="s">
        <v>2483</v>
      </c>
      <c r="E1707" t="s">
        <v>13</v>
      </c>
      <c r="F1707">
        <v>1102</v>
      </c>
      <c r="G1707">
        <v>431</v>
      </c>
      <c r="H1707" s="5" t="s">
        <v>22</v>
      </c>
      <c r="I1707" s="5">
        <v>0</v>
      </c>
      <c r="J1707" s="5">
        <v>0</v>
      </c>
      <c r="K1707" t="s">
        <v>10995</v>
      </c>
      <c r="L1707" cm="1">
        <f t="array" ref="L1707">wordCount(K1707)</f>
        <v>12</v>
      </c>
      <c r="M1707">
        <f t="shared" si="52"/>
        <v>76</v>
      </c>
      <c r="N1707">
        <v>0.57894736842105265</v>
      </c>
      <c r="O1707" s="23" cm="1">
        <f t="array" ref="O1707">WordListCount(K1707,keywords!$A$2:$A$31)-WordListCount(K1707,keywords!$B$2:$B$31)</f>
        <v>0</v>
      </c>
      <c r="P1707" s="25">
        <f t="shared" si="53"/>
        <v>0.72807870370370376</v>
      </c>
      <c r="Q1707" s="23">
        <f>SUM($O$2:O1707)</f>
        <v>39</v>
      </c>
      <c r="Y1707" s="14"/>
      <c r="Z1707" s="13"/>
      <c r="AA1707"/>
    </row>
    <row r="1708" spans="1:27" x14ac:dyDescent="0.2">
      <c r="A1708" s="12" t="s">
        <v>5292</v>
      </c>
      <c r="B1708" t="s">
        <v>5293</v>
      </c>
      <c r="C1708" t="s">
        <v>2926</v>
      </c>
      <c r="D1708" t="s">
        <v>2927</v>
      </c>
      <c r="E1708" t="s">
        <v>13</v>
      </c>
      <c r="F1708">
        <v>7</v>
      </c>
      <c r="G1708">
        <v>285</v>
      </c>
      <c r="H1708" s="5" t="s">
        <v>22</v>
      </c>
      <c r="I1708" s="5">
        <v>0</v>
      </c>
      <c r="J1708" s="5">
        <v>0</v>
      </c>
      <c r="K1708" t="s">
        <v>9527</v>
      </c>
      <c r="L1708" cm="1">
        <f t="array" ref="L1708">wordCount(K1708)</f>
        <v>9</v>
      </c>
      <c r="M1708">
        <f t="shared" si="52"/>
        <v>34</v>
      </c>
      <c r="N1708">
        <v>0.61111111111111116</v>
      </c>
      <c r="O1708" s="23" cm="1">
        <f t="array" ref="O1708">WordListCount(K1708,keywords!$A$2:$A$31)-WordListCount(K1708,keywords!$B$2:$B$31)</f>
        <v>0</v>
      </c>
      <c r="P1708" s="25">
        <f t="shared" si="53"/>
        <v>0.7287499999999999</v>
      </c>
      <c r="Q1708" s="23">
        <f>SUM($O$2:O1708)</f>
        <v>39</v>
      </c>
      <c r="Y1708" s="14"/>
      <c r="Z1708" s="13"/>
      <c r="AA1708"/>
    </row>
    <row r="1709" spans="1:27" x14ac:dyDescent="0.2">
      <c r="A1709" s="12" t="s">
        <v>5294</v>
      </c>
      <c r="B1709" t="s">
        <v>5295</v>
      </c>
      <c r="C1709" t="s">
        <v>5296</v>
      </c>
      <c r="D1709" t="s">
        <v>74</v>
      </c>
      <c r="E1709" t="s">
        <v>13</v>
      </c>
      <c r="F1709">
        <v>1944</v>
      </c>
      <c r="G1709">
        <v>2200</v>
      </c>
      <c r="H1709" s="5" t="s">
        <v>22</v>
      </c>
      <c r="I1709" s="5">
        <v>0</v>
      </c>
      <c r="J1709" s="5">
        <v>0</v>
      </c>
      <c r="K1709" t="s">
        <v>9528</v>
      </c>
      <c r="L1709" cm="1">
        <f t="array" ref="L1709">wordCount(K1709)</f>
        <v>9</v>
      </c>
      <c r="M1709">
        <f t="shared" si="52"/>
        <v>58</v>
      </c>
      <c r="N1709">
        <v>0.33333333333333331</v>
      </c>
      <c r="O1709" s="23" cm="1">
        <f t="array" ref="O1709">WordListCount(K1709,keywords!$A$2:$A$31)-WordListCount(K1709,keywords!$B$2:$B$31)</f>
        <v>0</v>
      </c>
      <c r="P1709" s="25">
        <f t="shared" si="53"/>
        <v>0.72884259259259254</v>
      </c>
      <c r="Q1709" s="23">
        <f>SUM($O$2:O1709)</f>
        <v>39</v>
      </c>
      <c r="Y1709" s="14"/>
      <c r="Z1709" s="13"/>
      <c r="AA1709"/>
    </row>
    <row r="1710" spans="1:27" x14ac:dyDescent="0.2">
      <c r="A1710" s="12" t="s">
        <v>5297</v>
      </c>
      <c r="B1710" t="s">
        <v>5298</v>
      </c>
      <c r="C1710" t="s">
        <v>5299</v>
      </c>
      <c r="D1710" t="s">
        <v>5300</v>
      </c>
      <c r="E1710" t="s">
        <v>13</v>
      </c>
      <c r="F1710">
        <v>57</v>
      </c>
      <c r="G1710">
        <v>237</v>
      </c>
      <c r="H1710" s="5" t="s">
        <v>22</v>
      </c>
      <c r="I1710" s="5">
        <v>0</v>
      </c>
      <c r="J1710" s="5">
        <v>0</v>
      </c>
      <c r="K1710" t="s">
        <v>10996</v>
      </c>
      <c r="L1710" cm="1">
        <f t="array" ref="L1710">wordCount(K1710)</f>
        <v>8</v>
      </c>
      <c r="M1710">
        <f t="shared" si="52"/>
        <v>43</v>
      </c>
      <c r="N1710">
        <v>0.58823529411764708</v>
      </c>
      <c r="O1710" s="23" cm="1">
        <f t="array" ref="O1710">WordListCount(K1710,keywords!$A$2:$A$31)-WordListCount(K1710,keywords!$B$2:$B$31)</f>
        <v>0</v>
      </c>
      <c r="P1710" s="25">
        <f t="shared" si="53"/>
        <v>0.72895833333333337</v>
      </c>
      <c r="Q1710" s="23">
        <f>SUM($O$2:O1710)</f>
        <v>39</v>
      </c>
      <c r="Y1710" s="14"/>
      <c r="Z1710" s="13"/>
      <c r="AA1710"/>
    </row>
    <row r="1711" spans="1:27" x14ac:dyDescent="0.2">
      <c r="A1711" s="12" t="s">
        <v>5301</v>
      </c>
      <c r="B1711" t="s">
        <v>5302</v>
      </c>
      <c r="C1711" t="s">
        <v>5303</v>
      </c>
      <c r="D1711" t="s">
        <v>12</v>
      </c>
      <c r="E1711" t="s">
        <v>13</v>
      </c>
      <c r="F1711">
        <v>22</v>
      </c>
      <c r="G1711">
        <v>192</v>
      </c>
      <c r="H1711" s="5" t="s">
        <v>22</v>
      </c>
      <c r="I1711" s="5">
        <v>0</v>
      </c>
      <c r="J1711" s="5">
        <v>0</v>
      </c>
      <c r="K1711" t="s">
        <v>10997</v>
      </c>
      <c r="L1711" cm="1">
        <f t="array" ref="L1711">wordCount(K1711)</f>
        <v>5</v>
      </c>
      <c r="M1711">
        <f t="shared" si="52"/>
        <v>26</v>
      </c>
      <c r="N1711">
        <v>0.83333333333333337</v>
      </c>
      <c r="O1711" s="23" cm="1">
        <f t="array" ref="O1711">WordListCount(K1711,keywords!$A$2:$A$31)-WordListCount(K1711,keywords!$B$2:$B$31)</f>
        <v>0</v>
      </c>
      <c r="P1711" s="25">
        <f t="shared" si="53"/>
        <v>0.72903935185185187</v>
      </c>
      <c r="Q1711" s="23">
        <f>SUM($O$2:O1711)</f>
        <v>39</v>
      </c>
      <c r="Y1711" s="14"/>
      <c r="Z1711" s="13"/>
      <c r="AA1711"/>
    </row>
    <row r="1712" spans="1:27" x14ac:dyDescent="0.2">
      <c r="A1712" s="12" t="s">
        <v>5304</v>
      </c>
      <c r="B1712" t="s">
        <v>5305</v>
      </c>
      <c r="C1712" t="s">
        <v>5306</v>
      </c>
      <c r="D1712" t="s">
        <v>1967</v>
      </c>
      <c r="E1712" t="s">
        <v>13</v>
      </c>
      <c r="F1712">
        <v>2629</v>
      </c>
      <c r="G1712">
        <v>1126</v>
      </c>
      <c r="H1712" s="5" t="s">
        <v>22</v>
      </c>
      <c r="I1712" s="5">
        <v>0</v>
      </c>
      <c r="J1712" s="5">
        <v>0</v>
      </c>
      <c r="K1712" t="s">
        <v>10998</v>
      </c>
      <c r="L1712" cm="1">
        <f t="array" ref="L1712">wordCount(K1712)</f>
        <v>28</v>
      </c>
      <c r="M1712">
        <f t="shared" si="52"/>
        <v>134</v>
      </c>
      <c r="N1712">
        <v>0.26470588235294118</v>
      </c>
      <c r="O1712" s="23" cm="1">
        <f t="array" ref="O1712">WordListCount(K1712,keywords!$A$2:$A$31)-WordListCount(K1712,keywords!$B$2:$B$31)</f>
        <v>1</v>
      </c>
      <c r="P1712" s="25">
        <f t="shared" si="53"/>
        <v>0.72909722222222229</v>
      </c>
      <c r="Q1712" s="23">
        <f>SUM($O$2:O1712)</f>
        <v>40</v>
      </c>
      <c r="Y1712" s="14"/>
      <c r="Z1712" s="13"/>
      <c r="AA1712"/>
    </row>
    <row r="1713" spans="1:27" x14ac:dyDescent="0.2">
      <c r="A1713" s="12" t="s">
        <v>5307</v>
      </c>
      <c r="B1713" t="s">
        <v>5308</v>
      </c>
      <c r="C1713" t="s">
        <v>5309</v>
      </c>
      <c r="D1713" t="s">
        <v>5310</v>
      </c>
      <c r="E1713" t="s">
        <v>13</v>
      </c>
      <c r="F1713">
        <v>1358</v>
      </c>
      <c r="G1713">
        <v>330</v>
      </c>
      <c r="H1713" s="5" t="s">
        <v>22</v>
      </c>
      <c r="I1713" s="5">
        <v>0</v>
      </c>
      <c r="J1713" s="5">
        <v>0</v>
      </c>
      <c r="K1713" t="s">
        <v>10999</v>
      </c>
      <c r="L1713" cm="1">
        <f t="array" ref="L1713">wordCount(K1713)</f>
        <v>16</v>
      </c>
      <c r="M1713">
        <f t="shared" si="52"/>
        <v>73</v>
      </c>
      <c r="N1713">
        <v>0.7</v>
      </c>
      <c r="O1713" s="23" cm="1">
        <f t="array" ref="O1713">WordListCount(K1713,keywords!$A$2:$A$31)-WordListCount(K1713,keywords!$B$2:$B$31)</f>
        <v>0</v>
      </c>
      <c r="P1713" s="25">
        <f t="shared" si="53"/>
        <v>0.72917824074074078</v>
      </c>
      <c r="Q1713" s="23">
        <f>SUM($O$2:O1713)</f>
        <v>40</v>
      </c>
      <c r="Y1713" s="14"/>
      <c r="Z1713" s="13"/>
      <c r="AA1713"/>
    </row>
    <row r="1714" spans="1:27" x14ac:dyDescent="0.2">
      <c r="A1714" s="12" t="s">
        <v>5311</v>
      </c>
      <c r="B1714" t="s">
        <v>5312</v>
      </c>
      <c r="C1714" t="s">
        <v>5291</v>
      </c>
      <c r="D1714" t="s">
        <v>2483</v>
      </c>
      <c r="E1714" t="s">
        <v>13</v>
      </c>
      <c r="F1714">
        <v>1102</v>
      </c>
      <c r="G1714">
        <v>431</v>
      </c>
      <c r="H1714" s="5" t="s">
        <v>22</v>
      </c>
      <c r="I1714" s="5">
        <v>0</v>
      </c>
      <c r="J1714" s="5">
        <v>0</v>
      </c>
      <c r="K1714" t="s">
        <v>11000</v>
      </c>
      <c r="L1714" cm="1">
        <f t="array" ref="L1714">wordCount(K1714)</f>
        <v>16</v>
      </c>
      <c r="M1714">
        <f t="shared" si="52"/>
        <v>78</v>
      </c>
      <c r="N1714">
        <v>0.43478260869565216</v>
      </c>
      <c r="O1714" s="23" cm="1">
        <f t="array" ref="O1714">WordListCount(K1714,keywords!$A$2:$A$31)-WordListCount(K1714,keywords!$B$2:$B$31)</f>
        <v>0</v>
      </c>
      <c r="P1714" s="25">
        <f t="shared" si="53"/>
        <v>0.72918981481481471</v>
      </c>
      <c r="Q1714" s="23">
        <f>SUM($O$2:O1714)</f>
        <v>40</v>
      </c>
      <c r="Y1714" s="14"/>
      <c r="Z1714" s="13"/>
      <c r="AA1714"/>
    </row>
    <row r="1715" spans="1:27" x14ac:dyDescent="0.2">
      <c r="A1715" s="12" t="s">
        <v>5313</v>
      </c>
      <c r="B1715" t="s">
        <v>5315</v>
      </c>
      <c r="C1715" t="s">
        <v>306</v>
      </c>
      <c r="D1715" t="s">
        <v>307</v>
      </c>
      <c r="E1715" t="s">
        <v>13</v>
      </c>
      <c r="F1715">
        <v>228</v>
      </c>
      <c r="G1715">
        <v>1</v>
      </c>
      <c r="H1715" s="5" t="s">
        <v>22</v>
      </c>
      <c r="I1715" s="5">
        <v>0</v>
      </c>
      <c r="J1715" s="5">
        <v>0</v>
      </c>
      <c r="K1715" t="s">
        <v>9529</v>
      </c>
      <c r="L1715" cm="1">
        <f t="array" ref="L1715">wordCount(K1715)</f>
        <v>7</v>
      </c>
      <c r="M1715">
        <f t="shared" si="52"/>
        <v>105</v>
      </c>
      <c r="N1715">
        <v>0.53846153846153844</v>
      </c>
      <c r="O1715" s="23" cm="1">
        <f t="array" ref="O1715">WordListCount(K1715,keywords!$A$2:$A$31)-WordListCount(K1715,keywords!$B$2:$B$31)</f>
        <v>0</v>
      </c>
      <c r="P1715" s="25">
        <f t="shared" si="53"/>
        <v>0.72920138888888886</v>
      </c>
      <c r="Q1715" s="23">
        <f>SUM($O$2:O1715)</f>
        <v>40</v>
      </c>
      <c r="Y1715" s="14"/>
      <c r="Z1715" s="13"/>
      <c r="AA1715"/>
    </row>
    <row r="1716" spans="1:27" x14ac:dyDescent="0.2">
      <c r="A1716" s="12" t="s">
        <v>5313</v>
      </c>
      <c r="B1716" t="s">
        <v>5314</v>
      </c>
      <c r="C1716" t="s">
        <v>2685</v>
      </c>
      <c r="D1716" t="s">
        <v>2686</v>
      </c>
      <c r="E1716" t="s">
        <v>13</v>
      </c>
      <c r="F1716">
        <v>24</v>
      </c>
      <c r="G1716">
        <v>150</v>
      </c>
      <c r="H1716" s="5" t="s">
        <v>22</v>
      </c>
      <c r="I1716" s="5">
        <v>0</v>
      </c>
      <c r="J1716" s="5">
        <v>0</v>
      </c>
      <c r="K1716" t="s">
        <v>11001</v>
      </c>
      <c r="L1716" cm="1">
        <f t="array" ref="L1716">wordCount(K1716)</f>
        <v>6</v>
      </c>
      <c r="M1716">
        <f t="shared" si="52"/>
        <v>36</v>
      </c>
      <c r="N1716">
        <v>0.6</v>
      </c>
      <c r="O1716" s="23" cm="1">
        <f t="array" ref="O1716">WordListCount(K1716,keywords!$A$2:$A$31)-WordListCount(K1716,keywords!$B$2:$B$31)</f>
        <v>0</v>
      </c>
      <c r="P1716" s="25">
        <f t="shared" si="53"/>
        <v>0.72920138888888886</v>
      </c>
      <c r="Q1716" s="23">
        <f>SUM($O$2:O1716)</f>
        <v>40</v>
      </c>
      <c r="Y1716" s="14"/>
      <c r="Z1716" s="13"/>
      <c r="AA1716"/>
    </row>
    <row r="1717" spans="1:27" x14ac:dyDescent="0.2">
      <c r="A1717" s="12" t="s">
        <v>5316</v>
      </c>
      <c r="B1717" t="s">
        <v>5317</v>
      </c>
      <c r="C1717" t="s">
        <v>5318</v>
      </c>
      <c r="D1717" t="s">
        <v>5319</v>
      </c>
      <c r="E1717" t="s">
        <v>13</v>
      </c>
      <c r="F1717">
        <v>1256</v>
      </c>
      <c r="G1717">
        <v>376</v>
      </c>
      <c r="H1717" s="5" t="s">
        <v>22</v>
      </c>
      <c r="I1717" s="5">
        <v>0</v>
      </c>
      <c r="J1717" s="5">
        <v>0</v>
      </c>
      <c r="K1717" t="s">
        <v>11002</v>
      </c>
      <c r="L1717" cm="1">
        <f t="array" ref="L1717">wordCount(K1717)</f>
        <v>3</v>
      </c>
      <c r="M1717">
        <f t="shared" si="52"/>
        <v>12</v>
      </c>
      <c r="N1717">
        <v>1</v>
      </c>
      <c r="O1717" s="23" cm="1">
        <f t="array" ref="O1717">WordListCount(K1717,keywords!$A$2:$A$31)-WordListCount(K1717,keywords!$B$2:$B$31)</f>
        <v>0</v>
      </c>
      <c r="P1717" s="25">
        <f t="shared" si="53"/>
        <v>0.72922453703703705</v>
      </c>
      <c r="Q1717" s="23">
        <f>SUM($O$2:O1717)</f>
        <v>40</v>
      </c>
      <c r="Y1717" s="14"/>
      <c r="Z1717" s="13"/>
      <c r="AA1717"/>
    </row>
    <row r="1718" spans="1:27" x14ac:dyDescent="0.2">
      <c r="A1718" s="12" t="s">
        <v>5320</v>
      </c>
      <c r="B1718" t="s">
        <v>5321</v>
      </c>
      <c r="C1718" t="s">
        <v>5322</v>
      </c>
      <c r="D1718" t="s">
        <v>12</v>
      </c>
      <c r="E1718" t="s">
        <v>13</v>
      </c>
      <c r="F1718">
        <v>3795</v>
      </c>
      <c r="G1718">
        <v>95</v>
      </c>
      <c r="H1718" s="5" t="s">
        <v>59</v>
      </c>
      <c r="I1718" s="5">
        <v>0</v>
      </c>
      <c r="J1718" s="5">
        <v>0</v>
      </c>
      <c r="K1718" t="s">
        <v>11003</v>
      </c>
      <c r="L1718" cm="1">
        <f t="array" ref="L1718">wordCount(K1718)</f>
        <v>20</v>
      </c>
      <c r="M1718">
        <f t="shared" si="52"/>
        <v>106</v>
      </c>
      <c r="N1718">
        <v>0.23809523809523808</v>
      </c>
      <c r="O1718" s="23" cm="1">
        <f t="array" ref="O1718">WordListCount(K1718,keywords!$A$2:$A$31)-WordListCount(K1718,keywords!$B$2:$B$31)</f>
        <v>0</v>
      </c>
      <c r="P1718" s="25">
        <f t="shared" si="53"/>
        <v>0.72931712962962969</v>
      </c>
      <c r="Q1718" s="23">
        <f>SUM($O$2:O1718)</f>
        <v>40</v>
      </c>
      <c r="Y1718" s="14"/>
      <c r="Z1718" s="13"/>
      <c r="AA1718"/>
    </row>
    <row r="1719" spans="1:27" x14ac:dyDescent="0.2">
      <c r="A1719" s="12" t="s">
        <v>5323</v>
      </c>
      <c r="B1719" t="s">
        <v>5324</v>
      </c>
      <c r="C1719" t="s">
        <v>5325</v>
      </c>
      <c r="D1719" t="s">
        <v>5326</v>
      </c>
      <c r="E1719" t="s">
        <v>13</v>
      </c>
      <c r="F1719">
        <v>1607</v>
      </c>
      <c r="G1719">
        <v>1364</v>
      </c>
      <c r="H1719" s="5" t="s">
        <v>22</v>
      </c>
      <c r="I1719" s="5">
        <v>0</v>
      </c>
      <c r="J1719" s="5">
        <v>0</v>
      </c>
      <c r="K1719" t="s">
        <v>11004</v>
      </c>
      <c r="L1719" cm="1">
        <f t="array" ref="L1719">wordCount(K1719)</f>
        <v>15</v>
      </c>
      <c r="M1719">
        <f t="shared" si="52"/>
        <v>79</v>
      </c>
      <c r="N1719">
        <v>0.58823529411764708</v>
      </c>
      <c r="O1719" s="23" cm="1">
        <f t="array" ref="O1719">WordListCount(K1719,keywords!$A$2:$A$31)-WordListCount(K1719,keywords!$B$2:$B$31)</f>
        <v>0</v>
      </c>
      <c r="P1719" s="25">
        <f t="shared" si="53"/>
        <v>0.72935185185185192</v>
      </c>
      <c r="Q1719" s="23">
        <f>SUM($O$2:O1719)</f>
        <v>40</v>
      </c>
      <c r="Y1719" s="14"/>
      <c r="Z1719" s="13"/>
      <c r="AA1719"/>
    </row>
    <row r="1720" spans="1:27" x14ac:dyDescent="0.2">
      <c r="A1720" s="12" t="s">
        <v>5327</v>
      </c>
      <c r="B1720" t="s">
        <v>5328</v>
      </c>
      <c r="C1720" t="s">
        <v>5329</v>
      </c>
      <c r="D1720" t="s">
        <v>12</v>
      </c>
      <c r="E1720" t="s">
        <v>13</v>
      </c>
      <c r="F1720">
        <v>81</v>
      </c>
      <c r="G1720">
        <v>62</v>
      </c>
      <c r="H1720" s="5" t="s">
        <v>22</v>
      </c>
      <c r="I1720" s="5">
        <v>0</v>
      </c>
      <c r="J1720" s="5">
        <v>0</v>
      </c>
      <c r="K1720" t="s">
        <v>11005</v>
      </c>
      <c r="L1720" cm="1">
        <f t="array" ref="L1720">wordCount(K1720)</f>
        <v>8</v>
      </c>
      <c r="M1720">
        <f t="shared" si="52"/>
        <v>27</v>
      </c>
      <c r="N1720">
        <v>0.78947368421052633</v>
      </c>
      <c r="O1720" s="23" cm="1">
        <f t="array" ref="O1720">WordListCount(K1720,keywords!$A$2:$A$31)-WordListCount(K1720,keywords!$B$2:$B$31)</f>
        <v>0</v>
      </c>
      <c r="P1720" s="25">
        <f t="shared" si="53"/>
        <v>0.72953703703703709</v>
      </c>
      <c r="Q1720" s="23">
        <f>SUM($O$2:O1720)</f>
        <v>40</v>
      </c>
      <c r="Y1720" s="14"/>
      <c r="Z1720" s="13"/>
      <c r="AA1720"/>
    </row>
    <row r="1721" spans="1:27" x14ac:dyDescent="0.2">
      <c r="A1721" s="12" t="s">
        <v>5330</v>
      </c>
      <c r="B1721" t="s">
        <v>5331</v>
      </c>
      <c r="C1721" t="s">
        <v>5257</v>
      </c>
      <c r="D1721" t="s">
        <v>5258</v>
      </c>
      <c r="E1721" t="s">
        <v>13</v>
      </c>
      <c r="F1721">
        <v>94</v>
      </c>
      <c r="G1721">
        <v>54</v>
      </c>
      <c r="H1721" s="5" t="s">
        <v>22</v>
      </c>
      <c r="I1721" s="5">
        <v>0</v>
      </c>
      <c r="J1721" s="5">
        <v>0</v>
      </c>
      <c r="K1721" t="s">
        <v>11006</v>
      </c>
      <c r="L1721" cm="1">
        <f t="array" ref="L1721">wordCount(K1721)</f>
        <v>21</v>
      </c>
      <c r="M1721">
        <f t="shared" si="52"/>
        <v>81</v>
      </c>
      <c r="N1721">
        <v>0.51851851851851849</v>
      </c>
      <c r="O1721" s="23" cm="1">
        <f t="array" ref="O1721">WordListCount(K1721,keywords!$A$2:$A$31)-WordListCount(K1721,keywords!$B$2:$B$31)</f>
        <v>0</v>
      </c>
      <c r="P1721" s="25">
        <f t="shared" si="53"/>
        <v>0.72964120370370367</v>
      </c>
      <c r="Q1721" s="23">
        <f>SUM($O$2:O1721)</f>
        <v>40</v>
      </c>
      <c r="Y1721" s="14"/>
      <c r="Z1721" s="13"/>
      <c r="AA1721"/>
    </row>
    <row r="1722" spans="1:27" x14ac:dyDescent="0.2">
      <c r="A1722" s="12" t="s">
        <v>5332</v>
      </c>
      <c r="B1722" t="s">
        <v>5333</v>
      </c>
      <c r="C1722" t="s">
        <v>5334</v>
      </c>
      <c r="D1722" t="s">
        <v>5335</v>
      </c>
      <c r="E1722" t="s">
        <v>13</v>
      </c>
      <c r="F1722">
        <v>5169</v>
      </c>
      <c r="G1722">
        <v>2709</v>
      </c>
      <c r="H1722" s="5" t="s">
        <v>22</v>
      </c>
      <c r="I1722" s="5">
        <v>0</v>
      </c>
      <c r="J1722" s="5">
        <v>0</v>
      </c>
      <c r="K1722" t="s">
        <v>11007</v>
      </c>
      <c r="L1722" cm="1">
        <f t="array" ref="L1722">wordCount(K1722)</f>
        <v>13</v>
      </c>
      <c r="M1722">
        <f t="shared" si="52"/>
        <v>52</v>
      </c>
      <c r="N1722">
        <v>0.41176470588235292</v>
      </c>
      <c r="O1722" s="23" cm="1">
        <f t="array" ref="O1722">WordListCount(K1722,keywords!$A$2:$A$31)-WordListCount(K1722,keywords!$B$2:$B$31)</f>
        <v>0</v>
      </c>
      <c r="P1722" s="25">
        <f t="shared" si="53"/>
        <v>0.72982638888888884</v>
      </c>
      <c r="Q1722" s="23">
        <f>SUM($O$2:O1722)</f>
        <v>40</v>
      </c>
      <c r="Y1722" s="14"/>
      <c r="Z1722" s="13"/>
      <c r="AA1722"/>
    </row>
    <row r="1723" spans="1:27" x14ac:dyDescent="0.2">
      <c r="A1723" s="12" t="s">
        <v>5336</v>
      </c>
      <c r="B1723" t="s">
        <v>5337</v>
      </c>
      <c r="C1723" t="s">
        <v>5338</v>
      </c>
      <c r="D1723" t="s">
        <v>5339</v>
      </c>
      <c r="E1723" t="s">
        <v>13</v>
      </c>
      <c r="F1723">
        <v>24</v>
      </c>
      <c r="G1723">
        <v>163</v>
      </c>
      <c r="H1723" s="5" t="s">
        <v>22</v>
      </c>
      <c r="I1723" s="5">
        <v>0</v>
      </c>
      <c r="J1723" s="5">
        <v>0</v>
      </c>
      <c r="K1723" t="s">
        <v>11008</v>
      </c>
      <c r="L1723" cm="1">
        <f t="array" ref="L1723">wordCount(K1723)</f>
        <v>12</v>
      </c>
      <c r="M1723">
        <f t="shared" si="52"/>
        <v>62</v>
      </c>
      <c r="N1723">
        <v>0.68181818181818177</v>
      </c>
      <c r="O1723" s="23" cm="1">
        <f t="array" ref="O1723">WordListCount(K1723,keywords!$A$2:$A$31)-WordListCount(K1723,keywords!$B$2:$B$31)</f>
        <v>0</v>
      </c>
      <c r="P1723" s="25">
        <f t="shared" si="53"/>
        <v>0.7298958333333333</v>
      </c>
      <c r="Q1723" s="23">
        <f>SUM($O$2:O1723)</f>
        <v>40</v>
      </c>
      <c r="Y1723" s="14"/>
      <c r="Z1723" s="13"/>
      <c r="AA1723"/>
    </row>
    <row r="1724" spans="1:27" x14ac:dyDescent="0.2">
      <c r="A1724" s="12" t="s">
        <v>5340</v>
      </c>
      <c r="B1724" t="s">
        <v>5341</v>
      </c>
      <c r="C1724" t="s">
        <v>318</v>
      </c>
      <c r="D1724" t="s">
        <v>319</v>
      </c>
      <c r="E1724" t="s">
        <v>13</v>
      </c>
      <c r="F1724">
        <v>51</v>
      </c>
      <c r="G1724">
        <v>62</v>
      </c>
      <c r="H1724" s="5" t="s">
        <v>22</v>
      </c>
      <c r="I1724" s="5">
        <v>0</v>
      </c>
      <c r="J1724" s="5">
        <v>0</v>
      </c>
      <c r="K1724" t="s">
        <v>11009</v>
      </c>
      <c r="L1724" cm="1">
        <f t="array" ref="L1724">wordCount(K1724)</f>
        <v>14</v>
      </c>
      <c r="M1724">
        <f t="shared" si="52"/>
        <v>75</v>
      </c>
      <c r="N1724">
        <v>0.82352941176470584</v>
      </c>
      <c r="O1724" s="23" cm="1">
        <f t="array" ref="O1724">WordListCount(K1724,keywords!$A$2:$A$31)-WordListCount(K1724,keywords!$B$2:$B$31)</f>
        <v>0</v>
      </c>
      <c r="P1724" s="25">
        <f t="shared" si="53"/>
        <v>0.73</v>
      </c>
      <c r="Q1724" s="23">
        <f>SUM($O$2:O1724)</f>
        <v>40</v>
      </c>
      <c r="Y1724" s="14"/>
      <c r="Z1724" s="13"/>
      <c r="AA1724"/>
    </row>
    <row r="1725" spans="1:27" x14ac:dyDescent="0.2">
      <c r="A1725" s="12" t="s">
        <v>5342</v>
      </c>
      <c r="B1725" t="s">
        <v>5343</v>
      </c>
      <c r="C1725" t="s">
        <v>5344</v>
      </c>
      <c r="D1725" t="s">
        <v>5345</v>
      </c>
      <c r="E1725" t="s">
        <v>13</v>
      </c>
      <c r="F1725">
        <v>1711</v>
      </c>
      <c r="G1725">
        <v>1323</v>
      </c>
      <c r="H1725" s="5" t="s">
        <v>22</v>
      </c>
      <c r="I1725" s="5">
        <v>0</v>
      </c>
      <c r="J1725" s="5">
        <v>0</v>
      </c>
      <c r="K1725" t="s">
        <v>11010</v>
      </c>
      <c r="L1725" cm="1">
        <f t="array" ref="L1725">wordCount(K1725)</f>
        <v>8</v>
      </c>
      <c r="M1725">
        <f t="shared" si="52"/>
        <v>42</v>
      </c>
      <c r="N1725">
        <v>0.6470588235294118</v>
      </c>
      <c r="O1725" s="23" cm="1">
        <f t="array" ref="O1725">WordListCount(K1725,keywords!$A$2:$A$31)-WordListCount(K1725,keywords!$B$2:$B$31)</f>
        <v>0</v>
      </c>
      <c r="P1725" s="25">
        <f t="shared" si="53"/>
        <v>0.73001157407407413</v>
      </c>
      <c r="Q1725" s="23">
        <f>SUM($O$2:O1725)</f>
        <v>40</v>
      </c>
      <c r="Y1725" s="14"/>
      <c r="Z1725" s="13"/>
      <c r="AA1725"/>
    </row>
    <row r="1726" spans="1:27" x14ac:dyDescent="0.2">
      <c r="A1726" s="12" t="s">
        <v>5346</v>
      </c>
      <c r="B1726" t="s">
        <v>5347</v>
      </c>
      <c r="C1726" t="s">
        <v>5348</v>
      </c>
      <c r="D1726" t="s">
        <v>5349</v>
      </c>
      <c r="E1726" t="s">
        <v>13</v>
      </c>
      <c r="F1726">
        <v>1227</v>
      </c>
      <c r="G1726">
        <v>751</v>
      </c>
      <c r="H1726" s="5" t="s">
        <v>22</v>
      </c>
      <c r="I1726" s="5">
        <v>0</v>
      </c>
      <c r="J1726" s="5">
        <v>0</v>
      </c>
      <c r="K1726" t="s">
        <v>11011</v>
      </c>
      <c r="L1726" cm="1">
        <f t="array" ref="L1726">wordCount(K1726)</f>
        <v>6</v>
      </c>
      <c r="M1726">
        <f t="shared" si="52"/>
        <v>18</v>
      </c>
      <c r="N1726">
        <v>0.8</v>
      </c>
      <c r="O1726" s="23" cm="1">
        <f t="array" ref="O1726">WordListCount(K1726,keywords!$A$2:$A$31)-WordListCount(K1726,keywords!$B$2:$B$31)</f>
        <v>0</v>
      </c>
      <c r="P1726" s="25">
        <f t="shared" si="53"/>
        <v>0.73008101851851848</v>
      </c>
      <c r="Q1726" s="23">
        <f>SUM($O$2:O1726)</f>
        <v>40</v>
      </c>
      <c r="Y1726" s="14"/>
      <c r="Z1726" s="13"/>
      <c r="AA1726"/>
    </row>
    <row r="1727" spans="1:27" x14ac:dyDescent="0.2">
      <c r="A1727" s="12" t="s">
        <v>5350</v>
      </c>
      <c r="B1727" t="s">
        <v>5351</v>
      </c>
      <c r="C1727" t="s">
        <v>5352</v>
      </c>
      <c r="D1727" t="s">
        <v>5353</v>
      </c>
      <c r="E1727" t="s">
        <v>13</v>
      </c>
      <c r="F1727">
        <v>405</v>
      </c>
      <c r="G1727">
        <v>392</v>
      </c>
      <c r="H1727" s="5" t="s">
        <v>22</v>
      </c>
      <c r="I1727" s="5">
        <v>0</v>
      </c>
      <c r="J1727" s="5">
        <v>0</v>
      </c>
      <c r="K1727" t="s">
        <v>9530</v>
      </c>
      <c r="L1727" cm="1">
        <f t="array" ref="L1727">wordCount(K1727)</f>
        <v>4</v>
      </c>
      <c r="M1727">
        <f t="shared" si="52"/>
        <v>30</v>
      </c>
      <c r="N1727">
        <v>0.7857142857142857</v>
      </c>
      <c r="O1727" s="23" cm="1">
        <f t="array" ref="O1727">WordListCount(K1727,keywords!$A$2:$A$31)-WordListCount(K1727,keywords!$B$2:$B$31)</f>
        <v>0</v>
      </c>
      <c r="P1727" s="25">
        <f t="shared" si="53"/>
        <v>0.73016203703703697</v>
      </c>
      <c r="Q1727" s="23">
        <f>SUM($O$2:O1727)</f>
        <v>40</v>
      </c>
      <c r="Y1727" s="14"/>
      <c r="Z1727" s="13"/>
      <c r="AA1727"/>
    </row>
    <row r="1728" spans="1:27" x14ac:dyDescent="0.2">
      <c r="A1728" s="12" t="s">
        <v>5354</v>
      </c>
      <c r="B1728" t="s">
        <v>5355</v>
      </c>
      <c r="C1728" t="s">
        <v>5356</v>
      </c>
      <c r="D1728" t="s">
        <v>2327</v>
      </c>
      <c r="E1728" t="s">
        <v>13</v>
      </c>
      <c r="F1728">
        <v>417</v>
      </c>
      <c r="G1728">
        <v>410</v>
      </c>
      <c r="H1728" s="5" t="s">
        <v>22</v>
      </c>
      <c r="I1728" s="5">
        <v>0</v>
      </c>
      <c r="J1728" s="5">
        <v>0</v>
      </c>
      <c r="K1728" t="s">
        <v>11012</v>
      </c>
      <c r="L1728" cm="1">
        <f t="array" ref="L1728">wordCount(K1728)</f>
        <v>16</v>
      </c>
      <c r="M1728">
        <f t="shared" si="52"/>
        <v>45</v>
      </c>
      <c r="N1728">
        <v>0.65217391304347827</v>
      </c>
      <c r="O1728" s="23" cm="1">
        <f t="array" ref="O1728">WordListCount(K1728,keywords!$A$2:$A$31)-WordListCount(K1728,keywords!$B$2:$B$31)</f>
        <v>0</v>
      </c>
      <c r="P1728" s="25">
        <f t="shared" si="53"/>
        <v>0.73040509259259256</v>
      </c>
      <c r="Q1728" s="23">
        <f>SUM($O$2:O1728)</f>
        <v>40</v>
      </c>
      <c r="Y1728" s="14"/>
      <c r="Z1728" s="13"/>
      <c r="AA1728"/>
    </row>
    <row r="1729" spans="1:27" x14ac:dyDescent="0.2">
      <c r="A1729" s="12" t="s">
        <v>5357</v>
      </c>
      <c r="B1729" t="s">
        <v>5358</v>
      </c>
      <c r="C1729" t="s">
        <v>5359</v>
      </c>
      <c r="D1729" t="s">
        <v>5360</v>
      </c>
      <c r="E1729" t="s">
        <v>47</v>
      </c>
      <c r="F1729">
        <v>1809</v>
      </c>
      <c r="G1729">
        <v>1138</v>
      </c>
      <c r="H1729" s="5" t="s">
        <v>22</v>
      </c>
      <c r="I1729" s="5">
        <v>0</v>
      </c>
      <c r="J1729" s="5">
        <v>0</v>
      </c>
      <c r="K1729" t="s">
        <v>11013</v>
      </c>
      <c r="L1729" cm="1">
        <f t="array" ref="L1729">wordCount(K1729)</f>
        <v>16</v>
      </c>
      <c r="M1729">
        <f t="shared" si="52"/>
        <v>93</v>
      </c>
      <c r="N1729">
        <v>0.53846153846153844</v>
      </c>
      <c r="O1729" s="23" cm="1">
        <f t="array" ref="O1729">WordListCount(K1729,keywords!$A$2:$A$31)-WordListCount(K1729,keywords!$B$2:$B$31)</f>
        <v>1</v>
      </c>
      <c r="P1729" s="25">
        <f t="shared" si="53"/>
        <v>0.73041666666666671</v>
      </c>
      <c r="Q1729" s="23">
        <f>SUM($O$2:O1729)</f>
        <v>41</v>
      </c>
      <c r="Y1729" s="14"/>
      <c r="Z1729" s="13"/>
      <c r="AA1729"/>
    </row>
    <row r="1730" spans="1:27" x14ac:dyDescent="0.2">
      <c r="A1730" s="12" t="s">
        <v>5361</v>
      </c>
      <c r="B1730" t="s">
        <v>5362</v>
      </c>
      <c r="C1730" t="s">
        <v>5363</v>
      </c>
      <c r="D1730" t="s">
        <v>5364</v>
      </c>
      <c r="E1730" t="s">
        <v>13</v>
      </c>
      <c r="F1730">
        <v>1393</v>
      </c>
      <c r="G1730">
        <v>433</v>
      </c>
      <c r="H1730" s="5" t="s">
        <v>22</v>
      </c>
      <c r="I1730" s="5">
        <v>0</v>
      </c>
      <c r="J1730" s="5">
        <v>0</v>
      </c>
      <c r="K1730" t="s">
        <v>9531</v>
      </c>
      <c r="L1730" cm="1">
        <f t="array" ref="L1730">wordCount(K1730)</f>
        <v>10</v>
      </c>
      <c r="M1730">
        <f t="shared" ref="M1730:M1793" si="54">LEN(K1730)</f>
        <v>54</v>
      </c>
      <c r="N1730">
        <v>0.65</v>
      </c>
      <c r="O1730" s="23" cm="1">
        <f t="array" ref="O1730">WordListCount(K1730,keywords!$A$2:$A$31)-WordListCount(K1730,keywords!$B$2:$B$31)</f>
        <v>1</v>
      </c>
      <c r="P1730" s="25">
        <f t="shared" ref="P1730:P1793" si="55">TIMEVALUE(RIGHT(A1730,8))</f>
        <v>0.73043981481481479</v>
      </c>
      <c r="Q1730" s="23">
        <f>SUM($O$2:O1730)</f>
        <v>42</v>
      </c>
      <c r="Y1730" s="14"/>
      <c r="Z1730" s="13"/>
      <c r="AA1730"/>
    </row>
    <row r="1731" spans="1:27" x14ac:dyDescent="0.2">
      <c r="A1731" s="12" t="s">
        <v>5365</v>
      </c>
      <c r="B1731" t="s">
        <v>5366</v>
      </c>
      <c r="C1731" t="s">
        <v>5334</v>
      </c>
      <c r="D1731" t="s">
        <v>5335</v>
      </c>
      <c r="E1731" t="s">
        <v>13</v>
      </c>
      <c r="F1731">
        <v>5169</v>
      </c>
      <c r="G1731">
        <v>2709</v>
      </c>
      <c r="H1731" s="5" t="s">
        <v>22</v>
      </c>
      <c r="I1731" s="5">
        <v>0</v>
      </c>
      <c r="J1731" s="5">
        <v>0</v>
      </c>
      <c r="K1731" t="s">
        <v>11014</v>
      </c>
      <c r="L1731" cm="1">
        <f t="array" ref="L1731">wordCount(K1731)</f>
        <v>7</v>
      </c>
      <c r="M1731">
        <f t="shared" si="54"/>
        <v>37</v>
      </c>
      <c r="N1731">
        <v>0.75</v>
      </c>
      <c r="O1731" s="23" cm="1">
        <f t="array" ref="O1731">WordListCount(K1731,keywords!$A$2:$A$31)-WordListCount(K1731,keywords!$B$2:$B$31)</f>
        <v>0</v>
      </c>
      <c r="P1731" s="25">
        <f t="shared" si="55"/>
        <v>0.73046296296296298</v>
      </c>
      <c r="Q1731" s="23">
        <f>SUM($O$2:O1731)</f>
        <v>42</v>
      </c>
      <c r="Y1731" s="14"/>
      <c r="Z1731" s="13"/>
      <c r="AA1731"/>
    </row>
    <row r="1732" spans="1:27" x14ac:dyDescent="0.2">
      <c r="A1732" s="12" t="s">
        <v>5367</v>
      </c>
      <c r="B1732" t="s">
        <v>5368</v>
      </c>
      <c r="C1732" t="s">
        <v>5369</v>
      </c>
      <c r="D1732" t="s">
        <v>1343</v>
      </c>
      <c r="E1732" t="s">
        <v>13</v>
      </c>
      <c r="F1732">
        <v>46</v>
      </c>
      <c r="G1732">
        <v>21</v>
      </c>
      <c r="H1732" s="5" t="s">
        <v>22</v>
      </c>
      <c r="I1732" s="5">
        <v>0</v>
      </c>
      <c r="J1732" s="5">
        <v>0</v>
      </c>
      <c r="K1732" t="s">
        <v>11015</v>
      </c>
      <c r="L1732" cm="1">
        <f t="array" ref="L1732">wordCount(K1732)</f>
        <v>18</v>
      </c>
      <c r="M1732">
        <f t="shared" si="54"/>
        <v>85</v>
      </c>
      <c r="N1732">
        <v>0.46153846153846156</v>
      </c>
      <c r="O1732" s="23" cm="1">
        <f t="array" ref="O1732">WordListCount(K1732,keywords!$A$2:$A$31)-WordListCount(K1732,keywords!$B$2:$B$31)</f>
        <v>0</v>
      </c>
      <c r="P1732" s="25">
        <f t="shared" si="55"/>
        <v>0.73086805555555545</v>
      </c>
      <c r="Q1732" s="23">
        <f>SUM($O$2:O1732)</f>
        <v>42</v>
      </c>
      <c r="Y1732" s="14"/>
      <c r="Z1732" s="13"/>
      <c r="AA1732"/>
    </row>
    <row r="1733" spans="1:27" x14ac:dyDescent="0.2">
      <c r="A1733" s="12" t="s">
        <v>5370</v>
      </c>
      <c r="B1733" t="s">
        <v>5371</v>
      </c>
      <c r="C1733" t="s">
        <v>5372</v>
      </c>
      <c r="D1733" t="s">
        <v>5373</v>
      </c>
      <c r="E1733" t="s">
        <v>13</v>
      </c>
      <c r="F1733">
        <v>538</v>
      </c>
      <c r="G1733">
        <v>1390</v>
      </c>
      <c r="H1733" s="5" t="s">
        <v>22</v>
      </c>
      <c r="I1733" s="5">
        <v>0</v>
      </c>
      <c r="J1733" s="5">
        <v>0</v>
      </c>
      <c r="K1733" t="s">
        <v>11016</v>
      </c>
      <c r="L1733" cm="1">
        <f t="array" ref="L1733">wordCount(K1733)</f>
        <v>5</v>
      </c>
      <c r="M1733">
        <f t="shared" si="54"/>
        <v>26</v>
      </c>
      <c r="N1733">
        <v>0.75</v>
      </c>
      <c r="O1733" s="23" cm="1">
        <f t="array" ref="O1733">WordListCount(K1733,keywords!$A$2:$A$31)-WordListCount(K1733,keywords!$B$2:$B$31)</f>
        <v>0</v>
      </c>
      <c r="P1733" s="25">
        <f t="shared" si="55"/>
        <v>0.73128472222222218</v>
      </c>
      <c r="Q1733" s="23">
        <f>SUM($O$2:O1733)</f>
        <v>42</v>
      </c>
      <c r="Y1733" s="14"/>
      <c r="Z1733" s="13"/>
      <c r="AA1733"/>
    </row>
    <row r="1734" spans="1:27" x14ac:dyDescent="0.2">
      <c r="A1734" s="12" t="s">
        <v>5374</v>
      </c>
      <c r="B1734" t="s">
        <v>5375</v>
      </c>
      <c r="C1734" t="s">
        <v>4049</v>
      </c>
      <c r="D1734" t="s">
        <v>12</v>
      </c>
      <c r="E1734" t="s">
        <v>13</v>
      </c>
      <c r="F1734">
        <v>92</v>
      </c>
      <c r="G1734">
        <v>83</v>
      </c>
      <c r="H1734" s="5" t="s">
        <v>22</v>
      </c>
      <c r="I1734" s="5">
        <v>0</v>
      </c>
      <c r="J1734" s="5">
        <v>0</v>
      </c>
      <c r="K1734" t="s">
        <v>11017</v>
      </c>
      <c r="L1734" cm="1">
        <f t="array" ref="L1734">wordCount(K1734)</f>
        <v>20</v>
      </c>
      <c r="M1734">
        <f t="shared" si="54"/>
        <v>76</v>
      </c>
      <c r="N1734">
        <v>0.39130434782608697</v>
      </c>
      <c r="O1734" s="23" cm="1">
        <f t="array" ref="O1734">WordListCount(K1734,keywords!$A$2:$A$31)-WordListCount(K1734,keywords!$B$2:$B$31)</f>
        <v>0</v>
      </c>
      <c r="P1734" s="25">
        <f t="shared" si="55"/>
        <v>0.73133101851851856</v>
      </c>
      <c r="Q1734" s="23">
        <f>SUM($O$2:O1734)</f>
        <v>42</v>
      </c>
      <c r="Y1734" s="14"/>
      <c r="Z1734" s="13"/>
      <c r="AA1734"/>
    </row>
    <row r="1735" spans="1:27" x14ac:dyDescent="0.2">
      <c r="A1735" s="12" t="s">
        <v>5376</v>
      </c>
      <c r="B1735" t="s">
        <v>5377</v>
      </c>
      <c r="C1735" t="s">
        <v>5378</v>
      </c>
      <c r="D1735" t="s">
        <v>5379</v>
      </c>
      <c r="E1735" t="s">
        <v>13</v>
      </c>
      <c r="F1735">
        <v>25</v>
      </c>
      <c r="G1735">
        <v>73</v>
      </c>
      <c r="H1735" s="5" t="s">
        <v>22</v>
      </c>
      <c r="I1735" s="5">
        <v>0</v>
      </c>
      <c r="J1735" s="5">
        <v>0</v>
      </c>
      <c r="K1735" t="s">
        <v>11018</v>
      </c>
      <c r="L1735" cm="1">
        <f t="array" ref="L1735">wordCount(K1735)</f>
        <v>9</v>
      </c>
      <c r="M1735">
        <f t="shared" si="54"/>
        <v>42</v>
      </c>
      <c r="N1735">
        <v>0.80769230769230771</v>
      </c>
      <c r="O1735" s="23" cm="1">
        <f t="array" ref="O1735">WordListCount(K1735,keywords!$A$2:$A$31)-WordListCount(K1735,keywords!$B$2:$B$31)</f>
        <v>0</v>
      </c>
      <c r="P1735" s="25">
        <f t="shared" si="55"/>
        <v>0.73159722222222223</v>
      </c>
      <c r="Q1735" s="23">
        <f>SUM($O$2:O1735)</f>
        <v>42</v>
      </c>
      <c r="Y1735" s="14"/>
      <c r="Z1735" s="13"/>
      <c r="AA1735"/>
    </row>
    <row r="1736" spans="1:27" x14ac:dyDescent="0.2">
      <c r="A1736" s="12" t="s">
        <v>5380</v>
      </c>
      <c r="B1736" t="s">
        <v>5381</v>
      </c>
      <c r="C1736" t="s">
        <v>5382</v>
      </c>
      <c r="D1736" t="s">
        <v>5383</v>
      </c>
      <c r="E1736" t="s">
        <v>13</v>
      </c>
      <c r="F1736">
        <v>1066</v>
      </c>
      <c r="G1736">
        <v>1715</v>
      </c>
      <c r="H1736" s="5" t="s">
        <v>22</v>
      </c>
      <c r="I1736" s="5">
        <v>0</v>
      </c>
      <c r="J1736" s="5">
        <v>0</v>
      </c>
      <c r="K1736" t="s">
        <v>11019</v>
      </c>
      <c r="L1736" cm="1">
        <f t="array" ref="L1736">wordCount(K1736)</f>
        <v>27</v>
      </c>
      <c r="M1736">
        <f t="shared" si="54"/>
        <v>127</v>
      </c>
      <c r="N1736">
        <v>0.37037037037037035</v>
      </c>
      <c r="O1736" s="23" cm="1">
        <f t="array" ref="O1736">WordListCount(K1736,keywords!$A$2:$A$31)-WordListCount(K1736,keywords!$B$2:$B$31)</f>
        <v>0</v>
      </c>
      <c r="P1736" s="25">
        <f t="shared" si="55"/>
        <v>0.73178240740740741</v>
      </c>
      <c r="Q1736" s="23">
        <f>SUM($O$2:O1736)</f>
        <v>42</v>
      </c>
      <c r="Y1736" s="14"/>
      <c r="Z1736" s="13"/>
      <c r="AA1736"/>
    </row>
    <row r="1737" spans="1:27" x14ac:dyDescent="0.2">
      <c r="A1737" s="12" t="s">
        <v>5384</v>
      </c>
      <c r="B1737" t="s">
        <v>5385</v>
      </c>
      <c r="C1737" t="s">
        <v>5386</v>
      </c>
      <c r="D1737" t="s">
        <v>5387</v>
      </c>
      <c r="E1737" t="s">
        <v>13</v>
      </c>
      <c r="F1737">
        <v>104</v>
      </c>
      <c r="G1737">
        <v>87</v>
      </c>
      <c r="H1737" s="5" t="s">
        <v>22</v>
      </c>
      <c r="I1737" s="5">
        <v>0</v>
      </c>
      <c r="J1737" s="5">
        <v>0</v>
      </c>
      <c r="K1737" t="s">
        <v>11020</v>
      </c>
      <c r="L1737" cm="1">
        <f t="array" ref="L1737">wordCount(K1737)</f>
        <v>20</v>
      </c>
      <c r="M1737">
        <f t="shared" si="54"/>
        <v>105</v>
      </c>
      <c r="N1737">
        <v>0.4</v>
      </c>
      <c r="O1737" s="23" cm="1">
        <f t="array" ref="O1737">WordListCount(K1737,keywords!$A$2:$A$31)-WordListCount(K1737,keywords!$B$2:$B$31)</f>
        <v>0</v>
      </c>
      <c r="P1737" s="25">
        <f t="shared" si="55"/>
        <v>0.7318634259259259</v>
      </c>
      <c r="Q1737" s="23">
        <f>SUM($O$2:O1737)</f>
        <v>42</v>
      </c>
      <c r="Y1737" s="14"/>
      <c r="Z1737" s="13"/>
      <c r="AA1737"/>
    </row>
    <row r="1738" spans="1:27" x14ac:dyDescent="0.2">
      <c r="A1738" s="12" t="s">
        <v>5388</v>
      </c>
      <c r="B1738" t="s">
        <v>5389</v>
      </c>
      <c r="C1738" t="s">
        <v>5390</v>
      </c>
      <c r="D1738" t="s">
        <v>2623</v>
      </c>
      <c r="E1738" t="s">
        <v>13</v>
      </c>
      <c r="F1738">
        <v>884</v>
      </c>
      <c r="G1738">
        <v>1704</v>
      </c>
      <c r="H1738" s="5" t="s">
        <v>22</v>
      </c>
      <c r="I1738" s="5">
        <v>0</v>
      </c>
      <c r="J1738" s="5">
        <v>0</v>
      </c>
      <c r="K1738" t="s">
        <v>11021</v>
      </c>
      <c r="L1738" cm="1">
        <f t="array" ref="L1738">wordCount(K1738)</f>
        <v>13</v>
      </c>
      <c r="M1738">
        <f t="shared" si="54"/>
        <v>71</v>
      </c>
      <c r="N1738">
        <v>0.36842105263157893</v>
      </c>
      <c r="O1738" s="23" cm="1">
        <f t="array" ref="O1738">WordListCount(K1738,keywords!$A$2:$A$31)-WordListCount(K1738,keywords!$B$2:$B$31)</f>
        <v>0</v>
      </c>
      <c r="P1738" s="25">
        <f t="shared" si="55"/>
        <v>0.73192129629629632</v>
      </c>
      <c r="Q1738" s="23">
        <f>SUM($O$2:O1738)</f>
        <v>42</v>
      </c>
      <c r="Y1738" s="14"/>
      <c r="Z1738" s="13"/>
      <c r="AA1738"/>
    </row>
    <row r="1739" spans="1:27" x14ac:dyDescent="0.2">
      <c r="A1739" s="12" t="s">
        <v>5391</v>
      </c>
      <c r="B1739" t="s">
        <v>5392</v>
      </c>
      <c r="C1739" t="s">
        <v>5334</v>
      </c>
      <c r="D1739" t="s">
        <v>5335</v>
      </c>
      <c r="E1739" t="s">
        <v>13</v>
      </c>
      <c r="F1739">
        <v>5169</v>
      </c>
      <c r="G1739">
        <v>2709</v>
      </c>
      <c r="H1739" s="5" t="s">
        <v>22</v>
      </c>
      <c r="I1739" s="5">
        <v>0</v>
      </c>
      <c r="J1739" s="5">
        <v>0</v>
      </c>
      <c r="K1739" t="s">
        <v>11022</v>
      </c>
      <c r="L1739" cm="1">
        <f t="array" ref="L1739">wordCount(K1739)</f>
        <v>19</v>
      </c>
      <c r="M1739">
        <f t="shared" si="54"/>
        <v>89</v>
      </c>
      <c r="N1739">
        <v>0.5357142857142857</v>
      </c>
      <c r="O1739" s="23" cm="1">
        <f t="array" ref="O1739">WordListCount(K1739,keywords!$A$2:$A$31)-WordListCount(K1739,keywords!$B$2:$B$31)</f>
        <v>0</v>
      </c>
      <c r="P1739" s="25">
        <f t="shared" si="55"/>
        <v>0.73233796296296294</v>
      </c>
      <c r="Q1739" s="23">
        <f>SUM($O$2:O1739)</f>
        <v>42</v>
      </c>
      <c r="Y1739" s="14"/>
      <c r="Z1739" s="13"/>
      <c r="AA1739"/>
    </row>
    <row r="1740" spans="1:27" x14ac:dyDescent="0.2">
      <c r="A1740" s="12" t="s">
        <v>5393</v>
      </c>
      <c r="B1740" t="s">
        <v>5394</v>
      </c>
      <c r="C1740" t="s">
        <v>5395</v>
      </c>
      <c r="D1740" t="s">
        <v>5396</v>
      </c>
      <c r="E1740" t="s">
        <v>13</v>
      </c>
      <c r="F1740">
        <v>459</v>
      </c>
      <c r="G1740">
        <v>272</v>
      </c>
      <c r="H1740" s="5" t="s">
        <v>22</v>
      </c>
      <c r="I1740" s="5">
        <v>0</v>
      </c>
      <c r="J1740" s="5">
        <v>0</v>
      </c>
      <c r="K1740" t="s">
        <v>11023</v>
      </c>
      <c r="L1740" cm="1">
        <f t="array" ref="L1740">wordCount(K1740)</f>
        <v>8</v>
      </c>
      <c r="M1740">
        <f t="shared" si="54"/>
        <v>42</v>
      </c>
      <c r="N1740">
        <v>0.75</v>
      </c>
      <c r="O1740" s="23" cm="1">
        <f t="array" ref="O1740">WordListCount(K1740,keywords!$A$2:$A$31)-WordListCount(K1740,keywords!$B$2:$B$31)</f>
        <v>0</v>
      </c>
      <c r="P1740" s="25">
        <f t="shared" si="55"/>
        <v>0.73238425925925921</v>
      </c>
      <c r="Q1740" s="23">
        <f>SUM($O$2:O1740)</f>
        <v>42</v>
      </c>
      <c r="Y1740" s="14"/>
      <c r="Z1740" s="13"/>
      <c r="AA1740"/>
    </row>
    <row r="1741" spans="1:27" x14ac:dyDescent="0.2">
      <c r="A1741" s="12" t="s">
        <v>5397</v>
      </c>
      <c r="B1741" t="s">
        <v>5398</v>
      </c>
      <c r="C1741" t="s">
        <v>5390</v>
      </c>
      <c r="D1741" t="s">
        <v>2623</v>
      </c>
      <c r="E1741" t="s">
        <v>13</v>
      </c>
      <c r="F1741">
        <v>885</v>
      </c>
      <c r="G1741">
        <v>1704</v>
      </c>
      <c r="H1741" s="5" t="s">
        <v>22</v>
      </c>
      <c r="I1741" s="5">
        <v>0</v>
      </c>
      <c r="J1741" s="5">
        <v>0</v>
      </c>
      <c r="K1741" t="s">
        <v>11024</v>
      </c>
      <c r="L1741" cm="1">
        <f t="array" ref="L1741">wordCount(K1741)</f>
        <v>21</v>
      </c>
      <c r="M1741">
        <f t="shared" si="54"/>
        <v>104</v>
      </c>
      <c r="N1741">
        <v>0.21052631578947367</v>
      </c>
      <c r="O1741" s="23" cm="1">
        <f t="array" ref="O1741">WordListCount(K1741,keywords!$A$2:$A$31)-WordListCount(K1741,keywords!$B$2:$B$31)</f>
        <v>-1</v>
      </c>
      <c r="P1741" s="25">
        <f t="shared" si="55"/>
        <v>0.73245370370370377</v>
      </c>
      <c r="Q1741" s="23">
        <f>SUM($O$2:O1741)</f>
        <v>41</v>
      </c>
      <c r="Y1741" s="14"/>
      <c r="Z1741" s="13"/>
      <c r="AA1741"/>
    </row>
    <row r="1742" spans="1:27" x14ac:dyDescent="0.2">
      <c r="A1742" s="12" t="s">
        <v>5399</v>
      </c>
      <c r="B1742" t="s">
        <v>5400</v>
      </c>
      <c r="C1742" t="s">
        <v>5401</v>
      </c>
      <c r="D1742" t="s">
        <v>5402</v>
      </c>
      <c r="E1742" t="s">
        <v>13</v>
      </c>
      <c r="F1742">
        <v>464</v>
      </c>
      <c r="G1742">
        <v>862</v>
      </c>
      <c r="H1742" s="5" t="s">
        <v>22</v>
      </c>
      <c r="I1742" s="5">
        <v>0</v>
      </c>
      <c r="J1742" s="5">
        <v>0</v>
      </c>
      <c r="K1742" t="s">
        <v>11025</v>
      </c>
      <c r="L1742" cm="1">
        <f t="array" ref="L1742">wordCount(K1742)</f>
        <v>10</v>
      </c>
      <c r="M1742">
        <f t="shared" si="54"/>
        <v>55</v>
      </c>
      <c r="N1742">
        <v>0.4375</v>
      </c>
      <c r="O1742" s="23" cm="1">
        <f t="array" ref="O1742">WordListCount(K1742,keywords!$A$2:$A$31)-WordListCount(K1742,keywords!$B$2:$B$31)</f>
        <v>0</v>
      </c>
      <c r="P1742" s="25">
        <f t="shared" si="55"/>
        <v>0.73266203703703703</v>
      </c>
      <c r="Q1742" s="23">
        <f>SUM($O$2:O1742)</f>
        <v>41</v>
      </c>
      <c r="Y1742" s="14"/>
      <c r="Z1742" s="13"/>
      <c r="AA1742"/>
    </row>
    <row r="1743" spans="1:27" x14ac:dyDescent="0.2">
      <c r="A1743" s="12" t="s">
        <v>5403</v>
      </c>
      <c r="B1743" t="s">
        <v>5404</v>
      </c>
      <c r="C1743" t="s">
        <v>5405</v>
      </c>
      <c r="D1743" t="s">
        <v>4324</v>
      </c>
      <c r="E1743" t="s">
        <v>13</v>
      </c>
      <c r="F1743">
        <v>90</v>
      </c>
      <c r="G1743">
        <v>444</v>
      </c>
      <c r="H1743" s="5" t="s">
        <v>22</v>
      </c>
      <c r="I1743" s="5">
        <v>0</v>
      </c>
      <c r="J1743" s="5">
        <v>0</v>
      </c>
      <c r="K1743" t="s">
        <v>11026</v>
      </c>
      <c r="L1743" cm="1">
        <f t="array" ref="L1743">wordCount(K1743)</f>
        <v>23</v>
      </c>
      <c r="M1743">
        <f t="shared" si="54"/>
        <v>114</v>
      </c>
      <c r="N1743">
        <v>0.17391304347826086</v>
      </c>
      <c r="O1743" s="23" cm="1">
        <f t="array" ref="O1743">WordListCount(K1743,keywords!$A$2:$A$31)-WordListCount(K1743,keywords!$B$2:$B$31)</f>
        <v>1</v>
      </c>
      <c r="P1743" s="25">
        <f t="shared" si="55"/>
        <v>0.73275462962962967</v>
      </c>
      <c r="Q1743" s="23">
        <f>SUM($O$2:O1743)</f>
        <v>42</v>
      </c>
      <c r="Y1743" s="14"/>
      <c r="Z1743" s="13"/>
      <c r="AA1743"/>
    </row>
    <row r="1744" spans="1:27" x14ac:dyDescent="0.2">
      <c r="A1744" s="12" t="s">
        <v>5406</v>
      </c>
      <c r="B1744" t="s">
        <v>5407</v>
      </c>
      <c r="C1744" t="s">
        <v>4505</v>
      </c>
      <c r="D1744" t="s">
        <v>124</v>
      </c>
      <c r="E1744" t="s">
        <v>13</v>
      </c>
      <c r="F1744">
        <v>71</v>
      </c>
      <c r="G1744">
        <v>179</v>
      </c>
      <c r="H1744" s="5" t="s">
        <v>22</v>
      </c>
      <c r="I1744" s="5">
        <v>0</v>
      </c>
      <c r="J1744" s="5">
        <v>0</v>
      </c>
      <c r="K1744" t="s">
        <v>11027</v>
      </c>
      <c r="L1744" cm="1">
        <f t="array" ref="L1744">wordCount(K1744)</f>
        <v>17</v>
      </c>
      <c r="M1744">
        <f t="shared" si="54"/>
        <v>103</v>
      </c>
      <c r="N1744">
        <v>0.875</v>
      </c>
      <c r="O1744" s="23" cm="1">
        <f t="array" ref="O1744">WordListCount(K1744,keywords!$A$2:$A$31)-WordListCount(K1744,keywords!$B$2:$B$31)</f>
        <v>0</v>
      </c>
      <c r="P1744" s="25">
        <f t="shared" si="55"/>
        <v>0.73291666666666666</v>
      </c>
      <c r="Q1744" s="23">
        <f>SUM($O$2:O1744)</f>
        <v>42</v>
      </c>
      <c r="Y1744" s="14"/>
      <c r="Z1744" s="13"/>
      <c r="AA1744"/>
    </row>
    <row r="1745" spans="1:27" x14ac:dyDescent="0.2">
      <c r="A1745" s="12" t="s">
        <v>5408</v>
      </c>
      <c r="B1745" t="s">
        <v>5409</v>
      </c>
      <c r="C1745" t="s">
        <v>496</v>
      </c>
      <c r="D1745" t="s">
        <v>497</v>
      </c>
      <c r="E1745" t="s">
        <v>13</v>
      </c>
      <c r="F1745">
        <v>366</v>
      </c>
      <c r="G1745">
        <v>225</v>
      </c>
      <c r="H1745" s="5" t="s">
        <v>22</v>
      </c>
      <c r="I1745" s="5">
        <v>0</v>
      </c>
      <c r="J1745" s="5">
        <v>0</v>
      </c>
      <c r="K1745" t="s">
        <v>11028</v>
      </c>
      <c r="L1745" cm="1">
        <f t="array" ref="L1745">wordCount(K1745)</f>
        <v>24</v>
      </c>
      <c r="M1745">
        <f t="shared" si="54"/>
        <v>103</v>
      </c>
      <c r="N1745">
        <v>0.79166666666666663</v>
      </c>
      <c r="O1745" s="23" cm="1">
        <f t="array" ref="O1745">WordListCount(K1745,keywords!$A$2:$A$31)-WordListCount(K1745,keywords!$B$2:$B$31)</f>
        <v>0</v>
      </c>
      <c r="P1745" s="25">
        <f t="shared" si="55"/>
        <v>0.73302083333333334</v>
      </c>
      <c r="Q1745" s="23">
        <f>SUM($O$2:O1745)</f>
        <v>42</v>
      </c>
      <c r="Y1745" s="14"/>
      <c r="Z1745" s="13"/>
      <c r="AA1745"/>
    </row>
    <row r="1746" spans="1:27" x14ac:dyDescent="0.2">
      <c r="A1746" s="12" t="s">
        <v>5410</v>
      </c>
      <c r="B1746" t="s">
        <v>5411</v>
      </c>
      <c r="C1746" t="s">
        <v>5412</v>
      </c>
      <c r="D1746" t="s">
        <v>2955</v>
      </c>
      <c r="E1746" t="s">
        <v>13</v>
      </c>
      <c r="F1746">
        <v>3187</v>
      </c>
      <c r="G1746">
        <v>686</v>
      </c>
      <c r="H1746" s="5" t="s">
        <v>22</v>
      </c>
      <c r="I1746" s="5">
        <v>0</v>
      </c>
      <c r="J1746" s="5">
        <v>0</v>
      </c>
      <c r="K1746" t="s">
        <v>9532</v>
      </c>
      <c r="L1746" cm="1">
        <f t="array" ref="L1746">wordCount(K1746)</f>
        <v>8</v>
      </c>
      <c r="M1746">
        <f t="shared" si="54"/>
        <v>41</v>
      </c>
      <c r="N1746">
        <v>0.61538461538461542</v>
      </c>
      <c r="O1746" s="23" cm="1">
        <f t="array" ref="O1746">WordListCount(K1746,keywords!$A$2:$A$31)-WordListCount(K1746,keywords!$B$2:$B$31)</f>
        <v>0</v>
      </c>
      <c r="P1746" s="25">
        <f t="shared" si="55"/>
        <v>0.73311342592592599</v>
      </c>
      <c r="Q1746" s="23">
        <f>SUM($O$2:O1746)</f>
        <v>42</v>
      </c>
      <c r="Y1746" s="14"/>
      <c r="Z1746" s="13"/>
      <c r="AA1746"/>
    </row>
    <row r="1747" spans="1:27" x14ac:dyDescent="0.2">
      <c r="A1747" s="12" t="s">
        <v>5413</v>
      </c>
      <c r="B1747" t="s">
        <v>5414</v>
      </c>
      <c r="C1747" t="s">
        <v>5415</v>
      </c>
      <c r="D1747" t="s">
        <v>12</v>
      </c>
      <c r="E1747" t="s">
        <v>13</v>
      </c>
      <c r="F1747">
        <v>202</v>
      </c>
      <c r="G1747">
        <v>448</v>
      </c>
      <c r="H1747" s="5" t="s">
        <v>22</v>
      </c>
      <c r="I1747" s="5">
        <v>0</v>
      </c>
      <c r="J1747" s="5">
        <v>0</v>
      </c>
      <c r="K1747" t="s">
        <v>11029</v>
      </c>
      <c r="L1747" cm="1">
        <f t="array" ref="L1747">wordCount(K1747)</f>
        <v>5</v>
      </c>
      <c r="M1747">
        <f t="shared" si="54"/>
        <v>18</v>
      </c>
      <c r="N1747">
        <v>0.75</v>
      </c>
      <c r="O1747" s="23" cm="1">
        <f t="array" ref="O1747">WordListCount(K1747,keywords!$A$2:$A$31)-WordListCount(K1747,keywords!$B$2:$B$31)</f>
        <v>0</v>
      </c>
      <c r="P1747" s="25">
        <f t="shared" si="55"/>
        <v>0.73324074074074075</v>
      </c>
      <c r="Q1747" s="23">
        <f>SUM($O$2:O1747)</f>
        <v>42</v>
      </c>
      <c r="Y1747" s="14"/>
      <c r="Z1747" s="13"/>
      <c r="AA1747"/>
    </row>
    <row r="1748" spans="1:27" x14ac:dyDescent="0.2">
      <c r="A1748" s="12" t="s">
        <v>5416</v>
      </c>
      <c r="B1748" t="s">
        <v>5417</v>
      </c>
      <c r="C1748" t="s">
        <v>5418</v>
      </c>
      <c r="D1748" t="s">
        <v>337</v>
      </c>
      <c r="E1748" t="s">
        <v>13</v>
      </c>
      <c r="F1748">
        <v>595</v>
      </c>
      <c r="G1748">
        <v>141</v>
      </c>
      <c r="H1748" s="5" t="s">
        <v>22</v>
      </c>
      <c r="I1748" s="5">
        <v>0</v>
      </c>
      <c r="J1748" s="5">
        <v>0</v>
      </c>
      <c r="K1748" t="s">
        <v>11030</v>
      </c>
      <c r="L1748" cm="1">
        <f t="array" ref="L1748">wordCount(K1748)</f>
        <v>19</v>
      </c>
      <c r="M1748">
        <f t="shared" si="54"/>
        <v>79</v>
      </c>
      <c r="N1748">
        <v>0.35294117647058826</v>
      </c>
      <c r="O1748" s="23" cm="1">
        <f t="array" ref="O1748">WordListCount(K1748,keywords!$A$2:$A$31)-WordListCount(K1748,keywords!$B$2:$B$31)</f>
        <v>0</v>
      </c>
      <c r="P1748" s="25">
        <f t="shared" si="55"/>
        <v>0.73342592592592604</v>
      </c>
      <c r="Q1748" s="23">
        <f>SUM($O$2:O1748)</f>
        <v>42</v>
      </c>
      <c r="Y1748" s="14"/>
      <c r="Z1748" s="13"/>
      <c r="AA1748"/>
    </row>
    <row r="1749" spans="1:27" x14ac:dyDescent="0.2">
      <c r="A1749" s="12" t="s">
        <v>5419</v>
      </c>
      <c r="B1749" t="s">
        <v>5420</v>
      </c>
      <c r="C1749" t="s">
        <v>5421</v>
      </c>
      <c r="D1749" t="s">
        <v>5422</v>
      </c>
      <c r="E1749" t="s">
        <v>13</v>
      </c>
      <c r="F1749">
        <v>94</v>
      </c>
      <c r="G1749">
        <v>160</v>
      </c>
      <c r="H1749" s="5" t="s">
        <v>59</v>
      </c>
      <c r="I1749" s="5">
        <v>0</v>
      </c>
      <c r="J1749" s="5">
        <v>0</v>
      </c>
      <c r="K1749" t="s">
        <v>11031</v>
      </c>
      <c r="L1749" cm="1">
        <f t="array" ref="L1749">wordCount(K1749)</f>
        <v>3</v>
      </c>
      <c r="M1749">
        <f t="shared" si="54"/>
        <v>20</v>
      </c>
      <c r="N1749">
        <v>0.81818181818181823</v>
      </c>
      <c r="O1749" s="23" cm="1">
        <f t="array" ref="O1749">WordListCount(K1749,keywords!$A$2:$A$31)-WordListCount(K1749,keywords!$B$2:$B$31)</f>
        <v>0</v>
      </c>
      <c r="P1749" s="25">
        <f t="shared" si="55"/>
        <v>0.73346064814814815</v>
      </c>
      <c r="Q1749" s="23">
        <f>SUM($O$2:O1749)</f>
        <v>42</v>
      </c>
      <c r="Y1749" s="14"/>
      <c r="Z1749" s="13"/>
      <c r="AA1749"/>
    </row>
    <row r="1750" spans="1:27" x14ac:dyDescent="0.2">
      <c r="A1750" s="12" t="s">
        <v>5423</v>
      </c>
      <c r="B1750" t="s">
        <v>5424</v>
      </c>
      <c r="C1750" t="s">
        <v>5425</v>
      </c>
      <c r="D1750" t="s">
        <v>5426</v>
      </c>
      <c r="E1750" t="s">
        <v>13</v>
      </c>
      <c r="F1750">
        <v>2177</v>
      </c>
      <c r="G1750">
        <v>679</v>
      </c>
      <c r="H1750" s="5" t="s">
        <v>22</v>
      </c>
      <c r="I1750" s="5">
        <v>0</v>
      </c>
      <c r="J1750" s="5">
        <v>0</v>
      </c>
      <c r="K1750" t="s">
        <v>11032</v>
      </c>
      <c r="L1750" cm="1">
        <f t="array" ref="L1750">wordCount(K1750)</f>
        <v>16</v>
      </c>
      <c r="M1750">
        <f t="shared" si="54"/>
        <v>58</v>
      </c>
      <c r="N1750">
        <v>0.66666666666666663</v>
      </c>
      <c r="O1750" s="23" cm="1">
        <f t="array" ref="O1750">WordListCount(K1750,keywords!$A$2:$A$31)-WordListCount(K1750,keywords!$B$2:$B$31)</f>
        <v>0</v>
      </c>
      <c r="P1750" s="25">
        <f t="shared" si="55"/>
        <v>0.73378472222222213</v>
      </c>
      <c r="Q1750" s="23">
        <f>SUM($O$2:O1750)</f>
        <v>42</v>
      </c>
      <c r="Y1750" s="14"/>
      <c r="Z1750" s="13"/>
      <c r="AA1750"/>
    </row>
    <row r="1751" spans="1:27" x14ac:dyDescent="0.2">
      <c r="A1751" s="12" t="s">
        <v>5427</v>
      </c>
      <c r="B1751" t="s">
        <v>5428</v>
      </c>
      <c r="C1751" t="s">
        <v>5429</v>
      </c>
      <c r="D1751" t="s">
        <v>12</v>
      </c>
      <c r="E1751" t="s">
        <v>13</v>
      </c>
      <c r="F1751">
        <v>451</v>
      </c>
      <c r="G1751">
        <v>260</v>
      </c>
      <c r="H1751" s="5" t="s">
        <v>22</v>
      </c>
      <c r="I1751" s="5">
        <v>0</v>
      </c>
      <c r="J1751" s="5">
        <v>0</v>
      </c>
      <c r="K1751" t="s">
        <v>11033</v>
      </c>
      <c r="L1751" cm="1">
        <f t="array" ref="L1751">wordCount(K1751)</f>
        <v>7</v>
      </c>
      <c r="M1751">
        <f t="shared" si="54"/>
        <v>29</v>
      </c>
      <c r="N1751">
        <v>0.4</v>
      </c>
      <c r="O1751" s="23" cm="1">
        <f t="array" ref="O1751">WordListCount(K1751,keywords!$A$2:$A$31)-WordListCount(K1751,keywords!$B$2:$B$31)</f>
        <v>1</v>
      </c>
      <c r="P1751" s="25">
        <f t="shared" si="55"/>
        <v>0.7338541666666667</v>
      </c>
      <c r="Q1751" s="23">
        <f>SUM($O$2:O1751)</f>
        <v>43</v>
      </c>
      <c r="Y1751" s="14"/>
      <c r="Z1751" s="13"/>
      <c r="AA1751"/>
    </row>
    <row r="1752" spans="1:27" x14ac:dyDescent="0.2">
      <c r="A1752" s="12" t="s">
        <v>5430</v>
      </c>
      <c r="B1752" t="s">
        <v>5431</v>
      </c>
      <c r="C1752" t="s">
        <v>5432</v>
      </c>
      <c r="D1752" t="s">
        <v>74</v>
      </c>
      <c r="E1752" t="s">
        <v>13</v>
      </c>
      <c r="F1752">
        <v>162</v>
      </c>
      <c r="G1752">
        <v>362</v>
      </c>
      <c r="H1752" s="5" t="s">
        <v>22</v>
      </c>
      <c r="I1752" s="5">
        <v>0</v>
      </c>
      <c r="J1752" s="5">
        <v>0</v>
      </c>
      <c r="K1752" t="s">
        <v>11034</v>
      </c>
      <c r="L1752" cm="1">
        <f t="array" ref="L1752">wordCount(K1752)</f>
        <v>11</v>
      </c>
      <c r="M1752">
        <f t="shared" si="54"/>
        <v>65</v>
      </c>
      <c r="N1752">
        <v>0.2857142857142857</v>
      </c>
      <c r="O1752" s="23" cm="1">
        <f t="array" ref="O1752">WordListCount(K1752,keywords!$A$2:$A$31)-WordListCount(K1752,keywords!$B$2:$B$31)</f>
        <v>0</v>
      </c>
      <c r="P1752" s="25">
        <f t="shared" si="55"/>
        <v>0.73392361111111104</v>
      </c>
      <c r="Q1752" s="23">
        <f>SUM($O$2:O1752)</f>
        <v>43</v>
      </c>
      <c r="Y1752" s="14"/>
      <c r="Z1752" s="13"/>
      <c r="AA1752"/>
    </row>
    <row r="1753" spans="1:27" x14ac:dyDescent="0.2">
      <c r="A1753" s="12" t="s">
        <v>5433</v>
      </c>
      <c r="B1753" t="s">
        <v>5434</v>
      </c>
      <c r="C1753" t="s">
        <v>3745</v>
      </c>
      <c r="D1753" t="s">
        <v>12</v>
      </c>
      <c r="E1753" t="s">
        <v>13</v>
      </c>
      <c r="F1753">
        <v>118</v>
      </c>
      <c r="G1753">
        <v>384</v>
      </c>
      <c r="H1753" s="5" t="s">
        <v>22</v>
      </c>
      <c r="I1753" s="5">
        <v>0</v>
      </c>
      <c r="J1753" s="5">
        <v>0</v>
      </c>
      <c r="K1753" t="s">
        <v>11035</v>
      </c>
      <c r="L1753" cm="1">
        <f t="array" ref="L1753">wordCount(K1753)</f>
        <v>16</v>
      </c>
      <c r="M1753">
        <f t="shared" si="54"/>
        <v>87</v>
      </c>
      <c r="N1753">
        <v>0.58064516129032262</v>
      </c>
      <c r="O1753" s="23" cm="1">
        <f t="array" ref="O1753">WordListCount(K1753,keywords!$A$2:$A$31)-WordListCount(K1753,keywords!$B$2:$B$31)</f>
        <v>0</v>
      </c>
      <c r="P1753" s="25">
        <f t="shared" si="55"/>
        <v>0.73432870370370373</v>
      </c>
      <c r="Q1753" s="23">
        <f>SUM($O$2:O1753)</f>
        <v>43</v>
      </c>
      <c r="Y1753" s="14"/>
      <c r="Z1753" s="13"/>
      <c r="AA1753"/>
    </row>
    <row r="1754" spans="1:27" x14ac:dyDescent="0.2">
      <c r="A1754" s="12" t="s">
        <v>5435</v>
      </c>
      <c r="B1754" t="s">
        <v>5436</v>
      </c>
      <c r="C1754" t="s">
        <v>5437</v>
      </c>
      <c r="D1754" t="s">
        <v>12</v>
      </c>
      <c r="E1754" t="s">
        <v>13</v>
      </c>
      <c r="F1754">
        <v>88</v>
      </c>
      <c r="G1754">
        <v>362</v>
      </c>
      <c r="H1754" s="5" t="s">
        <v>22</v>
      </c>
      <c r="I1754" s="5">
        <v>0</v>
      </c>
      <c r="J1754" s="5">
        <v>0</v>
      </c>
      <c r="K1754" t="s">
        <v>11036</v>
      </c>
      <c r="L1754" cm="1">
        <f t="array" ref="L1754">wordCount(K1754)</f>
        <v>19</v>
      </c>
      <c r="M1754">
        <f t="shared" si="54"/>
        <v>108</v>
      </c>
      <c r="N1754">
        <v>0.48275862068965519</v>
      </c>
      <c r="O1754" s="23" cm="1">
        <f t="array" ref="O1754">WordListCount(K1754,keywords!$A$2:$A$31)-WordListCount(K1754,keywords!$B$2:$B$31)</f>
        <v>0</v>
      </c>
      <c r="P1754" s="25">
        <f t="shared" si="55"/>
        <v>0.73435185185185192</v>
      </c>
      <c r="Q1754" s="23">
        <f>SUM($O$2:O1754)</f>
        <v>43</v>
      </c>
      <c r="Y1754" s="14"/>
      <c r="Z1754" s="13"/>
      <c r="AA1754"/>
    </row>
    <row r="1755" spans="1:27" x14ac:dyDescent="0.2">
      <c r="A1755" s="12" t="s">
        <v>5438</v>
      </c>
      <c r="B1755" t="s">
        <v>5439</v>
      </c>
      <c r="C1755" t="s">
        <v>5440</v>
      </c>
      <c r="D1755" t="s">
        <v>12</v>
      </c>
      <c r="E1755" t="s">
        <v>13</v>
      </c>
      <c r="F1755">
        <v>354</v>
      </c>
      <c r="G1755">
        <v>384</v>
      </c>
      <c r="H1755" s="5" t="s">
        <v>22</v>
      </c>
      <c r="I1755" s="5">
        <v>0</v>
      </c>
      <c r="J1755" s="5">
        <v>0</v>
      </c>
      <c r="K1755" t="s">
        <v>11037</v>
      </c>
      <c r="L1755" cm="1">
        <f t="array" ref="L1755">wordCount(K1755)</f>
        <v>9</v>
      </c>
      <c r="M1755">
        <f t="shared" si="54"/>
        <v>38</v>
      </c>
      <c r="N1755">
        <v>0.72</v>
      </c>
      <c r="O1755" s="23" cm="1">
        <f t="array" ref="O1755">WordListCount(K1755,keywords!$A$2:$A$31)-WordListCount(K1755,keywords!$B$2:$B$31)</f>
        <v>0</v>
      </c>
      <c r="P1755" s="25">
        <f t="shared" si="55"/>
        <v>0.73472222222222217</v>
      </c>
      <c r="Q1755" s="23">
        <f>SUM($O$2:O1755)</f>
        <v>43</v>
      </c>
      <c r="Y1755" s="14"/>
      <c r="Z1755" s="13"/>
      <c r="AA1755"/>
    </row>
    <row r="1756" spans="1:27" x14ac:dyDescent="0.2">
      <c r="A1756" s="12" t="s">
        <v>5441</v>
      </c>
      <c r="B1756" t="s">
        <v>5442</v>
      </c>
      <c r="C1756" t="s">
        <v>310</v>
      </c>
      <c r="D1756" t="s">
        <v>12</v>
      </c>
      <c r="E1756" t="s">
        <v>13</v>
      </c>
      <c r="F1756">
        <v>3634</v>
      </c>
      <c r="G1756">
        <v>3732</v>
      </c>
      <c r="H1756" s="5" t="s">
        <v>22</v>
      </c>
      <c r="I1756" s="5">
        <v>0</v>
      </c>
      <c r="J1756" s="5">
        <v>0</v>
      </c>
      <c r="K1756" t="s">
        <v>9533</v>
      </c>
      <c r="L1756" cm="1">
        <f t="array" ref="L1756">wordCount(K1756)</f>
        <v>12</v>
      </c>
      <c r="M1756">
        <f t="shared" si="54"/>
        <v>92</v>
      </c>
      <c r="N1756">
        <v>0.25</v>
      </c>
      <c r="O1756" s="23" cm="1">
        <f t="array" ref="O1756">WordListCount(K1756,keywords!$A$2:$A$31)-WordListCount(K1756,keywords!$B$2:$B$31)</f>
        <v>0</v>
      </c>
      <c r="P1756" s="25">
        <f t="shared" si="55"/>
        <v>0.73501157407407414</v>
      </c>
      <c r="Q1756" s="23">
        <f>SUM($O$2:O1756)</f>
        <v>43</v>
      </c>
      <c r="Y1756" s="14"/>
      <c r="Z1756" s="13"/>
      <c r="AA1756"/>
    </row>
    <row r="1757" spans="1:27" x14ac:dyDescent="0.2">
      <c r="A1757" s="12" t="s">
        <v>5443</v>
      </c>
      <c r="B1757" t="s">
        <v>5444</v>
      </c>
      <c r="C1757" t="s">
        <v>5445</v>
      </c>
      <c r="D1757" t="s">
        <v>12</v>
      </c>
      <c r="E1757" t="s">
        <v>13</v>
      </c>
      <c r="F1757">
        <v>18</v>
      </c>
      <c r="G1757">
        <v>107</v>
      </c>
      <c r="H1757" s="5" t="s">
        <v>22</v>
      </c>
      <c r="I1757" s="5">
        <v>0</v>
      </c>
      <c r="J1757" s="5">
        <v>0</v>
      </c>
      <c r="K1757" t="s">
        <v>11038</v>
      </c>
      <c r="L1757" cm="1">
        <f t="array" ref="L1757">wordCount(K1757)</f>
        <v>14</v>
      </c>
      <c r="M1757">
        <f t="shared" si="54"/>
        <v>81</v>
      </c>
      <c r="N1757">
        <v>0.33333333333333331</v>
      </c>
      <c r="O1757" s="23" cm="1">
        <f t="array" ref="O1757">WordListCount(K1757,keywords!$A$2:$A$31)-WordListCount(K1757,keywords!$B$2:$B$31)</f>
        <v>0</v>
      </c>
      <c r="P1757" s="25">
        <f t="shared" si="55"/>
        <v>0.73527777777777781</v>
      </c>
      <c r="Q1757" s="23">
        <f>SUM($O$2:O1757)</f>
        <v>43</v>
      </c>
      <c r="Y1757" s="14"/>
      <c r="Z1757" s="13"/>
      <c r="AA1757"/>
    </row>
    <row r="1758" spans="1:27" x14ac:dyDescent="0.2">
      <c r="A1758" s="12" t="s">
        <v>5446</v>
      </c>
      <c r="B1758" t="s">
        <v>5447</v>
      </c>
      <c r="C1758" t="s">
        <v>5448</v>
      </c>
      <c r="D1758" t="s">
        <v>883</v>
      </c>
      <c r="E1758" t="s">
        <v>13</v>
      </c>
      <c r="F1758">
        <v>39</v>
      </c>
      <c r="G1758">
        <v>52</v>
      </c>
      <c r="H1758" s="5" t="s">
        <v>22</v>
      </c>
      <c r="I1758" s="5">
        <v>0</v>
      </c>
      <c r="J1758" s="5">
        <v>0</v>
      </c>
      <c r="K1758" t="s">
        <v>11039</v>
      </c>
      <c r="L1758" cm="1">
        <f t="array" ref="L1758">wordCount(K1758)</f>
        <v>17</v>
      </c>
      <c r="M1758">
        <f t="shared" si="54"/>
        <v>83</v>
      </c>
      <c r="N1758">
        <v>0.46666666666666667</v>
      </c>
      <c r="O1758" s="23" cm="1">
        <f t="array" ref="O1758">WordListCount(K1758,keywords!$A$2:$A$31)-WordListCount(K1758,keywords!$B$2:$B$31)</f>
        <v>0</v>
      </c>
      <c r="P1758" s="25">
        <f t="shared" si="55"/>
        <v>0.7353587962962963</v>
      </c>
      <c r="Q1758" s="23">
        <f>SUM($O$2:O1758)</f>
        <v>43</v>
      </c>
      <c r="Y1758" s="14"/>
      <c r="Z1758" s="13"/>
      <c r="AA1758"/>
    </row>
    <row r="1759" spans="1:27" x14ac:dyDescent="0.2">
      <c r="A1759" s="12" t="s">
        <v>5449</v>
      </c>
      <c r="B1759" t="s">
        <v>5450</v>
      </c>
      <c r="C1759" t="s">
        <v>5451</v>
      </c>
      <c r="D1759" t="s">
        <v>12</v>
      </c>
      <c r="E1759" t="s">
        <v>13</v>
      </c>
      <c r="F1759">
        <v>3182</v>
      </c>
      <c r="G1759">
        <v>4464</v>
      </c>
      <c r="H1759" s="5" t="s">
        <v>22</v>
      </c>
      <c r="I1759" s="5">
        <v>0</v>
      </c>
      <c r="J1759" s="5">
        <v>0</v>
      </c>
      <c r="K1759" t="s">
        <v>11040</v>
      </c>
      <c r="L1759" cm="1">
        <f t="array" ref="L1759">wordCount(K1759)</f>
        <v>17</v>
      </c>
      <c r="M1759">
        <f t="shared" si="54"/>
        <v>84</v>
      </c>
      <c r="N1759">
        <v>0.59375</v>
      </c>
      <c r="O1759" s="23" cm="1">
        <f t="array" ref="O1759">WordListCount(K1759,keywords!$A$2:$A$31)-WordListCount(K1759,keywords!$B$2:$B$31)</f>
        <v>0</v>
      </c>
      <c r="P1759" s="25">
        <f t="shared" si="55"/>
        <v>0.73541666666666661</v>
      </c>
      <c r="Q1759" s="23">
        <f>SUM($O$2:O1759)</f>
        <v>43</v>
      </c>
      <c r="Y1759" s="14"/>
      <c r="Z1759" s="13"/>
      <c r="AA1759"/>
    </row>
    <row r="1760" spans="1:27" x14ac:dyDescent="0.2">
      <c r="A1760" s="12" t="s">
        <v>5452</v>
      </c>
      <c r="B1760" t="s">
        <v>5453</v>
      </c>
      <c r="C1760" t="s">
        <v>5454</v>
      </c>
      <c r="D1760" t="s">
        <v>5455</v>
      </c>
      <c r="E1760" t="s">
        <v>13</v>
      </c>
      <c r="F1760">
        <v>165</v>
      </c>
      <c r="G1760">
        <v>243</v>
      </c>
      <c r="H1760" s="5" t="s">
        <v>22</v>
      </c>
      <c r="I1760" s="5">
        <v>0</v>
      </c>
      <c r="J1760" s="5">
        <v>0</v>
      </c>
      <c r="K1760" t="s">
        <v>11041</v>
      </c>
      <c r="L1760" cm="1">
        <f t="array" ref="L1760">wordCount(K1760)</f>
        <v>22</v>
      </c>
      <c r="M1760">
        <f t="shared" si="54"/>
        <v>108</v>
      </c>
      <c r="N1760">
        <v>0.15789473684210525</v>
      </c>
      <c r="O1760" s="23" cm="1">
        <f t="array" ref="O1760">WordListCount(K1760,keywords!$A$2:$A$31)-WordListCount(K1760,keywords!$B$2:$B$31)</f>
        <v>0</v>
      </c>
      <c r="P1760" s="25">
        <f t="shared" si="55"/>
        <v>0.7359837962962964</v>
      </c>
      <c r="Q1760" s="23">
        <f>SUM($O$2:O1760)</f>
        <v>43</v>
      </c>
      <c r="Y1760" s="14"/>
      <c r="Z1760" s="13"/>
      <c r="AA1760"/>
    </row>
    <row r="1761" spans="1:27" x14ac:dyDescent="0.2">
      <c r="A1761" s="12" t="s">
        <v>5456</v>
      </c>
      <c r="B1761" t="s">
        <v>5457</v>
      </c>
      <c r="C1761" t="s">
        <v>5458</v>
      </c>
      <c r="D1761" t="s">
        <v>5459</v>
      </c>
      <c r="E1761" t="s">
        <v>13</v>
      </c>
      <c r="F1761">
        <v>2142</v>
      </c>
      <c r="G1761">
        <v>2517</v>
      </c>
      <c r="H1761" s="5" t="s">
        <v>22</v>
      </c>
      <c r="I1761" s="5">
        <v>0</v>
      </c>
      <c r="J1761" s="5">
        <v>0</v>
      </c>
      <c r="K1761" t="s">
        <v>9534</v>
      </c>
      <c r="L1761" cm="1">
        <f t="array" ref="L1761">wordCount(K1761)</f>
        <v>9</v>
      </c>
      <c r="M1761">
        <f t="shared" si="54"/>
        <v>50</v>
      </c>
      <c r="N1761">
        <v>0.61111111111111116</v>
      </c>
      <c r="O1761" s="23" cm="1">
        <f t="array" ref="O1761">WordListCount(K1761,keywords!$A$2:$A$31)-WordListCount(K1761,keywords!$B$2:$B$31)</f>
        <v>0</v>
      </c>
      <c r="P1761" s="25">
        <f t="shared" si="55"/>
        <v>0.73603009259259267</v>
      </c>
      <c r="Q1761" s="23">
        <f>SUM($O$2:O1761)</f>
        <v>43</v>
      </c>
      <c r="Y1761" s="14"/>
      <c r="Z1761" s="13"/>
      <c r="AA1761"/>
    </row>
    <row r="1762" spans="1:27" x14ac:dyDescent="0.2">
      <c r="A1762" s="12" t="s">
        <v>5460</v>
      </c>
      <c r="B1762" t="s">
        <v>5461</v>
      </c>
      <c r="C1762" t="s">
        <v>5462</v>
      </c>
      <c r="D1762" t="s">
        <v>5463</v>
      </c>
      <c r="E1762" t="s">
        <v>13</v>
      </c>
      <c r="F1762">
        <v>243</v>
      </c>
      <c r="G1762">
        <v>64</v>
      </c>
      <c r="H1762" s="5" t="s">
        <v>22</v>
      </c>
      <c r="I1762" s="5">
        <v>0</v>
      </c>
      <c r="J1762" s="5">
        <v>0</v>
      </c>
      <c r="K1762" t="s">
        <v>11042</v>
      </c>
      <c r="L1762" cm="1">
        <f t="array" ref="L1762">wordCount(K1762)</f>
        <v>26</v>
      </c>
      <c r="M1762">
        <f t="shared" si="54"/>
        <v>128</v>
      </c>
      <c r="N1762">
        <v>0.4375</v>
      </c>
      <c r="O1762" s="23" cm="1">
        <f t="array" ref="O1762">WordListCount(K1762,keywords!$A$2:$A$31)-WordListCount(K1762,keywords!$B$2:$B$31)</f>
        <v>0</v>
      </c>
      <c r="P1762" s="25">
        <f t="shared" si="55"/>
        <v>0.73612268518518509</v>
      </c>
      <c r="Q1762" s="23">
        <f>SUM($O$2:O1762)</f>
        <v>43</v>
      </c>
      <c r="Y1762" s="14"/>
      <c r="Z1762" s="13"/>
      <c r="AA1762"/>
    </row>
    <row r="1763" spans="1:27" x14ac:dyDescent="0.2">
      <c r="A1763" s="12" t="s">
        <v>5464</v>
      </c>
      <c r="B1763" t="s">
        <v>5465</v>
      </c>
      <c r="C1763" t="s">
        <v>130</v>
      </c>
      <c r="D1763" t="s">
        <v>131</v>
      </c>
      <c r="E1763" t="s">
        <v>13</v>
      </c>
      <c r="F1763">
        <v>93</v>
      </c>
      <c r="G1763">
        <v>202</v>
      </c>
      <c r="H1763" s="5" t="s">
        <v>22</v>
      </c>
      <c r="I1763" s="5">
        <v>0</v>
      </c>
      <c r="J1763" s="5">
        <v>0</v>
      </c>
      <c r="K1763" t="s">
        <v>11043</v>
      </c>
      <c r="L1763" cm="1">
        <f t="array" ref="L1763">wordCount(K1763)</f>
        <v>19</v>
      </c>
      <c r="M1763">
        <f t="shared" si="54"/>
        <v>114</v>
      </c>
      <c r="N1763">
        <v>0.44</v>
      </c>
      <c r="O1763" s="23" cm="1">
        <f t="array" ref="O1763">WordListCount(K1763,keywords!$A$2:$A$31)-WordListCount(K1763,keywords!$B$2:$B$31)</f>
        <v>0</v>
      </c>
      <c r="P1763" s="25">
        <f t="shared" si="55"/>
        <v>0.73629629629629623</v>
      </c>
      <c r="Q1763" s="23">
        <f>SUM($O$2:O1763)</f>
        <v>43</v>
      </c>
      <c r="Y1763" s="14"/>
      <c r="Z1763" s="13"/>
      <c r="AA1763"/>
    </row>
    <row r="1764" spans="1:27" x14ac:dyDescent="0.2">
      <c r="A1764" s="12" t="s">
        <v>5466</v>
      </c>
      <c r="B1764" t="s">
        <v>5467</v>
      </c>
      <c r="C1764" t="s">
        <v>241</v>
      </c>
      <c r="D1764" t="s">
        <v>242</v>
      </c>
      <c r="E1764" t="s">
        <v>13</v>
      </c>
      <c r="F1764">
        <v>9228</v>
      </c>
      <c r="G1764">
        <v>7170</v>
      </c>
      <c r="H1764" s="5" t="s">
        <v>22</v>
      </c>
      <c r="I1764" s="5">
        <v>0</v>
      </c>
      <c r="J1764" s="5">
        <v>0</v>
      </c>
      <c r="K1764" t="s">
        <v>9535</v>
      </c>
      <c r="L1764" cm="1">
        <f t="array" ref="L1764">wordCount(K1764)</f>
        <v>13</v>
      </c>
      <c r="M1764">
        <f t="shared" si="54"/>
        <v>75</v>
      </c>
      <c r="N1764">
        <v>0.2857142857142857</v>
      </c>
      <c r="O1764" s="23" cm="1">
        <f t="array" ref="O1764">WordListCount(K1764,keywords!$A$2:$A$31)-WordListCount(K1764,keywords!$B$2:$B$31)</f>
        <v>0</v>
      </c>
      <c r="P1764" s="25">
        <f t="shared" si="55"/>
        <v>0.73649305555555555</v>
      </c>
      <c r="Q1764" s="23">
        <f>SUM($O$2:O1764)</f>
        <v>43</v>
      </c>
      <c r="Y1764" s="14"/>
      <c r="Z1764" s="13"/>
      <c r="AA1764"/>
    </row>
    <row r="1765" spans="1:27" x14ac:dyDescent="0.2">
      <c r="A1765" s="12" t="s">
        <v>5468</v>
      </c>
      <c r="B1765" t="s">
        <v>5469</v>
      </c>
      <c r="C1765" t="s">
        <v>5470</v>
      </c>
      <c r="D1765" t="s">
        <v>1356</v>
      </c>
      <c r="E1765" t="s">
        <v>13</v>
      </c>
      <c r="F1765">
        <v>0</v>
      </c>
      <c r="G1765">
        <v>33</v>
      </c>
      <c r="H1765" s="5" t="s">
        <v>382</v>
      </c>
      <c r="I1765" s="5">
        <v>0</v>
      </c>
      <c r="J1765" s="5">
        <v>0</v>
      </c>
      <c r="K1765" t="s">
        <v>11044</v>
      </c>
      <c r="L1765" cm="1">
        <f t="array" ref="L1765">wordCount(K1765)</f>
        <v>5</v>
      </c>
      <c r="M1765">
        <f t="shared" si="54"/>
        <v>25</v>
      </c>
      <c r="N1765">
        <v>0.75</v>
      </c>
      <c r="O1765" s="23" cm="1">
        <f t="array" ref="O1765">WordListCount(K1765,keywords!$A$2:$A$31)-WordListCount(K1765,keywords!$B$2:$B$31)</f>
        <v>0</v>
      </c>
      <c r="P1765" s="25">
        <f t="shared" si="55"/>
        <v>0.73652777777777778</v>
      </c>
      <c r="Q1765" s="23">
        <f>SUM($O$2:O1765)</f>
        <v>43</v>
      </c>
      <c r="Y1765" s="14"/>
      <c r="Z1765" s="13"/>
      <c r="AA1765"/>
    </row>
    <row r="1766" spans="1:27" x14ac:dyDescent="0.2">
      <c r="A1766" s="12" t="s">
        <v>5471</v>
      </c>
      <c r="B1766" t="s">
        <v>5472</v>
      </c>
      <c r="C1766" t="s">
        <v>5473</v>
      </c>
      <c r="D1766" t="s">
        <v>5474</v>
      </c>
      <c r="E1766" t="s">
        <v>47</v>
      </c>
      <c r="F1766">
        <v>33554</v>
      </c>
      <c r="G1766">
        <v>84</v>
      </c>
      <c r="H1766" s="5" t="s">
        <v>22</v>
      </c>
      <c r="I1766" s="5">
        <v>0</v>
      </c>
      <c r="J1766" s="5">
        <v>0</v>
      </c>
      <c r="K1766" t="s">
        <v>11045</v>
      </c>
      <c r="L1766" cm="1">
        <f t="array" ref="L1766">wordCount(K1766)</f>
        <v>14</v>
      </c>
      <c r="M1766">
        <f t="shared" si="54"/>
        <v>58</v>
      </c>
      <c r="N1766">
        <v>0.375</v>
      </c>
      <c r="O1766" s="23" cm="1">
        <f t="array" ref="O1766">WordListCount(K1766,keywords!$A$2:$A$31)-WordListCount(K1766,keywords!$B$2:$B$31)</f>
        <v>0</v>
      </c>
      <c r="P1766" s="25">
        <f t="shared" si="55"/>
        <v>0.73659722222222224</v>
      </c>
      <c r="Q1766" s="23">
        <f>SUM($O$2:O1766)</f>
        <v>43</v>
      </c>
      <c r="Y1766" s="14"/>
      <c r="Z1766" s="13"/>
      <c r="AA1766"/>
    </row>
    <row r="1767" spans="1:27" x14ac:dyDescent="0.2">
      <c r="A1767" s="12" t="s">
        <v>5475</v>
      </c>
      <c r="B1767" t="s">
        <v>5476</v>
      </c>
      <c r="C1767" t="s">
        <v>2248</v>
      </c>
      <c r="D1767" t="s">
        <v>2249</v>
      </c>
      <c r="E1767" t="s">
        <v>13</v>
      </c>
      <c r="F1767">
        <v>9754</v>
      </c>
      <c r="G1767">
        <v>399</v>
      </c>
      <c r="H1767" s="5" t="s">
        <v>22</v>
      </c>
      <c r="I1767" s="5">
        <v>0</v>
      </c>
      <c r="J1767" s="5">
        <v>0</v>
      </c>
      <c r="K1767" t="s">
        <v>11046</v>
      </c>
      <c r="L1767" cm="1">
        <f t="array" ref="L1767">wordCount(K1767)</f>
        <v>18</v>
      </c>
      <c r="M1767">
        <f t="shared" si="54"/>
        <v>95</v>
      </c>
      <c r="N1767">
        <v>0.3</v>
      </c>
      <c r="O1767" s="23" cm="1">
        <f t="array" ref="O1767">WordListCount(K1767,keywords!$A$2:$A$31)-WordListCount(K1767,keywords!$B$2:$B$31)</f>
        <v>0</v>
      </c>
      <c r="P1767" s="25">
        <f t="shared" si="55"/>
        <v>0.73664351851851861</v>
      </c>
      <c r="Q1767" s="23">
        <f>SUM($O$2:O1767)</f>
        <v>43</v>
      </c>
      <c r="Y1767" s="14"/>
      <c r="Z1767" s="13"/>
      <c r="AA1767"/>
    </row>
    <row r="1768" spans="1:27" x14ac:dyDescent="0.2">
      <c r="A1768" s="12" t="s">
        <v>5477</v>
      </c>
      <c r="B1768" t="s">
        <v>5478</v>
      </c>
      <c r="C1768" t="s">
        <v>5479</v>
      </c>
      <c r="D1768" t="s">
        <v>5480</v>
      </c>
      <c r="E1768" t="s">
        <v>13</v>
      </c>
      <c r="F1768">
        <v>59</v>
      </c>
      <c r="G1768">
        <v>105</v>
      </c>
      <c r="H1768" s="5" t="s">
        <v>22</v>
      </c>
      <c r="I1768" s="5">
        <v>0</v>
      </c>
      <c r="J1768" s="5">
        <v>0</v>
      </c>
      <c r="K1768" t="s">
        <v>9536</v>
      </c>
      <c r="L1768" cm="1">
        <f t="array" ref="L1768">wordCount(K1768)</f>
        <v>5</v>
      </c>
      <c r="M1768">
        <f t="shared" si="54"/>
        <v>30</v>
      </c>
      <c r="N1768">
        <v>0.76190476190476186</v>
      </c>
      <c r="O1768" s="23" cm="1">
        <f t="array" ref="O1768">WordListCount(K1768,keywords!$A$2:$A$31)-WordListCount(K1768,keywords!$B$2:$B$31)</f>
        <v>0</v>
      </c>
      <c r="P1768" s="25">
        <f t="shared" si="55"/>
        <v>0.73672453703703711</v>
      </c>
      <c r="Q1768" s="23">
        <f>SUM($O$2:O1768)</f>
        <v>43</v>
      </c>
      <c r="Y1768" s="14"/>
      <c r="Z1768" s="13"/>
      <c r="AA1768"/>
    </row>
    <row r="1769" spans="1:27" x14ac:dyDescent="0.2">
      <c r="A1769" s="12" t="s">
        <v>5481</v>
      </c>
      <c r="B1769" t="s">
        <v>5482</v>
      </c>
      <c r="C1769" t="s">
        <v>5161</v>
      </c>
      <c r="D1769" t="s">
        <v>5162</v>
      </c>
      <c r="E1769" t="s">
        <v>13</v>
      </c>
      <c r="F1769">
        <v>129</v>
      </c>
      <c r="G1769">
        <v>603</v>
      </c>
      <c r="H1769" s="5" t="s">
        <v>22</v>
      </c>
      <c r="I1769" s="5">
        <v>0</v>
      </c>
      <c r="J1769" s="5">
        <v>0</v>
      </c>
      <c r="K1769" t="s">
        <v>11047</v>
      </c>
      <c r="L1769" cm="1">
        <f t="array" ref="L1769">wordCount(K1769)</f>
        <v>7</v>
      </c>
      <c r="M1769">
        <f t="shared" si="54"/>
        <v>39</v>
      </c>
      <c r="N1769">
        <v>0.6875</v>
      </c>
      <c r="O1769" s="23" cm="1">
        <f t="array" ref="O1769">WordListCount(K1769,keywords!$A$2:$A$31)-WordListCount(K1769,keywords!$B$2:$B$31)</f>
        <v>0</v>
      </c>
      <c r="P1769" s="25">
        <f t="shared" si="55"/>
        <v>0.73692129629629621</v>
      </c>
      <c r="Q1769" s="23">
        <f>SUM($O$2:O1769)</f>
        <v>43</v>
      </c>
      <c r="Y1769" s="14"/>
      <c r="Z1769" s="13"/>
      <c r="AA1769"/>
    </row>
    <row r="1770" spans="1:27" x14ac:dyDescent="0.2">
      <c r="A1770" s="12" t="s">
        <v>5483</v>
      </c>
      <c r="B1770" t="s">
        <v>5484</v>
      </c>
      <c r="C1770" t="s">
        <v>5485</v>
      </c>
      <c r="D1770" t="s">
        <v>1785</v>
      </c>
      <c r="E1770" t="s">
        <v>13</v>
      </c>
      <c r="F1770">
        <v>10364</v>
      </c>
      <c r="G1770">
        <v>10928</v>
      </c>
      <c r="H1770" s="5" t="s">
        <v>22</v>
      </c>
      <c r="I1770" s="5">
        <v>0</v>
      </c>
      <c r="J1770" s="5">
        <v>0</v>
      </c>
      <c r="K1770" t="s">
        <v>9537</v>
      </c>
      <c r="L1770" cm="1">
        <f t="array" ref="L1770">wordCount(K1770)</f>
        <v>3</v>
      </c>
      <c r="M1770">
        <f t="shared" si="54"/>
        <v>15</v>
      </c>
      <c r="N1770">
        <v>0.81818181818181823</v>
      </c>
      <c r="O1770" s="23" cm="1">
        <f t="array" ref="O1770">WordListCount(K1770,keywords!$A$2:$A$31)-WordListCount(K1770,keywords!$B$2:$B$31)</f>
        <v>0</v>
      </c>
      <c r="P1770" s="25">
        <f t="shared" si="55"/>
        <v>0.73697916666666663</v>
      </c>
      <c r="Q1770" s="23">
        <f>SUM($O$2:O1770)</f>
        <v>43</v>
      </c>
      <c r="Y1770" s="14"/>
      <c r="Z1770" s="13"/>
      <c r="AA1770"/>
    </row>
    <row r="1771" spans="1:27" x14ac:dyDescent="0.2">
      <c r="A1771" s="12" t="s">
        <v>5486</v>
      </c>
      <c r="B1771" t="s">
        <v>5487</v>
      </c>
      <c r="C1771" t="s">
        <v>5488</v>
      </c>
      <c r="D1771" t="s">
        <v>5489</v>
      </c>
      <c r="E1771" t="s">
        <v>13</v>
      </c>
      <c r="F1771">
        <v>613</v>
      </c>
      <c r="G1771">
        <v>255</v>
      </c>
      <c r="H1771" s="5" t="s">
        <v>22</v>
      </c>
      <c r="I1771" s="5">
        <v>0</v>
      </c>
      <c r="J1771" s="5">
        <v>0</v>
      </c>
      <c r="K1771" t="s">
        <v>11048</v>
      </c>
      <c r="L1771" cm="1">
        <f t="array" ref="L1771">wordCount(K1771)</f>
        <v>10</v>
      </c>
      <c r="M1771">
        <f t="shared" si="54"/>
        <v>42</v>
      </c>
      <c r="N1771">
        <v>0.66666666666666663</v>
      </c>
      <c r="O1771" s="23" cm="1">
        <f t="array" ref="O1771">WordListCount(K1771,keywords!$A$2:$A$31)-WordListCount(K1771,keywords!$B$2:$B$31)</f>
        <v>0</v>
      </c>
      <c r="P1771" s="25">
        <f t="shared" si="55"/>
        <v>0.73700231481481471</v>
      </c>
      <c r="Q1771" s="23">
        <f>SUM($O$2:O1771)</f>
        <v>43</v>
      </c>
      <c r="Y1771" s="14"/>
      <c r="Z1771" s="13"/>
      <c r="AA1771"/>
    </row>
    <row r="1772" spans="1:27" x14ac:dyDescent="0.2">
      <c r="A1772" s="12" t="s">
        <v>5490</v>
      </c>
      <c r="B1772" t="s">
        <v>5491</v>
      </c>
      <c r="C1772" t="s">
        <v>396</v>
      </c>
      <c r="D1772" t="s">
        <v>12</v>
      </c>
      <c r="E1772" t="s">
        <v>13</v>
      </c>
      <c r="F1772">
        <v>1438</v>
      </c>
      <c r="G1772">
        <v>29</v>
      </c>
      <c r="H1772" s="5" t="s">
        <v>59</v>
      </c>
      <c r="I1772" s="5">
        <v>0</v>
      </c>
      <c r="J1772" s="5">
        <v>0</v>
      </c>
      <c r="K1772" t="s">
        <v>9538</v>
      </c>
      <c r="L1772" cm="1">
        <f t="array" ref="L1772">wordCount(K1772)</f>
        <v>8</v>
      </c>
      <c r="M1772">
        <f t="shared" si="54"/>
        <v>42</v>
      </c>
      <c r="N1772">
        <v>0.875</v>
      </c>
      <c r="O1772" s="23" cm="1">
        <f t="array" ref="O1772">WordListCount(K1772,keywords!$A$2:$A$31)-WordListCount(K1772,keywords!$B$2:$B$31)</f>
        <v>0</v>
      </c>
      <c r="P1772" s="25">
        <f t="shared" si="55"/>
        <v>0.73706018518518512</v>
      </c>
      <c r="Q1772" s="23">
        <f>SUM($O$2:O1772)</f>
        <v>43</v>
      </c>
      <c r="Y1772" s="14"/>
      <c r="Z1772" s="13"/>
      <c r="AA1772"/>
    </row>
    <row r="1773" spans="1:27" x14ac:dyDescent="0.2">
      <c r="A1773" s="12" t="s">
        <v>5492</v>
      </c>
      <c r="B1773" t="s">
        <v>5494</v>
      </c>
      <c r="C1773" t="s">
        <v>5495</v>
      </c>
      <c r="D1773" t="s">
        <v>12</v>
      </c>
      <c r="E1773" t="s">
        <v>13</v>
      </c>
      <c r="F1773">
        <v>443</v>
      </c>
      <c r="G1773">
        <v>500</v>
      </c>
      <c r="H1773" s="5" t="s">
        <v>22</v>
      </c>
      <c r="I1773" s="5">
        <v>0</v>
      </c>
      <c r="J1773" s="5">
        <v>0</v>
      </c>
      <c r="K1773" t="s">
        <v>9539</v>
      </c>
      <c r="L1773" cm="1">
        <f t="array" ref="L1773">wordCount(K1773)</f>
        <v>19</v>
      </c>
      <c r="M1773">
        <f t="shared" si="54"/>
        <v>101</v>
      </c>
      <c r="N1773">
        <v>0.46153846153846156</v>
      </c>
      <c r="O1773" s="23" cm="1">
        <f t="array" ref="O1773">WordListCount(K1773,keywords!$A$2:$A$31)-WordListCount(K1773,keywords!$B$2:$B$31)</f>
        <v>0</v>
      </c>
      <c r="P1773" s="25">
        <f t="shared" si="55"/>
        <v>0.73714120370370362</v>
      </c>
      <c r="Q1773" s="23">
        <f>SUM($O$2:O1773)</f>
        <v>43</v>
      </c>
      <c r="Y1773" s="14"/>
      <c r="Z1773" s="13"/>
      <c r="AA1773"/>
    </row>
    <row r="1774" spans="1:27" x14ac:dyDescent="0.2">
      <c r="A1774" s="12" t="s">
        <v>5492</v>
      </c>
      <c r="B1774" t="s">
        <v>5493</v>
      </c>
      <c r="C1774" t="s">
        <v>381</v>
      </c>
      <c r="D1774" t="s">
        <v>12</v>
      </c>
      <c r="E1774" t="s">
        <v>13</v>
      </c>
      <c r="F1774">
        <v>6</v>
      </c>
      <c r="G1774">
        <v>91</v>
      </c>
      <c r="H1774" s="5" t="s">
        <v>382</v>
      </c>
      <c r="I1774" s="5">
        <v>0</v>
      </c>
      <c r="J1774" s="5">
        <v>0</v>
      </c>
      <c r="K1774" t="s">
        <v>9046</v>
      </c>
      <c r="L1774" cm="1">
        <f t="array" ref="L1774">wordCount(K1774)</f>
        <v>2</v>
      </c>
      <c r="M1774">
        <f t="shared" si="54"/>
        <v>12</v>
      </c>
      <c r="N1774">
        <v>0.66666666666666663</v>
      </c>
      <c r="O1774" s="23" cm="1">
        <f t="array" ref="O1774">WordListCount(K1774,keywords!$A$2:$A$31)-WordListCount(K1774,keywords!$B$2:$B$31)</f>
        <v>0</v>
      </c>
      <c r="P1774" s="25">
        <f t="shared" si="55"/>
        <v>0.73714120370370362</v>
      </c>
      <c r="Q1774" s="23">
        <f>SUM($O$2:O1774)</f>
        <v>43</v>
      </c>
      <c r="Y1774" s="14"/>
      <c r="Z1774" s="13"/>
      <c r="AA1774"/>
    </row>
    <row r="1775" spans="1:27" x14ac:dyDescent="0.2">
      <c r="A1775" s="12" t="s">
        <v>5496</v>
      </c>
      <c r="B1775" t="s">
        <v>5497</v>
      </c>
      <c r="C1775" t="s">
        <v>5498</v>
      </c>
      <c r="D1775" t="s">
        <v>12</v>
      </c>
      <c r="E1775" t="s">
        <v>13</v>
      </c>
      <c r="F1775">
        <v>2503</v>
      </c>
      <c r="G1775">
        <v>988</v>
      </c>
      <c r="H1775" s="5" t="s">
        <v>22</v>
      </c>
      <c r="I1775" s="5">
        <v>0</v>
      </c>
      <c r="J1775" s="5">
        <v>0</v>
      </c>
      <c r="K1775" t="s">
        <v>9540</v>
      </c>
      <c r="L1775" cm="1">
        <f t="array" ref="L1775">wordCount(K1775)</f>
        <v>11</v>
      </c>
      <c r="M1775">
        <f t="shared" si="54"/>
        <v>67</v>
      </c>
      <c r="N1775">
        <v>0.35714285714285715</v>
      </c>
      <c r="O1775" s="23" cm="1">
        <f t="array" ref="O1775">WordListCount(K1775,keywords!$A$2:$A$31)-WordListCount(K1775,keywords!$B$2:$B$31)</f>
        <v>0</v>
      </c>
      <c r="P1775" s="25">
        <f t="shared" si="55"/>
        <v>0.73736111111111102</v>
      </c>
      <c r="Q1775" s="23">
        <f>SUM($O$2:O1775)</f>
        <v>43</v>
      </c>
      <c r="Y1775" s="14"/>
      <c r="Z1775" s="13"/>
      <c r="AA1775"/>
    </row>
    <row r="1776" spans="1:27" x14ac:dyDescent="0.2">
      <c r="A1776" s="12" t="s">
        <v>5499</v>
      </c>
      <c r="B1776" t="s">
        <v>5500</v>
      </c>
      <c r="C1776" t="s">
        <v>5501</v>
      </c>
      <c r="D1776" t="s">
        <v>5502</v>
      </c>
      <c r="E1776" t="s">
        <v>13</v>
      </c>
      <c r="F1776">
        <v>3</v>
      </c>
      <c r="G1776">
        <v>5</v>
      </c>
      <c r="H1776" s="5" t="s">
        <v>22</v>
      </c>
      <c r="I1776" s="5">
        <v>0</v>
      </c>
      <c r="J1776" s="5">
        <v>0</v>
      </c>
      <c r="K1776" t="s">
        <v>11049</v>
      </c>
      <c r="L1776" cm="1">
        <f t="array" ref="L1776">wordCount(K1776)</f>
        <v>19</v>
      </c>
      <c r="M1776">
        <f t="shared" si="54"/>
        <v>95</v>
      </c>
      <c r="N1776">
        <v>0.61290322580645162</v>
      </c>
      <c r="O1776" s="23" cm="1">
        <f t="array" ref="O1776">WordListCount(K1776,keywords!$A$2:$A$31)-WordListCount(K1776,keywords!$B$2:$B$31)</f>
        <v>0</v>
      </c>
      <c r="P1776" s="25">
        <f t="shared" si="55"/>
        <v>0.73743055555555559</v>
      </c>
      <c r="Q1776" s="23">
        <f>SUM($O$2:O1776)</f>
        <v>43</v>
      </c>
      <c r="Y1776" s="14"/>
      <c r="Z1776" s="13"/>
      <c r="AA1776"/>
    </row>
    <row r="1777" spans="1:27" x14ac:dyDescent="0.2">
      <c r="A1777" s="12" t="s">
        <v>5503</v>
      </c>
      <c r="B1777" t="s">
        <v>5504</v>
      </c>
      <c r="C1777" t="s">
        <v>5505</v>
      </c>
      <c r="D1777" t="s">
        <v>12</v>
      </c>
      <c r="E1777" t="s">
        <v>13</v>
      </c>
      <c r="F1777">
        <v>276</v>
      </c>
      <c r="G1777">
        <v>503</v>
      </c>
      <c r="H1777" s="5" t="s">
        <v>22</v>
      </c>
      <c r="I1777" s="5">
        <v>0</v>
      </c>
      <c r="J1777" s="5">
        <v>0</v>
      </c>
      <c r="K1777" t="s">
        <v>11050</v>
      </c>
      <c r="L1777" cm="1">
        <f t="array" ref="L1777">wordCount(K1777)</f>
        <v>15</v>
      </c>
      <c r="M1777">
        <f t="shared" si="54"/>
        <v>63</v>
      </c>
      <c r="N1777">
        <v>0.6333333333333333</v>
      </c>
      <c r="O1777" s="23" cm="1">
        <f t="array" ref="O1777">WordListCount(K1777,keywords!$A$2:$A$31)-WordListCount(K1777,keywords!$B$2:$B$31)</f>
        <v>-1</v>
      </c>
      <c r="P1777" s="25">
        <f t="shared" si="55"/>
        <v>0.73765046296296299</v>
      </c>
      <c r="Q1777" s="23">
        <f>SUM($O$2:O1777)</f>
        <v>42</v>
      </c>
      <c r="Y1777" s="14"/>
      <c r="Z1777" s="13"/>
      <c r="AA1777"/>
    </row>
    <row r="1778" spans="1:27" x14ac:dyDescent="0.2">
      <c r="A1778" s="12" t="s">
        <v>5506</v>
      </c>
      <c r="B1778" t="s">
        <v>5507</v>
      </c>
      <c r="C1778" t="s">
        <v>241</v>
      </c>
      <c r="D1778" t="s">
        <v>242</v>
      </c>
      <c r="E1778" t="s">
        <v>13</v>
      </c>
      <c r="F1778">
        <v>9228</v>
      </c>
      <c r="G1778">
        <v>7170</v>
      </c>
      <c r="H1778" s="5" t="s">
        <v>22</v>
      </c>
      <c r="I1778" s="5">
        <v>0</v>
      </c>
      <c r="J1778" s="5">
        <v>0</v>
      </c>
      <c r="K1778" t="s">
        <v>9541</v>
      </c>
      <c r="L1778" cm="1">
        <f t="array" ref="L1778">wordCount(K1778)</f>
        <v>21</v>
      </c>
      <c r="M1778">
        <f t="shared" si="54"/>
        <v>111</v>
      </c>
      <c r="N1778">
        <v>0.63636363636363635</v>
      </c>
      <c r="O1778" s="23" cm="1">
        <f t="array" ref="O1778">WordListCount(K1778,keywords!$A$2:$A$31)-WordListCount(K1778,keywords!$B$2:$B$31)</f>
        <v>0</v>
      </c>
      <c r="P1778" s="25">
        <f t="shared" si="55"/>
        <v>0.73774305555555564</v>
      </c>
      <c r="Q1778" s="23">
        <f>SUM($O$2:O1778)</f>
        <v>42</v>
      </c>
      <c r="Y1778" s="14"/>
      <c r="Z1778" s="13"/>
      <c r="AA1778"/>
    </row>
    <row r="1779" spans="1:27" x14ac:dyDescent="0.2">
      <c r="A1779" s="12" t="s">
        <v>5508</v>
      </c>
      <c r="B1779" t="s">
        <v>5509</v>
      </c>
      <c r="C1779" t="s">
        <v>5440</v>
      </c>
      <c r="D1779" t="s">
        <v>12</v>
      </c>
      <c r="E1779" t="s">
        <v>13</v>
      </c>
      <c r="F1779">
        <v>354</v>
      </c>
      <c r="G1779">
        <v>384</v>
      </c>
      <c r="H1779" s="5" t="s">
        <v>22</v>
      </c>
      <c r="I1779" s="5">
        <v>0</v>
      </c>
      <c r="J1779" s="5">
        <v>0</v>
      </c>
      <c r="K1779" t="s">
        <v>11051</v>
      </c>
      <c r="L1779" cm="1">
        <f t="array" ref="L1779">wordCount(K1779)</f>
        <v>14</v>
      </c>
      <c r="M1779">
        <f t="shared" si="54"/>
        <v>78</v>
      </c>
      <c r="N1779">
        <v>0.5</v>
      </c>
      <c r="O1779" s="23" cm="1">
        <f t="array" ref="O1779">WordListCount(K1779,keywords!$A$2:$A$31)-WordListCount(K1779,keywords!$B$2:$B$31)</f>
        <v>0</v>
      </c>
      <c r="P1779" s="25">
        <f t="shared" si="55"/>
        <v>0.73782407407407413</v>
      </c>
      <c r="Q1779" s="23">
        <f>SUM($O$2:O1779)</f>
        <v>42</v>
      </c>
      <c r="Y1779" s="14"/>
      <c r="Z1779" s="13"/>
      <c r="AA1779"/>
    </row>
    <row r="1780" spans="1:27" x14ac:dyDescent="0.2">
      <c r="A1780" s="12" t="s">
        <v>5510</v>
      </c>
      <c r="B1780" t="s">
        <v>5511</v>
      </c>
      <c r="C1780" t="s">
        <v>5512</v>
      </c>
      <c r="D1780" t="s">
        <v>5513</v>
      </c>
      <c r="E1780" t="s">
        <v>13</v>
      </c>
      <c r="F1780">
        <v>425</v>
      </c>
      <c r="G1780">
        <v>330</v>
      </c>
      <c r="H1780" s="5" t="s">
        <v>22</v>
      </c>
      <c r="I1780" s="5">
        <v>0</v>
      </c>
      <c r="J1780" s="5">
        <v>0</v>
      </c>
      <c r="K1780" t="s">
        <v>11052</v>
      </c>
      <c r="L1780" cm="1">
        <f t="array" ref="L1780">wordCount(K1780)</f>
        <v>12</v>
      </c>
      <c r="M1780">
        <f t="shared" si="54"/>
        <v>60</v>
      </c>
      <c r="N1780">
        <v>0.25</v>
      </c>
      <c r="O1780" s="23" cm="1">
        <f t="array" ref="O1780">WordListCount(K1780,keywords!$A$2:$A$31)-WordListCount(K1780,keywords!$B$2:$B$31)</f>
        <v>0</v>
      </c>
      <c r="P1780" s="25">
        <f t="shared" si="55"/>
        <v>0.73803240740740739</v>
      </c>
      <c r="Q1780" s="23">
        <f>SUM($O$2:O1780)</f>
        <v>42</v>
      </c>
      <c r="Y1780" s="14"/>
      <c r="Z1780" s="13"/>
      <c r="AA1780"/>
    </row>
    <row r="1781" spans="1:27" x14ac:dyDescent="0.2">
      <c r="A1781" s="12" t="s">
        <v>5514</v>
      </c>
      <c r="B1781" t="s">
        <v>5515</v>
      </c>
      <c r="C1781" t="s">
        <v>5516</v>
      </c>
      <c r="D1781" t="s">
        <v>4481</v>
      </c>
      <c r="E1781" t="s">
        <v>13</v>
      </c>
      <c r="F1781">
        <v>62</v>
      </c>
      <c r="G1781">
        <v>231</v>
      </c>
      <c r="H1781" s="5" t="s">
        <v>22</v>
      </c>
      <c r="I1781" s="5">
        <v>0</v>
      </c>
      <c r="J1781" s="5">
        <v>0</v>
      </c>
      <c r="K1781" t="s">
        <v>11053</v>
      </c>
      <c r="L1781" cm="1">
        <f t="array" ref="L1781">wordCount(K1781)</f>
        <v>24</v>
      </c>
      <c r="M1781">
        <f t="shared" si="54"/>
        <v>122</v>
      </c>
      <c r="N1781">
        <v>0.18518518518518517</v>
      </c>
      <c r="O1781" s="23" cm="1">
        <f t="array" ref="O1781">WordListCount(K1781,keywords!$A$2:$A$31)-WordListCount(K1781,keywords!$B$2:$B$31)</f>
        <v>0</v>
      </c>
      <c r="P1781" s="25">
        <f t="shared" si="55"/>
        <v>0.73810185185185195</v>
      </c>
      <c r="Q1781" s="23">
        <f>SUM($O$2:O1781)</f>
        <v>42</v>
      </c>
      <c r="Y1781" s="14"/>
      <c r="Z1781" s="13"/>
      <c r="AA1781"/>
    </row>
    <row r="1782" spans="1:27" x14ac:dyDescent="0.2">
      <c r="A1782" s="12" t="s">
        <v>5517</v>
      </c>
      <c r="B1782" t="s">
        <v>5518</v>
      </c>
      <c r="C1782" t="s">
        <v>5519</v>
      </c>
      <c r="D1782" t="s">
        <v>5520</v>
      </c>
      <c r="E1782" t="s">
        <v>13</v>
      </c>
      <c r="F1782">
        <v>5476</v>
      </c>
      <c r="G1782">
        <v>98</v>
      </c>
      <c r="H1782" s="5" t="s">
        <v>22</v>
      </c>
      <c r="I1782" s="5">
        <v>0</v>
      </c>
      <c r="J1782" s="5">
        <v>0</v>
      </c>
      <c r="K1782" t="s">
        <v>11054</v>
      </c>
      <c r="L1782" cm="1">
        <f t="array" ref="L1782">wordCount(K1782)</f>
        <v>6</v>
      </c>
      <c r="M1782">
        <f t="shared" si="54"/>
        <v>17</v>
      </c>
      <c r="N1782">
        <v>0.875</v>
      </c>
      <c r="O1782" s="23" cm="1">
        <f t="array" ref="O1782">WordListCount(K1782,keywords!$A$2:$A$31)-WordListCount(K1782,keywords!$B$2:$B$31)</f>
        <v>0</v>
      </c>
      <c r="P1782" s="25">
        <f t="shared" si="55"/>
        <v>0.73850694444444442</v>
      </c>
      <c r="Q1782" s="23">
        <f>SUM($O$2:O1782)</f>
        <v>42</v>
      </c>
      <c r="Y1782" s="14"/>
      <c r="Z1782" s="13"/>
      <c r="AA1782"/>
    </row>
    <row r="1783" spans="1:27" x14ac:dyDescent="0.2">
      <c r="A1783" s="12" t="s">
        <v>5521</v>
      </c>
      <c r="B1783" t="s">
        <v>5522</v>
      </c>
      <c r="C1783" t="s">
        <v>5523</v>
      </c>
      <c r="D1783" t="s">
        <v>5524</v>
      </c>
      <c r="E1783" t="s">
        <v>13</v>
      </c>
      <c r="F1783">
        <v>17</v>
      </c>
      <c r="G1783">
        <v>72</v>
      </c>
      <c r="H1783" s="5" t="s">
        <v>125</v>
      </c>
      <c r="I1783" s="5">
        <v>0</v>
      </c>
      <c r="J1783" s="5">
        <v>0</v>
      </c>
      <c r="K1783" t="s">
        <v>9542</v>
      </c>
      <c r="L1783" cm="1">
        <f t="array" ref="L1783">wordCount(K1783)</f>
        <v>5</v>
      </c>
      <c r="M1783">
        <f t="shared" si="54"/>
        <v>21</v>
      </c>
      <c r="N1783">
        <v>0.89473684210526316</v>
      </c>
      <c r="O1783" s="23" cm="1">
        <f t="array" ref="O1783">WordListCount(K1783,keywords!$A$2:$A$31)-WordListCount(K1783,keywords!$B$2:$B$31)</f>
        <v>0</v>
      </c>
      <c r="P1783" s="25">
        <f t="shared" si="55"/>
        <v>0.7386921296296296</v>
      </c>
      <c r="Q1783" s="23">
        <f>SUM($O$2:O1783)</f>
        <v>42</v>
      </c>
      <c r="Y1783" s="14"/>
      <c r="Z1783" s="13"/>
      <c r="AA1783"/>
    </row>
    <row r="1784" spans="1:27" x14ac:dyDescent="0.2">
      <c r="A1784" s="12" t="s">
        <v>5525</v>
      </c>
      <c r="B1784" t="s">
        <v>5526</v>
      </c>
      <c r="C1784" t="s">
        <v>5527</v>
      </c>
      <c r="D1784" t="s">
        <v>5345</v>
      </c>
      <c r="E1784" t="s">
        <v>13</v>
      </c>
      <c r="F1784">
        <v>174</v>
      </c>
      <c r="G1784">
        <v>240</v>
      </c>
      <c r="H1784" s="5" t="s">
        <v>22</v>
      </c>
      <c r="I1784" s="5">
        <v>0</v>
      </c>
      <c r="J1784" s="5">
        <v>0</v>
      </c>
      <c r="K1784" t="s">
        <v>11055</v>
      </c>
      <c r="L1784" cm="1">
        <f t="array" ref="L1784">wordCount(K1784)</f>
        <v>5</v>
      </c>
      <c r="M1784">
        <f t="shared" si="54"/>
        <v>19</v>
      </c>
      <c r="N1784">
        <v>0.84</v>
      </c>
      <c r="O1784" s="23" cm="1">
        <f t="array" ref="O1784">WordListCount(K1784,keywords!$A$2:$A$31)-WordListCount(K1784,keywords!$B$2:$B$31)</f>
        <v>0</v>
      </c>
      <c r="P1784" s="25">
        <f t="shared" si="55"/>
        <v>0.73879629629629628</v>
      </c>
      <c r="Q1784" s="23">
        <f>SUM($O$2:O1784)</f>
        <v>42</v>
      </c>
      <c r="Y1784" s="14"/>
      <c r="Z1784" s="13"/>
      <c r="AA1784"/>
    </row>
    <row r="1785" spans="1:27" x14ac:dyDescent="0.2">
      <c r="A1785" s="12" t="s">
        <v>5528</v>
      </c>
      <c r="B1785" t="s">
        <v>5529</v>
      </c>
      <c r="C1785" t="s">
        <v>5530</v>
      </c>
      <c r="D1785" t="s">
        <v>5531</v>
      </c>
      <c r="E1785" t="s">
        <v>13</v>
      </c>
      <c r="F1785">
        <v>516</v>
      </c>
      <c r="G1785">
        <v>367</v>
      </c>
      <c r="H1785" s="5" t="s">
        <v>393</v>
      </c>
      <c r="I1785" s="5">
        <v>0</v>
      </c>
      <c r="J1785" s="5">
        <v>0</v>
      </c>
      <c r="K1785" t="s">
        <v>9543</v>
      </c>
      <c r="L1785" cm="1">
        <f t="array" ref="L1785">wordCount(K1785)</f>
        <v>4</v>
      </c>
      <c r="M1785">
        <f t="shared" si="54"/>
        <v>19</v>
      </c>
      <c r="N1785">
        <v>0.6</v>
      </c>
      <c r="O1785" s="23" cm="1">
        <f t="array" ref="O1785">WordListCount(K1785,keywords!$A$2:$A$31)-WordListCount(K1785,keywords!$B$2:$B$31)</f>
        <v>0</v>
      </c>
      <c r="P1785" s="25">
        <f t="shared" si="55"/>
        <v>0.7388541666666667</v>
      </c>
      <c r="Q1785" s="23">
        <f>SUM($O$2:O1785)</f>
        <v>42</v>
      </c>
      <c r="Y1785" s="14"/>
      <c r="Z1785" s="13"/>
      <c r="AA1785"/>
    </row>
    <row r="1786" spans="1:27" x14ac:dyDescent="0.2">
      <c r="A1786" s="12" t="s">
        <v>5532</v>
      </c>
      <c r="B1786" t="s">
        <v>5533</v>
      </c>
      <c r="C1786" t="s">
        <v>5534</v>
      </c>
      <c r="D1786" t="s">
        <v>12</v>
      </c>
      <c r="E1786" t="s">
        <v>13</v>
      </c>
      <c r="F1786">
        <v>19</v>
      </c>
      <c r="G1786">
        <v>181</v>
      </c>
      <c r="H1786" s="5" t="s">
        <v>22</v>
      </c>
      <c r="I1786" s="5">
        <v>0</v>
      </c>
      <c r="J1786" s="5">
        <v>0</v>
      </c>
      <c r="K1786" t="s">
        <v>11056</v>
      </c>
      <c r="L1786" cm="1">
        <f t="array" ref="L1786">wordCount(K1786)</f>
        <v>24</v>
      </c>
      <c r="M1786">
        <f t="shared" si="54"/>
        <v>112</v>
      </c>
      <c r="N1786">
        <v>0.42307692307692307</v>
      </c>
      <c r="O1786" s="23" cm="1">
        <f t="array" ref="O1786">WordListCount(K1786,keywords!$A$2:$A$31)-WordListCount(K1786,keywords!$B$2:$B$31)</f>
        <v>0</v>
      </c>
      <c r="P1786" s="25">
        <f t="shared" si="55"/>
        <v>0.73913194444444441</v>
      </c>
      <c r="Q1786" s="23">
        <f>SUM($O$2:O1786)</f>
        <v>42</v>
      </c>
      <c r="Y1786" s="14"/>
      <c r="Z1786" s="13"/>
      <c r="AA1786"/>
    </row>
    <row r="1787" spans="1:27" x14ac:dyDescent="0.2">
      <c r="A1787" s="12" t="s">
        <v>5535</v>
      </c>
      <c r="B1787" t="s">
        <v>5536</v>
      </c>
      <c r="C1787" t="s">
        <v>3745</v>
      </c>
      <c r="D1787" t="s">
        <v>12</v>
      </c>
      <c r="E1787" t="s">
        <v>13</v>
      </c>
      <c r="F1787">
        <v>118</v>
      </c>
      <c r="G1787">
        <v>384</v>
      </c>
      <c r="H1787" s="5" t="s">
        <v>22</v>
      </c>
      <c r="I1787" s="5">
        <v>0</v>
      </c>
      <c r="J1787" s="5">
        <v>0</v>
      </c>
      <c r="K1787" t="s">
        <v>11057</v>
      </c>
      <c r="L1787" cm="1">
        <f t="array" ref="L1787">wordCount(K1787)</f>
        <v>15</v>
      </c>
      <c r="M1787">
        <f t="shared" si="54"/>
        <v>84</v>
      </c>
      <c r="N1787">
        <v>0.7857142857142857</v>
      </c>
      <c r="O1787" s="23" cm="1">
        <f t="array" ref="O1787">WordListCount(K1787,keywords!$A$2:$A$31)-WordListCount(K1787,keywords!$B$2:$B$31)</f>
        <v>0</v>
      </c>
      <c r="P1787" s="25">
        <f t="shared" si="55"/>
        <v>0.73923611111111109</v>
      </c>
      <c r="Q1787" s="23">
        <f>SUM($O$2:O1787)</f>
        <v>42</v>
      </c>
      <c r="Y1787" s="14"/>
      <c r="Z1787" s="13"/>
      <c r="AA1787"/>
    </row>
    <row r="1788" spans="1:27" x14ac:dyDescent="0.2">
      <c r="A1788" s="12" t="s">
        <v>5537</v>
      </c>
      <c r="B1788" t="s">
        <v>5538</v>
      </c>
      <c r="C1788" t="s">
        <v>5473</v>
      </c>
      <c r="D1788" t="s">
        <v>5474</v>
      </c>
      <c r="E1788" t="s">
        <v>47</v>
      </c>
      <c r="F1788">
        <v>33554</v>
      </c>
      <c r="G1788">
        <v>84</v>
      </c>
      <c r="H1788" s="5" t="s">
        <v>22</v>
      </c>
      <c r="I1788" s="5">
        <v>0</v>
      </c>
      <c r="J1788" s="5">
        <v>0</v>
      </c>
      <c r="K1788" t="s">
        <v>11058</v>
      </c>
      <c r="L1788" cm="1">
        <f t="array" ref="L1788">wordCount(K1788)</f>
        <v>13</v>
      </c>
      <c r="M1788">
        <f t="shared" si="54"/>
        <v>65</v>
      </c>
      <c r="N1788">
        <v>0.375</v>
      </c>
      <c r="O1788" s="23" cm="1">
        <f t="array" ref="O1788">WordListCount(K1788,keywords!$A$2:$A$31)-WordListCount(K1788,keywords!$B$2:$B$31)</f>
        <v>0</v>
      </c>
      <c r="P1788" s="25">
        <f t="shared" si="55"/>
        <v>0.73931712962962959</v>
      </c>
      <c r="Q1788" s="23">
        <f>SUM($O$2:O1788)</f>
        <v>42</v>
      </c>
      <c r="Y1788" s="14"/>
      <c r="Z1788" s="13"/>
      <c r="AA1788"/>
    </row>
    <row r="1789" spans="1:27" x14ac:dyDescent="0.2">
      <c r="A1789" s="12" t="s">
        <v>5539</v>
      </c>
      <c r="B1789" t="s">
        <v>5540</v>
      </c>
      <c r="C1789" t="s">
        <v>5382</v>
      </c>
      <c r="D1789" t="s">
        <v>5383</v>
      </c>
      <c r="E1789" t="s">
        <v>13</v>
      </c>
      <c r="F1789">
        <v>1066</v>
      </c>
      <c r="G1789">
        <v>1715</v>
      </c>
      <c r="H1789" s="5" t="s">
        <v>22</v>
      </c>
      <c r="I1789" s="5">
        <v>0</v>
      </c>
      <c r="J1789" s="5">
        <v>0</v>
      </c>
      <c r="K1789" t="s">
        <v>11059</v>
      </c>
      <c r="L1789" cm="1">
        <f t="array" ref="L1789">wordCount(K1789)</f>
        <v>23</v>
      </c>
      <c r="M1789">
        <f t="shared" si="54"/>
        <v>126</v>
      </c>
      <c r="N1789">
        <v>0.6470588235294118</v>
      </c>
      <c r="O1789" s="23" cm="1">
        <f t="array" ref="O1789">WordListCount(K1789,keywords!$A$2:$A$31)-WordListCount(K1789,keywords!$B$2:$B$31)</f>
        <v>0</v>
      </c>
      <c r="P1789" s="25">
        <f t="shared" si="55"/>
        <v>0.73938657407407404</v>
      </c>
      <c r="Q1789" s="23">
        <f>SUM($O$2:O1789)</f>
        <v>42</v>
      </c>
      <c r="Y1789" s="14"/>
      <c r="Z1789" s="13"/>
      <c r="AA1789"/>
    </row>
    <row r="1790" spans="1:27" x14ac:dyDescent="0.2">
      <c r="A1790" s="12" t="s">
        <v>5541</v>
      </c>
      <c r="B1790" t="s">
        <v>5542</v>
      </c>
      <c r="C1790" t="s">
        <v>429</v>
      </c>
      <c r="D1790" t="s">
        <v>430</v>
      </c>
      <c r="E1790" t="s">
        <v>13</v>
      </c>
      <c r="F1790">
        <v>1662</v>
      </c>
      <c r="G1790">
        <v>1478</v>
      </c>
      <c r="H1790" s="5" t="s">
        <v>22</v>
      </c>
      <c r="I1790" s="5">
        <v>0</v>
      </c>
      <c r="J1790" s="5">
        <v>0</v>
      </c>
      <c r="K1790" t="s">
        <v>11060</v>
      </c>
      <c r="L1790" cm="1">
        <f t="array" ref="L1790">wordCount(K1790)</f>
        <v>9</v>
      </c>
      <c r="M1790">
        <f t="shared" si="54"/>
        <v>64</v>
      </c>
      <c r="N1790">
        <v>0.8</v>
      </c>
      <c r="O1790" s="23" cm="1">
        <f t="array" ref="O1790">WordListCount(K1790,keywords!$A$2:$A$31)-WordListCount(K1790,keywords!$B$2:$B$31)</f>
        <v>0</v>
      </c>
      <c r="P1790" s="25">
        <f t="shared" si="55"/>
        <v>0.73960648148148145</v>
      </c>
      <c r="Q1790" s="23">
        <f>SUM($O$2:O1790)</f>
        <v>42</v>
      </c>
      <c r="Y1790" s="14"/>
      <c r="Z1790" s="13"/>
      <c r="AA1790"/>
    </row>
    <row r="1791" spans="1:27" x14ac:dyDescent="0.2">
      <c r="A1791" s="12" t="s">
        <v>5543</v>
      </c>
      <c r="B1791" t="s">
        <v>5544</v>
      </c>
      <c r="C1791" t="s">
        <v>5545</v>
      </c>
      <c r="D1791" t="s">
        <v>12</v>
      </c>
      <c r="E1791" t="s">
        <v>13</v>
      </c>
      <c r="F1791">
        <v>201</v>
      </c>
      <c r="G1791">
        <v>266</v>
      </c>
      <c r="H1791" s="5" t="s">
        <v>22</v>
      </c>
      <c r="I1791" s="5">
        <v>0</v>
      </c>
      <c r="J1791" s="5">
        <v>0</v>
      </c>
      <c r="K1791" t="s">
        <v>9544</v>
      </c>
      <c r="L1791" cm="1">
        <f t="array" ref="L1791">wordCount(K1791)</f>
        <v>4</v>
      </c>
      <c r="M1791">
        <f t="shared" si="54"/>
        <v>21</v>
      </c>
      <c r="N1791">
        <v>0.5</v>
      </c>
      <c r="O1791" s="23" cm="1">
        <f t="array" ref="O1791">WordListCount(K1791,keywords!$A$2:$A$31)-WordListCount(K1791,keywords!$B$2:$B$31)</f>
        <v>1</v>
      </c>
      <c r="P1791" s="25">
        <f t="shared" si="55"/>
        <v>0.73969907407407398</v>
      </c>
      <c r="Q1791" s="23">
        <f>SUM($O$2:O1791)</f>
        <v>43</v>
      </c>
      <c r="Y1791" s="14"/>
      <c r="Z1791" s="13"/>
      <c r="AA1791"/>
    </row>
    <row r="1792" spans="1:27" x14ac:dyDescent="0.2">
      <c r="A1792" s="12" t="s">
        <v>5546</v>
      </c>
      <c r="B1792" t="s">
        <v>5547</v>
      </c>
      <c r="C1792" t="s">
        <v>5548</v>
      </c>
      <c r="D1792" t="s">
        <v>2814</v>
      </c>
      <c r="E1792" t="s">
        <v>13</v>
      </c>
      <c r="F1792">
        <v>2205</v>
      </c>
      <c r="G1792">
        <v>1079</v>
      </c>
      <c r="H1792" s="5" t="s">
        <v>22</v>
      </c>
      <c r="I1792" s="5">
        <v>0</v>
      </c>
      <c r="J1792" s="5">
        <v>0</v>
      </c>
      <c r="K1792" t="s">
        <v>11061</v>
      </c>
      <c r="L1792" cm="1">
        <f t="array" ref="L1792">wordCount(K1792)</f>
        <v>20</v>
      </c>
      <c r="M1792">
        <f t="shared" si="54"/>
        <v>108</v>
      </c>
      <c r="N1792">
        <v>0.4375</v>
      </c>
      <c r="O1792" s="23" cm="1">
        <f t="array" ref="O1792">WordListCount(K1792,keywords!$A$2:$A$31)-WordListCount(K1792,keywords!$B$2:$B$31)</f>
        <v>0</v>
      </c>
      <c r="P1792" s="25">
        <f t="shared" si="55"/>
        <v>0.73982638888888896</v>
      </c>
      <c r="Q1792" s="23">
        <f>SUM($O$2:O1792)</f>
        <v>43</v>
      </c>
      <c r="Y1792" s="14"/>
      <c r="Z1792" s="13"/>
      <c r="AA1792"/>
    </row>
    <row r="1793" spans="1:27" x14ac:dyDescent="0.2">
      <c r="A1793" s="12" t="s">
        <v>5549</v>
      </c>
      <c r="B1793" t="s">
        <v>5550</v>
      </c>
      <c r="C1793" t="s">
        <v>5551</v>
      </c>
      <c r="D1793" t="s">
        <v>445</v>
      </c>
      <c r="E1793" t="s">
        <v>13</v>
      </c>
      <c r="F1793">
        <v>211</v>
      </c>
      <c r="G1793">
        <v>393</v>
      </c>
      <c r="H1793" s="5" t="s">
        <v>22</v>
      </c>
      <c r="I1793" s="5">
        <v>0</v>
      </c>
      <c r="J1793" s="5">
        <v>0</v>
      </c>
      <c r="K1793" t="s">
        <v>11062</v>
      </c>
      <c r="L1793" cm="1">
        <f t="array" ref="L1793">wordCount(K1793)</f>
        <v>22</v>
      </c>
      <c r="M1793">
        <f t="shared" si="54"/>
        <v>116</v>
      </c>
      <c r="N1793">
        <v>0.2608695652173913</v>
      </c>
      <c r="O1793" s="23" cm="1">
        <f t="array" ref="O1793">WordListCount(K1793,keywords!$A$2:$A$31)-WordListCount(K1793,keywords!$B$2:$B$31)</f>
        <v>0</v>
      </c>
      <c r="P1793" s="25">
        <f t="shared" si="55"/>
        <v>0.73996527777777776</v>
      </c>
      <c r="Q1793" s="23">
        <f>SUM($O$2:O1793)</f>
        <v>43</v>
      </c>
      <c r="Y1793" s="14"/>
      <c r="Z1793" s="13"/>
      <c r="AA1793"/>
    </row>
    <row r="1794" spans="1:27" x14ac:dyDescent="0.2">
      <c r="A1794" s="12" t="s">
        <v>5552</v>
      </c>
      <c r="B1794" t="s">
        <v>5553</v>
      </c>
      <c r="C1794" t="s">
        <v>5554</v>
      </c>
      <c r="D1794" t="s">
        <v>337</v>
      </c>
      <c r="E1794" t="s">
        <v>13</v>
      </c>
      <c r="F1794">
        <v>15958</v>
      </c>
      <c r="G1794">
        <v>14067</v>
      </c>
      <c r="H1794" s="5" t="s">
        <v>22</v>
      </c>
      <c r="I1794" s="5">
        <v>0</v>
      </c>
      <c r="J1794" s="5">
        <v>0</v>
      </c>
      <c r="K1794" t="s">
        <v>11063</v>
      </c>
      <c r="L1794" cm="1">
        <f t="array" ref="L1794">wordCount(K1794)</f>
        <v>15</v>
      </c>
      <c r="M1794">
        <f t="shared" ref="M1794:M1857" si="56">LEN(K1794)</f>
        <v>83</v>
      </c>
      <c r="N1794">
        <v>0.6333333333333333</v>
      </c>
      <c r="O1794" s="23" cm="1">
        <f t="array" ref="O1794">WordListCount(K1794,keywords!$A$2:$A$31)-WordListCount(K1794,keywords!$B$2:$B$31)</f>
        <v>-1</v>
      </c>
      <c r="P1794" s="25">
        <f t="shared" ref="P1794:P1857" si="57">TIMEVALUE(RIGHT(A1794,8))</f>
        <v>0.74055555555555552</v>
      </c>
      <c r="Q1794" s="23">
        <f>SUM($O$2:O1794)</f>
        <v>42</v>
      </c>
      <c r="Y1794" s="14"/>
      <c r="Z1794" s="13"/>
      <c r="AA1794"/>
    </row>
    <row r="1795" spans="1:27" x14ac:dyDescent="0.2">
      <c r="A1795" s="12" t="s">
        <v>5555</v>
      </c>
      <c r="B1795" t="s">
        <v>5556</v>
      </c>
      <c r="C1795" t="s">
        <v>5557</v>
      </c>
      <c r="D1795" t="s">
        <v>5558</v>
      </c>
      <c r="E1795" t="s">
        <v>13</v>
      </c>
      <c r="F1795">
        <v>94</v>
      </c>
      <c r="G1795">
        <v>235</v>
      </c>
      <c r="H1795" s="5" t="s">
        <v>22</v>
      </c>
      <c r="I1795" s="5">
        <v>0</v>
      </c>
      <c r="J1795" s="5">
        <v>0</v>
      </c>
      <c r="K1795" t="s">
        <v>11064</v>
      </c>
      <c r="L1795" cm="1">
        <f t="array" ref="L1795">wordCount(K1795)</f>
        <v>6</v>
      </c>
      <c r="M1795">
        <f t="shared" si="56"/>
        <v>26</v>
      </c>
      <c r="N1795">
        <v>0.66666666666666663</v>
      </c>
      <c r="O1795" s="23" cm="1">
        <f t="array" ref="O1795">WordListCount(K1795,keywords!$A$2:$A$31)-WordListCount(K1795,keywords!$B$2:$B$31)</f>
        <v>0</v>
      </c>
      <c r="P1795" s="25">
        <f t="shared" si="57"/>
        <v>0.74065972222222232</v>
      </c>
      <c r="Q1795" s="23">
        <f>SUM($O$2:O1795)</f>
        <v>42</v>
      </c>
      <c r="Y1795" s="14"/>
      <c r="Z1795" s="13"/>
      <c r="AA1795"/>
    </row>
    <row r="1796" spans="1:27" x14ac:dyDescent="0.2">
      <c r="A1796" s="12" t="s">
        <v>5559</v>
      </c>
      <c r="B1796" t="s">
        <v>5560</v>
      </c>
      <c r="C1796" t="s">
        <v>5561</v>
      </c>
      <c r="D1796" t="s">
        <v>5562</v>
      </c>
      <c r="E1796" t="s">
        <v>13</v>
      </c>
      <c r="F1796">
        <v>768</v>
      </c>
      <c r="G1796">
        <v>499</v>
      </c>
      <c r="H1796" s="5" t="s">
        <v>22</v>
      </c>
      <c r="I1796" s="5">
        <v>0</v>
      </c>
      <c r="J1796" s="5">
        <v>0</v>
      </c>
      <c r="K1796" t="s">
        <v>11065</v>
      </c>
      <c r="L1796" cm="1">
        <f t="array" ref="L1796">wordCount(K1796)</f>
        <v>14</v>
      </c>
      <c r="M1796">
        <f t="shared" si="56"/>
        <v>47</v>
      </c>
      <c r="N1796">
        <v>0.25</v>
      </c>
      <c r="O1796" s="23" cm="1">
        <f t="array" ref="O1796">WordListCount(K1796,keywords!$A$2:$A$31)-WordListCount(K1796,keywords!$B$2:$B$31)</f>
        <v>0</v>
      </c>
      <c r="P1796" s="25">
        <f t="shared" si="57"/>
        <v>0.74069444444444443</v>
      </c>
      <c r="Q1796" s="23">
        <f>SUM($O$2:O1796)</f>
        <v>42</v>
      </c>
      <c r="Y1796" s="14"/>
      <c r="Z1796" s="13"/>
      <c r="AA1796"/>
    </row>
    <row r="1797" spans="1:27" x14ac:dyDescent="0.2">
      <c r="A1797" s="12" t="s">
        <v>5563</v>
      </c>
      <c r="B1797" t="s">
        <v>5564</v>
      </c>
      <c r="C1797" t="s">
        <v>5565</v>
      </c>
      <c r="D1797" t="s">
        <v>5566</v>
      </c>
      <c r="E1797" t="s">
        <v>13</v>
      </c>
      <c r="F1797">
        <v>351</v>
      </c>
      <c r="G1797">
        <v>734</v>
      </c>
      <c r="H1797" s="5" t="s">
        <v>22</v>
      </c>
      <c r="I1797" s="5">
        <v>0</v>
      </c>
      <c r="J1797" s="5">
        <v>0</v>
      </c>
      <c r="K1797" t="s">
        <v>9545</v>
      </c>
      <c r="L1797" cm="1">
        <f t="array" ref="L1797">wordCount(K1797)</f>
        <v>15</v>
      </c>
      <c r="M1797">
        <f t="shared" si="56"/>
        <v>98</v>
      </c>
      <c r="N1797">
        <v>0.58620689655172409</v>
      </c>
      <c r="O1797" s="23" cm="1">
        <f t="array" ref="O1797">WordListCount(K1797,keywords!$A$2:$A$31)-WordListCount(K1797,keywords!$B$2:$B$31)</f>
        <v>0</v>
      </c>
      <c r="P1797" s="25">
        <f t="shared" si="57"/>
        <v>0.74124999999999996</v>
      </c>
      <c r="Q1797" s="23">
        <f>SUM($O$2:O1797)</f>
        <v>42</v>
      </c>
      <c r="Y1797" s="14"/>
      <c r="Z1797" s="13"/>
      <c r="AA1797"/>
    </row>
    <row r="1798" spans="1:27" x14ac:dyDescent="0.2">
      <c r="A1798" s="12" t="s">
        <v>5567</v>
      </c>
      <c r="B1798" t="s">
        <v>5568</v>
      </c>
      <c r="C1798" t="s">
        <v>5569</v>
      </c>
      <c r="D1798" t="s">
        <v>12</v>
      </c>
      <c r="E1798" t="s">
        <v>13</v>
      </c>
      <c r="F1798">
        <v>115</v>
      </c>
      <c r="G1798">
        <v>291</v>
      </c>
      <c r="H1798" s="5" t="s">
        <v>22</v>
      </c>
      <c r="I1798" s="5">
        <v>0</v>
      </c>
      <c r="J1798" s="5">
        <v>0</v>
      </c>
      <c r="K1798" t="s">
        <v>11066</v>
      </c>
      <c r="L1798" cm="1">
        <f t="array" ref="L1798">wordCount(K1798)</f>
        <v>27</v>
      </c>
      <c r="M1798">
        <f t="shared" si="56"/>
        <v>121</v>
      </c>
      <c r="N1798">
        <v>0.14814814814814814</v>
      </c>
      <c r="O1798" s="23" cm="1">
        <f t="array" ref="O1798">WordListCount(K1798,keywords!$A$2:$A$31)-WordListCount(K1798,keywords!$B$2:$B$31)</f>
        <v>0</v>
      </c>
      <c r="P1798" s="25">
        <f t="shared" si="57"/>
        <v>0.74131944444444453</v>
      </c>
      <c r="Q1798" s="23">
        <f>SUM($O$2:O1798)</f>
        <v>42</v>
      </c>
      <c r="Y1798" s="14"/>
      <c r="Z1798" s="13"/>
      <c r="AA1798"/>
    </row>
    <row r="1799" spans="1:27" x14ac:dyDescent="0.2">
      <c r="A1799" s="12" t="s">
        <v>5570</v>
      </c>
      <c r="B1799" t="s">
        <v>5571</v>
      </c>
      <c r="C1799" t="s">
        <v>5572</v>
      </c>
      <c r="D1799" t="s">
        <v>4206</v>
      </c>
      <c r="E1799" t="s">
        <v>13</v>
      </c>
      <c r="F1799">
        <v>2423</v>
      </c>
      <c r="G1799">
        <v>1340</v>
      </c>
      <c r="H1799" s="5" t="s">
        <v>22</v>
      </c>
      <c r="I1799" s="5">
        <v>0</v>
      </c>
      <c r="J1799" s="5">
        <v>0</v>
      </c>
      <c r="K1799" t="s">
        <v>11067</v>
      </c>
      <c r="L1799" cm="1">
        <f t="array" ref="L1799">wordCount(K1799)</f>
        <v>12</v>
      </c>
      <c r="M1799">
        <f t="shared" si="56"/>
        <v>82</v>
      </c>
      <c r="N1799">
        <v>0.45454545454545453</v>
      </c>
      <c r="O1799" s="23" cm="1">
        <f t="array" ref="O1799">WordListCount(K1799,keywords!$A$2:$A$31)-WordListCount(K1799,keywords!$B$2:$B$31)</f>
        <v>0</v>
      </c>
      <c r="P1799" s="25">
        <f t="shared" si="57"/>
        <v>0.74133101851851846</v>
      </c>
      <c r="Q1799" s="23">
        <f>SUM($O$2:O1799)</f>
        <v>42</v>
      </c>
      <c r="Y1799" s="14"/>
      <c r="Z1799" s="13"/>
      <c r="AA1799"/>
    </row>
    <row r="1800" spans="1:27" x14ac:dyDescent="0.2">
      <c r="A1800" s="12" t="s">
        <v>5573</v>
      </c>
      <c r="B1800" t="s">
        <v>5574</v>
      </c>
      <c r="C1800" t="s">
        <v>205</v>
      </c>
      <c r="D1800" t="s">
        <v>12</v>
      </c>
      <c r="E1800" t="s">
        <v>13</v>
      </c>
      <c r="F1800">
        <v>2868</v>
      </c>
      <c r="G1800">
        <v>6</v>
      </c>
      <c r="H1800" s="5" t="s">
        <v>22</v>
      </c>
      <c r="I1800" s="5">
        <v>0</v>
      </c>
      <c r="J1800" s="5">
        <v>0</v>
      </c>
      <c r="K1800" t="s">
        <v>9546</v>
      </c>
      <c r="L1800" cm="1">
        <f t="array" ref="L1800">wordCount(K1800)</f>
        <v>8</v>
      </c>
      <c r="M1800">
        <f t="shared" si="56"/>
        <v>55</v>
      </c>
      <c r="N1800">
        <v>0.77777777777777779</v>
      </c>
      <c r="O1800" s="23" cm="1">
        <f t="array" ref="O1800">WordListCount(K1800,keywords!$A$2:$A$31)-WordListCount(K1800,keywords!$B$2:$B$31)</f>
        <v>0</v>
      </c>
      <c r="P1800" s="25">
        <f t="shared" si="57"/>
        <v>0.74168981481481477</v>
      </c>
      <c r="Q1800" s="23">
        <f>SUM($O$2:O1800)</f>
        <v>42</v>
      </c>
      <c r="Y1800" s="14"/>
      <c r="Z1800" s="13"/>
      <c r="AA1800"/>
    </row>
    <row r="1801" spans="1:27" x14ac:dyDescent="0.2">
      <c r="A1801" s="12" t="s">
        <v>5575</v>
      </c>
      <c r="B1801" t="s">
        <v>5576</v>
      </c>
      <c r="C1801" t="s">
        <v>5445</v>
      </c>
      <c r="D1801" t="s">
        <v>12</v>
      </c>
      <c r="E1801" t="s">
        <v>13</v>
      </c>
      <c r="F1801">
        <v>18</v>
      </c>
      <c r="G1801">
        <v>107</v>
      </c>
      <c r="H1801" s="5" t="s">
        <v>22</v>
      </c>
      <c r="I1801" s="5">
        <v>0</v>
      </c>
      <c r="J1801" s="5">
        <v>0</v>
      </c>
      <c r="K1801" t="s">
        <v>11068</v>
      </c>
      <c r="L1801" cm="1">
        <f t="array" ref="L1801">wordCount(K1801)</f>
        <v>7</v>
      </c>
      <c r="M1801">
        <f t="shared" si="56"/>
        <v>42</v>
      </c>
      <c r="N1801">
        <v>0.66666666666666663</v>
      </c>
      <c r="O1801" s="23" cm="1">
        <f t="array" ref="O1801">WordListCount(K1801,keywords!$A$2:$A$31)-WordListCount(K1801,keywords!$B$2:$B$31)</f>
        <v>0</v>
      </c>
      <c r="P1801" s="25">
        <f t="shared" si="57"/>
        <v>0.74184027777777783</v>
      </c>
      <c r="Q1801" s="23">
        <f>SUM($O$2:O1801)</f>
        <v>42</v>
      </c>
      <c r="Y1801" s="14"/>
      <c r="Z1801" s="13"/>
      <c r="AA1801"/>
    </row>
    <row r="1802" spans="1:27" x14ac:dyDescent="0.2">
      <c r="A1802" s="12" t="s">
        <v>5577</v>
      </c>
      <c r="B1802" t="s">
        <v>5578</v>
      </c>
      <c r="C1802" t="s">
        <v>5579</v>
      </c>
      <c r="D1802" t="s">
        <v>12</v>
      </c>
      <c r="E1802" t="s">
        <v>13</v>
      </c>
      <c r="F1802">
        <v>413</v>
      </c>
      <c r="G1802">
        <v>355</v>
      </c>
      <c r="H1802" s="5" t="s">
        <v>22</v>
      </c>
      <c r="I1802" s="5">
        <v>0</v>
      </c>
      <c r="J1802" s="5">
        <v>0</v>
      </c>
      <c r="K1802" t="s">
        <v>11069</v>
      </c>
      <c r="L1802" cm="1">
        <f t="array" ref="L1802">wordCount(K1802)</f>
        <v>19</v>
      </c>
      <c r="M1802">
        <f t="shared" si="56"/>
        <v>106</v>
      </c>
      <c r="N1802">
        <v>0.61538461538461542</v>
      </c>
      <c r="O1802" s="23" cm="1">
        <f t="array" ref="O1802">WordListCount(K1802,keywords!$A$2:$A$31)-WordListCount(K1802,keywords!$B$2:$B$31)</f>
        <v>0</v>
      </c>
      <c r="P1802" s="25">
        <f t="shared" si="57"/>
        <v>0.74230324074074072</v>
      </c>
      <c r="Q1802" s="23">
        <f>SUM($O$2:O1802)</f>
        <v>42</v>
      </c>
      <c r="Y1802" s="14"/>
      <c r="Z1802" s="13"/>
      <c r="AA1802"/>
    </row>
    <row r="1803" spans="1:27" x14ac:dyDescent="0.2">
      <c r="A1803" s="12" t="s">
        <v>5580</v>
      </c>
      <c r="B1803" t="s">
        <v>5581</v>
      </c>
      <c r="C1803" t="s">
        <v>5582</v>
      </c>
      <c r="D1803" t="s">
        <v>12</v>
      </c>
      <c r="E1803" t="s">
        <v>13</v>
      </c>
      <c r="F1803">
        <v>39</v>
      </c>
      <c r="G1803">
        <v>256</v>
      </c>
      <c r="H1803" s="5" t="s">
        <v>22</v>
      </c>
      <c r="I1803" s="5">
        <v>0</v>
      </c>
      <c r="J1803" s="5">
        <v>0</v>
      </c>
      <c r="K1803" t="s">
        <v>11070</v>
      </c>
      <c r="L1803" cm="1">
        <f t="array" ref="L1803">wordCount(K1803)</f>
        <v>18</v>
      </c>
      <c r="M1803">
        <f t="shared" si="56"/>
        <v>82</v>
      </c>
      <c r="N1803">
        <v>0.58064516129032262</v>
      </c>
      <c r="O1803" s="23" cm="1">
        <f t="array" ref="O1803">WordListCount(K1803,keywords!$A$2:$A$31)-WordListCount(K1803,keywords!$B$2:$B$31)</f>
        <v>0</v>
      </c>
      <c r="P1803" s="25">
        <f t="shared" si="57"/>
        <v>0.74231481481481476</v>
      </c>
      <c r="Q1803" s="23">
        <f>SUM($O$2:O1803)</f>
        <v>42</v>
      </c>
      <c r="Y1803" s="14"/>
      <c r="Z1803" s="13"/>
      <c r="AA1803"/>
    </row>
    <row r="1804" spans="1:27" x14ac:dyDescent="0.2">
      <c r="A1804" s="12" t="s">
        <v>5583</v>
      </c>
      <c r="B1804" t="s">
        <v>5584</v>
      </c>
      <c r="C1804" t="s">
        <v>5585</v>
      </c>
      <c r="D1804" t="s">
        <v>12</v>
      </c>
      <c r="E1804" t="s">
        <v>13</v>
      </c>
      <c r="F1804">
        <v>49</v>
      </c>
      <c r="G1804">
        <v>109</v>
      </c>
      <c r="H1804" s="5" t="s">
        <v>22</v>
      </c>
      <c r="I1804" s="5">
        <v>0</v>
      </c>
      <c r="J1804" s="5">
        <v>0</v>
      </c>
      <c r="K1804" t="s">
        <v>11071</v>
      </c>
      <c r="L1804" cm="1">
        <f t="array" ref="L1804">wordCount(K1804)</f>
        <v>11</v>
      </c>
      <c r="M1804">
        <f t="shared" si="56"/>
        <v>55</v>
      </c>
      <c r="N1804">
        <v>0.66666666666666663</v>
      </c>
      <c r="O1804" s="23" cm="1">
        <f t="array" ref="O1804">WordListCount(K1804,keywords!$A$2:$A$31)-WordListCount(K1804,keywords!$B$2:$B$31)</f>
        <v>0</v>
      </c>
      <c r="P1804" s="25">
        <f t="shared" si="57"/>
        <v>0.74239583333333325</v>
      </c>
      <c r="Q1804" s="23">
        <f>SUM($O$2:O1804)</f>
        <v>42</v>
      </c>
      <c r="Y1804" s="14"/>
      <c r="Z1804" s="13"/>
      <c r="AA1804"/>
    </row>
    <row r="1805" spans="1:27" x14ac:dyDescent="0.2">
      <c r="A1805" s="12" t="s">
        <v>5586</v>
      </c>
      <c r="B1805" t="s">
        <v>5587</v>
      </c>
      <c r="C1805" t="s">
        <v>5588</v>
      </c>
      <c r="D1805" t="s">
        <v>2738</v>
      </c>
      <c r="E1805" t="s">
        <v>13</v>
      </c>
      <c r="F1805">
        <v>26</v>
      </c>
      <c r="G1805">
        <v>116</v>
      </c>
      <c r="H1805" s="5" t="s">
        <v>22</v>
      </c>
      <c r="I1805" s="5">
        <v>0</v>
      </c>
      <c r="J1805" s="5">
        <v>0</v>
      </c>
      <c r="K1805" t="s">
        <v>11072</v>
      </c>
      <c r="L1805" cm="1">
        <f t="array" ref="L1805">wordCount(K1805)</f>
        <v>26</v>
      </c>
      <c r="M1805">
        <f t="shared" si="56"/>
        <v>124</v>
      </c>
      <c r="N1805">
        <v>0.52631578947368418</v>
      </c>
      <c r="O1805" s="23" cm="1">
        <f t="array" ref="O1805">WordListCount(K1805,keywords!$A$2:$A$31)-WordListCount(K1805,keywords!$B$2:$B$31)</f>
        <v>0</v>
      </c>
      <c r="P1805" s="25">
        <f t="shared" si="57"/>
        <v>0.7424884259259259</v>
      </c>
      <c r="Q1805" s="23">
        <f>SUM($O$2:O1805)</f>
        <v>42</v>
      </c>
      <c r="Y1805" s="14"/>
      <c r="Z1805" s="13"/>
      <c r="AA1805"/>
    </row>
    <row r="1806" spans="1:27" x14ac:dyDescent="0.2">
      <c r="A1806" s="12" t="s">
        <v>5589</v>
      </c>
      <c r="B1806" t="s">
        <v>5590</v>
      </c>
      <c r="C1806" t="s">
        <v>5591</v>
      </c>
      <c r="D1806" t="s">
        <v>5592</v>
      </c>
      <c r="E1806" t="s">
        <v>13</v>
      </c>
      <c r="F1806">
        <v>90</v>
      </c>
      <c r="G1806">
        <v>447</v>
      </c>
      <c r="H1806" s="5" t="s">
        <v>22</v>
      </c>
      <c r="I1806" s="5">
        <v>0</v>
      </c>
      <c r="J1806" s="5">
        <v>0</v>
      </c>
      <c r="K1806" t="s">
        <v>11073</v>
      </c>
      <c r="L1806" cm="1">
        <f t="array" ref="L1806">wordCount(K1806)</f>
        <v>10</v>
      </c>
      <c r="M1806">
        <f t="shared" si="56"/>
        <v>49</v>
      </c>
      <c r="N1806">
        <v>0.53333333333333333</v>
      </c>
      <c r="O1806" s="23" cm="1">
        <f t="array" ref="O1806">WordListCount(K1806,keywords!$A$2:$A$31)-WordListCount(K1806,keywords!$B$2:$B$31)</f>
        <v>0</v>
      </c>
      <c r="P1806" s="25">
        <f t="shared" si="57"/>
        <v>0.74262731481481481</v>
      </c>
      <c r="Q1806" s="23">
        <f>SUM($O$2:O1806)</f>
        <v>42</v>
      </c>
      <c r="Y1806" s="14"/>
      <c r="Z1806" s="13"/>
      <c r="AA1806"/>
    </row>
    <row r="1807" spans="1:27" x14ac:dyDescent="0.2">
      <c r="A1807" s="12" t="s">
        <v>5593</v>
      </c>
      <c r="B1807" t="s">
        <v>5594</v>
      </c>
      <c r="C1807" t="s">
        <v>5595</v>
      </c>
      <c r="D1807" t="s">
        <v>5596</v>
      </c>
      <c r="E1807" t="s">
        <v>13</v>
      </c>
      <c r="F1807">
        <v>928</v>
      </c>
      <c r="G1807">
        <v>437</v>
      </c>
      <c r="H1807" s="5" t="s">
        <v>22</v>
      </c>
      <c r="I1807" s="5">
        <v>0</v>
      </c>
      <c r="J1807" s="5">
        <v>0</v>
      </c>
      <c r="K1807" t="s">
        <v>9547</v>
      </c>
      <c r="L1807" cm="1">
        <f t="array" ref="L1807">wordCount(K1807)</f>
        <v>8</v>
      </c>
      <c r="M1807">
        <f t="shared" si="56"/>
        <v>47</v>
      </c>
      <c r="N1807">
        <v>0.68181818181818177</v>
      </c>
      <c r="O1807" s="23" cm="1">
        <f t="array" ref="O1807">WordListCount(K1807,keywords!$A$2:$A$31)-WordListCount(K1807,keywords!$B$2:$B$31)</f>
        <v>1</v>
      </c>
      <c r="P1807" s="25">
        <f t="shared" si="57"/>
        <v>0.74266203703703704</v>
      </c>
      <c r="Q1807" s="23">
        <f>SUM($O$2:O1807)</f>
        <v>43</v>
      </c>
      <c r="Y1807" s="14"/>
      <c r="Z1807" s="13"/>
      <c r="AA1807"/>
    </row>
    <row r="1808" spans="1:27" x14ac:dyDescent="0.2">
      <c r="A1808" s="12" t="s">
        <v>5597</v>
      </c>
      <c r="B1808" t="s">
        <v>5598</v>
      </c>
      <c r="C1808" t="s">
        <v>3549</v>
      </c>
      <c r="D1808" t="s">
        <v>3550</v>
      </c>
      <c r="E1808" t="s">
        <v>13</v>
      </c>
      <c r="F1808">
        <v>67</v>
      </c>
      <c r="G1808">
        <v>96</v>
      </c>
      <c r="H1808" s="5" t="s">
        <v>22</v>
      </c>
      <c r="I1808" s="5">
        <v>0</v>
      </c>
      <c r="J1808" s="5">
        <v>0</v>
      </c>
      <c r="K1808" t="s">
        <v>11074</v>
      </c>
      <c r="L1808" cm="1">
        <f t="array" ref="L1808">wordCount(K1808)</f>
        <v>22</v>
      </c>
      <c r="M1808">
        <f t="shared" si="56"/>
        <v>119</v>
      </c>
      <c r="N1808">
        <v>0.125</v>
      </c>
      <c r="O1808" s="23" cm="1">
        <f t="array" ref="O1808">WordListCount(K1808,keywords!$A$2:$A$31)-WordListCount(K1808,keywords!$B$2:$B$31)</f>
        <v>0</v>
      </c>
      <c r="P1808" s="25">
        <f t="shared" si="57"/>
        <v>0.74293981481481486</v>
      </c>
      <c r="Q1808" s="23">
        <f>SUM($O$2:O1808)</f>
        <v>43</v>
      </c>
      <c r="Y1808" s="14"/>
      <c r="Z1808" s="13"/>
      <c r="AA1808"/>
    </row>
    <row r="1809" spans="1:27" x14ac:dyDescent="0.2">
      <c r="A1809" s="12" t="s">
        <v>5599</v>
      </c>
      <c r="B1809" t="s">
        <v>5600</v>
      </c>
      <c r="C1809" t="s">
        <v>5601</v>
      </c>
      <c r="D1809" t="s">
        <v>2289</v>
      </c>
      <c r="E1809" t="s">
        <v>13</v>
      </c>
      <c r="F1809">
        <v>12</v>
      </c>
      <c r="G1809">
        <v>104</v>
      </c>
      <c r="H1809" s="5" t="s">
        <v>22</v>
      </c>
      <c r="I1809" s="5">
        <v>0</v>
      </c>
      <c r="J1809" s="5">
        <v>0</v>
      </c>
      <c r="K1809" t="s">
        <v>9548</v>
      </c>
      <c r="L1809" cm="1">
        <f t="array" ref="L1809">wordCount(K1809)</f>
        <v>2</v>
      </c>
      <c r="M1809">
        <f t="shared" si="56"/>
        <v>13</v>
      </c>
      <c r="N1809">
        <v>0.8666666666666667</v>
      </c>
      <c r="O1809" s="23" cm="1">
        <f t="array" ref="O1809">WordListCount(K1809,keywords!$A$2:$A$31)-WordListCount(K1809,keywords!$B$2:$B$31)</f>
        <v>0</v>
      </c>
      <c r="P1809" s="25">
        <f t="shared" si="57"/>
        <v>0.74307870370370377</v>
      </c>
      <c r="Q1809" s="23">
        <f>SUM($O$2:O1809)</f>
        <v>43</v>
      </c>
      <c r="Y1809" s="14"/>
      <c r="Z1809" s="13"/>
      <c r="AA1809"/>
    </row>
    <row r="1810" spans="1:27" x14ac:dyDescent="0.2">
      <c r="A1810" s="12" t="s">
        <v>5602</v>
      </c>
      <c r="B1810" t="s">
        <v>5603</v>
      </c>
      <c r="C1810" t="s">
        <v>5604</v>
      </c>
      <c r="D1810" t="s">
        <v>12</v>
      </c>
      <c r="E1810" t="s">
        <v>13</v>
      </c>
      <c r="F1810">
        <v>1950</v>
      </c>
      <c r="G1810">
        <v>1914</v>
      </c>
      <c r="H1810" s="5" t="s">
        <v>22</v>
      </c>
      <c r="I1810" s="5">
        <v>0</v>
      </c>
      <c r="J1810" s="5">
        <v>0</v>
      </c>
      <c r="K1810" t="s">
        <v>11075</v>
      </c>
      <c r="L1810" cm="1">
        <f t="array" ref="L1810">wordCount(K1810)</f>
        <v>18</v>
      </c>
      <c r="M1810">
        <f t="shared" si="56"/>
        <v>87</v>
      </c>
      <c r="N1810">
        <v>0.31818181818181818</v>
      </c>
      <c r="O1810" s="23" cm="1">
        <f t="array" ref="O1810">WordListCount(K1810,keywords!$A$2:$A$31)-WordListCount(K1810,keywords!$B$2:$B$31)</f>
        <v>0</v>
      </c>
      <c r="P1810" s="25">
        <f t="shared" si="57"/>
        <v>0.74311342592592589</v>
      </c>
      <c r="Q1810" s="23">
        <f>SUM($O$2:O1810)</f>
        <v>43</v>
      </c>
      <c r="Y1810" s="14"/>
      <c r="Z1810" s="13"/>
      <c r="AA1810"/>
    </row>
    <row r="1811" spans="1:27" x14ac:dyDescent="0.2">
      <c r="A1811" s="12" t="s">
        <v>5605</v>
      </c>
      <c r="B1811" t="s">
        <v>5606</v>
      </c>
      <c r="C1811" t="s">
        <v>5607</v>
      </c>
      <c r="D1811" t="s">
        <v>3303</v>
      </c>
      <c r="E1811" t="s">
        <v>13</v>
      </c>
      <c r="F1811">
        <v>582</v>
      </c>
      <c r="G1811">
        <v>1849</v>
      </c>
      <c r="H1811" s="5" t="s">
        <v>22</v>
      </c>
      <c r="I1811" s="5">
        <v>0</v>
      </c>
      <c r="J1811" s="5">
        <v>0</v>
      </c>
      <c r="K1811" t="s">
        <v>11076</v>
      </c>
      <c r="L1811" cm="1">
        <f t="array" ref="L1811">wordCount(K1811)</f>
        <v>21</v>
      </c>
      <c r="M1811">
        <f t="shared" si="56"/>
        <v>107</v>
      </c>
      <c r="N1811">
        <v>0.30434782608695654</v>
      </c>
      <c r="O1811" s="23" cm="1">
        <f t="array" ref="O1811">WordListCount(K1811,keywords!$A$2:$A$31)-WordListCount(K1811,keywords!$B$2:$B$31)</f>
        <v>-1</v>
      </c>
      <c r="P1811" s="25">
        <f t="shared" si="57"/>
        <v>0.74312500000000004</v>
      </c>
      <c r="Q1811" s="23">
        <f>SUM($O$2:O1811)</f>
        <v>42</v>
      </c>
      <c r="Y1811" s="14"/>
      <c r="Z1811" s="13"/>
      <c r="AA1811"/>
    </row>
    <row r="1812" spans="1:27" x14ac:dyDescent="0.2">
      <c r="A1812" s="12" t="s">
        <v>5608</v>
      </c>
      <c r="B1812" t="s">
        <v>5609</v>
      </c>
      <c r="C1812" t="s">
        <v>5291</v>
      </c>
      <c r="D1812" t="s">
        <v>2483</v>
      </c>
      <c r="E1812" t="s">
        <v>13</v>
      </c>
      <c r="F1812">
        <v>1103</v>
      </c>
      <c r="G1812">
        <v>431</v>
      </c>
      <c r="H1812" s="5" t="s">
        <v>22</v>
      </c>
      <c r="I1812" s="5">
        <v>0</v>
      </c>
      <c r="J1812" s="5">
        <v>0</v>
      </c>
      <c r="K1812" t="s">
        <v>11077</v>
      </c>
      <c r="L1812" cm="1">
        <f t="array" ref="L1812">wordCount(K1812)</f>
        <v>19</v>
      </c>
      <c r="M1812">
        <f t="shared" si="56"/>
        <v>93</v>
      </c>
      <c r="N1812">
        <v>0.48275862068965519</v>
      </c>
      <c r="O1812" s="23" cm="1">
        <f t="array" ref="O1812">WordListCount(K1812,keywords!$A$2:$A$31)-WordListCount(K1812,keywords!$B$2:$B$31)</f>
        <v>0</v>
      </c>
      <c r="P1812" s="25">
        <f t="shared" si="57"/>
        <v>0.74315972222222226</v>
      </c>
      <c r="Q1812" s="23">
        <f>SUM($O$2:O1812)</f>
        <v>42</v>
      </c>
      <c r="Y1812" s="14"/>
      <c r="Z1812" s="13"/>
      <c r="AA1812"/>
    </row>
    <row r="1813" spans="1:27" x14ac:dyDescent="0.2">
      <c r="A1813" s="12" t="s">
        <v>5610</v>
      </c>
      <c r="B1813" t="s">
        <v>5611</v>
      </c>
      <c r="C1813" t="s">
        <v>5516</v>
      </c>
      <c r="D1813" t="s">
        <v>4481</v>
      </c>
      <c r="E1813" t="s">
        <v>13</v>
      </c>
      <c r="F1813">
        <v>62</v>
      </c>
      <c r="G1813">
        <v>231</v>
      </c>
      <c r="H1813" s="5" t="s">
        <v>22</v>
      </c>
      <c r="I1813" s="5">
        <v>0</v>
      </c>
      <c r="J1813" s="5">
        <v>0</v>
      </c>
      <c r="K1813" t="s">
        <v>11053</v>
      </c>
      <c r="L1813" cm="1">
        <f t="array" ref="L1813">wordCount(K1813)</f>
        <v>24</v>
      </c>
      <c r="M1813">
        <f t="shared" si="56"/>
        <v>122</v>
      </c>
      <c r="N1813">
        <v>0.95833333333333337</v>
      </c>
      <c r="O1813" s="23" cm="1">
        <f t="array" ref="O1813">WordListCount(K1813,keywords!$A$2:$A$31)-WordListCount(K1813,keywords!$B$2:$B$31)</f>
        <v>0</v>
      </c>
      <c r="P1813" s="25">
        <f t="shared" si="57"/>
        <v>0.74362268518518526</v>
      </c>
      <c r="Q1813" s="23">
        <f>SUM($O$2:O1813)</f>
        <v>42</v>
      </c>
      <c r="Y1813" s="14"/>
      <c r="Z1813" s="13"/>
      <c r="AA1813"/>
    </row>
    <row r="1814" spans="1:27" x14ac:dyDescent="0.2">
      <c r="A1814" s="12" t="s">
        <v>5612</v>
      </c>
      <c r="B1814" t="s">
        <v>5613</v>
      </c>
      <c r="C1814" t="s">
        <v>5614</v>
      </c>
      <c r="D1814" t="s">
        <v>12</v>
      </c>
      <c r="E1814" t="s">
        <v>13</v>
      </c>
      <c r="F1814">
        <v>1061</v>
      </c>
      <c r="G1814">
        <v>792</v>
      </c>
      <c r="H1814" s="5" t="s">
        <v>22</v>
      </c>
      <c r="I1814" s="5">
        <v>0</v>
      </c>
      <c r="J1814" s="5">
        <v>0</v>
      </c>
      <c r="K1814" t="s">
        <v>11078</v>
      </c>
      <c r="L1814" cm="1">
        <f t="array" ref="L1814">wordCount(K1814)</f>
        <v>6</v>
      </c>
      <c r="M1814">
        <f t="shared" si="56"/>
        <v>41</v>
      </c>
      <c r="N1814">
        <v>0.375</v>
      </c>
      <c r="O1814" s="23" cm="1">
        <f t="array" ref="O1814">WordListCount(K1814,keywords!$A$2:$A$31)-WordListCount(K1814,keywords!$B$2:$B$31)</f>
        <v>0</v>
      </c>
      <c r="P1814" s="25">
        <f t="shared" si="57"/>
        <v>0.74381944444444448</v>
      </c>
      <c r="Q1814" s="23">
        <f>SUM($O$2:O1814)</f>
        <v>42</v>
      </c>
      <c r="Y1814" s="14"/>
      <c r="Z1814" s="13"/>
      <c r="AA1814"/>
    </row>
    <row r="1815" spans="1:27" x14ac:dyDescent="0.2">
      <c r="A1815" s="12" t="s">
        <v>5615</v>
      </c>
      <c r="B1815" t="s">
        <v>5616</v>
      </c>
      <c r="C1815" t="s">
        <v>5617</v>
      </c>
      <c r="D1815" t="s">
        <v>12</v>
      </c>
      <c r="E1815" t="s">
        <v>13</v>
      </c>
      <c r="F1815">
        <v>254</v>
      </c>
      <c r="G1815">
        <v>818</v>
      </c>
      <c r="H1815" s="5" t="s">
        <v>22</v>
      </c>
      <c r="I1815" s="5">
        <v>0</v>
      </c>
      <c r="J1815" s="5">
        <v>0</v>
      </c>
      <c r="K1815" t="s">
        <v>9549</v>
      </c>
      <c r="L1815" cm="1">
        <f t="array" ref="L1815">wordCount(K1815)</f>
        <v>10</v>
      </c>
      <c r="M1815">
        <f t="shared" si="56"/>
        <v>42</v>
      </c>
      <c r="N1815">
        <v>0.46153846153846156</v>
      </c>
      <c r="O1815" s="23" cm="1">
        <f t="array" ref="O1815">WordListCount(K1815,keywords!$A$2:$A$31)-WordListCount(K1815,keywords!$B$2:$B$31)</f>
        <v>0</v>
      </c>
      <c r="P1815" s="25">
        <f t="shared" si="57"/>
        <v>0.74418981481481483</v>
      </c>
      <c r="Q1815" s="23">
        <f>SUM($O$2:O1815)</f>
        <v>42</v>
      </c>
      <c r="Y1815" s="14"/>
      <c r="Z1815" s="13"/>
      <c r="AA1815"/>
    </row>
    <row r="1816" spans="1:27" x14ac:dyDescent="0.2">
      <c r="A1816" s="12" t="s">
        <v>5618</v>
      </c>
      <c r="B1816" t="s">
        <v>5619</v>
      </c>
      <c r="C1816" t="s">
        <v>5620</v>
      </c>
      <c r="D1816" t="s">
        <v>186</v>
      </c>
      <c r="E1816" t="s">
        <v>13</v>
      </c>
      <c r="F1816">
        <v>184</v>
      </c>
      <c r="G1816">
        <v>268</v>
      </c>
      <c r="H1816" s="5" t="s">
        <v>22</v>
      </c>
      <c r="I1816" s="5">
        <v>0</v>
      </c>
      <c r="J1816" s="5">
        <v>0</v>
      </c>
      <c r="K1816" t="s">
        <v>11079</v>
      </c>
      <c r="L1816" cm="1">
        <f t="array" ref="L1816">wordCount(K1816)</f>
        <v>19</v>
      </c>
      <c r="M1816">
        <f t="shared" si="56"/>
        <v>76</v>
      </c>
      <c r="N1816">
        <v>0.58064516129032262</v>
      </c>
      <c r="O1816" s="23" cm="1">
        <f t="array" ref="O1816">WordListCount(K1816,keywords!$A$2:$A$31)-WordListCount(K1816,keywords!$B$2:$B$31)</f>
        <v>0</v>
      </c>
      <c r="P1816" s="25">
        <f t="shared" si="57"/>
        <v>0.74421296296296291</v>
      </c>
      <c r="Q1816" s="23">
        <f>SUM($O$2:O1816)</f>
        <v>42</v>
      </c>
      <c r="Y1816" s="14"/>
      <c r="Z1816" s="13"/>
      <c r="AA1816"/>
    </row>
    <row r="1817" spans="1:27" x14ac:dyDescent="0.2">
      <c r="A1817" s="12" t="s">
        <v>5621</v>
      </c>
      <c r="B1817" t="s">
        <v>5622</v>
      </c>
      <c r="C1817" t="s">
        <v>5623</v>
      </c>
      <c r="D1817" t="s">
        <v>5624</v>
      </c>
      <c r="E1817" t="s">
        <v>13</v>
      </c>
      <c r="F1817">
        <v>43</v>
      </c>
      <c r="G1817">
        <v>359</v>
      </c>
      <c r="H1817" s="5" t="s">
        <v>22</v>
      </c>
      <c r="I1817" s="5">
        <v>0</v>
      </c>
      <c r="J1817" s="5">
        <v>0</v>
      </c>
      <c r="K1817" t="s">
        <v>9550</v>
      </c>
      <c r="L1817" cm="1">
        <f t="array" ref="L1817">wordCount(K1817)</f>
        <v>7</v>
      </c>
      <c r="M1817">
        <f t="shared" si="56"/>
        <v>35</v>
      </c>
      <c r="N1817">
        <v>0.77777777777777779</v>
      </c>
      <c r="O1817" s="23" cm="1">
        <f t="array" ref="O1817">WordListCount(K1817,keywords!$A$2:$A$31)-WordListCount(K1817,keywords!$B$2:$B$31)</f>
        <v>1</v>
      </c>
      <c r="P1817" s="25">
        <f t="shared" si="57"/>
        <v>0.7442939814814814</v>
      </c>
      <c r="Q1817" s="23">
        <f>SUM($O$2:O1817)</f>
        <v>43</v>
      </c>
      <c r="Y1817" s="14"/>
      <c r="Z1817" s="13"/>
      <c r="AA1817"/>
    </row>
    <row r="1818" spans="1:27" x14ac:dyDescent="0.2">
      <c r="A1818" s="12" t="s">
        <v>5625</v>
      </c>
      <c r="B1818" t="s">
        <v>5626</v>
      </c>
      <c r="C1818" t="s">
        <v>5627</v>
      </c>
      <c r="D1818" t="s">
        <v>5628</v>
      </c>
      <c r="E1818" t="s">
        <v>13</v>
      </c>
      <c r="F1818">
        <v>316</v>
      </c>
      <c r="G1818">
        <v>428</v>
      </c>
      <c r="H1818" s="5" t="s">
        <v>22</v>
      </c>
      <c r="I1818" s="5">
        <v>0</v>
      </c>
      <c r="J1818" s="5">
        <v>0</v>
      </c>
      <c r="K1818" t="s">
        <v>9551</v>
      </c>
      <c r="L1818" cm="1">
        <f t="array" ref="L1818">wordCount(K1818)</f>
        <v>19</v>
      </c>
      <c r="M1818">
        <f t="shared" si="56"/>
        <v>81</v>
      </c>
      <c r="N1818">
        <v>0.60606060606060608</v>
      </c>
      <c r="O1818" s="23" cm="1">
        <f t="array" ref="O1818">WordListCount(K1818,keywords!$A$2:$A$31)-WordListCount(K1818,keywords!$B$2:$B$31)</f>
        <v>0</v>
      </c>
      <c r="P1818" s="25">
        <f t="shared" si="57"/>
        <v>0.74450231481481488</v>
      </c>
      <c r="Q1818" s="23">
        <f>SUM($O$2:O1818)</f>
        <v>43</v>
      </c>
      <c r="Y1818" s="14"/>
      <c r="Z1818" s="13"/>
      <c r="AA1818"/>
    </row>
    <row r="1819" spans="1:27" x14ac:dyDescent="0.2">
      <c r="A1819" s="12" t="s">
        <v>5625</v>
      </c>
      <c r="B1819" t="s">
        <v>5629</v>
      </c>
      <c r="C1819" t="s">
        <v>511</v>
      </c>
      <c r="D1819" t="s">
        <v>512</v>
      </c>
      <c r="E1819" t="s">
        <v>13</v>
      </c>
      <c r="F1819">
        <v>1898</v>
      </c>
      <c r="G1819">
        <v>540</v>
      </c>
      <c r="H1819" s="5" t="s">
        <v>22</v>
      </c>
      <c r="I1819" s="5">
        <v>0</v>
      </c>
      <c r="J1819" s="5">
        <v>0</v>
      </c>
      <c r="K1819" t="s">
        <v>11080</v>
      </c>
      <c r="L1819" cm="1">
        <f t="array" ref="L1819">wordCount(K1819)</f>
        <v>8</v>
      </c>
      <c r="M1819">
        <f t="shared" si="56"/>
        <v>41</v>
      </c>
      <c r="N1819">
        <v>0.875</v>
      </c>
      <c r="O1819" s="23" cm="1">
        <f t="array" ref="O1819">WordListCount(K1819,keywords!$A$2:$A$31)-WordListCount(K1819,keywords!$B$2:$B$31)</f>
        <v>0</v>
      </c>
      <c r="P1819" s="25">
        <f t="shared" si="57"/>
        <v>0.74450231481481488</v>
      </c>
      <c r="Q1819" s="23">
        <f>SUM($O$2:O1819)</f>
        <v>43</v>
      </c>
      <c r="Y1819" s="14"/>
      <c r="Z1819" s="13"/>
      <c r="AA1819"/>
    </row>
    <row r="1820" spans="1:27" x14ac:dyDescent="0.2">
      <c r="A1820" s="12" t="s">
        <v>5630</v>
      </c>
      <c r="B1820" t="s">
        <v>5631</v>
      </c>
      <c r="C1820" t="s">
        <v>5632</v>
      </c>
      <c r="D1820" t="s">
        <v>5633</v>
      </c>
      <c r="E1820" t="s">
        <v>13</v>
      </c>
      <c r="F1820">
        <v>1000</v>
      </c>
      <c r="G1820">
        <v>1394</v>
      </c>
      <c r="H1820" s="5" t="s">
        <v>22</v>
      </c>
      <c r="I1820" s="5">
        <v>0</v>
      </c>
      <c r="J1820" s="5">
        <v>0</v>
      </c>
      <c r="K1820" t="s">
        <v>9552</v>
      </c>
      <c r="L1820" cm="1">
        <f t="array" ref="L1820">wordCount(K1820)</f>
        <v>22</v>
      </c>
      <c r="M1820">
        <f t="shared" si="56"/>
        <v>128</v>
      </c>
      <c r="N1820">
        <v>0.13043478260869565</v>
      </c>
      <c r="O1820" s="23" cm="1">
        <f t="array" ref="O1820">WordListCount(K1820,keywords!$A$2:$A$31)-WordListCount(K1820,keywords!$B$2:$B$31)</f>
        <v>0</v>
      </c>
      <c r="P1820" s="25">
        <f t="shared" si="57"/>
        <v>0.74465277777777772</v>
      </c>
      <c r="Q1820" s="23">
        <f>SUM($O$2:O1820)</f>
        <v>43</v>
      </c>
      <c r="Y1820" s="14"/>
      <c r="Z1820" s="13"/>
      <c r="AA1820"/>
    </row>
    <row r="1821" spans="1:27" x14ac:dyDescent="0.2">
      <c r="A1821" s="12" t="s">
        <v>5634</v>
      </c>
      <c r="B1821" t="s">
        <v>5635</v>
      </c>
      <c r="C1821" t="s">
        <v>5636</v>
      </c>
      <c r="D1821" t="s">
        <v>344</v>
      </c>
      <c r="E1821" t="s">
        <v>13</v>
      </c>
      <c r="F1821">
        <v>51</v>
      </c>
      <c r="G1821">
        <v>302</v>
      </c>
      <c r="H1821" s="5" t="s">
        <v>22</v>
      </c>
      <c r="I1821" s="5">
        <v>0</v>
      </c>
      <c r="J1821" s="5">
        <v>0</v>
      </c>
      <c r="K1821" t="s">
        <v>9553</v>
      </c>
      <c r="L1821" cm="1">
        <f t="array" ref="L1821">wordCount(K1821)</f>
        <v>13</v>
      </c>
      <c r="M1821">
        <f t="shared" si="56"/>
        <v>70</v>
      </c>
      <c r="N1821">
        <v>0.35714285714285715</v>
      </c>
      <c r="O1821" s="23" cm="1">
        <f t="array" ref="O1821">WordListCount(K1821,keywords!$A$2:$A$31)-WordListCount(K1821,keywords!$B$2:$B$31)</f>
        <v>0</v>
      </c>
      <c r="P1821" s="25">
        <f t="shared" si="57"/>
        <v>0.74486111111111108</v>
      </c>
      <c r="Q1821" s="23">
        <f>SUM($O$2:O1821)</f>
        <v>43</v>
      </c>
      <c r="Y1821" s="14"/>
      <c r="Z1821" s="13"/>
      <c r="AA1821"/>
    </row>
    <row r="1822" spans="1:27" x14ac:dyDescent="0.2">
      <c r="A1822" s="12" t="s">
        <v>5637</v>
      </c>
      <c r="B1822" t="s">
        <v>5638</v>
      </c>
      <c r="C1822" t="s">
        <v>5445</v>
      </c>
      <c r="D1822" t="s">
        <v>12</v>
      </c>
      <c r="E1822" t="s">
        <v>13</v>
      </c>
      <c r="F1822">
        <v>18</v>
      </c>
      <c r="G1822">
        <v>107</v>
      </c>
      <c r="H1822" s="5" t="s">
        <v>22</v>
      </c>
      <c r="I1822" s="5">
        <v>0</v>
      </c>
      <c r="J1822" s="5">
        <v>0</v>
      </c>
      <c r="K1822" t="s">
        <v>11081</v>
      </c>
      <c r="L1822" cm="1">
        <f t="array" ref="L1822">wordCount(K1822)</f>
        <v>12</v>
      </c>
      <c r="M1822">
        <f t="shared" si="56"/>
        <v>65</v>
      </c>
      <c r="N1822">
        <v>0.42857142857142855</v>
      </c>
      <c r="O1822" s="23" cm="1">
        <f t="array" ref="O1822">WordListCount(K1822,keywords!$A$2:$A$31)-WordListCount(K1822,keywords!$B$2:$B$31)</f>
        <v>0</v>
      </c>
      <c r="P1822" s="25">
        <f t="shared" si="57"/>
        <v>0.74488425925925927</v>
      </c>
      <c r="Q1822" s="23">
        <f>SUM($O$2:O1822)</f>
        <v>43</v>
      </c>
      <c r="Y1822" s="14"/>
      <c r="Z1822" s="13"/>
      <c r="AA1822"/>
    </row>
    <row r="1823" spans="1:27" x14ac:dyDescent="0.2">
      <c r="A1823" s="12" t="s">
        <v>5639</v>
      </c>
      <c r="B1823" t="s">
        <v>5611</v>
      </c>
      <c r="C1823" t="s">
        <v>5516</v>
      </c>
      <c r="D1823" t="s">
        <v>4481</v>
      </c>
      <c r="E1823" t="s">
        <v>13</v>
      </c>
      <c r="F1823">
        <v>62</v>
      </c>
      <c r="G1823">
        <v>231</v>
      </c>
      <c r="H1823" s="5" t="s">
        <v>22</v>
      </c>
      <c r="I1823" s="5">
        <v>0</v>
      </c>
      <c r="J1823" s="5">
        <v>0</v>
      </c>
      <c r="K1823" t="s">
        <v>11053</v>
      </c>
      <c r="L1823" cm="1">
        <f t="array" ref="L1823">wordCount(K1823)</f>
        <v>24</v>
      </c>
      <c r="M1823">
        <f t="shared" si="56"/>
        <v>122</v>
      </c>
      <c r="N1823">
        <v>0.95833333333333337</v>
      </c>
      <c r="O1823" s="23" cm="1">
        <f t="array" ref="O1823">WordListCount(K1823,keywords!$A$2:$A$31)-WordListCount(K1823,keywords!$B$2:$B$31)</f>
        <v>0</v>
      </c>
      <c r="P1823" s="25">
        <f t="shared" si="57"/>
        <v>0.7449189814814815</v>
      </c>
      <c r="Q1823" s="23">
        <f>SUM($O$2:O1823)</f>
        <v>43</v>
      </c>
      <c r="Y1823" s="14"/>
      <c r="Z1823" s="13"/>
      <c r="AA1823"/>
    </row>
    <row r="1824" spans="1:27" x14ac:dyDescent="0.2">
      <c r="A1824" s="12" t="s">
        <v>5640</v>
      </c>
      <c r="B1824" t="s">
        <v>5641</v>
      </c>
      <c r="C1824" t="s">
        <v>5642</v>
      </c>
      <c r="D1824" t="s">
        <v>12</v>
      </c>
      <c r="E1824" t="s">
        <v>13</v>
      </c>
      <c r="F1824">
        <v>357</v>
      </c>
      <c r="G1824">
        <v>40</v>
      </c>
      <c r="H1824" s="5" t="s">
        <v>22</v>
      </c>
      <c r="I1824" s="5">
        <v>0</v>
      </c>
      <c r="J1824" s="5">
        <v>0</v>
      </c>
      <c r="K1824" t="s">
        <v>11082</v>
      </c>
      <c r="L1824" cm="1">
        <f t="array" ref="L1824">wordCount(K1824)</f>
        <v>6</v>
      </c>
      <c r="M1824">
        <f t="shared" si="56"/>
        <v>22</v>
      </c>
      <c r="N1824">
        <v>0.81818181818181823</v>
      </c>
      <c r="O1824" s="23" cm="1">
        <f t="array" ref="O1824">WordListCount(K1824,keywords!$A$2:$A$31)-WordListCount(K1824,keywords!$B$2:$B$31)</f>
        <v>0</v>
      </c>
      <c r="P1824" s="25">
        <f t="shared" si="57"/>
        <v>0.74505787037037041</v>
      </c>
      <c r="Q1824" s="23">
        <f>SUM($O$2:O1824)</f>
        <v>43</v>
      </c>
      <c r="Y1824" s="14"/>
      <c r="Z1824" s="13"/>
      <c r="AA1824"/>
    </row>
    <row r="1825" spans="1:27" x14ac:dyDescent="0.2">
      <c r="A1825" s="12" t="s">
        <v>5643</v>
      </c>
      <c r="B1825" t="s">
        <v>5644</v>
      </c>
      <c r="C1825" t="s">
        <v>5645</v>
      </c>
      <c r="D1825" t="s">
        <v>5646</v>
      </c>
      <c r="E1825" t="s">
        <v>13</v>
      </c>
      <c r="F1825">
        <v>248</v>
      </c>
      <c r="G1825">
        <v>173</v>
      </c>
      <c r="H1825" s="5" t="s">
        <v>22</v>
      </c>
      <c r="I1825" s="5">
        <v>0</v>
      </c>
      <c r="J1825" s="5">
        <v>0</v>
      </c>
      <c r="K1825" t="s">
        <v>11083</v>
      </c>
      <c r="L1825" cm="1">
        <f t="array" ref="L1825">wordCount(K1825)</f>
        <v>21</v>
      </c>
      <c r="M1825">
        <f t="shared" si="56"/>
        <v>123</v>
      </c>
      <c r="N1825">
        <v>0.13636363636363635</v>
      </c>
      <c r="O1825" s="23" cm="1">
        <f t="array" ref="O1825">WordListCount(K1825,keywords!$A$2:$A$31)-WordListCount(K1825,keywords!$B$2:$B$31)</f>
        <v>2</v>
      </c>
      <c r="P1825" s="25">
        <f t="shared" si="57"/>
        <v>0.74512731481481476</v>
      </c>
      <c r="Q1825" s="23">
        <f>SUM($O$2:O1825)</f>
        <v>45</v>
      </c>
      <c r="Y1825" s="14"/>
      <c r="Z1825" s="13"/>
      <c r="AA1825"/>
    </row>
    <row r="1826" spans="1:27" x14ac:dyDescent="0.2">
      <c r="A1826" s="12" t="s">
        <v>5647</v>
      </c>
      <c r="B1826" t="s">
        <v>478</v>
      </c>
      <c r="C1826" t="s">
        <v>5648</v>
      </c>
      <c r="D1826" t="s">
        <v>12</v>
      </c>
      <c r="E1826" t="s">
        <v>13</v>
      </c>
      <c r="F1826">
        <v>13</v>
      </c>
      <c r="G1826">
        <v>526</v>
      </c>
      <c r="H1826" s="5" t="s">
        <v>22</v>
      </c>
      <c r="I1826" s="5">
        <v>0</v>
      </c>
      <c r="J1826" s="5">
        <v>0</v>
      </c>
      <c r="K1826" t="s">
        <v>9982</v>
      </c>
      <c r="L1826" cm="1">
        <f t="array" ref="L1826">wordCount(K1826)</f>
        <v>12</v>
      </c>
      <c r="M1826">
        <f t="shared" si="56"/>
        <v>66</v>
      </c>
      <c r="N1826">
        <v>1</v>
      </c>
      <c r="O1826" s="23" cm="1">
        <f t="array" ref="O1826">WordListCount(K1826,keywords!$A$2:$A$31)-WordListCount(K1826,keywords!$B$2:$B$31)</f>
        <v>1</v>
      </c>
      <c r="P1826" s="25">
        <f t="shared" si="57"/>
        <v>0.74526620370370367</v>
      </c>
      <c r="Q1826" s="23">
        <f>SUM($O$2:O1826)</f>
        <v>46</v>
      </c>
      <c r="Y1826" s="14"/>
      <c r="Z1826" s="13"/>
      <c r="AA1826"/>
    </row>
    <row r="1827" spans="1:27" x14ac:dyDescent="0.2">
      <c r="A1827" s="12" t="s">
        <v>5649</v>
      </c>
      <c r="B1827" t="s">
        <v>5650</v>
      </c>
      <c r="C1827" t="s">
        <v>5651</v>
      </c>
      <c r="D1827" t="s">
        <v>12</v>
      </c>
      <c r="E1827" t="s">
        <v>13</v>
      </c>
      <c r="F1827">
        <v>64</v>
      </c>
      <c r="G1827">
        <v>97</v>
      </c>
      <c r="H1827" s="5" t="s">
        <v>22</v>
      </c>
      <c r="I1827" s="5">
        <v>0</v>
      </c>
      <c r="J1827" s="5">
        <v>0</v>
      </c>
      <c r="K1827" t="s">
        <v>11084</v>
      </c>
      <c r="L1827" cm="1">
        <f t="array" ref="L1827">wordCount(K1827)</f>
        <v>11</v>
      </c>
      <c r="M1827">
        <f t="shared" si="56"/>
        <v>53</v>
      </c>
      <c r="N1827">
        <v>0.46666666666666667</v>
      </c>
      <c r="O1827" s="23" cm="1">
        <f t="array" ref="O1827">WordListCount(K1827,keywords!$A$2:$A$31)-WordListCount(K1827,keywords!$B$2:$B$31)</f>
        <v>0</v>
      </c>
      <c r="P1827" s="25">
        <f t="shared" si="57"/>
        <v>0.74550925925925926</v>
      </c>
      <c r="Q1827" s="23">
        <f>SUM($O$2:O1827)</f>
        <v>46</v>
      </c>
      <c r="Y1827" s="14"/>
      <c r="Z1827" s="13"/>
      <c r="AA1827"/>
    </row>
    <row r="1828" spans="1:27" x14ac:dyDescent="0.2">
      <c r="A1828" s="12" t="s">
        <v>5652</v>
      </c>
      <c r="B1828" t="s">
        <v>5653</v>
      </c>
      <c r="C1828" t="s">
        <v>5322</v>
      </c>
      <c r="D1828" t="s">
        <v>12</v>
      </c>
      <c r="E1828" t="s">
        <v>13</v>
      </c>
      <c r="F1828">
        <v>3795</v>
      </c>
      <c r="G1828">
        <v>95</v>
      </c>
      <c r="H1828" s="5" t="s">
        <v>59</v>
      </c>
      <c r="I1828" s="5">
        <v>0</v>
      </c>
      <c r="J1828" s="5">
        <v>0</v>
      </c>
      <c r="K1828" t="s">
        <v>11085</v>
      </c>
      <c r="L1828" cm="1">
        <f t="array" ref="L1828">wordCount(K1828)</f>
        <v>14</v>
      </c>
      <c r="M1828">
        <f t="shared" si="56"/>
        <v>63</v>
      </c>
      <c r="N1828">
        <v>0.35714285714285715</v>
      </c>
      <c r="O1828" s="23" cm="1">
        <f t="array" ref="O1828">WordListCount(K1828,keywords!$A$2:$A$31)-WordListCount(K1828,keywords!$B$2:$B$31)</f>
        <v>0</v>
      </c>
      <c r="P1828" s="25">
        <f t="shared" si="57"/>
        <v>0.74609953703703702</v>
      </c>
      <c r="Q1828" s="23">
        <f>SUM($O$2:O1828)</f>
        <v>46</v>
      </c>
      <c r="Y1828" s="14"/>
      <c r="Z1828" s="13"/>
      <c r="AA1828"/>
    </row>
    <row r="1829" spans="1:27" x14ac:dyDescent="0.2">
      <c r="A1829" s="12" t="s">
        <v>5654</v>
      </c>
      <c r="B1829" t="s">
        <v>5655</v>
      </c>
      <c r="C1829" t="s">
        <v>5656</v>
      </c>
      <c r="D1829" t="s">
        <v>12</v>
      </c>
      <c r="E1829" t="s">
        <v>13</v>
      </c>
      <c r="F1829">
        <v>1565</v>
      </c>
      <c r="G1829">
        <v>130</v>
      </c>
      <c r="H1829" s="5" t="s">
        <v>22</v>
      </c>
      <c r="I1829" s="5">
        <v>0</v>
      </c>
      <c r="J1829" s="5">
        <v>0</v>
      </c>
      <c r="K1829" t="s">
        <v>11086</v>
      </c>
      <c r="L1829" cm="1">
        <f t="array" ref="L1829">wordCount(K1829)</f>
        <v>15</v>
      </c>
      <c r="M1829">
        <f t="shared" si="56"/>
        <v>77</v>
      </c>
      <c r="N1829">
        <v>0.45833333333333331</v>
      </c>
      <c r="O1829" s="23" cm="1">
        <f t="array" ref="O1829">WordListCount(K1829,keywords!$A$2:$A$31)-WordListCount(K1829,keywords!$B$2:$B$31)</f>
        <v>0</v>
      </c>
      <c r="P1829" s="25">
        <f t="shared" si="57"/>
        <v>0.74635416666666676</v>
      </c>
      <c r="Q1829" s="23">
        <f>SUM($O$2:O1829)</f>
        <v>46</v>
      </c>
      <c r="Y1829" s="14"/>
      <c r="Z1829" s="13"/>
      <c r="AA1829"/>
    </row>
    <row r="1830" spans="1:27" x14ac:dyDescent="0.2">
      <c r="A1830" s="12" t="s">
        <v>5657</v>
      </c>
      <c r="B1830" t="s">
        <v>5658</v>
      </c>
      <c r="C1830" t="s">
        <v>2478</v>
      </c>
      <c r="D1830" t="s">
        <v>2479</v>
      </c>
      <c r="E1830" t="s">
        <v>13</v>
      </c>
      <c r="F1830">
        <v>312</v>
      </c>
      <c r="G1830">
        <v>79</v>
      </c>
      <c r="H1830" s="5" t="s">
        <v>22</v>
      </c>
      <c r="I1830" s="5">
        <v>0</v>
      </c>
      <c r="J1830" s="5">
        <v>0</v>
      </c>
      <c r="K1830" t="s">
        <v>11087</v>
      </c>
      <c r="L1830" cm="1">
        <f t="array" ref="L1830">wordCount(K1830)</f>
        <v>9</v>
      </c>
      <c r="M1830">
        <f t="shared" si="56"/>
        <v>52</v>
      </c>
      <c r="N1830">
        <v>0.44444444444444442</v>
      </c>
      <c r="O1830" s="23" cm="1">
        <f t="array" ref="O1830">WordListCount(K1830,keywords!$A$2:$A$31)-WordListCount(K1830,keywords!$B$2:$B$31)</f>
        <v>0</v>
      </c>
      <c r="P1830" s="25">
        <f t="shared" si="57"/>
        <v>0.74671296296296286</v>
      </c>
      <c r="Q1830" s="23">
        <f>SUM($O$2:O1830)</f>
        <v>46</v>
      </c>
      <c r="Y1830" s="14"/>
      <c r="Z1830" s="13"/>
      <c r="AA1830"/>
    </row>
    <row r="1831" spans="1:27" x14ac:dyDescent="0.2">
      <c r="A1831" s="12" t="s">
        <v>5659</v>
      </c>
      <c r="B1831" t="s">
        <v>5660</v>
      </c>
      <c r="C1831" t="s">
        <v>5661</v>
      </c>
      <c r="D1831" t="s">
        <v>5662</v>
      </c>
      <c r="E1831" t="s">
        <v>13</v>
      </c>
      <c r="F1831">
        <v>480</v>
      </c>
      <c r="G1831">
        <v>1223</v>
      </c>
      <c r="H1831" s="5" t="s">
        <v>22</v>
      </c>
      <c r="I1831" s="5">
        <v>0</v>
      </c>
      <c r="J1831" s="5">
        <v>0</v>
      </c>
      <c r="K1831" t="s">
        <v>11088</v>
      </c>
      <c r="L1831" cm="1">
        <f t="array" ref="L1831">wordCount(K1831)</f>
        <v>11</v>
      </c>
      <c r="M1831">
        <f t="shared" si="56"/>
        <v>51</v>
      </c>
      <c r="N1831">
        <v>0.27272727272727271</v>
      </c>
      <c r="O1831" s="23" cm="1">
        <f t="array" ref="O1831">WordListCount(K1831,keywords!$A$2:$A$31)-WordListCount(K1831,keywords!$B$2:$B$31)</f>
        <v>0</v>
      </c>
      <c r="P1831" s="25">
        <f t="shared" si="57"/>
        <v>0.74695601851851856</v>
      </c>
      <c r="Q1831" s="23">
        <f>SUM($O$2:O1831)</f>
        <v>46</v>
      </c>
      <c r="Y1831" s="14"/>
      <c r="Z1831" s="13"/>
      <c r="AA1831"/>
    </row>
    <row r="1832" spans="1:27" x14ac:dyDescent="0.2">
      <c r="A1832" s="12" t="s">
        <v>5663</v>
      </c>
      <c r="B1832" t="s">
        <v>5664</v>
      </c>
      <c r="C1832" t="s">
        <v>5665</v>
      </c>
      <c r="D1832" t="s">
        <v>5666</v>
      </c>
      <c r="E1832" t="s">
        <v>13</v>
      </c>
      <c r="F1832">
        <v>2280</v>
      </c>
      <c r="G1832">
        <v>1389</v>
      </c>
      <c r="H1832" s="5" t="s">
        <v>22</v>
      </c>
      <c r="I1832" s="5">
        <v>0</v>
      </c>
      <c r="J1832" s="5">
        <v>0</v>
      </c>
      <c r="K1832" t="s">
        <v>11089</v>
      </c>
      <c r="L1832" cm="1">
        <f t="array" ref="L1832">wordCount(K1832)</f>
        <v>7</v>
      </c>
      <c r="M1832">
        <f t="shared" si="56"/>
        <v>27</v>
      </c>
      <c r="N1832">
        <v>0.72222222222222221</v>
      </c>
      <c r="O1832" s="23" cm="1">
        <f t="array" ref="O1832">WordListCount(K1832,keywords!$A$2:$A$31)-WordListCount(K1832,keywords!$B$2:$B$31)</f>
        <v>0</v>
      </c>
      <c r="P1832" s="25">
        <f t="shared" si="57"/>
        <v>0.74714120370370374</v>
      </c>
      <c r="Q1832" s="23">
        <f>SUM($O$2:O1832)</f>
        <v>46</v>
      </c>
      <c r="Y1832" s="14"/>
      <c r="Z1832" s="13"/>
      <c r="AA1832"/>
    </row>
    <row r="1833" spans="1:27" x14ac:dyDescent="0.2">
      <c r="A1833" s="12" t="s">
        <v>5667</v>
      </c>
      <c r="B1833" t="s">
        <v>5668</v>
      </c>
      <c r="C1833" t="s">
        <v>5669</v>
      </c>
      <c r="D1833" t="s">
        <v>74</v>
      </c>
      <c r="E1833" t="s">
        <v>13</v>
      </c>
      <c r="F1833">
        <v>84</v>
      </c>
      <c r="G1833">
        <v>118</v>
      </c>
      <c r="H1833" s="5" t="s">
        <v>22</v>
      </c>
      <c r="I1833" s="5">
        <v>0</v>
      </c>
      <c r="J1833" s="5">
        <v>0</v>
      </c>
      <c r="K1833" t="s">
        <v>9554</v>
      </c>
      <c r="L1833" cm="1">
        <f t="array" ref="L1833">wordCount(K1833)</f>
        <v>4</v>
      </c>
      <c r="M1833">
        <f t="shared" si="56"/>
        <v>17</v>
      </c>
      <c r="N1833">
        <v>0.7</v>
      </c>
      <c r="O1833" s="23" cm="1">
        <f t="array" ref="O1833">WordListCount(K1833,keywords!$A$2:$A$31)-WordListCount(K1833,keywords!$B$2:$B$31)</f>
        <v>0</v>
      </c>
      <c r="P1833" s="25">
        <f t="shared" si="57"/>
        <v>0.74755787037037036</v>
      </c>
      <c r="Q1833" s="23">
        <f>SUM($O$2:O1833)</f>
        <v>46</v>
      </c>
      <c r="Y1833" s="14"/>
      <c r="Z1833" s="13"/>
      <c r="AA1833"/>
    </row>
    <row r="1834" spans="1:27" x14ac:dyDescent="0.2">
      <c r="A1834" s="12" t="s">
        <v>5670</v>
      </c>
      <c r="B1834" t="s">
        <v>5671</v>
      </c>
      <c r="C1834" t="s">
        <v>5672</v>
      </c>
      <c r="D1834" t="s">
        <v>3355</v>
      </c>
      <c r="E1834" t="s">
        <v>13</v>
      </c>
      <c r="F1834">
        <v>4809</v>
      </c>
      <c r="G1834">
        <v>693</v>
      </c>
      <c r="H1834" s="5" t="s">
        <v>22</v>
      </c>
      <c r="I1834" s="5">
        <v>0</v>
      </c>
      <c r="J1834" s="5">
        <v>0</v>
      </c>
      <c r="K1834" t="s">
        <v>9555</v>
      </c>
      <c r="L1834" cm="1">
        <f t="array" ref="L1834">wordCount(K1834)</f>
        <v>12</v>
      </c>
      <c r="M1834">
        <f t="shared" si="56"/>
        <v>74</v>
      </c>
      <c r="N1834">
        <v>0.65517241379310343</v>
      </c>
      <c r="O1834" s="23" cm="1">
        <f t="array" ref="O1834">WordListCount(K1834,keywords!$A$2:$A$31)-WordListCount(K1834,keywords!$B$2:$B$31)</f>
        <v>0</v>
      </c>
      <c r="P1834" s="25">
        <f t="shared" si="57"/>
        <v>0.74760416666666663</v>
      </c>
      <c r="Q1834" s="23">
        <f>SUM($O$2:O1834)</f>
        <v>46</v>
      </c>
      <c r="Y1834" s="14"/>
      <c r="Z1834" s="13"/>
      <c r="AA1834"/>
    </row>
    <row r="1835" spans="1:27" x14ac:dyDescent="0.2">
      <c r="A1835" s="12" t="s">
        <v>5673</v>
      </c>
      <c r="B1835" t="s">
        <v>5674</v>
      </c>
      <c r="C1835" t="s">
        <v>5675</v>
      </c>
      <c r="D1835" t="s">
        <v>12</v>
      </c>
      <c r="E1835" t="s">
        <v>13</v>
      </c>
      <c r="F1835">
        <v>19711</v>
      </c>
      <c r="G1835">
        <v>34</v>
      </c>
      <c r="H1835" s="5" t="s">
        <v>382</v>
      </c>
      <c r="I1835" s="5">
        <v>0</v>
      </c>
      <c r="J1835" s="5">
        <v>0</v>
      </c>
      <c r="K1835" t="s">
        <v>11090</v>
      </c>
      <c r="L1835" cm="1">
        <f t="array" ref="L1835">wordCount(K1835)</f>
        <v>10</v>
      </c>
      <c r="M1835">
        <f t="shared" si="56"/>
        <v>36</v>
      </c>
      <c r="N1835">
        <v>0.61904761904761907</v>
      </c>
      <c r="O1835" s="23" cm="1">
        <f t="array" ref="O1835">WordListCount(K1835,keywords!$A$2:$A$31)-WordListCount(K1835,keywords!$B$2:$B$31)</f>
        <v>0</v>
      </c>
      <c r="P1835" s="25">
        <f t="shared" si="57"/>
        <v>0.74761574074074078</v>
      </c>
      <c r="Q1835" s="23">
        <f>SUM($O$2:O1835)</f>
        <v>46</v>
      </c>
      <c r="Y1835" s="14"/>
      <c r="Z1835" s="13"/>
      <c r="AA1835"/>
    </row>
    <row r="1836" spans="1:27" x14ac:dyDescent="0.2">
      <c r="A1836" s="12" t="s">
        <v>5676</v>
      </c>
      <c r="B1836" t="s">
        <v>5677</v>
      </c>
      <c r="C1836" t="s">
        <v>5678</v>
      </c>
      <c r="D1836" t="s">
        <v>12</v>
      </c>
      <c r="E1836" t="s">
        <v>13</v>
      </c>
      <c r="F1836">
        <v>88</v>
      </c>
      <c r="G1836">
        <v>87</v>
      </c>
      <c r="H1836" s="5" t="s">
        <v>22</v>
      </c>
      <c r="I1836" s="5">
        <v>0</v>
      </c>
      <c r="J1836" s="5">
        <v>0</v>
      </c>
      <c r="K1836" t="s">
        <v>11091</v>
      </c>
      <c r="L1836" cm="1">
        <f t="array" ref="L1836">wordCount(K1836)</f>
        <v>25</v>
      </c>
      <c r="M1836">
        <f t="shared" si="56"/>
        <v>121</v>
      </c>
      <c r="N1836">
        <v>0.52777777777777779</v>
      </c>
      <c r="O1836" s="23" cm="1">
        <f t="array" ref="O1836">WordListCount(K1836,keywords!$A$2:$A$31)-WordListCount(K1836,keywords!$B$2:$B$31)</f>
        <v>0</v>
      </c>
      <c r="P1836" s="25">
        <f t="shared" si="57"/>
        <v>0.74803240740740751</v>
      </c>
      <c r="Q1836" s="23">
        <f>SUM($O$2:O1836)</f>
        <v>46</v>
      </c>
      <c r="Y1836" s="14"/>
      <c r="Z1836" s="13"/>
      <c r="AA1836"/>
    </row>
    <row r="1837" spans="1:27" x14ac:dyDescent="0.2">
      <c r="A1837" s="12" t="s">
        <v>5679</v>
      </c>
      <c r="B1837" t="s">
        <v>5680</v>
      </c>
      <c r="C1837" t="s">
        <v>5681</v>
      </c>
      <c r="D1837" t="s">
        <v>12</v>
      </c>
      <c r="E1837" t="s">
        <v>13</v>
      </c>
      <c r="F1837">
        <v>48</v>
      </c>
      <c r="G1837">
        <v>149</v>
      </c>
      <c r="H1837" s="5" t="s">
        <v>677</v>
      </c>
      <c r="I1837" s="5">
        <v>0</v>
      </c>
      <c r="J1837" s="5">
        <v>0</v>
      </c>
      <c r="K1837" t="s">
        <v>9556</v>
      </c>
      <c r="L1837" cm="1">
        <f t="array" ref="L1837">wordCount(K1837)</f>
        <v>22</v>
      </c>
      <c r="M1837">
        <f t="shared" si="56"/>
        <v>97</v>
      </c>
      <c r="N1837">
        <v>0.55263157894736847</v>
      </c>
      <c r="O1837" s="23" cm="1">
        <f t="array" ref="O1837">WordListCount(K1837,keywords!$A$2:$A$31)-WordListCount(K1837,keywords!$B$2:$B$31)</f>
        <v>0</v>
      </c>
      <c r="P1837" s="25">
        <f t="shared" si="57"/>
        <v>0.74821759259259257</v>
      </c>
      <c r="Q1837" s="23">
        <f>SUM($O$2:O1837)</f>
        <v>46</v>
      </c>
      <c r="Y1837" s="14"/>
      <c r="Z1837" s="13"/>
      <c r="AA1837"/>
    </row>
    <row r="1838" spans="1:27" x14ac:dyDescent="0.2">
      <c r="A1838" s="12" t="s">
        <v>5682</v>
      </c>
      <c r="B1838" t="s">
        <v>5683</v>
      </c>
      <c r="C1838" t="s">
        <v>5669</v>
      </c>
      <c r="D1838" t="s">
        <v>74</v>
      </c>
      <c r="E1838" t="s">
        <v>13</v>
      </c>
      <c r="F1838">
        <v>84</v>
      </c>
      <c r="G1838">
        <v>118</v>
      </c>
      <c r="H1838" s="5" t="s">
        <v>22</v>
      </c>
      <c r="I1838" s="5">
        <v>0</v>
      </c>
      <c r="J1838" s="5">
        <v>0</v>
      </c>
      <c r="K1838" t="s">
        <v>9557</v>
      </c>
      <c r="L1838" cm="1">
        <f t="array" ref="L1838">wordCount(K1838)</f>
        <v>3</v>
      </c>
      <c r="M1838">
        <f t="shared" si="56"/>
        <v>8</v>
      </c>
      <c r="N1838">
        <v>0.94444444444444442</v>
      </c>
      <c r="O1838" s="23" cm="1">
        <f t="array" ref="O1838">WordListCount(K1838,keywords!$A$2:$A$31)-WordListCount(K1838,keywords!$B$2:$B$31)</f>
        <v>0</v>
      </c>
      <c r="P1838" s="25">
        <f t="shared" si="57"/>
        <v>0.74846064814814817</v>
      </c>
      <c r="Q1838" s="23">
        <f>SUM($O$2:O1838)</f>
        <v>46</v>
      </c>
      <c r="Y1838" s="14"/>
      <c r="Z1838" s="13"/>
      <c r="AA1838"/>
    </row>
    <row r="1839" spans="1:27" x14ac:dyDescent="0.2">
      <c r="A1839" s="12" t="s">
        <v>5684</v>
      </c>
      <c r="B1839" t="s">
        <v>5685</v>
      </c>
      <c r="C1839" t="s">
        <v>5678</v>
      </c>
      <c r="D1839" t="s">
        <v>12</v>
      </c>
      <c r="E1839" t="s">
        <v>13</v>
      </c>
      <c r="F1839">
        <v>88</v>
      </c>
      <c r="G1839">
        <v>87</v>
      </c>
      <c r="H1839" s="5" t="s">
        <v>22</v>
      </c>
      <c r="I1839" s="5">
        <v>0</v>
      </c>
      <c r="J1839" s="5">
        <v>0</v>
      </c>
      <c r="K1839" t="s">
        <v>11092</v>
      </c>
      <c r="L1839" cm="1">
        <f t="array" ref="L1839">wordCount(K1839)</f>
        <v>14</v>
      </c>
      <c r="M1839">
        <f t="shared" si="56"/>
        <v>73</v>
      </c>
      <c r="N1839">
        <v>0.54166666666666663</v>
      </c>
      <c r="O1839" s="23" cm="1">
        <f t="array" ref="O1839">WordListCount(K1839,keywords!$A$2:$A$31)-WordListCount(K1839,keywords!$B$2:$B$31)</f>
        <v>0</v>
      </c>
      <c r="P1839" s="25">
        <f t="shared" si="57"/>
        <v>0.74854166666666666</v>
      </c>
      <c r="Q1839" s="23">
        <f>SUM($O$2:O1839)</f>
        <v>46</v>
      </c>
      <c r="Y1839" s="14"/>
      <c r="Z1839" s="13"/>
      <c r="AA1839"/>
    </row>
    <row r="1840" spans="1:27" x14ac:dyDescent="0.2">
      <c r="A1840" s="12" t="s">
        <v>5686</v>
      </c>
      <c r="B1840" t="s">
        <v>5687</v>
      </c>
      <c r="C1840" t="s">
        <v>5688</v>
      </c>
      <c r="D1840" t="s">
        <v>5689</v>
      </c>
      <c r="E1840" t="s">
        <v>13</v>
      </c>
      <c r="F1840">
        <v>22095</v>
      </c>
      <c r="G1840">
        <v>273</v>
      </c>
      <c r="H1840" s="5" t="s">
        <v>22</v>
      </c>
      <c r="I1840" s="5">
        <v>0</v>
      </c>
      <c r="J1840" s="5">
        <v>0</v>
      </c>
      <c r="K1840" t="s">
        <v>9558</v>
      </c>
      <c r="L1840" cm="1">
        <f t="array" ref="L1840">wordCount(K1840)</f>
        <v>7</v>
      </c>
      <c r="M1840">
        <f t="shared" si="56"/>
        <v>47</v>
      </c>
      <c r="N1840">
        <v>0.6</v>
      </c>
      <c r="O1840" s="23" cm="1">
        <f t="array" ref="O1840">WordListCount(K1840,keywords!$A$2:$A$31)-WordListCount(K1840,keywords!$B$2:$B$31)</f>
        <v>0</v>
      </c>
      <c r="P1840" s="25">
        <f t="shared" si="57"/>
        <v>0.74869212962962972</v>
      </c>
      <c r="Q1840" s="23">
        <f>SUM($O$2:O1840)</f>
        <v>46</v>
      </c>
      <c r="Y1840" s="14"/>
      <c r="Z1840" s="13"/>
      <c r="AA1840"/>
    </row>
    <row r="1841" spans="1:27" x14ac:dyDescent="0.2">
      <c r="A1841" s="12" t="s">
        <v>5690</v>
      </c>
      <c r="B1841" t="s">
        <v>5691</v>
      </c>
      <c r="C1841" t="s">
        <v>5692</v>
      </c>
      <c r="D1841" t="s">
        <v>12</v>
      </c>
      <c r="E1841" t="s">
        <v>13</v>
      </c>
      <c r="F1841">
        <v>22</v>
      </c>
      <c r="G1841">
        <v>192</v>
      </c>
      <c r="H1841" s="5" t="s">
        <v>677</v>
      </c>
      <c r="I1841" s="5">
        <v>0</v>
      </c>
      <c r="J1841" s="5">
        <v>0</v>
      </c>
      <c r="K1841" t="s">
        <v>11093</v>
      </c>
      <c r="L1841" cm="1">
        <f t="array" ref="L1841">wordCount(K1841)</f>
        <v>18</v>
      </c>
      <c r="M1841">
        <f t="shared" si="56"/>
        <v>93</v>
      </c>
      <c r="N1841">
        <v>0.5</v>
      </c>
      <c r="O1841" s="23" cm="1">
        <f t="array" ref="O1841">WordListCount(K1841,keywords!$A$2:$A$31)-WordListCount(K1841,keywords!$B$2:$B$31)</f>
        <v>0</v>
      </c>
      <c r="P1841" s="25">
        <f t="shared" si="57"/>
        <v>0.74874999999999992</v>
      </c>
      <c r="Q1841" s="23">
        <f>SUM($O$2:O1841)</f>
        <v>46</v>
      </c>
      <c r="Y1841" s="14"/>
      <c r="Z1841" s="13"/>
      <c r="AA1841"/>
    </row>
    <row r="1842" spans="1:27" x14ac:dyDescent="0.2">
      <c r="A1842" s="12" t="s">
        <v>5693</v>
      </c>
      <c r="B1842" t="s">
        <v>5694</v>
      </c>
      <c r="C1842" t="s">
        <v>5695</v>
      </c>
      <c r="D1842" t="s">
        <v>231</v>
      </c>
      <c r="E1842" t="s">
        <v>13</v>
      </c>
      <c r="F1842">
        <v>178</v>
      </c>
      <c r="G1842">
        <v>135</v>
      </c>
      <c r="H1842" s="5" t="s">
        <v>22</v>
      </c>
      <c r="I1842" s="5">
        <v>0</v>
      </c>
      <c r="J1842" s="5">
        <v>0</v>
      </c>
      <c r="K1842" t="s">
        <v>9559</v>
      </c>
      <c r="L1842" cm="1">
        <f t="array" ref="L1842">wordCount(K1842)</f>
        <v>16</v>
      </c>
      <c r="M1842">
        <f t="shared" si="56"/>
        <v>85</v>
      </c>
      <c r="N1842">
        <v>0.26315789473684209</v>
      </c>
      <c r="O1842" s="23" cm="1">
        <f t="array" ref="O1842">WordListCount(K1842,keywords!$A$2:$A$31)-WordListCount(K1842,keywords!$B$2:$B$31)</f>
        <v>0</v>
      </c>
      <c r="P1842" s="25">
        <f t="shared" si="57"/>
        <v>0.7489351851851852</v>
      </c>
      <c r="Q1842" s="23">
        <f>SUM($O$2:O1842)</f>
        <v>46</v>
      </c>
      <c r="Y1842" s="14"/>
      <c r="Z1842" s="13"/>
      <c r="AA1842"/>
    </row>
    <row r="1843" spans="1:27" x14ac:dyDescent="0.2">
      <c r="A1843" s="12" t="s">
        <v>5696</v>
      </c>
      <c r="B1843" t="s">
        <v>5697</v>
      </c>
      <c r="C1843" t="s">
        <v>5695</v>
      </c>
      <c r="D1843" t="s">
        <v>231</v>
      </c>
      <c r="E1843" t="s">
        <v>13</v>
      </c>
      <c r="F1843">
        <v>178</v>
      </c>
      <c r="G1843">
        <v>135</v>
      </c>
      <c r="H1843" s="5" t="s">
        <v>22</v>
      </c>
      <c r="I1843" s="5">
        <v>0</v>
      </c>
      <c r="J1843" s="5">
        <v>0</v>
      </c>
      <c r="K1843" t="s">
        <v>9560</v>
      </c>
      <c r="L1843" cm="1">
        <f t="array" ref="L1843">wordCount(K1843)</f>
        <v>16</v>
      </c>
      <c r="M1843">
        <f t="shared" si="56"/>
        <v>85</v>
      </c>
      <c r="N1843">
        <v>0.94117647058823528</v>
      </c>
      <c r="O1843" s="23" cm="1">
        <f t="array" ref="O1843">WordListCount(K1843,keywords!$A$2:$A$31)-WordListCount(K1843,keywords!$B$2:$B$31)</f>
        <v>0</v>
      </c>
      <c r="P1843" s="25">
        <f t="shared" si="57"/>
        <v>0.74916666666666665</v>
      </c>
      <c r="Q1843" s="23">
        <f>SUM($O$2:O1843)</f>
        <v>46</v>
      </c>
      <c r="Y1843" s="14"/>
      <c r="Z1843" s="13"/>
      <c r="AA1843"/>
    </row>
    <row r="1844" spans="1:27" x14ac:dyDescent="0.2">
      <c r="A1844" s="12" t="s">
        <v>5698</v>
      </c>
      <c r="B1844" t="s">
        <v>5699</v>
      </c>
      <c r="C1844" t="s">
        <v>5700</v>
      </c>
      <c r="D1844" t="s">
        <v>12</v>
      </c>
      <c r="E1844" t="s">
        <v>13</v>
      </c>
      <c r="F1844">
        <v>10</v>
      </c>
      <c r="G1844">
        <v>155</v>
      </c>
      <c r="H1844" s="5" t="s">
        <v>22</v>
      </c>
      <c r="I1844" s="5">
        <v>0</v>
      </c>
      <c r="J1844" s="5">
        <v>0</v>
      </c>
      <c r="K1844" t="s">
        <v>11094</v>
      </c>
      <c r="L1844" cm="1">
        <f t="array" ref="L1844">wordCount(K1844)</f>
        <v>17</v>
      </c>
      <c r="M1844">
        <f t="shared" si="56"/>
        <v>77</v>
      </c>
      <c r="N1844">
        <v>0.54166666666666663</v>
      </c>
      <c r="O1844" s="23" cm="1">
        <f t="array" ref="O1844">WordListCount(K1844,keywords!$A$2:$A$31)-WordListCount(K1844,keywords!$B$2:$B$31)</f>
        <v>-1</v>
      </c>
      <c r="P1844" s="25">
        <f t="shared" si="57"/>
        <v>0.74954861111111104</v>
      </c>
      <c r="Q1844" s="23">
        <f>SUM($O$2:O1844)</f>
        <v>45</v>
      </c>
      <c r="Y1844" s="14"/>
      <c r="Z1844" s="13"/>
      <c r="AA1844"/>
    </row>
    <row r="1845" spans="1:27" x14ac:dyDescent="0.2">
      <c r="A1845" s="12" t="s">
        <v>5701</v>
      </c>
      <c r="B1845" t="s">
        <v>5702</v>
      </c>
      <c r="C1845" t="s">
        <v>5695</v>
      </c>
      <c r="D1845" t="s">
        <v>231</v>
      </c>
      <c r="E1845" t="s">
        <v>13</v>
      </c>
      <c r="F1845">
        <v>178</v>
      </c>
      <c r="G1845">
        <v>135</v>
      </c>
      <c r="H1845" s="5" t="s">
        <v>22</v>
      </c>
      <c r="I1845" s="5">
        <v>0</v>
      </c>
      <c r="J1845" s="5">
        <v>0</v>
      </c>
      <c r="K1845" t="s">
        <v>9560</v>
      </c>
      <c r="L1845" cm="1">
        <f t="array" ref="L1845">wordCount(K1845)</f>
        <v>16</v>
      </c>
      <c r="M1845">
        <f t="shared" si="56"/>
        <v>85</v>
      </c>
      <c r="N1845">
        <v>0.94117647058823528</v>
      </c>
      <c r="O1845" s="23" cm="1">
        <f t="array" ref="O1845">WordListCount(K1845,keywords!$A$2:$A$31)-WordListCount(K1845,keywords!$B$2:$B$31)</f>
        <v>0</v>
      </c>
      <c r="P1845" s="25">
        <f t="shared" si="57"/>
        <v>0.74979166666666675</v>
      </c>
      <c r="Q1845" s="23">
        <f>SUM($O$2:O1845)</f>
        <v>45</v>
      </c>
      <c r="Y1845" s="14"/>
      <c r="Z1845" s="13"/>
      <c r="AA1845"/>
    </row>
    <row r="1846" spans="1:27" x14ac:dyDescent="0.2">
      <c r="A1846" s="12" t="s">
        <v>5701</v>
      </c>
      <c r="B1846" t="s">
        <v>5703</v>
      </c>
      <c r="C1846" t="s">
        <v>5704</v>
      </c>
      <c r="D1846" t="s">
        <v>12</v>
      </c>
      <c r="E1846" t="s">
        <v>13</v>
      </c>
      <c r="F1846">
        <v>1</v>
      </c>
      <c r="G1846">
        <v>0</v>
      </c>
      <c r="H1846" s="5" t="s">
        <v>22</v>
      </c>
      <c r="I1846" s="5">
        <v>0</v>
      </c>
      <c r="J1846" s="5">
        <v>0</v>
      </c>
      <c r="K1846" t="s">
        <v>11095</v>
      </c>
      <c r="L1846" cm="1">
        <f t="array" ref="L1846">wordCount(K1846)</f>
        <v>14</v>
      </c>
      <c r="M1846">
        <f t="shared" si="56"/>
        <v>82</v>
      </c>
      <c r="N1846">
        <v>0.47368421052631576</v>
      </c>
      <c r="O1846" s="23" cm="1">
        <f t="array" ref="O1846">WordListCount(K1846,keywords!$A$2:$A$31)-WordListCount(K1846,keywords!$B$2:$B$31)</f>
        <v>0</v>
      </c>
      <c r="P1846" s="25">
        <f t="shared" si="57"/>
        <v>0.74979166666666675</v>
      </c>
      <c r="Q1846" s="23">
        <f>SUM($O$2:O1846)</f>
        <v>45</v>
      </c>
      <c r="Y1846" s="14"/>
      <c r="Z1846" s="13"/>
      <c r="AA1846"/>
    </row>
    <row r="1847" spans="1:27" x14ac:dyDescent="0.2">
      <c r="A1847" s="12" t="s">
        <v>5705</v>
      </c>
      <c r="B1847" t="s">
        <v>5706</v>
      </c>
      <c r="C1847" t="s">
        <v>5707</v>
      </c>
      <c r="D1847" t="s">
        <v>12</v>
      </c>
      <c r="E1847" t="s">
        <v>13</v>
      </c>
      <c r="F1847">
        <v>32</v>
      </c>
      <c r="G1847">
        <v>45</v>
      </c>
      <c r="H1847" s="5" t="s">
        <v>96</v>
      </c>
      <c r="I1847" s="5">
        <v>0</v>
      </c>
      <c r="J1847" s="5">
        <v>0</v>
      </c>
      <c r="K1847" t="s">
        <v>9561</v>
      </c>
      <c r="L1847" cm="1">
        <f t="array" ref="L1847">wordCount(K1847)</f>
        <v>2</v>
      </c>
      <c r="M1847">
        <f t="shared" si="56"/>
        <v>10</v>
      </c>
      <c r="N1847">
        <v>0.8</v>
      </c>
      <c r="O1847" s="23" cm="1">
        <f t="array" ref="O1847">WordListCount(K1847,keywords!$A$2:$A$31)-WordListCount(K1847,keywords!$B$2:$B$31)</f>
        <v>0</v>
      </c>
      <c r="P1847" s="25">
        <f t="shared" si="57"/>
        <v>0.74990740740740736</v>
      </c>
      <c r="Q1847" s="23">
        <f>SUM($O$2:O1847)</f>
        <v>45</v>
      </c>
      <c r="Y1847" s="14"/>
      <c r="Z1847" s="13"/>
      <c r="AA1847"/>
    </row>
    <row r="1848" spans="1:27" x14ac:dyDescent="0.2">
      <c r="A1848" s="12" t="s">
        <v>5708</v>
      </c>
      <c r="B1848" t="s">
        <v>5709</v>
      </c>
      <c r="C1848" t="s">
        <v>5214</v>
      </c>
      <c r="D1848" t="s">
        <v>5215</v>
      </c>
      <c r="E1848" t="s">
        <v>13</v>
      </c>
      <c r="F1848">
        <v>2058</v>
      </c>
      <c r="G1848">
        <v>503</v>
      </c>
      <c r="H1848" s="5" t="s">
        <v>22</v>
      </c>
      <c r="I1848" s="5">
        <v>0</v>
      </c>
      <c r="J1848" s="5">
        <v>0</v>
      </c>
      <c r="K1848" t="s">
        <v>11096</v>
      </c>
      <c r="L1848" cm="1">
        <f t="array" ref="L1848">wordCount(K1848)</f>
        <v>23</v>
      </c>
      <c r="M1848">
        <f t="shared" si="56"/>
        <v>110</v>
      </c>
      <c r="N1848">
        <v>0.95454545454545459</v>
      </c>
      <c r="O1848" s="23" cm="1">
        <f t="array" ref="O1848">WordListCount(K1848,keywords!$A$2:$A$31)-WordListCount(K1848,keywords!$B$2:$B$31)</f>
        <v>1</v>
      </c>
      <c r="P1848" s="25">
        <f t="shared" si="57"/>
        <v>0.74995370370370373</v>
      </c>
      <c r="Q1848" s="23">
        <f>SUM($O$2:O1848)</f>
        <v>46</v>
      </c>
      <c r="Y1848" s="14"/>
      <c r="Z1848" s="13"/>
      <c r="AA1848"/>
    </row>
    <row r="1849" spans="1:27" x14ac:dyDescent="0.2">
      <c r="A1849" s="12" t="s">
        <v>5710</v>
      </c>
      <c r="B1849" t="s">
        <v>5711</v>
      </c>
      <c r="C1849" t="s">
        <v>586</v>
      </c>
      <c r="D1849" t="s">
        <v>12</v>
      </c>
      <c r="E1849" t="s">
        <v>13</v>
      </c>
      <c r="F1849">
        <v>236</v>
      </c>
      <c r="G1849">
        <v>2</v>
      </c>
      <c r="H1849" s="5" t="s">
        <v>22</v>
      </c>
      <c r="I1849" s="5">
        <v>0</v>
      </c>
      <c r="J1849" s="5">
        <v>0</v>
      </c>
      <c r="K1849" t="s">
        <v>11097</v>
      </c>
      <c r="L1849" cm="1">
        <f t="array" ref="L1849">wordCount(K1849)</f>
        <v>19</v>
      </c>
      <c r="M1849">
        <f t="shared" si="56"/>
        <v>107</v>
      </c>
      <c r="N1849">
        <v>0.76190476190476186</v>
      </c>
      <c r="O1849" s="23" cm="1">
        <f t="array" ref="O1849">WordListCount(K1849,keywords!$A$2:$A$31)-WordListCount(K1849,keywords!$B$2:$B$31)</f>
        <v>0</v>
      </c>
      <c r="P1849" s="25">
        <f t="shared" si="57"/>
        <v>0.75</v>
      </c>
      <c r="Q1849" s="23">
        <f>SUM($O$2:O1849)</f>
        <v>46</v>
      </c>
      <c r="Y1849" s="14"/>
      <c r="Z1849" s="13"/>
      <c r="AA1849"/>
    </row>
    <row r="1850" spans="1:27" x14ac:dyDescent="0.2">
      <c r="A1850" s="12" t="s">
        <v>5716</v>
      </c>
      <c r="B1850" t="s">
        <v>5717</v>
      </c>
      <c r="C1850" t="s">
        <v>596</v>
      </c>
      <c r="D1850" t="s">
        <v>597</v>
      </c>
      <c r="E1850" t="s">
        <v>13</v>
      </c>
      <c r="F1850">
        <v>997</v>
      </c>
      <c r="G1850">
        <v>1</v>
      </c>
      <c r="H1850" s="5" t="s">
        <v>382</v>
      </c>
      <c r="I1850" s="5">
        <v>0</v>
      </c>
      <c r="J1850" s="5">
        <v>0</v>
      </c>
      <c r="K1850" t="s">
        <v>9562</v>
      </c>
      <c r="L1850" cm="1">
        <f t="array" ref="L1850">wordCount(K1850)</f>
        <v>5</v>
      </c>
      <c r="M1850">
        <f t="shared" si="56"/>
        <v>30</v>
      </c>
      <c r="N1850">
        <v>0.8</v>
      </c>
      <c r="O1850" s="23" cm="1">
        <f t="array" ref="O1850">WordListCount(K1850,keywords!$A$2:$A$31)-WordListCount(K1850,keywords!$B$2:$B$31)</f>
        <v>0</v>
      </c>
      <c r="P1850" s="25">
        <f t="shared" si="57"/>
        <v>0.75001157407407415</v>
      </c>
      <c r="Q1850" s="23">
        <f>SUM($O$2:O1850)</f>
        <v>46</v>
      </c>
      <c r="Y1850" s="14"/>
      <c r="Z1850" s="13"/>
      <c r="AA1850"/>
    </row>
    <row r="1851" spans="1:27" x14ac:dyDescent="0.2">
      <c r="A1851" s="12" t="s">
        <v>5712</v>
      </c>
      <c r="B1851" t="s">
        <v>5719</v>
      </c>
      <c r="C1851" t="s">
        <v>589</v>
      </c>
      <c r="D1851" t="s">
        <v>590</v>
      </c>
      <c r="E1851" t="s">
        <v>13</v>
      </c>
      <c r="F1851">
        <v>385</v>
      </c>
      <c r="G1851">
        <v>72</v>
      </c>
      <c r="H1851" s="5" t="s">
        <v>22</v>
      </c>
      <c r="I1851" s="5">
        <v>0</v>
      </c>
      <c r="J1851" s="5">
        <v>0</v>
      </c>
      <c r="K1851" t="s">
        <v>11099</v>
      </c>
      <c r="L1851" cm="1">
        <f t="array" ref="L1851">wordCount(K1851)</f>
        <v>9</v>
      </c>
      <c r="M1851">
        <f t="shared" si="56"/>
        <v>56</v>
      </c>
      <c r="N1851">
        <v>0.81818181818181823</v>
      </c>
      <c r="O1851" s="23" cm="1">
        <f t="array" ref="O1851">WordListCount(K1851,keywords!$A$2:$A$31)-WordListCount(K1851,keywords!$B$2:$B$31)</f>
        <v>0</v>
      </c>
      <c r="P1851" s="25">
        <f t="shared" si="57"/>
        <v>0.75002314814814808</v>
      </c>
      <c r="Q1851" s="23">
        <f>SUM($O$2:O1851)</f>
        <v>46</v>
      </c>
      <c r="Y1851" s="14"/>
      <c r="Z1851" s="13"/>
      <c r="AA1851"/>
    </row>
    <row r="1852" spans="1:27" x14ac:dyDescent="0.2">
      <c r="A1852" s="12" t="s">
        <v>5712</v>
      </c>
      <c r="B1852" t="s">
        <v>5720</v>
      </c>
      <c r="C1852" t="s">
        <v>599</v>
      </c>
      <c r="D1852" t="s">
        <v>74</v>
      </c>
      <c r="E1852" t="s">
        <v>13</v>
      </c>
      <c r="F1852">
        <v>580</v>
      </c>
      <c r="G1852">
        <v>0</v>
      </c>
      <c r="H1852" s="5" t="s">
        <v>22</v>
      </c>
      <c r="I1852" s="5">
        <v>0</v>
      </c>
      <c r="J1852" s="5">
        <v>0</v>
      </c>
      <c r="K1852" t="s">
        <v>11100</v>
      </c>
      <c r="L1852" cm="1">
        <f t="array" ref="L1852">wordCount(K1852)</f>
        <v>11</v>
      </c>
      <c r="M1852">
        <f t="shared" si="56"/>
        <v>64</v>
      </c>
      <c r="N1852">
        <v>0.84615384615384615</v>
      </c>
      <c r="O1852" s="23" cm="1">
        <f t="array" ref="O1852">WordListCount(K1852,keywords!$A$2:$A$31)-WordListCount(K1852,keywords!$B$2:$B$31)</f>
        <v>0</v>
      </c>
      <c r="P1852" s="25">
        <f t="shared" si="57"/>
        <v>0.75002314814814808</v>
      </c>
      <c r="Q1852" s="23">
        <f>SUM($O$2:O1852)</f>
        <v>46</v>
      </c>
      <c r="Y1852" s="14"/>
      <c r="Z1852" s="13"/>
      <c r="AA1852"/>
    </row>
    <row r="1853" spans="1:27" x14ac:dyDescent="0.2">
      <c r="A1853" s="12" t="s">
        <v>5712</v>
      </c>
      <c r="B1853" t="s">
        <v>5721</v>
      </c>
      <c r="C1853" t="s">
        <v>5722</v>
      </c>
      <c r="D1853" t="s">
        <v>12</v>
      </c>
      <c r="E1853" t="s">
        <v>13</v>
      </c>
      <c r="F1853">
        <v>720</v>
      </c>
      <c r="G1853">
        <v>142</v>
      </c>
      <c r="H1853" s="5" t="s">
        <v>22</v>
      </c>
      <c r="I1853" s="5">
        <v>0</v>
      </c>
      <c r="J1853" s="5">
        <v>0</v>
      </c>
      <c r="K1853" t="s">
        <v>11101</v>
      </c>
      <c r="L1853" cm="1">
        <f t="array" ref="L1853">wordCount(K1853)</f>
        <v>13</v>
      </c>
      <c r="M1853">
        <f t="shared" si="56"/>
        <v>61</v>
      </c>
      <c r="N1853">
        <v>0.59090909090909094</v>
      </c>
      <c r="O1853" s="23" cm="1">
        <f t="array" ref="O1853">WordListCount(K1853,keywords!$A$2:$A$31)-WordListCount(K1853,keywords!$B$2:$B$31)</f>
        <v>0</v>
      </c>
      <c r="P1853" s="25">
        <f t="shared" si="57"/>
        <v>0.75002314814814808</v>
      </c>
      <c r="Q1853" s="23">
        <f>SUM($O$2:O1853)</f>
        <v>46</v>
      </c>
      <c r="Y1853" s="14"/>
      <c r="Z1853" s="13"/>
      <c r="AA1853"/>
    </row>
    <row r="1854" spans="1:27" x14ac:dyDescent="0.2">
      <c r="A1854" s="12" t="s">
        <v>5712</v>
      </c>
      <c r="B1854" t="s">
        <v>5713</v>
      </c>
      <c r="C1854" t="s">
        <v>5714</v>
      </c>
      <c r="D1854" t="s">
        <v>5715</v>
      </c>
      <c r="E1854" t="s">
        <v>13</v>
      </c>
      <c r="F1854">
        <v>1721</v>
      </c>
      <c r="G1854">
        <v>1117</v>
      </c>
      <c r="H1854" s="5" t="s">
        <v>22</v>
      </c>
      <c r="I1854" s="5">
        <v>0</v>
      </c>
      <c r="J1854" s="5">
        <v>0</v>
      </c>
      <c r="K1854" t="s">
        <v>11098</v>
      </c>
      <c r="L1854" cm="1">
        <f t="array" ref="L1854">wordCount(K1854)</f>
        <v>17</v>
      </c>
      <c r="M1854">
        <f t="shared" si="56"/>
        <v>98</v>
      </c>
      <c r="N1854">
        <v>0.11764705882352941</v>
      </c>
      <c r="O1854" s="23" cm="1">
        <f t="array" ref="O1854">WordListCount(K1854,keywords!$A$2:$A$31)-WordListCount(K1854,keywords!$B$2:$B$31)</f>
        <v>0</v>
      </c>
      <c r="P1854" s="25">
        <f t="shared" si="57"/>
        <v>0.75002314814814808</v>
      </c>
      <c r="Q1854" s="23">
        <f>SUM($O$2:O1854)</f>
        <v>46</v>
      </c>
      <c r="Y1854" s="14"/>
      <c r="Z1854" s="13"/>
      <c r="AA1854"/>
    </row>
    <row r="1855" spans="1:27" x14ac:dyDescent="0.2">
      <c r="A1855" s="12" t="s">
        <v>5712</v>
      </c>
      <c r="B1855" t="s">
        <v>5718</v>
      </c>
      <c r="C1855" t="s">
        <v>306</v>
      </c>
      <c r="D1855" t="s">
        <v>307</v>
      </c>
      <c r="E1855" t="s">
        <v>13</v>
      </c>
      <c r="F1855">
        <v>227</v>
      </c>
      <c r="G1855">
        <v>1</v>
      </c>
      <c r="H1855" s="5" t="s">
        <v>22</v>
      </c>
      <c r="I1855" s="5">
        <v>0</v>
      </c>
      <c r="J1855" s="5">
        <v>0</v>
      </c>
      <c r="K1855" t="s">
        <v>9563</v>
      </c>
      <c r="L1855" cm="1">
        <f t="array" ref="L1855">wordCount(K1855)</f>
        <v>7</v>
      </c>
      <c r="M1855">
        <f t="shared" si="56"/>
        <v>105</v>
      </c>
      <c r="N1855">
        <v>0.53846153846153844</v>
      </c>
      <c r="O1855" s="23" cm="1">
        <f t="array" ref="O1855">WordListCount(K1855,keywords!$A$2:$A$31)-WordListCount(K1855,keywords!$B$2:$B$31)</f>
        <v>0</v>
      </c>
      <c r="P1855" s="25">
        <f t="shared" si="57"/>
        <v>0.75002314814814808</v>
      </c>
      <c r="Q1855" s="23">
        <f>SUM($O$2:O1855)</f>
        <v>46</v>
      </c>
      <c r="Y1855" s="14"/>
      <c r="Z1855" s="13"/>
      <c r="AA1855"/>
    </row>
    <row r="1856" spans="1:27" x14ac:dyDescent="0.2">
      <c r="A1856" s="12" t="s">
        <v>5723</v>
      </c>
      <c r="B1856" t="s">
        <v>5726</v>
      </c>
      <c r="C1856" t="s">
        <v>604</v>
      </c>
      <c r="D1856" t="s">
        <v>605</v>
      </c>
      <c r="E1856" t="s">
        <v>13</v>
      </c>
      <c r="F1856">
        <v>168</v>
      </c>
      <c r="G1856">
        <v>115</v>
      </c>
      <c r="H1856" s="5" t="s">
        <v>22</v>
      </c>
      <c r="I1856" s="5">
        <v>0</v>
      </c>
      <c r="J1856" s="5">
        <v>0</v>
      </c>
      <c r="K1856" t="s">
        <v>11102</v>
      </c>
      <c r="L1856" cm="1">
        <f t="array" ref="L1856">wordCount(K1856)</f>
        <v>13</v>
      </c>
      <c r="M1856">
        <f t="shared" si="56"/>
        <v>68</v>
      </c>
      <c r="N1856">
        <v>0.75</v>
      </c>
      <c r="O1856" s="23" cm="1">
        <f t="array" ref="O1856">WordListCount(K1856,keywords!$A$2:$A$31)-WordListCount(K1856,keywords!$B$2:$B$31)</f>
        <v>0</v>
      </c>
      <c r="P1856" s="25">
        <f t="shared" si="57"/>
        <v>0.75006944444444434</v>
      </c>
      <c r="Q1856" s="23">
        <f>SUM($O$2:O1856)</f>
        <v>46</v>
      </c>
      <c r="Y1856" s="14"/>
      <c r="Z1856" s="13"/>
      <c r="AA1856"/>
    </row>
    <row r="1857" spans="1:27" x14ac:dyDescent="0.2">
      <c r="A1857" s="12" t="s">
        <v>5723</v>
      </c>
      <c r="B1857" t="s">
        <v>5724</v>
      </c>
      <c r="C1857" t="s">
        <v>5725</v>
      </c>
      <c r="D1857" t="s">
        <v>12</v>
      </c>
      <c r="E1857" t="s">
        <v>13</v>
      </c>
      <c r="F1857">
        <v>14</v>
      </c>
      <c r="G1857">
        <v>15</v>
      </c>
      <c r="H1857" s="5" t="s">
        <v>22</v>
      </c>
      <c r="I1857" s="5">
        <v>0</v>
      </c>
      <c r="J1857" s="5">
        <v>0</v>
      </c>
      <c r="K1857" t="s">
        <v>9564</v>
      </c>
      <c r="L1857" cm="1">
        <f t="array" ref="L1857">wordCount(K1857)</f>
        <v>7</v>
      </c>
      <c r="M1857">
        <f t="shared" si="56"/>
        <v>47</v>
      </c>
      <c r="N1857">
        <v>0.53333333333333333</v>
      </c>
      <c r="O1857" s="23" cm="1">
        <f t="array" ref="O1857">WordListCount(K1857,keywords!$A$2:$A$31)-WordListCount(K1857,keywords!$B$2:$B$31)</f>
        <v>0</v>
      </c>
      <c r="P1857" s="25">
        <f t="shared" si="57"/>
        <v>0.75006944444444434</v>
      </c>
      <c r="Q1857" s="23">
        <f>SUM($O$2:O1857)</f>
        <v>46</v>
      </c>
      <c r="Y1857" s="14"/>
      <c r="Z1857" s="13"/>
      <c r="AA1857"/>
    </row>
    <row r="1858" spans="1:27" x14ac:dyDescent="0.2">
      <c r="A1858" s="12" t="s">
        <v>5727</v>
      </c>
      <c r="B1858" t="s">
        <v>5728</v>
      </c>
      <c r="C1858" t="s">
        <v>3777</v>
      </c>
      <c r="D1858" t="s">
        <v>3778</v>
      </c>
      <c r="E1858" t="s">
        <v>13</v>
      </c>
      <c r="F1858">
        <v>43</v>
      </c>
      <c r="G1858">
        <v>38</v>
      </c>
      <c r="H1858" s="5" t="s">
        <v>22</v>
      </c>
      <c r="I1858" s="5">
        <v>0</v>
      </c>
      <c r="J1858" s="5">
        <v>0</v>
      </c>
      <c r="K1858" t="s">
        <v>9565</v>
      </c>
      <c r="L1858" cm="1">
        <f t="array" ref="L1858">wordCount(K1858)</f>
        <v>21</v>
      </c>
      <c r="M1858">
        <f t="shared" ref="M1858:M1921" si="58">LEN(K1858)</f>
        <v>98</v>
      </c>
      <c r="N1858">
        <v>0.5757575757575758</v>
      </c>
      <c r="O1858" s="23" cm="1">
        <f t="array" ref="O1858">WordListCount(K1858,keywords!$A$2:$A$31)-WordListCount(K1858,keywords!$B$2:$B$31)</f>
        <v>0</v>
      </c>
      <c r="P1858" s="25">
        <f t="shared" ref="P1858:P1921" si="59">TIMEVALUE(RIGHT(A1858,8))</f>
        <v>0.75008101851851849</v>
      </c>
      <c r="Q1858" s="23">
        <f>SUM($O$2:O1858)</f>
        <v>46</v>
      </c>
      <c r="Y1858" s="14"/>
      <c r="Z1858" s="13"/>
      <c r="AA1858"/>
    </row>
    <row r="1859" spans="1:27" x14ac:dyDescent="0.2">
      <c r="A1859" s="12" t="s">
        <v>5729</v>
      </c>
      <c r="B1859" t="s">
        <v>5730</v>
      </c>
      <c r="C1859" t="s">
        <v>617</v>
      </c>
      <c r="D1859" t="s">
        <v>12</v>
      </c>
      <c r="E1859" t="s">
        <v>13</v>
      </c>
      <c r="F1859">
        <v>8724</v>
      </c>
      <c r="G1859">
        <v>268</v>
      </c>
      <c r="H1859" s="5" t="s">
        <v>22</v>
      </c>
      <c r="I1859" s="5">
        <v>0</v>
      </c>
      <c r="J1859" s="5">
        <v>0</v>
      </c>
      <c r="K1859" t="s">
        <v>11103</v>
      </c>
      <c r="L1859" cm="1">
        <f t="array" ref="L1859">wordCount(K1859)</f>
        <v>14</v>
      </c>
      <c r="M1859">
        <f t="shared" si="58"/>
        <v>101</v>
      </c>
      <c r="N1859">
        <v>0.8571428571428571</v>
      </c>
      <c r="O1859" s="23" cm="1">
        <f t="array" ref="O1859">WordListCount(K1859,keywords!$A$2:$A$31)-WordListCount(K1859,keywords!$B$2:$B$31)</f>
        <v>0</v>
      </c>
      <c r="P1859" s="25">
        <f t="shared" si="59"/>
        <v>0.75016203703703699</v>
      </c>
      <c r="Q1859" s="23">
        <f>SUM($O$2:O1859)</f>
        <v>46</v>
      </c>
      <c r="Y1859" s="14"/>
      <c r="Z1859" s="13"/>
      <c r="AA1859"/>
    </row>
    <row r="1860" spans="1:27" x14ac:dyDescent="0.2">
      <c r="A1860" s="12" t="s">
        <v>5731</v>
      </c>
      <c r="B1860" t="s">
        <v>5732</v>
      </c>
      <c r="C1860" t="s">
        <v>5733</v>
      </c>
      <c r="D1860" t="s">
        <v>4069</v>
      </c>
      <c r="E1860" t="s">
        <v>13</v>
      </c>
      <c r="F1860">
        <v>1309</v>
      </c>
      <c r="G1860">
        <v>4954</v>
      </c>
      <c r="H1860" s="5" t="s">
        <v>22</v>
      </c>
      <c r="I1860" s="5">
        <v>0</v>
      </c>
      <c r="J1860" s="5">
        <v>0</v>
      </c>
      <c r="K1860" t="s">
        <v>11104</v>
      </c>
      <c r="L1860" cm="1">
        <f t="array" ref="L1860">wordCount(K1860)</f>
        <v>29</v>
      </c>
      <c r="M1860">
        <f t="shared" si="58"/>
        <v>130</v>
      </c>
      <c r="N1860">
        <v>0.20689655172413793</v>
      </c>
      <c r="O1860" s="23" cm="1">
        <f t="array" ref="O1860">WordListCount(K1860,keywords!$A$2:$A$31)-WordListCount(K1860,keywords!$B$2:$B$31)</f>
        <v>0</v>
      </c>
      <c r="P1860" s="25">
        <f t="shared" si="59"/>
        <v>0.75019675925925933</v>
      </c>
      <c r="Q1860" s="23">
        <f>SUM($O$2:O1860)</f>
        <v>46</v>
      </c>
      <c r="Y1860" s="14"/>
      <c r="Z1860" s="13"/>
      <c r="AA1860"/>
    </row>
    <row r="1861" spans="1:27" x14ac:dyDescent="0.2">
      <c r="A1861" s="12" t="s">
        <v>5734</v>
      </c>
      <c r="B1861" t="s">
        <v>5735</v>
      </c>
      <c r="C1861" t="s">
        <v>5736</v>
      </c>
      <c r="D1861" t="s">
        <v>12</v>
      </c>
      <c r="E1861" t="s">
        <v>13</v>
      </c>
      <c r="F1861">
        <v>158</v>
      </c>
      <c r="G1861">
        <v>274</v>
      </c>
      <c r="H1861" s="5" t="s">
        <v>22</v>
      </c>
      <c r="I1861" s="5">
        <v>0</v>
      </c>
      <c r="J1861" s="5">
        <v>0</v>
      </c>
      <c r="K1861" t="s">
        <v>11105</v>
      </c>
      <c r="L1861" cm="1">
        <f t="array" ref="L1861">wordCount(K1861)</f>
        <v>12</v>
      </c>
      <c r="M1861">
        <f t="shared" si="58"/>
        <v>58</v>
      </c>
      <c r="N1861">
        <v>0.35714285714285715</v>
      </c>
      <c r="O1861" s="23" cm="1">
        <f t="array" ref="O1861">WordListCount(K1861,keywords!$A$2:$A$31)-WordListCount(K1861,keywords!$B$2:$B$31)</f>
        <v>0</v>
      </c>
      <c r="P1861" s="25">
        <f t="shared" si="59"/>
        <v>0.75025462962962963</v>
      </c>
      <c r="Q1861" s="23">
        <f>SUM($O$2:O1861)</f>
        <v>46</v>
      </c>
      <c r="Y1861" s="14"/>
      <c r="Z1861" s="13"/>
      <c r="AA1861"/>
    </row>
    <row r="1862" spans="1:27" x14ac:dyDescent="0.2">
      <c r="A1862" s="12" t="s">
        <v>5737</v>
      </c>
      <c r="B1862" t="s">
        <v>5738</v>
      </c>
      <c r="C1862" t="s">
        <v>5214</v>
      </c>
      <c r="D1862" t="s">
        <v>5215</v>
      </c>
      <c r="E1862" t="s">
        <v>13</v>
      </c>
      <c r="F1862">
        <v>2059</v>
      </c>
      <c r="G1862">
        <v>503</v>
      </c>
      <c r="H1862" s="5" t="s">
        <v>22</v>
      </c>
      <c r="I1862" s="5">
        <v>0</v>
      </c>
      <c r="J1862" s="5">
        <v>0</v>
      </c>
      <c r="K1862" t="s">
        <v>11106</v>
      </c>
      <c r="L1862" cm="1">
        <f t="array" ref="L1862">wordCount(K1862)</f>
        <v>23</v>
      </c>
      <c r="M1862">
        <f t="shared" si="58"/>
        <v>109</v>
      </c>
      <c r="N1862">
        <v>0.61904761904761907</v>
      </c>
      <c r="O1862" s="23" cm="1">
        <f t="array" ref="O1862">WordListCount(K1862,keywords!$A$2:$A$31)-WordListCount(K1862,keywords!$B$2:$B$31)</f>
        <v>1</v>
      </c>
      <c r="P1862" s="25">
        <f t="shared" si="59"/>
        <v>0.75028935185185175</v>
      </c>
      <c r="Q1862" s="23">
        <f>SUM($O$2:O1862)</f>
        <v>47</v>
      </c>
      <c r="Y1862" s="14"/>
      <c r="Z1862" s="13"/>
      <c r="AA1862"/>
    </row>
    <row r="1863" spans="1:27" x14ac:dyDescent="0.2">
      <c r="A1863" s="12" t="s">
        <v>5739</v>
      </c>
      <c r="B1863" t="s">
        <v>5740</v>
      </c>
      <c r="C1863" t="s">
        <v>5741</v>
      </c>
      <c r="D1863" t="s">
        <v>5742</v>
      </c>
      <c r="E1863" t="s">
        <v>13</v>
      </c>
      <c r="F1863">
        <v>336</v>
      </c>
      <c r="G1863">
        <v>158</v>
      </c>
      <c r="H1863" s="5" t="s">
        <v>22</v>
      </c>
      <c r="I1863" s="5">
        <v>0</v>
      </c>
      <c r="J1863" s="5">
        <v>0</v>
      </c>
      <c r="K1863" t="s">
        <v>11107</v>
      </c>
      <c r="L1863" cm="1">
        <f t="array" ref="L1863">wordCount(K1863)</f>
        <v>4</v>
      </c>
      <c r="M1863">
        <f t="shared" si="58"/>
        <v>24</v>
      </c>
      <c r="N1863">
        <v>0.84615384615384615</v>
      </c>
      <c r="O1863" s="23" cm="1">
        <f t="array" ref="O1863">WordListCount(K1863,keywords!$A$2:$A$31)-WordListCount(K1863,keywords!$B$2:$B$31)</f>
        <v>0</v>
      </c>
      <c r="P1863" s="25">
        <f t="shared" si="59"/>
        <v>0.7503009259259259</v>
      </c>
      <c r="Q1863" s="23">
        <f>SUM($O$2:O1863)</f>
        <v>47</v>
      </c>
      <c r="Y1863" s="14"/>
      <c r="Z1863" s="13"/>
      <c r="AA1863"/>
    </row>
    <row r="1864" spans="1:27" x14ac:dyDescent="0.2">
      <c r="A1864" s="12" t="s">
        <v>5743</v>
      </c>
      <c r="B1864" t="s">
        <v>5744</v>
      </c>
      <c r="C1864" t="s">
        <v>631</v>
      </c>
      <c r="D1864" t="s">
        <v>12</v>
      </c>
      <c r="E1864" t="s">
        <v>13</v>
      </c>
      <c r="F1864">
        <v>93</v>
      </c>
      <c r="G1864">
        <v>2</v>
      </c>
      <c r="H1864" s="5" t="s">
        <v>86</v>
      </c>
      <c r="I1864" s="5">
        <v>0</v>
      </c>
      <c r="J1864" s="5">
        <v>0</v>
      </c>
      <c r="K1864" t="s">
        <v>9566</v>
      </c>
      <c r="L1864" cm="1">
        <f t="array" ref="L1864">wordCount(K1864)</f>
        <v>8</v>
      </c>
      <c r="M1864">
        <f t="shared" si="58"/>
        <v>43</v>
      </c>
      <c r="N1864">
        <v>0.77777777777777779</v>
      </c>
      <c r="O1864" s="23" cm="1">
        <f t="array" ref="O1864">WordListCount(K1864,keywords!$A$2:$A$31)-WordListCount(K1864,keywords!$B$2:$B$31)</f>
        <v>0</v>
      </c>
      <c r="P1864" s="25">
        <f t="shared" si="59"/>
        <v>0.75035879629629632</v>
      </c>
      <c r="Q1864" s="23">
        <f>SUM($O$2:O1864)</f>
        <v>47</v>
      </c>
      <c r="Y1864" s="14"/>
      <c r="Z1864" s="13"/>
      <c r="AA1864"/>
    </row>
    <row r="1865" spans="1:27" x14ac:dyDescent="0.2">
      <c r="A1865" s="12" t="s">
        <v>5745</v>
      </c>
      <c r="B1865" t="s">
        <v>5746</v>
      </c>
      <c r="C1865" t="s">
        <v>5695</v>
      </c>
      <c r="D1865" t="s">
        <v>231</v>
      </c>
      <c r="E1865" t="s">
        <v>13</v>
      </c>
      <c r="F1865">
        <v>178</v>
      </c>
      <c r="G1865">
        <v>135</v>
      </c>
      <c r="H1865" s="5" t="s">
        <v>22</v>
      </c>
      <c r="I1865" s="5">
        <v>0</v>
      </c>
      <c r="J1865" s="5">
        <v>0</v>
      </c>
      <c r="K1865" t="s">
        <v>9567</v>
      </c>
      <c r="L1865" cm="1">
        <f t="array" ref="L1865">wordCount(K1865)</f>
        <v>19</v>
      </c>
      <c r="M1865">
        <f t="shared" si="58"/>
        <v>93</v>
      </c>
      <c r="N1865">
        <v>0.88888888888888884</v>
      </c>
      <c r="O1865" s="23" cm="1">
        <f t="array" ref="O1865">WordListCount(K1865,keywords!$A$2:$A$31)-WordListCount(K1865,keywords!$B$2:$B$31)</f>
        <v>0</v>
      </c>
      <c r="P1865" s="25">
        <f t="shared" si="59"/>
        <v>0.75037037037037047</v>
      </c>
      <c r="Q1865" s="23">
        <f>SUM($O$2:O1865)</f>
        <v>47</v>
      </c>
      <c r="Y1865" s="14"/>
      <c r="Z1865" s="13"/>
      <c r="AA1865"/>
    </row>
    <row r="1866" spans="1:27" x14ac:dyDescent="0.2">
      <c r="A1866" s="12" t="s">
        <v>5747</v>
      </c>
      <c r="B1866" t="s">
        <v>5748</v>
      </c>
      <c r="C1866" t="s">
        <v>5749</v>
      </c>
      <c r="D1866" t="s">
        <v>5750</v>
      </c>
      <c r="E1866" t="s">
        <v>13</v>
      </c>
      <c r="F1866">
        <v>85</v>
      </c>
      <c r="G1866">
        <v>0</v>
      </c>
      <c r="H1866" s="5" t="s">
        <v>22</v>
      </c>
      <c r="I1866" s="5">
        <v>0</v>
      </c>
      <c r="J1866" s="5">
        <v>0</v>
      </c>
      <c r="K1866" t="s">
        <v>11108</v>
      </c>
      <c r="L1866" cm="1">
        <f t="array" ref="L1866">wordCount(K1866)</f>
        <v>12</v>
      </c>
      <c r="M1866">
        <f t="shared" si="58"/>
        <v>52</v>
      </c>
      <c r="N1866">
        <v>0.72727272727272729</v>
      </c>
      <c r="O1866" s="23" cm="1">
        <f t="array" ref="O1866">WordListCount(K1866,keywords!$A$2:$A$31)-WordListCount(K1866,keywords!$B$2:$B$31)</f>
        <v>0</v>
      </c>
      <c r="P1866" s="25">
        <f t="shared" si="59"/>
        <v>0.75070601851851848</v>
      </c>
      <c r="Q1866" s="23">
        <f>SUM($O$2:O1866)</f>
        <v>47</v>
      </c>
      <c r="Y1866" s="14"/>
      <c r="Z1866" s="13"/>
      <c r="AA1866"/>
    </row>
    <row r="1867" spans="1:27" x14ac:dyDescent="0.2">
      <c r="A1867" s="12" t="s">
        <v>5751</v>
      </c>
      <c r="B1867" t="s">
        <v>5752</v>
      </c>
      <c r="C1867" t="s">
        <v>5753</v>
      </c>
      <c r="D1867" t="s">
        <v>5754</v>
      </c>
      <c r="E1867" t="s">
        <v>13</v>
      </c>
      <c r="F1867">
        <v>0</v>
      </c>
      <c r="G1867">
        <v>1</v>
      </c>
      <c r="H1867" s="5" t="s">
        <v>22</v>
      </c>
      <c r="I1867" s="5">
        <v>0</v>
      </c>
      <c r="J1867" s="5">
        <v>0</v>
      </c>
      <c r="K1867" t="s">
        <v>9568</v>
      </c>
      <c r="L1867" cm="1">
        <f t="array" ref="L1867">wordCount(K1867)</f>
        <v>9</v>
      </c>
      <c r="M1867">
        <f t="shared" si="58"/>
        <v>33</v>
      </c>
      <c r="N1867">
        <v>0.6</v>
      </c>
      <c r="O1867" s="23" cm="1">
        <f t="array" ref="O1867">WordListCount(K1867,keywords!$A$2:$A$31)-WordListCount(K1867,keywords!$B$2:$B$31)</f>
        <v>0</v>
      </c>
      <c r="P1867" s="25">
        <f t="shared" si="59"/>
        <v>0.75079861111111112</v>
      </c>
      <c r="Q1867" s="23">
        <f>SUM($O$2:O1867)</f>
        <v>47</v>
      </c>
      <c r="Y1867" s="14"/>
      <c r="Z1867" s="13"/>
      <c r="AA1867"/>
    </row>
    <row r="1868" spans="1:27" x14ac:dyDescent="0.2">
      <c r="A1868" s="12" t="s">
        <v>5755</v>
      </c>
      <c r="B1868" t="s">
        <v>5756</v>
      </c>
      <c r="C1868" t="s">
        <v>21</v>
      </c>
      <c r="D1868" t="s">
        <v>12</v>
      </c>
      <c r="E1868" t="s">
        <v>13</v>
      </c>
      <c r="F1868">
        <v>44</v>
      </c>
      <c r="G1868">
        <v>9</v>
      </c>
      <c r="H1868" s="5" t="s">
        <v>22</v>
      </c>
      <c r="I1868" s="5">
        <v>0</v>
      </c>
      <c r="J1868" s="5">
        <v>0</v>
      </c>
      <c r="K1868" t="s">
        <v>9569</v>
      </c>
      <c r="L1868" cm="1">
        <f t="array" ref="L1868">wordCount(K1868)</f>
        <v>5</v>
      </c>
      <c r="M1868">
        <f t="shared" si="58"/>
        <v>28</v>
      </c>
      <c r="N1868">
        <v>0.875</v>
      </c>
      <c r="O1868" s="23" cm="1">
        <f t="array" ref="O1868">WordListCount(K1868,keywords!$A$2:$A$31)-WordListCount(K1868,keywords!$B$2:$B$31)</f>
        <v>0</v>
      </c>
      <c r="P1868" s="25">
        <f t="shared" si="59"/>
        <v>0.75092592592592589</v>
      </c>
      <c r="Q1868" s="23">
        <f>SUM($O$2:O1868)</f>
        <v>47</v>
      </c>
      <c r="Y1868" s="14"/>
      <c r="Z1868" s="13"/>
      <c r="AA1868"/>
    </row>
    <row r="1869" spans="1:27" x14ac:dyDescent="0.2">
      <c r="A1869" s="12" t="s">
        <v>5757</v>
      </c>
      <c r="B1869" t="s">
        <v>5758</v>
      </c>
      <c r="C1869" t="s">
        <v>73</v>
      </c>
      <c r="D1869" t="s">
        <v>74</v>
      </c>
      <c r="E1869" t="s">
        <v>13</v>
      </c>
      <c r="F1869">
        <v>87</v>
      </c>
      <c r="G1869">
        <v>237</v>
      </c>
      <c r="H1869" s="5" t="s">
        <v>22</v>
      </c>
      <c r="I1869" s="5">
        <v>0</v>
      </c>
      <c r="J1869" s="5">
        <v>0</v>
      </c>
      <c r="K1869" t="s">
        <v>9570</v>
      </c>
      <c r="L1869" cm="1">
        <f t="array" ref="L1869">wordCount(K1869)</f>
        <v>7</v>
      </c>
      <c r="M1869">
        <f t="shared" si="58"/>
        <v>37</v>
      </c>
      <c r="N1869">
        <v>1</v>
      </c>
      <c r="O1869" s="23" cm="1">
        <f t="array" ref="O1869">WordListCount(K1869,keywords!$A$2:$A$31)-WordListCount(K1869,keywords!$B$2:$B$31)</f>
        <v>0</v>
      </c>
      <c r="P1869" s="25">
        <f t="shared" si="59"/>
        <v>0.75093750000000004</v>
      </c>
      <c r="Q1869" s="23">
        <f>SUM($O$2:O1869)</f>
        <v>47</v>
      </c>
      <c r="Y1869" s="14"/>
      <c r="Z1869" s="13"/>
      <c r="AA1869"/>
    </row>
    <row r="1870" spans="1:27" x14ac:dyDescent="0.2">
      <c r="A1870" s="12" t="s">
        <v>5759</v>
      </c>
      <c r="B1870" t="s">
        <v>5760</v>
      </c>
      <c r="C1870" t="s">
        <v>310</v>
      </c>
      <c r="D1870" t="s">
        <v>12</v>
      </c>
      <c r="E1870" t="s">
        <v>13</v>
      </c>
      <c r="F1870">
        <v>3634</v>
      </c>
      <c r="G1870">
        <v>3732</v>
      </c>
      <c r="H1870" s="5" t="s">
        <v>22</v>
      </c>
      <c r="I1870" s="5">
        <v>0</v>
      </c>
      <c r="J1870" s="5">
        <v>0</v>
      </c>
      <c r="K1870" t="s">
        <v>9571</v>
      </c>
      <c r="L1870" cm="1">
        <f t="array" ref="L1870">wordCount(K1870)</f>
        <v>12</v>
      </c>
      <c r="M1870">
        <f t="shared" si="58"/>
        <v>86</v>
      </c>
      <c r="N1870">
        <v>0.42105263157894735</v>
      </c>
      <c r="O1870" s="23" cm="1">
        <f t="array" ref="O1870">WordListCount(K1870,keywords!$A$2:$A$31)-WordListCount(K1870,keywords!$B$2:$B$31)</f>
        <v>0</v>
      </c>
      <c r="P1870" s="25">
        <f t="shared" si="59"/>
        <v>0.7509837962962963</v>
      </c>
      <c r="Q1870" s="23">
        <f>SUM($O$2:O1870)</f>
        <v>47</v>
      </c>
      <c r="Y1870" s="14"/>
      <c r="Z1870" s="13"/>
      <c r="AA1870"/>
    </row>
    <row r="1871" spans="1:27" x14ac:dyDescent="0.2">
      <c r="A1871" s="12" t="s">
        <v>5761</v>
      </c>
      <c r="B1871" t="s">
        <v>5762</v>
      </c>
      <c r="C1871" t="s">
        <v>5763</v>
      </c>
      <c r="D1871" t="s">
        <v>5764</v>
      </c>
      <c r="E1871" t="s">
        <v>13</v>
      </c>
      <c r="F1871">
        <v>498</v>
      </c>
      <c r="G1871">
        <v>2922</v>
      </c>
      <c r="H1871" s="5" t="s">
        <v>22</v>
      </c>
      <c r="I1871" s="5">
        <v>0</v>
      </c>
      <c r="J1871" s="5">
        <v>0</v>
      </c>
      <c r="K1871" t="s">
        <v>11109</v>
      </c>
      <c r="L1871" cm="1">
        <f t="array" ref="L1871">wordCount(K1871)</f>
        <v>21</v>
      </c>
      <c r="M1871">
        <f t="shared" si="58"/>
        <v>102</v>
      </c>
      <c r="N1871">
        <v>0.2608695652173913</v>
      </c>
      <c r="O1871" s="23" cm="1">
        <f t="array" ref="O1871">WordListCount(K1871,keywords!$A$2:$A$31)-WordListCount(K1871,keywords!$B$2:$B$31)</f>
        <v>0</v>
      </c>
      <c r="P1871" s="25">
        <f t="shared" si="59"/>
        <v>0.7512847222222222</v>
      </c>
      <c r="Q1871" s="23">
        <f>SUM($O$2:O1871)</f>
        <v>47</v>
      </c>
      <c r="Y1871" s="14"/>
      <c r="Z1871" s="13"/>
      <c r="AA1871"/>
    </row>
    <row r="1872" spans="1:27" x14ac:dyDescent="0.2">
      <c r="A1872" s="12" t="s">
        <v>5765</v>
      </c>
      <c r="B1872" t="s">
        <v>5766</v>
      </c>
      <c r="C1872" t="s">
        <v>1718</v>
      </c>
      <c r="D1872" t="s">
        <v>1719</v>
      </c>
      <c r="E1872" t="s">
        <v>13</v>
      </c>
      <c r="F1872">
        <v>4</v>
      </c>
      <c r="G1872">
        <v>0</v>
      </c>
      <c r="H1872" s="5" t="s">
        <v>22</v>
      </c>
      <c r="I1872" s="5">
        <v>0</v>
      </c>
      <c r="J1872" s="5">
        <v>0</v>
      </c>
      <c r="K1872" t="s">
        <v>11110</v>
      </c>
      <c r="L1872" cm="1">
        <f t="array" ref="L1872">wordCount(K1872)</f>
        <v>15</v>
      </c>
      <c r="M1872">
        <f t="shared" si="58"/>
        <v>75</v>
      </c>
      <c r="N1872">
        <v>0.45454545454545453</v>
      </c>
      <c r="O1872" s="23" cm="1">
        <f t="array" ref="O1872">WordListCount(K1872,keywords!$A$2:$A$31)-WordListCount(K1872,keywords!$B$2:$B$31)</f>
        <v>0</v>
      </c>
      <c r="P1872" s="25">
        <f t="shared" si="59"/>
        <v>0.75134259259259262</v>
      </c>
      <c r="Q1872" s="23">
        <f>SUM($O$2:O1872)</f>
        <v>47</v>
      </c>
      <c r="Y1872" s="14"/>
      <c r="Z1872" s="13"/>
      <c r="AA1872"/>
    </row>
    <row r="1873" spans="1:27" x14ac:dyDescent="0.2">
      <c r="A1873" s="12" t="s">
        <v>5767</v>
      </c>
      <c r="B1873" t="s">
        <v>5768</v>
      </c>
      <c r="C1873" t="s">
        <v>634</v>
      </c>
      <c r="D1873" t="s">
        <v>635</v>
      </c>
      <c r="E1873" t="s">
        <v>13</v>
      </c>
      <c r="F1873">
        <v>2122</v>
      </c>
      <c r="G1873">
        <v>4146</v>
      </c>
      <c r="H1873" s="5" t="s">
        <v>22</v>
      </c>
      <c r="I1873" s="5">
        <v>0</v>
      </c>
      <c r="J1873" s="5">
        <v>0</v>
      </c>
      <c r="K1873" t="s">
        <v>9572</v>
      </c>
      <c r="L1873" cm="1">
        <f t="array" ref="L1873">wordCount(K1873)</f>
        <v>21</v>
      </c>
      <c r="M1873">
        <f t="shared" si="58"/>
        <v>102</v>
      </c>
      <c r="N1873">
        <v>0.55000000000000004</v>
      </c>
      <c r="O1873" s="23" cm="1">
        <f t="array" ref="O1873">WordListCount(K1873,keywords!$A$2:$A$31)-WordListCount(K1873,keywords!$B$2:$B$31)</f>
        <v>2</v>
      </c>
      <c r="P1873" s="25">
        <f t="shared" si="59"/>
        <v>0.75149305555555557</v>
      </c>
      <c r="Q1873" s="23">
        <f>SUM($O$2:O1873)</f>
        <v>49</v>
      </c>
      <c r="Y1873" s="14"/>
      <c r="Z1873" s="13"/>
      <c r="AA1873"/>
    </row>
    <row r="1874" spans="1:27" x14ac:dyDescent="0.2">
      <c r="A1874" s="12" t="s">
        <v>5769</v>
      </c>
      <c r="B1874" t="s">
        <v>5770</v>
      </c>
      <c r="C1874" t="s">
        <v>3964</v>
      </c>
      <c r="D1874" t="s">
        <v>1552</v>
      </c>
      <c r="E1874" t="s">
        <v>13</v>
      </c>
      <c r="F1874">
        <v>32</v>
      </c>
      <c r="G1874">
        <v>141</v>
      </c>
      <c r="H1874" s="5" t="s">
        <v>22</v>
      </c>
      <c r="I1874" s="5">
        <v>0</v>
      </c>
      <c r="J1874" s="5">
        <v>0</v>
      </c>
      <c r="K1874" t="s">
        <v>9570</v>
      </c>
      <c r="L1874" cm="1">
        <f t="array" ref="L1874">wordCount(K1874)</f>
        <v>7</v>
      </c>
      <c r="M1874">
        <f t="shared" si="58"/>
        <v>37</v>
      </c>
      <c r="N1874">
        <v>1</v>
      </c>
      <c r="O1874" s="23" cm="1">
        <f t="array" ref="O1874">WordListCount(K1874,keywords!$A$2:$A$31)-WordListCount(K1874,keywords!$B$2:$B$31)</f>
        <v>0</v>
      </c>
      <c r="P1874" s="25">
        <f t="shared" si="59"/>
        <v>0.75162037037037033</v>
      </c>
      <c r="Q1874" s="23">
        <f>SUM($O$2:O1874)</f>
        <v>49</v>
      </c>
      <c r="Y1874" s="14"/>
      <c r="Z1874" s="13"/>
      <c r="AA1874"/>
    </row>
    <row r="1875" spans="1:27" x14ac:dyDescent="0.2">
      <c r="A1875" s="12" t="s">
        <v>5771</v>
      </c>
      <c r="B1875" t="s">
        <v>5772</v>
      </c>
      <c r="C1875" t="s">
        <v>5214</v>
      </c>
      <c r="D1875" t="s">
        <v>5215</v>
      </c>
      <c r="E1875" t="s">
        <v>13</v>
      </c>
      <c r="F1875">
        <v>2059</v>
      </c>
      <c r="G1875">
        <v>503</v>
      </c>
      <c r="H1875" s="5" t="s">
        <v>22</v>
      </c>
      <c r="I1875" s="5">
        <v>0</v>
      </c>
      <c r="J1875" s="5">
        <v>0</v>
      </c>
      <c r="K1875" t="s">
        <v>11111</v>
      </c>
      <c r="L1875" cm="1">
        <f t="array" ref="L1875">wordCount(K1875)</f>
        <v>25</v>
      </c>
      <c r="M1875">
        <f t="shared" si="58"/>
        <v>120</v>
      </c>
      <c r="N1875">
        <v>0.80769230769230771</v>
      </c>
      <c r="O1875" s="23" cm="1">
        <f t="array" ref="O1875">WordListCount(K1875,keywords!$A$2:$A$31)-WordListCount(K1875,keywords!$B$2:$B$31)</f>
        <v>1</v>
      </c>
      <c r="P1875" s="25">
        <f t="shared" si="59"/>
        <v>0.75167824074074074</v>
      </c>
      <c r="Q1875" s="23">
        <f>SUM($O$2:O1875)</f>
        <v>50</v>
      </c>
      <c r="Y1875" s="14"/>
      <c r="Z1875" s="13"/>
      <c r="AA1875"/>
    </row>
    <row r="1876" spans="1:27" x14ac:dyDescent="0.2">
      <c r="A1876" s="12" t="s">
        <v>5773</v>
      </c>
      <c r="B1876" t="s">
        <v>5774</v>
      </c>
      <c r="C1876" t="s">
        <v>5775</v>
      </c>
      <c r="D1876" t="s">
        <v>2814</v>
      </c>
      <c r="E1876" t="s">
        <v>13</v>
      </c>
      <c r="F1876">
        <v>74</v>
      </c>
      <c r="G1876">
        <v>1238</v>
      </c>
      <c r="H1876" s="5" t="s">
        <v>59</v>
      </c>
      <c r="I1876" s="5">
        <v>0</v>
      </c>
      <c r="J1876" s="5">
        <v>0</v>
      </c>
      <c r="K1876" t="s">
        <v>11112</v>
      </c>
      <c r="L1876" cm="1">
        <f t="array" ref="L1876">wordCount(K1876)</f>
        <v>8</v>
      </c>
      <c r="M1876">
        <f t="shared" si="58"/>
        <v>33</v>
      </c>
      <c r="N1876">
        <v>0.73333333333333328</v>
      </c>
      <c r="O1876" s="23" cm="1">
        <f t="array" ref="O1876">WordListCount(K1876,keywords!$A$2:$A$31)-WordListCount(K1876,keywords!$B$2:$B$31)</f>
        <v>0</v>
      </c>
      <c r="P1876" s="25">
        <f t="shared" si="59"/>
        <v>0.75168981481481489</v>
      </c>
      <c r="Q1876" s="23">
        <f>SUM($O$2:O1876)</f>
        <v>50</v>
      </c>
      <c r="Y1876" s="14"/>
      <c r="Z1876" s="13"/>
      <c r="AA1876"/>
    </row>
    <row r="1877" spans="1:27" x14ac:dyDescent="0.2">
      <c r="A1877" s="12" t="s">
        <v>5776</v>
      </c>
      <c r="B1877" t="s">
        <v>5777</v>
      </c>
      <c r="C1877" t="s">
        <v>5778</v>
      </c>
      <c r="D1877" t="s">
        <v>12</v>
      </c>
      <c r="E1877" t="s">
        <v>13</v>
      </c>
      <c r="F1877">
        <v>29</v>
      </c>
      <c r="G1877">
        <v>180</v>
      </c>
      <c r="H1877" s="5" t="s">
        <v>14</v>
      </c>
      <c r="I1877" s="5">
        <v>0</v>
      </c>
      <c r="J1877" s="5">
        <v>0</v>
      </c>
      <c r="K1877" t="s">
        <v>11113</v>
      </c>
      <c r="L1877" cm="1">
        <f t="array" ref="L1877">wordCount(K1877)</f>
        <v>6</v>
      </c>
      <c r="M1877">
        <f t="shared" si="58"/>
        <v>34</v>
      </c>
      <c r="N1877">
        <v>0.44444444444444442</v>
      </c>
      <c r="O1877" s="23" cm="1">
        <f t="array" ref="O1877">WordListCount(K1877,keywords!$A$2:$A$31)-WordListCount(K1877,keywords!$B$2:$B$31)</f>
        <v>0</v>
      </c>
      <c r="P1877" s="25">
        <f t="shared" si="59"/>
        <v>0.75174768518518509</v>
      </c>
      <c r="Q1877" s="23">
        <f>SUM($O$2:O1877)</f>
        <v>50</v>
      </c>
      <c r="Y1877" s="14"/>
      <c r="Z1877" s="13"/>
      <c r="AA1877"/>
    </row>
    <row r="1878" spans="1:27" x14ac:dyDescent="0.2">
      <c r="A1878" s="12" t="s">
        <v>5779</v>
      </c>
      <c r="B1878" t="s">
        <v>5780</v>
      </c>
      <c r="C1878" t="s">
        <v>5781</v>
      </c>
      <c r="D1878" t="s">
        <v>5782</v>
      </c>
      <c r="E1878" t="s">
        <v>13</v>
      </c>
      <c r="F1878">
        <v>9</v>
      </c>
      <c r="G1878">
        <v>25</v>
      </c>
      <c r="H1878" s="5" t="s">
        <v>22</v>
      </c>
      <c r="I1878" s="5">
        <v>0</v>
      </c>
      <c r="J1878" s="5">
        <v>0</v>
      </c>
      <c r="K1878" t="s">
        <v>11114</v>
      </c>
      <c r="L1878" cm="1">
        <f t="array" ref="L1878">wordCount(K1878)</f>
        <v>12</v>
      </c>
      <c r="M1878">
        <f t="shared" si="58"/>
        <v>56</v>
      </c>
      <c r="N1878">
        <v>0.58333333333333337</v>
      </c>
      <c r="O1878" s="23" cm="1">
        <f t="array" ref="O1878">WordListCount(K1878,keywords!$A$2:$A$31)-WordListCount(K1878,keywords!$B$2:$B$31)</f>
        <v>0</v>
      </c>
      <c r="P1878" s="25">
        <f t="shared" si="59"/>
        <v>0.75175925925925924</v>
      </c>
      <c r="Q1878" s="23">
        <f>SUM($O$2:O1878)</f>
        <v>50</v>
      </c>
      <c r="Y1878" s="14"/>
      <c r="Z1878" s="13"/>
      <c r="AA1878"/>
    </row>
    <row r="1879" spans="1:27" x14ac:dyDescent="0.2">
      <c r="A1879" s="12" t="s">
        <v>5783</v>
      </c>
      <c r="B1879" t="s">
        <v>5784</v>
      </c>
      <c r="C1879" t="s">
        <v>5785</v>
      </c>
      <c r="D1879" t="s">
        <v>5786</v>
      </c>
      <c r="E1879" t="s">
        <v>13</v>
      </c>
      <c r="F1879">
        <v>45</v>
      </c>
      <c r="G1879">
        <v>386</v>
      </c>
      <c r="H1879" s="5" t="s">
        <v>22</v>
      </c>
      <c r="I1879" s="5">
        <v>0</v>
      </c>
      <c r="J1879" s="5">
        <v>0</v>
      </c>
      <c r="K1879" t="s">
        <v>11115</v>
      </c>
      <c r="L1879" cm="1">
        <f t="array" ref="L1879">wordCount(K1879)</f>
        <v>13</v>
      </c>
      <c r="M1879">
        <f t="shared" si="58"/>
        <v>106</v>
      </c>
      <c r="N1879">
        <v>0.5</v>
      </c>
      <c r="O1879" s="23" cm="1">
        <f t="array" ref="O1879">WordListCount(K1879,keywords!$A$2:$A$31)-WordListCount(K1879,keywords!$B$2:$B$31)</f>
        <v>0</v>
      </c>
      <c r="P1879" s="25">
        <f t="shared" si="59"/>
        <v>0.75177083333333339</v>
      </c>
      <c r="Q1879" s="23">
        <f>SUM($O$2:O1879)</f>
        <v>50</v>
      </c>
      <c r="Y1879" s="14"/>
      <c r="Z1879" s="13"/>
      <c r="AA1879"/>
    </row>
    <row r="1880" spans="1:27" x14ac:dyDescent="0.2">
      <c r="A1880" s="12" t="s">
        <v>5787</v>
      </c>
      <c r="B1880" t="s">
        <v>5788</v>
      </c>
      <c r="C1880" t="s">
        <v>5789</v>
      </c>
      <c r="D1880" t="s">
        <v>12</v>
      </c>
      <c r="E1880" t="s">
        <v>13</v>
      </c>
      <c r="F1880">
        <v>70</v>
      </c>
      <c r="G1880">
        <v>194</v>
      </c>
      <c r="H1880" s="5" t="s">
        <v>22</v>
      </c>
      <c r="I1880" s="5">
        <v>0</v>
      </c>
      <c r="J1880" s="5">
        <v>0</v>
      </c>
      <c r="K1880" t="s">
        <v>11116</v>
      </c>
      <c r="L1880" cm="1">
        <f t="array" ref="L1880">wordCount(K1880)</f>
        <v>12</v>
      </c>
      <c r="M1880">
        <f t="shared" si="58"/>
        <v>60</v>
      </c>
      <c r="N1880">
        <v>0.58823529411764708</v>
      </c>
      <c r="O1880" s="23" cm="1">
        <f t="array" ref="O1880">WordListCount(K1880,keywords!$A$2:$A$31)-WordListCount(K1880,keywords!$B$2:$B$31)</f>
        <v>0</v>
      </c>
      <c r="P1880" s="25">
        <f t="shared" si="59"/>
        <v>0.75179398148148147</v>
      </c>
      <c r="Q1880" s="23">
        <f>SUM($O$2:O1880)</f>
        <v>50</v>
      </c>
      <c r="Y1880" s="14"/>
      <c r="Z1880" s="13"/>
      <c r="AA1880"/>
    </row>
    <row r="1881" spans="1:27" x14ac:dyDescent="0.2">
      <c r="A1881" s="12" t="s">
        <v>5790</v>
      </c>
      <c r="B1881" t="s">
        <v>5791</v>
      </c>
      <c r="C1881" t="s">
        <v>675</v>
      </c>
      <c r="D1881" t="s">
        <v>676</v>
      </c>
      <c r="E1881" t="s">
        <v>13</v>
      </c>
      <c r="F1881">
        <v>3259</v>
      </c>
      <c r="G1881">
        <v>2</v>
      </c>
      <c r="H1881" s="5" t="s">
        <v>677</v>
      </c>
      <c r="I1881" s="5">
        <v>0</v>
      </c>
      <c r="J1881" s="5">
        <v>0</v>
      </c>
      <c r="K1881" t="s">
        <v>11117</v>
      </c>
      <c r="L1881" cm="1">
        <f t="array" ref="L1881">wordCount(K1881)</f>
        <v>12</v>
      </c>
      <c r="M1881">
        <f t="shared" si="58"/>
        <v>79</v>
      </c>
      <c r="N1881">
        <v>0.3125</v>
      </c>
      <c r="O1881" s="23" cm="1">
        <f t="array" ref="O1881">WordListCount(K1881,keywords!$A$2:$A$31)-WordListCount(K1881,keywords!$B$2:$B$31)</f>
        <v>0</v>
      </c>
      <c r="P1881" s="25">
        <f t="shared" si="59"/>
        <v>0.7518287037037038</v>
      </c>
      <c r="Q1881" s="23">
        <f>SUM($O$2:O1881)</f>
        <v>50</v>
      </c>
      <c r="Y1881" s="14"/>
      <c r="Z1881" s="13"/>
      <c r="AA1881"/>
    </row>
    <row r="1882" spans="1:27" x14ac:dyDescent="0.2">
      <c r="A1882" s="12" t="s">
        <v>5792</v>
      </c>
      <c r="B1882" t="s">
        <v>5793</v>
      </c>
      <c r="C1882" t="s">
        <v>459</v>
      </c>
      <c r="D1882" t="s">
        <v>12</v>
      </c>
      <c r="E1882" t="s">
        <v>13</v>
      </c>
      <c r="F1882">
        <v>12</v>
      </c>
      <c r="G1882">
        <v>1</v>
      </c>
      <c r="H1882" s="5" t="s">
        <v>22</v>
      </c>
      <c r="I1882" s="5">
        <v>0</v>
      </c>
      <c r="J1882" s="5">
        <v>0</v>
      </c>
      <c r="K1882" t="s">
        <v>9573</v>
      </c>
      <c r="L1882" cm="1">
        <f t="array" ref="L1882">wordCount(K1882)</f>
        <v>15</v>
      </c>
      <c r="M1882">
        <f t="shared" si="58"/>
        <v>103</v>
      </c>
      <c r="N1882">
        <v>0.8125</v>
      </c>
      <c r="O1882" s="23" cm="1">
        <f t="array" ref="O1882">WordListCount(K1882,keywords!$A$2:$A$31)-WordListCount(K1882,keywords!$B$2:$B$31)</f>
        <v>0</v>
      </c>
      <c r="P1882" s="25">
        <f t="shared" si="59"/>
        <v>0.7519097222222223</v>
      </c>
      <c r="Q1882" s="23">
        <f>SUM($O$2:O1882)</f>
        <v>50</v>
      </c>
      <c r="Y1882" s="14"/>
      <c r="Z1882" s="13"/>
      <c r="AA1882"/>
    </row>
    <row r="1883" spans="1:27" x14ac:dyDescent="0.2">
      <c r="A1883" s="12" t="s">
        <v>5794</v>
      </c>
      <c r="B1883" t="s">
        <v>5795</v>
      </c>
      <c r="C1883" t="s">
        <v>5796</v>
      </c>
      <c r="D1883" t="s">
        <v>12</v>
      </c>
      <c r="E1883" t="s">
        <v>13</v>
      </c>
      <c r="F1883">
        <v>525</v>
      </c>
      <c r="G1883">
        <v>1435</v>
      </c>
      <c r="H1883" s="5" t="s">
        <v>22</v>
      </c>
      <c r="I1883" s="5">
        <v>0</v>
      </c>
      <c r="J1883" s="5">
        <v>0</v>
      </c>
      <c r="K1883" t="s">
        <v>11118</v>
      </c>
      <c r="L1883" cm="1">
        <f t="array" ref="L1883">wordCount(K1883)</f>
        <v>14</v>
      </c>
      <c r="M1883">
        <f t="shared" si="58"/>
        <v>76</v>
      </c>
      <c r="N1883">
        <v>0.65384615384615385</v>
      </c>
      <c r="O1883" s="23" cm="1">
        <f t="array" ref="O1883">WordListCount(K1883,keywords!$A$2:$A$31)-WordListCount(K1883,keywords!$B$2:$B$31)</f>
        <v>0</v>
      </c>
      <c r="P1883" s="25">
        <f t="shared" si="59"/>
        <v>0.75196759259259249</v>
      </c>
      <c r="Q1883" s="23">
        <f>SUM($O$2:O1883)</f>
        <v>50</v>
      </c>
      <c r="Y1883" s="14"/>
      <c r="Z1883" s="13"/>
      <c r="AA1883"/>
    </row>
    <row r="1884" spans="1:27" x14ac:dyDescent="0.2">
      <c r="A1884" s="12" t="s">
        <v>5797</v>
      </c>
      <c r="B1884" t="s">
        <v>5798</v>
      </c>
      <c r="C1884" t="s">
        <v>5799</v>
      </c>
      <c r="D1884" t="s">
        <v>5800</v>
      </c>
      <c r="E1884" t="s">
        <v>13</v>
      </c>
      <c r="F1884">
        <v>590</v>
      </c>
      <c r="G1884">
        <v>1051</v>
      </c>
      <c r="H1884" s="5" t="s">
        <v>22</v>
      </c>
      <c r="I1884" s="5">
        <v>0</v>
      </c>
      <c r="J1884" s="5">
        <v>0</v>
      </c>
      <c r="K1884" t="s">
        <v>11119</v>
      </c>
      <c r="L1884" cm="1">
        <f t="array" ref="L1884">wordCount(K1884)</f>
        <v>6</v>
      </c>
      <c r="M1884">
        <f t="shared" si="58"/>
        <v>41</v>
      </c>
      <c r="N1884">
        <v>0.75</v>
      </c>
      <c r="O1884" s="23" cm="1">
        <f t="array" ref="O1884">WordListCount(K1884,keywords!$A$2:$A$31)-WordListCount(K1884,keywords!$B$2:$B$31)</f>
        <v>0</v>
      </c>
      <c r="P1884" s="25">
        <f t="shared" si="59"/>
        <v>0.75211805555555555</v>
      </c>
      <c r="Q1884" s="23">
        <f>SUM($O$2:O1884)</f>
        <v>50</v>
      </c>
      <c r="Y1884" s="14"/>
      <c r="Z1884" s="13"/>
      <c r="AA1884"/>
    </row>
    <row r="1885" spans="1:27" x14ac:dyDescent="0.2">
      <c r="A1885" s="12" t="s">
        <v>5801</v>
      </c>
      <c r="B1885" t="s">
        <v>5802</v>
      </c>
      <c r="C1885" t="s">
        <v>687</v>
      </c>
      <c r="D1885" t="s">
        <v>12</v>
      </c>
      <c r="E1885" t="s">
        <v>13</v>
      </c>
      <c r="F1885">
        <v>38</v>
      </c>
      <c r="G1885">
        <v>14</v>
      </c>
      <c r="H1885" s="5" t="s">
        <v>42</v>
      </c>
      <c r="I1885" s="5">
        <v>0</v>
      </c>
      <c r="J1885" s="5">
        <v>0</v>
      </c>
      <c r="K1885" t="s">
        <v>9574</v>
      </c>
      <c r="L1885" cm="1">
        <f t="array" ref="L1885">wordCount(K1885)</f>
        <v>2</v>
      </c>
      <c r="M1885">
        <f t="shared" si="58"/>
        <v>50</v>
      </c>
      <c r="N1885">
        <v>0.8571428571428571</v>
      </c>
      <c r="O1885" s="23" cm="1">
        <f t="array" ref="O1885">WordListCount(K1885,keywords!$A$2:$A$31)-WordListCount(K1885,keywords!$B$2:$B$31)</f>
        <v>0</v>
      </c>
      <c r="P1885" s="25">
        <f t="shared" si="59"/>
        <v>0.7522106481481482</v>
      </c>
      <c r="Q1885" s="23">
        <f>SUM($O$2:O1885)</f>
        <v>50</v>
      </c>
      <c r="Y1885" s="14"/>
      <c r="Z1885" s="13"/>
      <c r="AA1885"/>
    </row>
    <row r="1886" spans="1:27" x14ac:dyDescent="0.2">
      <c r="A1886" s="12" t="s">
        <v>5801</v>
      </c>
      <c r="B1886" t="s">
        <v>2598</v>
      </c>
      <c r="C1886" t="s">
        <v>4927</v>
      </c>
      <c r="D1886" t="s">
        <v>12</v>
      </c>
      <c r="E1886" t="s">
        <v>13</v>
      </c>
      <c r="F1886">
        <v>12</v>
      </c>
      <c r="G1886">
        <v>5</v>
      </c>
      <c r="H1886" s="5" t="s">
        <v>42</v>
      </c>
      <c r="I1886" s="5">
        <v>0</v>
      </c>
      <c r="J1886" s="5">
        <v>0</v>
      </c>
      <c r="K1886" t="s">
        <v>9906</v>
      </c>
      <c r="L1886" cm="1">
        <f t="array" ref="L1886">wordCount(K1886)</f>
        <v>12</v>
      </c>
      <c r="M1886">
        <f t="shared" si="58"/>
        <v>74</v>
      </c>
      <c r="N1886">
        <v>0.92307692307692313</v>
      </c>
      <c r="O1886" s="23" cm="1">
        <f t="array" ref="O1886">WordListCount(K1886,keywords!$A$2:$A$31)-WordListCount(K1886,keywords!$B$2:$B$31)</f>
        <v>0</v>
      </c>
      <c r="P1886" s="25">
        <f t="shared" si="59"/>
        <v>0.7522106481481482</v>
      </c>
      <c r="Q1886" s="23">
        <f>SUM($O$2:O1886)</f>
        <v>50</v>
      </c>
      <c r="Y1886" s="14"/>
      <c r="Z1886" s="13"/>
      <c r="AA1886"/>
    </row>
    <row r="1887" spans="1:27" x14ac:dyDescent="0.2">
      <c r="A1887" s="12" t="s">
        <v>5803</v>
      </c>
      <c r="B1887" t="s">
        <v>5804</v>
      </c>
      <c r="C1887" t="s">
        <v>5805</v>
      </c>
      <c r="D1887" t="s">
        <v>5806</v>
      </c>
      <c r="E1887" t="s">
        <v>13</v>
      </c>
      <c r="F1887">
        <v>136</v>
      </c>
      <c r="G1887">
        <v>115</v>
      </c>
      <c r="H1887" s="5" t="s">
        <v>22</v>
      </c>
      <c r="I1887" s="5">
        <v>0</v>
      </c>
      <c r="J1887" s="5">
        <v>0</v>
      </c>
      <c r="K1887" t="s">
        <v>9575</v>
      </c>
      <c r="L1887" cm="1">
        <f t="array" ref="L1887">wordCount(K1887)</f>
        <v>9</v>
      </c>
      <c r="M1887">
        <f t="shared" si="58"/>
        <v>52</v>
      </c>
      <c r="N1887">
        <v>0.61111111111111116</v>
      </c>
      <c r="O1887" s="23" cm="1">
        <f t="array" ref="O1887">WordListCount(K1887,keywords!$A$2:$A$31)-WordListCount(K1887,keywords!$B$2:$B$31)</f>
        <v>0</v>
      </c>
      <c r="P1887" s="25">
        <f t="shared" si="59"/>
        <v>0.75224537037037031</v>
      </c>
      <c r="Q1887" s="23">
        <f>SUM($O$2:O1887)</f>
        <v>50</v>
      </c>
      <c r="Y1887" s="14"/>
      <c r="Z1887" s="13"/>
      <c r="AA1887"/>
    </row>
    <row r="1888" spans="1:27" x14ac:dyDescent="0.2">
      <c r="A1888" s="12" t="s">
        <v>5807</v>
      </c>
      <c r="B1888" t="s">
        <v>5808</v>
      </c>
      <c r="C1888" t="s">
        <v>5809</v>
      </c>
      <c r="D1888" t="s">
        <v>5810</v>
      </c>
      <c r="E1888" t="s">
        <v>13</v>
      </c>
      <c r="F1888">
        <v>122</v>
      </c>
      <c r="G1888">
        <v>569</v>
      </c>
      <c r="H1888" s="5" t="s">
        <v>22</v>
      </c>
      <c r="I1888" s="5">
        <v>0</v>
      </c>
      <c r="J1888" s="5">
        <v>0</v>
      </c>
      <c r="K1888" t="s">
        <v>11120</v>
      </c>
      <c r="L1888" cm="1">
        <f t="array" ref="L1888">wordCount(K1888)</f>
        <v>9</v>
      </c>
      <c r="M1888">
        <f t="shared" si="58"/>
        <v>35</v>
      </c>
      <c r="N1888">
        <v>0.5714285714285714</v>
      </c>
      <c r="O1888" s="23" cm="1">
        <f t="array" ref="O1888">WordListCount(K1888,keywords!$A$2:$A$31)-WordListCount(K1888,keywords!$B$2:$B$31)</f>
        <v>0</v>
      </c>
      <c r="P1888" s="25">
        <f t="shared" si="59"/>
        <v>0.75226851851851861</v>
      </c>
      <c r="Q1888" s="23">
        <f>SUM($O$2:O1888)</f>
        <v>50</v>
      </c>
      <c r="Y1888" s="14"/>
      <c r="Z1888" s="13"/>
      <c r="AA1888"/>
    </row>
    <row r="1889" spans="1:27" x14ac:dyDescent="0.2">
      <c r="A1889" s="12" t="s">
        <v>5811</v>
      </c>
      <c r="B1889" t="s">
        <v>5812</v>
      </c>
      <c r="C1889" t="s">
        <v>651</v>
      </c>
      <c r="D1889" t="s">
        <v>652</v>
      </c>
      <c r="E1889" t="s">
        <v>13</v>
      </c>
      <c r="F1889">
        <v>13393</v>
      </c>
      <c r="G1889">
        <v>13241</v>
      </c>
      <c r="H1889" s="5" t="s">
        <v>22</v>
      </c>
      <c r="I1889" s="5">
        <v>0</v>
      </c>
      <c r="J1889" s="5">
        <v>0</v>
      </c>
      <c r="K1889" t="s">
        <v>9576</v>
      </c>
      <c r="L1889" cm="1">
        <f t="array" ref="L1889">wordCount(K1889)</f>
        <v>6</v>
      </c>
      <c r="M1889">
        <f t="shared" si="58"/>
        <v>36</v>
      </c>
      <c r="N1889">
        <v>0.88888888888888884</v>
      </c>
      <c r="O1889" s="23" cm="1">
        <f t="array" ref="O1889">WordListCount(K1889,keywords!$A$2:$A$31)-WordListCount(K1889,keywords!$B$2:$B$31)</f>
        <v>0</v>
      </c>
      <c r="P1889" s="25">
        <f t="shared" si="59"/>
        <v>0.75230324074074073</v>
      </c>
      <c r="Q1889" s="23">
        <f>SUM($O$2:O1889)</f>
        <v>50</v>
      </c>
      <c r="Y1889" s="14"/>
      <c r="Z1889" s="13"/>
      <c r="AA1889"/>
    </row>
    <row r="1890" spans="1:27" x14ac:dyDescent="0.2">
      <c r="A1890" s="12" t="s">
        <v>5811</v>
      </c>
      <c r="B1890" t="s">
        <v>5813</v>
      </c>
      <c r="C1890" t="s">
        <v>657</v>
      </c>
      <c r="D1890" t="s">
        <v>658</v>
      </c>
      <c r="E1890" t="s">
        <v>13</v>
      </c>
      <c r="F1890">
        <v>3563</v>
      </c>
      <c r="G1890">
        <v>88</v>
      </c>
      <c r="H1890" s="5" t="s">
        <v>22</v>
      </c>
      <c r="I1890" s="5">
        <v>0</v>
      </c>
      <c r="J1890" s="5">
        <v>0</v>
      </c>
      <c r="K1890" t="s">
        <v>9577</v>
      </c>
      <c r="L1890" cm="1">
        <f t="array" ref="L1890">wordCount(K1890)</f>
        <v>7</v>
      </c>
      <c r="M1890">
        <f t="shared" si="58"/>
        <v>41</v>
      </c>
      <c r="N1890">
        <v>0.8571428571428571</v>
      </c>
      <c r="O1890" s="23" cm="1">
        <f t="array" ref="O1890">WordListCount(K1890,keywords!$A$2:$A$31)-WordListCount(K1890,keywords!$B$2:$B$31)</f>
        <v>0</v>
      </c>
      <c r="P1890" s="25">
        <f t="shared" si="59"/>
        <v>0.75230324074074073</v>
      </c>
      <c r="Q1890" s="23">
        <f>SUM($O$2:O1890)</f>
        <v>50</v>
      </c>
      <c r="Y1890" s="14"/>
      <c r="Z1890" s="13"/>
      <c r="AA1890"/>
    </row>
    <row r="1891" spans="1:27" x14ac:dyDescent="0.2">
      <c r="A1891" s="12" t="s">
        <v>5814</v>
      </c>
      <c r="B1891" t="s">
        <v>5815</v>
      </c>
      <c r="C1891" t="s">
        <v>5816</v>
      </c>
      <c r="D1891" t="s">
        <v>12</v>
      </c>
      <c r="E1891" t="s">
        <v>13</v>
      </c>
      <c r="F1891">
        <v>11</v>
      </c>
      <c r="G1891">
        <v>0</v>
      </c>
      <c r="H1891" s="5" t="s">
        <v>125</v>
      </c>
      <c r="I1891" s="5">
        <v>0</v>
      </c>
      <c r="J1891" s="5">
        <v>0</v>
      </c>
      <c r="K1891" t="s">
        <v>9578</v>
      </c>
      <c r="L1891" cm="1">
        <f t="array" ref="L1891">wordCount(K1891)</f>
        <v>8</v>
      </c>
      <c r="M1891">
        <f t="shared" si="58"/>
        <v>41</v>
      </c>
      <c r="N1891">
        <v>0.9375</v>
      </c>
      <c r="O1891" s="23" cm="1">
        <f t="array" ref="O1891">WordListCount(K1891,keywords!$A$2:$A$31)-WordListCount(K1891,keywords!$B$2:$B$31)</f>
        <v>0</v>
      </c>
      <c r="P1891" s="25">
        <f t="shared" si="59"/>
        <v>0.75232638888888881</v>
      </c>
      <c r="Q1891" s="23">
        <f>SUM($O$2:O1891)</f>
        <v>50</v>
      </c>
      <c r="Y1891" s="14"/>
      <c r="Z1891" s="13"/>
      <c r="AA1891"/>
    </row>
    <row r="1892" spans="1:27" x14ac:dyDescent="0.2">
      <c r="A1892" s="12" t="s">
        <v>5817</v>
      </c>
      <c r="B1892" t="s">
        <v>5818</v>
      </c>
      <c r="C1892" t="s">
        <v>73</v>
      </c>
      <c r="D1892" t="s">
        <v>74</v>
      </c>
      <c r="E1892" t="s">
        <v>13</v>
      </c>
      <c r="F1892">
        <v>87</v>
      </c>
      <c r="G1892">
        <v>237</v>
      </c>
      <c r="H1892" s="5" t="s">
        <v>22</v>
      </c>
      <c r="I1892" s="5">
        <v>0</v>
      </c>
      <c r="J1892" s="5">
        <v>0</v>
      </c>
      <c r="K1892" t="s">
        <v>9487</v>
      </c>
      <c r="L1892" cm="1">
        <f t="array" ref="L1892">wordCount(K1892)</f>
        <v>7</v>
      </c>
      <c r="M1892">
        <f t="shared" si="58"/>
        <v>37</v>
      </c>
      <c r="N1892">
        <v>1</v>
      </c>
      <c r="O1892" s="23" cm="1">
        <f t="array" ref="O1892">WordListCount(K1892,keywords!$A$2:$A$31)-WordListCount(K1892,keywords!$B$2:$B$31)</f>
        <v>0</v>
      </c>
      <c r="P1892" s="25">
        <f t="shared" si="59"/>
        <v>0.75236111111111115</v>
      </c>
      <c r="Q1892" s="23">
        <f>SUM($O$2:O1892)</f>
        <v>50</v>
      </c>
      <c r="Y1892" s="14"/>
      <c r="Z1892" s="13"/>
      <c r="AA1892"/>
    </row>
    <row r="1893" spans="1:27" x14ac:dyDescent="0.2">
      <c r="A1893" s="12" t="s">
        <v>5819</v>
      </c>
      <c r="B1893" t="s">
        <v>5820</v>
      </c>
      <c r="C1893" t="s">
        <v>5695</v>
      </c>
      <c r="D1893" t="s">
        <v>231</v>
      </c>
      <c r="E1893" t="s">
        <v>13</v>
      </c>
      <c r="F1893">
        <v>178</v>
      </c>
      <c r="G1893">
        <v>135</v>
      </c>
      <c r="H1893" s="5" t="s">
        <v>22</v>
      </c>
      <c r="I1893" s="5">
        <v>0</v>
      </c>
      <c r="J1893" s="5">
        <v>0</v>
      </c>
      <c r="K1893" t="s">
        <v>9579</v>
      </c>
      <c r="L1893" cm="1">
        <f t="array" ref="L1893">wordCount(K1893)</f>
        <v>17</v>
      </c>
      <c r="M1893">
        <f t="shared" si="58"/>
        <v>93</v>
      </c>
      <c r="N1893">
        <v>0.94736842105263153</v>
      </c>
      <c r="O1893" s="23" cm="1">
        <f t="array" ref="O1893">WordListCount(K1893,keywords!$A$2:$A$31)-WordListCount(K1893,keywords!$B$2:$B$31)</f>
        <v>0</v>
      </c>
      <c r="P1893" s="25">
        <f t="shared" si="59"/>
        <v>0.75249999999999995</v>
      </c>
      <c r="Q1893" s="23">
        <f>SUM($O$2:O1893)</f>
        <v>50</v>
      </c>
      <c r="Y1893" s="14"/>
      <c r="Z1893" s="13"/>
      <c r="AA1893"/>
    </row>
    <row r="1894" spans="1:27" x14ac:dyDescent="0.2">
      <c r="A1894" s="12" t="s">
        <v>5821</v>
      </c>
      <c r="B1894" t="s">
        <v>5822</v>
      </c>
      <c r="C1894" t="s">
        <v>5823</v>
      </c>
      <c r="D1894" t="s">
        <v>1454</v>
      </c>
      <c r="E1894" t="s">
        <v>13</v>
      </c>
      <c r="F1894">
        <v>4</v>
      </c>
      <c r="G1894">
        <v>14</v>
      </c>
      <c r="H1894" s="5" t="s">
        <v>22</v>
      </c>
      <c r="I1894" s="5">
        <v>0</v>
      </c>
      <c r="J1894" s="5">
        <v>0</v>
      </c>
      <c r="K1894" t="s">
        <v>9580</v>
      </c>
      <c r="L1894" cm="1">
        <f t="array" ref="L1894">wordCount(K1894)</f>
        <v>3</v>
      </c>
      <c r="M1894">
        <f t="shared" si="58"/>
        <v>11</v>
      </c>
      <c r="N1894">
        <v>1</v>
      </c>
      <c r="O1894" s="23" cm="1">
        <f t="array" ref="O1894">WordListCount(K1894,keywords!$A$2:$A$31)-WordListCount(K1894,keywords!$B$2:$B$31)</f>
        <v>0</v>
      </c>
      <c r="P1894" s="25">
        <f t="shared" si="59"/>
        <v>0.75253472222222229</v>
      </c>
      <c r="Q1894" s="23">
        <f>SUM($O$2:O1894)</f>
        <v>50</v>
      </c>
      <c r="Y1894" s="14"/>
      <c r="Z1894" s="13"/>
      <c r="AA1894"/>
    </row>
    <row r="1895" spans="1:27" x14ac:dyDescent="0.2">
      <c r="A1895" s="12" t="s">
        <v>5824</v>
      </c>
      <c r="B1895" t="s">
        <v>5825</v>
      </c>
      <c r="C1895" t="s">
        <v>5826</v>
      </c>
      <c r="D1895" t="s">
        <v>5827</v>
      </c>
      <c r="E1895" t="s">
        <v>13</v>
      </c>
      <c r="F1895">
        <v>392</v>
      </c>
      <c r="G1895">
        <v>408</v>
      </c>
      <c r="H1895" s="5" t="s">
        <v>22</v>
      </c>
      <c r="I1895" s="5">
        <v>0</v>
      </c>
      <c r="J1895" s="5">
        <v>0</v>
      </c>
      <c r="K1895" t="s">
        <v>11121</v>
      </c>
      <c r="L1895" cm="1">
        <f t="array" ref="L1895">wordCount(K1895)</f>
        <v>9</v>
      </c>
      <c r="M1895">
        <f t="shared" si="58"/>
        <v>47</v>
      </c>
      <c r="N1895">
        <v>0.77777777777777779</v>
      </c>
      <c r="O1895" s="23" cm="1">
        <f t="array" ref="O1895">WordListCount(K1895,keywords!$A$2:$A$31)-WordListCount(K1895,keywords!$B$2:$B$31)</f>
        <v>0</v>
      </c>
      <c r="P1895" s="25">
        <f t="shared" si="59"/>
        <v>0.75262731481481471</v>
      </c>
      <c r="Q1895" s="23">
        <f>SUM($O$2:O1895)</f>
        <v>50</v>
      </c>
      <c r="Y1895" s="14"/>
      <c r="Z1895" s="13"/>
      <c r="AA1895"/>
    </row>
    <row r="1896" spans="1:27" x14ac:dyDescent="0.2">
      <c r="A1896" s="12" t="s">
        <v>5828</v>
      </c>
      <c r="B1896" t="s">
        <v>5829</v>
      </c>
      <c r="C1896" t="s">
        <v>5830</v>
      </c>
      <c r="D1896" t="s">
        <v>12</v>
      </c>
      <c r="E1896" t="s">
        <v>13</v>
      </c>
      <c r="F1896">
        <v>37</v>
      </c>
      <c r="G1896">
        <v>144</v>
      </c>
      <c r="H1896" s="5" t="s">
        <v>22</v>
      </c>
      <c r="I1896" s="5">
        <v>0</v>
      </c>
      <c r="J1896" s="5">
        <v>0</v>
      </c>
      <c r="K1896" t="s">
        <v>11122</v>
      </c>
      <c r="L1896" cm="1">
        <f t="array" ref="L1896">wordCount(K1896)</f>
        <v>12</v>
      </c>
      <c r="M1896">
        <f t="shared" si="58"/>
        <v>60</v>
      </c>
      <c r="N1896">
        <v>0.375</v>
      </c>
      <c r="O1896" s="23" cm="1">
        <f t="array" ref="O1896">WordListCount(K1896,keywords!$A$2:$A$31)-WordListCount(K1896,keywords!$B$2:$B$31)</f>
        <v>0</v>
      </c>
      <c r="P1896" s="25">
        <f t="shared" si="59"/>
        <v>0.75276620370370362</v>
      </c>
      <c r="Q1896" s="23">
        <f>SUM($O$2:O1896)</f>
        <v>50</v>
      </c>
      <c r="Y1896" s="14"/>
      <c r="Z1896" s="13"/>
      <c r="AA1896"/>
    </row>
    <row r="1897" spans="1:27" x14ac:dyDescent="0.2">
      <c r="A1897" s="12" t="s">
        <v>5831</v>
      </c>
      <c r="B1897" t="s">
        <v>5832</v>
      </c>
      <c r="C1897" t="s">
        <v>713</v>
      </c>
      <c r="D1897" t="s">
        <v>714</v>
      </c>
      <c r="E1897" t="s">
        <v>13</v>
      </c>
      <c r="F1897">
        <v>4757</v>
      </c>
      <c r="G1897">
        <v>3442</v>
      </c>
      <c r="H1897" s="5" t="s">
        <v>22</v>
      </c>
      <c r="I1897" s="5">
        <v>0</v>
      </c>
      <c r="J1897" s="5">
        <v>0</v>
      </c>
      <c r="K1897" t="s">
        <v>9576</v>
      </c>
      <c r="L1897" cm="1">
        <f t="array" ref="L1897">wordCount(K1897)</f>
        <v>6</v>
      </c>
      <c r="M1897">
        <f t="shared" si="58"/>
        <v>36</v>
      </c>
      <c r="N1897">
        <v>0.8571428571428571</v>
      </c>
      <c r="O1897" s="23" cm="1">
        <f t="array" ref="O1897">WordListCount(K1897,keywords!$A$2:$A$31)-WordListCount(K1897,keywords!$B$2:$B$31)</f>
        <v>0</v>
      </c>
      <c r="P1897" s="25">
        <f t="shared" si="59"/>
        <v>0.75291666666666668</v>
      </c>
      <c r="Q1897" s="23">
        <f>SUM($O$2:O1897)</f>
        <v>50</v>
      </c>
      <c r="Y1897" s="14"/>
      <c r="Z1897" s="13"/>
      <c r="AA1897"/>
    </row>
    <row r="1898" spans="1:27" x14ac:dyDescent="0.2">
      <c r="A1898" s="12" t="s">
        <v>5833</v>
      </c>
      <c r="B1898" t="s">
        <v>5834</v>
      </c>
      <c r="C1898" t="s">
        <v>5835</v>
      </c>
      <c r="D1898" t="s">
        <v>74</v>
      </c>
      <c r="E1898" t="s">
        <v>13</v>
      </c>
      <c r="F1898">
        <v>1965</v>
      </c>
      <c r="G1898">
        <v>4605</v>
      </c>
      <c r="H1898" s="5" t="s">
        <v>22</v>
      </c>
      <c r="I1898" s="5">
        <v>0</v>
      </c>
      <c r="J1898" s="5">
        <v>0</v>
      </c>
      <c r="K1898" t="s">
        <v>11123</v>
      </c>
      <c r="L1898" cm="1">
        <f t="array" ref="L1898">wordCount(K1898)</f>
        <v>11</v>
      </c>
      <c r="M1898">
        <f t="shared" si="58"/>
        <v>63</v>
      </c>
      <c r="N1898">
        <v>0.58333333333333337</v>
      </c>
      <c r="O1898" s="23" cm="1">
        <f t="array" ref="O1898">WordListCount(K1898,keywords!$A$2:$A$31)-WordListCount(K1898,keywords!$B$2:$B$31)</f>
        <v>0</v>
      </c>
      <c r="P1898" s="25">
        <f t="shared" si="59"/>
        <v>0.75293981481481476</v>
      </c>
      <c r="Q1898" s="23">
        <f>SUM($O$2:O1898)</f>
        <v>50</v>
      </c>
      <c r="Y1898" s="14"/>
      <c r="Z1898" s="13"/>
      <c r="AA1898"/>
    </row>
    <row r="1899" spans="1:27" x14ac:dyDescent="0.2">
      <c r="A1899" s="12" t="s">
        <v>5836</v>
      </c>
      <c r="B1899" t="s">
        <v>5815</v>
      </c>
      <c r="C1899" t="s">
        <v>5837</v>
      </c>
      <c r="D1899" t="s">
        <v>5838</v>
      </c>
      <c r="E1899" t="s">
        <v>13</v>
      </c>
      <c r="F1899">
        <v>1319</v>
      </c>
      <c r="G1899">
        <v>1590</v>
      </c>
      <c r="H1899" s="5" t="s">
        <v>22</v>
      </c>
      <c r="I1899" s="5">
        <v>0</v>
      </c>
      <c r="J1899" s="5">
        <v>0</v>
      </c>
      <c r="K1899" t="s">
        <v>9578</v>
      </c>
      <c r="L1899" cm="1">
        <f t="array" ref="L1899">wordCount(K1899)</f>
        <v>8</v>
      </c>
      <c r="M1899">
        <f t="shared" si="58"/>
        <v>41</v>
      </c>
      <c r="N1899">
        <v>1</v>
      </c>
      <c r="O1899" s="23" cm="1">
        <f t="array" ref="O1899">WordListCount(K1899,keywords!$A$2:$A$31)-WordListCount(K1899,keywords!$B$2:$B$31)</f>
        <v>0</v>
      </c>
      <c r="P1899" s="25">
        <f t="shared" si="59"/>
        <v>0.75318287037037035</v>
      </c>
      <c r="Q1899" s="23">
        <f>SUM($O$2:O1899)</f>
        <v>50</v>
      </c>
      <c r="Y1899" s="14"/>
      <c r="Z1899" s="13"/>
      <c r="AA1899"/>
    </row>
    <row r="1900" spans="1:27" x14ac:dyDescent="0.2">
      <c r="A1900" s="12" t="s">
        <v>5839</v>
      </c>
      <c r="B1900" t="s">
        <v>5840</v>
      </c>
      <c r="C1900" t="s">
        <v>5841</v>
      </c>
      <c r="D1900" t="s">
        <v>12</v>
      </c>
      <c r="E1900" t="s">
        <v>13</v>
      </c>
      <c r="F1900">
        <v>15</v>
      </c>
      <c r="G1900">
        <v>0</v>
      </c>
      <c r="H1900" s="5" t="s">
        <v>42</v>
      </c>
      <c r="I1900" s="5">
        <v>0</v>
      </c>
      <c r="J1900" s="5">
        <v>0</v>
      </c>
      <c r="K1900" t="s">
        <v>11124</v>
      </c>
      <c r="L1900" cm="1">
        <f t="array" ref="L1900">wordCount(K1900)</f>
        <v>7</v>
      </c>
      <c r="M1900">
        <f t="shared" si="58"/>
        <v>57</v>
      </c>
      <c r="N1900">
        <v>0.53846153846153844</v>
      </c>
      <c r="O1900" s="23" cm="1">
        <f t="array" ref="O1900">WordListCount(K1900,keywords!$A$2:$A$31)-WordListCount(K1900,keywords!$B$2:$B$31)</f>
        <v>0</v>
      </c>
      <c r="P1900" s="25">
        <f t="shared" si="59"/>
        <v>0.75321759259259258</v>
      </c>
      <c r="Q1900" s="23">
        <f>SUM($O$2:O1900)</f>
        <v>50</v>
      </c>
      <c r="Y1900" s="14"/>
      <c r="Z1900" s="13"/>
      <c r="AA1900"/>
    </row>
    <row r="1901" spans="1:27" x14ac:dyDescent="0.2">
      <c r="A1901" s="12" t="s">
        <v>5842</v>
      </c>
      <c r="B1901" t="s">
        <v>5843</v>
      </c>
      <c r="C1901" t="s">
        <v>5844</v>
      </c>
      <c r="D1901" t="s">
        <v>5845</v>
      </c>
      <c r="E1901" t="s">
        <v>13</v>
      </c>
      <c r="F1901">
        <v>160</v>
      </c>
      <c r="G1901">
        <v>11</v>
      </c>
      <c r="H1901" s="5" t="s">
        <v>1162</v>
      </c>
      <c r="I1901" s="5">
        <v>0</v>
      </c>
      <c r="J1901" s="5">
        <v>0</v>
      </c>
      <c r="K1901" t="s">
        <v>11125</v>
      </c>
      <c r="L1901" cm="1">
        <f t="array" ref="L1901">wordCount(K1901)</f>
        <v>21</v>
      </c>
      <c r="M1901">
        <f t="shared" si="58"/>
        <v>124</v>
      </c>
      <c r="N1901">
        <v>0.39285714285714285</v>
      </c>
      <c r="O1901" s="23" cm="1">
        <f t="array" ref="O1901">WordListCount(K1901,keywords!$A$2:$A$31)-WordListCount(K1901,keywords!$B$2:$B$31)</f>
        <v>0</v>
      </c>
      <c r="P1901" s="25">
        <f t="shared" si="59"/>
        <v>0.75328703703703714</v>
      </c>
      <c r="Q1901" s="23">
        <f>SUM($O$2:O1901)</f>
        <v>50</v>
      </c>
      <c r="Y1901" s="14"/>
      <c r="Z1901" s="13"/>
      <c r="AA1901"/>
    </row>
    <row r="1902" spans="1:27" x14ac:dyDescent="0.2">
      <c r="A1902" s="12" t="s">
        <v>5846</v>
      </c>
      <c r="B1902" t="s">
        <v>5847</v>
      </c>
      <c r="C1902" t="s">
        <v>5848</v>
      </c>
      <c r="D1902" t="s">
        <v>12</v>
      </c>
      <c r="E1902" t="s">
        <v>13</v>
      </c>
      <c r="F1902">
        <v>954</v>
      </c>
      <c r="G1902">
        <v>475</v>
      </c>
      <c r="H1902" s="5" t="s">
        <v>22</v>
      </c>
      <c r="I1902" s="5">
        <v>0</v>
      </c>
      <c r="J1902" s="5">
        <v>0</v>
      </c>
      <c r="K1902" t="s">
        <v>11126</v>
      </c>
      <c r="L1902" cm="1">
        <f t="array" ref="L1902">wordCount(K1902)</f>
        <v>15</v>
      </c>
      <c r="M1902">
        <f t="shared" si="58"/>
        <v>65</v>
      </c>
      <c r="N1902">
        <v>0.5714285714285714</v>
      </c>
      <c r="O1902" s="23" cm="1">
        <f t="array" ref="O1902">WordListCount(K1902,keywords!$A$2:$A$31)-WordListCount(K1902,keywords!$B$2:$B$31)</f>
        <v>0</v>
      </c>
      <c r="P1902" s="25">
        <f t="shared" si="59"/>
        <v>0.75336805555555564</v>
      </c>
      <c r="Q1902" s="23">
        <f>SUM($O$2:O1902)</f>
        <v>50</v>
      </c>
      <c r="Y1902" s="14"/>
      <c r="Z1902" s="13"/>
      <c r="AA1902"/>
    </row>
    <row r="1903" spans="1:27" x14ac:dyDescent="0.2">
      <c r="A1903" s="12" t="s">
        <v>5849</v>
      </c>
      <c r="B1903" t="s">
        <v>5850</v>
      </c>
      <c r="C1903" t="s">
        <v>687</v>
      </c>
      <c r="D1903" t="s">
        <v>12</v>
      </c>
      <c r="E1903" t="s">
        <v>13</v>
      </c>
      <c r="F1903">
        <v>38</v>
      </c>
      <c r="G1903">
        <v>14</v>
      </c>
      <c r="H1903" s="5" t="s">
        <v>42</v>
      </c>
      <c r="I1903" s="5">
        <v>0</v>
      </c>
      <c r="J1903" s="5">
        <v>0</v>
      </c>
      <c r="K1903" t="s">
        <v>9581</v>
      </c>
      <c r="L1903" cm="1">
        <f t="array" ref="L1903">wordCount(K1903)</f>
        <v>3</v>
      </c>
      <c r="M1903">
        <f t="shared" si="58"/>
        <v>48</v>
      </c>
      <c r="N1903">
        <v>0.6</v>
      </c>
      <c r="O1903" s="23" cm="1">
        <f t="array" ref="O1903">WordListCount(K1903,keywords!$A$2:$A$31)-WordListCount(K1903,keywords!$B$2:$B$31)</f>
        <v>0</v>
      </c>
      <c r="P1903" s="25">
        <f t="shared" si="59"/>
        <v>0.75357638888888889</v>
      </c>
      <c r="Q1903" s="23">
        <f>SUM($O$2:O1903)</f>
        <v>50</v>
      </c>
      <c r="Y1903" s="14"/>
      <c r="Z1903" s="13"/>
      <c r="AA1903"/>
    </row>
    <row r="1904" spans="1:27" x14ac:dyDescent="0.2">
      <c r="A1904" s="12" t="s">
        <v>5851</v>
      </c>
      <c r="B1904" t="s">
        <v>5852</v>
      </c>
      <c r="C1904" t="s">
        <v>5695</v>
      </c>
      <c r="D1904" t="s">
        <v>231</v>
      </c>
      <c r="E1904" t="s">
        <v>13</v>
      </c>
      <c r="F1904">
        <v>178</v>
      </c>
      <c r="G1904">
        <v>135</v>
      </c>
      <c r="H1904" s="5" t="s">
        <v>22</v>
      </c>
      <c r="I1904" s="5">
        <v>0</v>
      </c>
      <c r="J1904" s="5">
        <v>0</v>
      </c>
      <c r="K1904" t="s">
        <v>9579</v>
      </c>
      <c r="L1904" cm="1">
        <f t="array" ref="L1904">wordCount(K1904)</f>
        <v>17</v>
      </c>
      <c r="M1904">
        <f t="shared" si="58"/>
        <v>93</v>
      </c>
      <c r="N1904">
        <v>0.94444444444444442</v>
      </c>
      <c r="O1904" s="23" cm="1">
        <f t="array" ref="O1904">WordListCount(K1904,keywords!$A$2:$A$31)-WordListCount(K1904,keywords!$B$2:$B$31)</f>
        <v>0</v>
      </c>
      <c r="P1904" s="25">
        <f t="shared" si="59"/>
        <v>0.75358796296296304</v>
      </c>
      <c r="Q1904" s="23">
        <f>SUM($O$2:O1904)</f>
        <v>50</v>
      </c>
      <c r="Y1904" s="14"/>
      <c r="Z1904" s="13"/>
      <c r="AA1904"/>
    </row>
    <row r="1905" spans="1:27" x14ac:dyDescent="0.2">
      <c r="A1905" s="12" t="s">
        <v>5853</v>
      </c>
      <c r="B1905" t="s">
        <v>5854</v>
      </c>
      <c r="C1905" t="s">
        <v>5855</v>
      </c>
      <c r="D1905" t="s">
        <v>5856</v>
      </c>
      <c r="E1905" t="s">
        <v>13</v>
      </c>
      <c r="F1905">
        <v>110</v>
      </c>
      <c r="G1905">
        <v>131</v>
      </c>
      <c r="H1905" s="5" t="s">
        <v>22</v>
      </c>
      <c r="I1905" s="5">
        <v>0</v>
      </c>
      <c r="J1905" s="5">
        <v>0</v>
      </c>
      <c r="K1905" t="s">
        <v>11127</v>
      </c>
      <c r="L1905" cm="1">
        <f t="array" ref="L1905">wordCount(K1905)</f>
        <v>10</v>
      </c>
      <c r="M1905">
        <f t="shared" si="58"/>
        <v>51</v>
      </c>
      <c r="N1905">
        <v>0.18181818181818182</v>
      </c>
      <c r="O1905" s="23" cm="1">
        <f t="array" ref="O1905">WordListCount(K1905,keywords!$A$2:$A$31)-WordListCount(K1905,keywords!$B$2:$B$31)</f>
        <v>0</v>
      </c>
      <c r="P1905" s="25">
        <f t="shared" si="59"/>
        <v>0.75372685185185195</v>
      </c>
      <c r="Q1905" s="23">
        <f>SUM($O$2:O1905)</f>
        <v>50</v>
      </c>
      <c r="Y1905" s="14"/>
      <c r="Z1905" s="13"/>
      <c r="AA1905"/>
    </row>
    <row r="1906" spans="1:27" x14ac:dyDescent="0.2">
      <c r="A1906" s="12" t="s">
        <v>5857</v>
      </c>
      <c r="B1906" t="s">
        <v>5858</v>
      </c>
      <c r="C1906" t="s">
        <v>5859</v>
      </c>
      <c r="D1906" t="s">
        <v>1343</v>
      </c>
      <c r="E1906" t="s">
        <v>13</v>
      </c>
      <c r="F1906">
        <v>45</v>
      </c>
      <c r="G1906">
        <v>37</v>
      </c>
      <c r="H1906" s="5" t="s">
        <v>22</v>
      </c>
      <c r="I1906" s="5">
        <v>0</v>
      </c>
      <c r="J1906" s="5">
        <v>0</v>
      </c>
      <c r="K1906" t="s">
        <v>11128</v>
      </c>
      <c r="L1906" cm="1">
        <f t="array" ref="L1906">wordCount(K1906)</f>
        <v>11</v>
      </c>
      <c r="M1906">
        <f t="shared" si="58"/>
        <v>49</v>
      </c>
      <c r="N1906">
        <v>0.73333333333333328</v>
      </c>
      <c r="O1906" s="23" cm="1">
        <f t="array" ref="O1906">WordListCount(K1906,keywords!$A$2:$A$31)-WordListCount(K1906,keywords!$B$2:$B$31)</f>
        <v>0</v>
      </c>
      <c r="P1906" s="25">
        <f t="shared" si="59"/>
        <v>0.75385416666666671</v>
      </c>
      <c r="Q1906" s="23">
        <f>SUM($O$2:O1906)</f>
        <v>50</v>
      </c>
      <c r="Y1906" s="14"/>
      <c r="Z1906" s="13"/>
      <c r="AA1906"/>
    </row>
    <row r="1907" spans="1:27" x14ac:dyDescent="0.2">
      <c r="A1907" s="12" t="s">
        <v>5860</v>
      </c>
      <c r="B1907" t="s">
        <v>5861</v>
      </c>
      <c r="C1907" t="s">
        <v>5695</v>
      </c>
      <c r="D1907" t="s">
        <v>231</v>
      </c>
      <c r="E1907" t="s">
        <v>13</v>
      </c>
      <c r="F1907">
        <v>178</v>
      </c>
      <c r="G1907">
        <v>135</v>
      </c>
      <c r="H1907" s="5" t="s">
        <v>22</v>
      </c>
      <c r="I1907" s="5">
        <v>0</v>
      </c>
      <c r="J1907" s="5">
        <v>0</v>
      </c>
      <c r="K1907" t="s">
        <v>9579</v>
      </c>
      <c r="L1907" cm="1">
        <f t="array" ref="L1907">wordCount(K1907)</f>
        <v>17</v>
      </c>
      <c r="M1907">
        <f t="shared" si="58"/>
        <v>93</v>
      </c>
      <c r="N1907">
        <v>0.94444444444444442</v>
      </c>
      <c r="O1907" s="23" cm="1">
        <f t="array" ref="O1907">WordListCount(K1907,keywords!$A$2:$A$31)-WordListCount(K1907,keywords!$B$2:$B$31)</f>
        <v>0</v>
      </c>
      <c r="P1907" s="25">
        <f t="shared" si="59"/>
        <v>0.75412037037037039</v>
      </c>
      <c r="Q1907" s="23">
        <f>SUM($O$2:O1907)</f>
        <v>50</v>
      </c>
      <c r="Y1907" s="14"/>
      <c r="Z1907" s="13"/>
      <c r="AA1907"/>
    </row>
    <row r="1908" spans="1:27" x14ac:dyDescent="0.2">
      <c r="A1908" s="12" t="s">
        <v>5862</v>
      </c>
      <c r="B1908" t="s">
        <v>5863</v>
      </c>
      <c r="C1908" t="s">
        <v>5864</v>
      </c>
      <c r="D1908" t="s">
        <v>5865</v>
      </c>
      <c r="E1908" t="s">
        <v>13</v>
      </c>
      <c r="F1908">
        <v>452</v>
      </c>
      <c r="G1908">
        <v>485</v>
      </c>
      <c r="H1908" s="5" t="s">
        <v>22</v>
      </c>
      <c r="I1908" s="5">
        <v>0</v>
      </c>
      <c r="J1908" s="5">
        <v>0</v>
      </c>
      <c r="K1908" t="s">
        <v>11129</v>
      </c>
      <c r="L1908" cm="1">
        <f t="array" ref="L1908">wordCount(K1908)</f>
        <v>20</v>
      </c>
      <c r="M1908">
        <f t="shared" si="58"/>
        <v>97</v>
      </c>
      <c r="N1908">
        <v>0.42857142857142855</v>
      </c>
      <c r="O1908" s="23" cm="1">
        <f t="array" ref="O1908">WordListCount(K1908,keywords!$A$2:$A$31)-WordListCount(K1908,keywords!$B$2:$B$31)</f>
        <v>0</v>
      </c>
      <c r="P1908" s="25">
        <f t="shared" si="59"/>
        <v>0.75432870370370375</v>
      </c>
      <c r="Q1908" s="23">
        <f>SUM($O$2:O1908)</f>
        <v>50</v>
      </c>
      <c r="Y1908" s="14"/>
      <c r="Z1908" s="13"/>
      <c r="AA1908"/>
    </row>
    <row r="1909" spans="1:27" x14ac:dyDescent="0.2">
      <c r="A1909" s="12" t="s">
        <v>5862</v>
      </c>
      <c r="B1909" t="s">
        <v>5866</v>
      </c>
      <c r="C1909" t="s">
        <v>5867</v>
      </c>
      <c r="D1909" t="s">
        <v>112</v>
      </c>
      <c r="E1909" t="s">
        <v>13</v>
      </c>
      <c r="F1909">
        <v>548</v>
      </c>
      <c r="G1909">
        <v>932</v>
      </c>
      <c r="H1909" s="5" t="s">
        <v>42</v>
      </c>
      <c r="I1909" s="5">
        <v>0</v>
      </c>
      <c r="J1909" s="5">
        <v>0</v>
      </c>
      <c r="K1909" t="s">
        <v>9582</v>
      </c>
      <c r="L1909" cm="1">
        <f t="array" ref="L1909">wordCount(K1909)</f>
        <v>2</v>
      </c>
      <c r="M1909">
        <f t="shared" si="58"/>
        <v>14</v>
      </c>
      <c r="N1909">
        <v>0.875</v>
      </c>
      <c r="O1909" s="23" cm="1">
        <f t="array" ref="O1909">WordListCount(K1909,keywords!$A$2:$A$31)-WordListCount(K1909,keywords!$B$2:$B$31)</f>
        <v>0</v>
      </c>
      <c r="P1909" s="25">
        <f t="shared" si="59"/>
        <v>0.75432870370370375</v>
      </c>
      <c r="Q1909" s="23">
        <f>SUM($O$2:O1909)</f>
        <v>50</v>
      </c>
      <c r="Y1909" s="14"/>
      <c r="Z1909" s="13"/>
      <c r="AA1909"/>
    </row>
    <row r="1910" spans="1:27" x14ac:dyDescent="0.2">
      <c r="A1910" s="12" t="s">
        <v>5868</v>
      </c>
      <c r="B1910" t="s">
        <v>5869</v>
      </c>
      <c r="C1910" t="s">
        <v>5870</v>
      </c>
      <c r="D1910" t="s">
        <v>12</v>
      </c>
      <c r="E1910" t="s">
        <v>13</v>
      </c>
      <c r="F1910">
        <v>946</v>
      </c>
      <c r="G1910">
        <v>459</v>
      </c>
      <c r="H1910" s="5" t="s">
        <v>22</v>
      </c>
      <c r="I1910" s="5">
        <v>0</v>
      </c>
      <c r="J1910" s="5">
        <v>0</v>
      </c>
      <c r="K1910" t="s">
        <v>11130</v>
      </c>
      <c r="L1910" cm="1">
        <f t="array" ref="L1910">wordCount(K1910)</f>
        <v>19</v>
      </c>
      <c r="M1910">
        <f t="shared" si="58"/>
        <v>82</v>
      </c>
      <c r="N1910">
        <v>0.5625</v>
      </c>
      <c r="O1910" s="23" cm="1">
        <f t="array" ref="O1910">WordListCount(K1910,keywords!$A$2:$A$31)-WordListCount(K1910,keywords!$B$2:$B$31)</f>
        <v>1</v>
      </c>
      <c r="P1910" s="25">
        <f t="shared" si="59"/>
        <v>0.75434027777777779</v>
      </c>
      <c r="Q1910" s="23">
        <f>SUM($O$2:O1910)</f>
        <v>51</v>
      </c>
      <c r="Y1910" s="14"/>
      <c r="Z1910" s="13"/>
      <c r="AA1910"/>
    </row>
    <row r="1911" spans="1:27" x14ac:dyDescent="0.2">
      <c r="A1911" s="12" t="s">
        <v>5868</v>
      </c>
      <c r="B1911" t="s">
        <v>5871</v>
      </c>
      <c r="C1911" t="s">
        <v>5872</v>
      </c>
      <c r="D1911" t="s">
        <v>5873</v>
      </c>
      <c r="E1911" t="s">
        <v>13</v>
      </c>
      <c r="F1911">
        <v>488</v>
      </c>
      <c r="G1911">
        <v>540</v>
      </c>
      <c r="H1911" s="5" t="s">
        <v>22</v>
      </c>
      <c r="I1911" s="5">
        <v>0</v>
      </c>
      <c r="J1911" s="5">
        <v>0</v>
      </c>
      <c r="K1911" t="s">
        <v>11131</v>
      </c>
      <c r="L1911" cm="1">
        <f t="array" ref="L1911">wordCount(K1911)</f>
        <v>2</v>
      </c>
      <c r="M1911">
        <f t="shared" si="58"/>
        <v>16</v>
      </c>
      <c r="N1911">
        <v>0.8</v>
      </c>
      <c r="O1911" s="23" cm="1">
        <f t="array" ref="O1911">WordListCount(K1911,keywords!$A$2:$A$31)-WordListCount(K1911,keywords!$B$2:$B$31)</f>
        <v>0</v>
      </c>
      <c r="P1911" s="25">
        <f t="shared" si="59"/>
        <v>0.75434027777777779</v>
      </c>
      <c r="Q1911" s="23">
        <f>SUM($O$2:O1911)</f>
        <v>51</v>
      </c>
      <c r="Y1911" s="14"/>
      <c r="Z1911" s="13"/>
      <c r="AA1911"/>
    </row>
    <row r="1912" spans="1:27" x14ac:dyDescent="0.2">
      <c r="A1912" s="12" t="s">
        <v>5874</v>
      </c>
      <c r="B1912" t="s">
        <v>5875</v>
      </c>
      <c r="C1912" t="s">
        <v>5695</v>
      </c>
      <c r="D1912" t="s">
        <v>231</v>
      </c>
      <c r="E1912" t="s">
        <v>13</v>
      </c>
      <c r="F1912">
        <v>178</v>
      </c>
      <c r="G1912">
        <v>135</v>
      </c>
      <c r="H1912" s="5" t="s">
        <v>22</v>
      </c>
      <c r="I1912" s="5">
        <v>0</v>
      </c>
      <c r="J1912" s="5">
        <v>0</v>
      </c>
      <c r="K1912" t="s">
        <v>9579</v>
      </c>
      <c r="L1912" cm="1">
        <f t="array" ref="L1912">wordCount(K1912)</f>
        <v>17</v>
      </c>
      <c r="M1912">
        <f t="shared" si="58"/>
        <v>93</v>
      </c>
      <c r="N1912">
        <v>0.94444444444444442</v>
      </c>
      <c r="O1912" s="23" cm="1">
        <f t="array" ref="O1912">WordListCount(K1912,keywords!$A$2:$A$31)-WordListCount(K1912,keywords!$B$2:$B$31)</f>
        <v>0</v>
      </c>
      <c r="P1912" s="25">
        <f t="shared" si="59"/>
        <v>0.75451388888888893</v>
      </c>
      <c r="Q1912" s="23">
        <f>SUM($O$2:O1912)</f>
        <v>51</v>
      </c>
      <c r="Y1912" s="14"/>
      <c r="Z1912" s="13"/>
      <c r="AA1912"/>
    </row>
    <row r="1913" spans="1:27" x14ac:dyDescent="0.2">
      <c r="A1913" s="12" t="s">
        <v>5876</v>
      </c>
      <c r="B1913" t="s">
        <v>4350</v>
      </c>
      <c r="C1913" t="s">
        <v>4351</v>
      </c>
      <c r="D1913" t="s">
        <v>12</v>
      </c>
      <c r="E1913" t="s">
        <v>13</v>
      </c>
      <c r="F1913">
        <v>694</v>
      </c>
      <c r="G1913">
        <v>1278</v>
      </c>
      <c r="H1913" s="5" t="s">
        <v>22</v>
      </c>
      <c r="I1913" s="5">
        <v>0</v>
      </c>
      <c r="J1913" s="5">
        <v>0</v>
      </c>
      <c r="K1913" t="s">
        <v>9443</v>
      </c>
      <c r="L1913" cm="1">
        <f t="array" ref="L1913">wordCount(K1913)</f>
        <v>2</v>
      </c>
      <c r="M1913">
        <f t="shared" si="58"/>
        <v>12</v>
      </c>
      <c r="N1913">
        <v>0.66666666666666663</v>
      </c>
      <c r="O1913" s="23" cm="1">
        <f t="array" ref="O1913">WordListCount(K1913,keywords!$A$2:$A$31)-WordListCount(K1913,keywords!$B$2:$B$31)</f>
        <v>0</v>
      </c>
      <c r="P1913" s="25">
        <f t="shared" si="59"/>
        <v>0.75462962962962965</v>
      </c>
      <c r="Q1913" s="23">
        <f>SUM($O$2:O1913)</f>
        <v>51</v>
      </c>
      <c r="Y1913" s="14"/>
      <c r="Z1913" s="13"/>
      <c r="AA1913"/>
    </row>
    <row r="1914" spans="1:27" x14ac:dyDescent="0.2">
      <c r="A1914" s="12" t="s">
        <v>5877</v>
      </c>
      <c r="B1914" t="s">
        <v>5878</v>
      </c>
      <c r="C1914" t="s">
        <v>5695</v>
      </c>
      <c r="D1914" t="s">
        <v>231</v>
      </c>
      <c r="E1914" t="s">
        <v>13</v>
      </c>
      <c r="F1914">
        <v>178</v>
      </c>
      <c r="G1914">
        <v>135</v>
      </c>
      <c r="H1914" s="5" t="s">
        <v>22</v>
      </c>
      <c r="I1914" s="5">
        <v>0</v>
      </c>
      <c r="J1914" s="5">
        <v>0</v>
      </c>
      <c r="K1914" t="s">
        <v>9579</v>
      </c>
      <c r="L1914" cm="1">
        <f t="array" ref="L1914">wordCount(K1914)</f>
        <v>17</v>
      </c>
      <c r="M1914">
        <f t="shared" si="58"/>
        <v>93</v>
      </c>
      <c r="N1914">
        <v>0.94444444444444442</v>
      </c>
      <c r="O1914" s="23" cm="1">
        <f t="array" ref="O1914">WordListCount(K1914,keywords!$A$2:$A$31)-WordListCount(K1914,keywords!$B$2:$B$31)</f>
        <v>0</v>
      </c>
      <c r="P1914" s="25">
        <f t="shared" si="59"/>
        <v>0.75484953703703705</v>
      </c>
      <c r="Q1914" s="23">
        <f>SUM($O$2:O1914)</f>
        <v>51</v>
      </c>
      <c r="Y1914" s="14"/>
      <c r="Z1914" s="13"/>
      <c r="AA1914"/>
    </row>
    <row r="1915" spans="1:27" x14ac:dyDescent="0.2">
      <c r="A1915" s="12" t="s">
        <v>5879</v>
      </c>
      <c r="B1915" t="s">
        <v>5880</v>
      </c>
      <c r="C1915" t="s">
        <v>5881</v>
      </c>
      <c r="D1915" t="s">
        <v>5882</v>
      </c>
      <c r="E1915" t="s">
        <v>13</v>
      </c>
      <c r="F1915">
        <v>40</v>
      </c>
      <c r="G1915">
        <v>101</v>
      </c>
      <c r="H1915" s="5" t="s">
        <v>22</v>
      </c>
      <c r="I1915" s="5">
        <v>0</v>
      </c>
      <c r="J1915" s="5">
        <v>0</v>
      </c>
      <c r="K1915" t="s">
        <v>11132</v>
      </c>
      <c r="L1915" cm="1">
        <f t="array" ref="L1915">wordCount(K1915)</f>
        <v>22</v>
      </c>
      <c r="M1915">
        <f t="shared" si="58"/>
        <v>105</v>
      </c>
      <c r="N1915">
        <v>0.5</v>
      </c>
      <c r="O1915" s="23" cm="1">
        <f t="array" ref="O1915">WordListCount(K1915,keywords!$A$2:$A$31)-WordListCount(K1915,keywords!$B$2:$B$31)</f>
        <v>1</v>
      </c>
      <c r="P1915" s="25">
        <f t="shared" si="59"/>
        <v>0.7550810185185185</v>
      </c>
      <c r="Q1915" s="23">
        <f>SUM($O$2:O1915)</f>
        <v>52</v>
      </c>
      <c r="Y1915" s="14"/>
      <c r="Z1915" s="13"/>
      <c r="AA1915"/>
    </row>
    <row r="1916" spans="1:27" x14ac:dyDescent="0.2">
      <c r="A1916" s="12" t="s">
        <v>5883</v>
      </c>
      <c r="B1916" t="s">
        <v>5884</v>
      </c>
      <c r="C1916" t="s">
        <v>5695</v>
      </c>
      <c r="D1916" t="s">
        <v>231</v>
      </c>
      <c r="E1916" t="s">
        <v>13</v>
      </c>
      <c r="F1916">
        <v>178</v>
      </c>
      <c r="G1916">
        <v>135</v>
      </c>
      <c r="H1916" s="5" t="s">
        <v>22</v>
      </c>
      <c r="I1916" s="5">
        <v>0</v>
      </c>
      <c r="J1916" s="5">
        <v>0</v>
      </c>
      <c r="K1916" t="s">
        <v>9579</v>
      </c>
      <c r="L1916" cm="1">
        <f t="array" ref="L1916">wordCount(K1916)</f>
        <v>17</v>
      </c>
      <c r="M1916">
        <f t="shared" si="58"/>
        <v>93</v>
      </c>
      <c r="N1916">
        <v>0.94444444444444442</v>
      </c>
      <c r="O1916" s="23" cm="1">
        <f t="array" ref="O1916">WordListCount(K1916,keywords!$A$2:$A$31)-WordListCount(K1916,keywords!$B$2:$B$31)</f>
        <v>0</v>
      </c>
      <c r="P1916" s="25">
        <f t="shared" si="59"/>
        <v>0.75526620370370379</v>
      </c>
      <c r="Q1916" s="23">
        <f>SUM($O$2:O1916)</f>
        <v>52</v>
      </c>
      <c r="Y1916" s="14"/>
      <c r="Z1916" s="13"/>
      <c r="AA1916"/>
    </row>
    <row r="1917" spans="1:27" x14ac:dyDescent="0.2">
      <c r="A1917" s="12" t="s">
        <v>5885</v>
      </c>
      <c r="B1917" t="s">
        <v>5886</v>
      </c>
      <c r="C1917" t="s">
        <v>5887</v>
      </c>
      <c r="D1917" t="s">
        <v>12</v>
      </c>
      <c r="E1917" t="s">
        <v>13</v>
      </c>
      <c r="F1917">
        <v>2544</v>
      </c>
      <c r="G1917">
        <v>150</v>
      </c>
      <c r="H1917" s="5" t="s">
        <v>22</v>
      </c>
      <c r="I1917" s="5">
        <v>0</v>
      </c>
      <c r="J1917" s="5">
        <v>0</v>
      </c>
      <c r="K1917" t="s">
        <v>11133</v>
      </c>
      <c r="L1917" cm="1">
        <f t="array" ref="L1917">wordCount(K1917)</f>
        <v>23</v>
      </c>
      <c r="M1917">
        <f t="shared" si="58"/>
        <v>106</v>
      </c>
      <c r="N1917">
        <v>0.4</v>
      </c>
      <c r="O1917" s="23" cm="1">
        <f t="array" ref="O1917">WordListCount(K1917,keywords!$A$2:$A$31)-WordListCount(K1917,keywords!$B$2:$B$31)</f>
        <v>0</v>
      </c>
      <c r="P1917" s="25">
        <f t="shared" si="59"/>
        <v>0.75550925925925927</v>
      </c>
      <c r="Q1917" s="23">
        <f>SUM($O$2:O1917)</f>
        <v>52</v>
      </c>
      <c r="Y1917" s="14"/>
      <c r="Z1917" s="13"/>
      <c r="AA1917"/>
    </row>
    <row r="1918" spans="1:27" x14ac:dyDescent="0.2">
      <c r="A1918" s="12" t="s">
        <v>5888</v>
      </c>
      <c r="B1918" t="s">
        <v>5889</v>
      </c>
      <c r="C1918" t="s">
        <v>5890</v>
      </c>
      <c r="D1918" t="s">
        <v>12</v>
      </c>
      <c r="E1918" t="s">
        <v>13</v>
      </c>
      <c r="F1918">
        <v>4</v>
      </c>
      <c r="G1918">
        <v>37</v>
      </c>
      <c r="H1918" s="5" t="s">
        <v>22</v>
      </c>
      <c r="I1918" s="5">
        <v>0</v>
      </c>
      <c r="J1918" s="5">
        <v>0</v>
      </c>
      <c r="K1918" t="s">
        <v>9583</v>
      </c>
      <c r="L1918" cm="1">
        <f t="array" ref="L1918">wordCount(K1918)</f>
        <v>7</v>
      </c>
      <c r="M1918">
        <f t="shared" si="58"/>
        <v>37</v>
      </c>
      <c r="N1918">
        <v>0.73076923076923073</v>
      </c>
      <c r="O1918" s="23" cm="1">
        <f t="array" ref="O1918">WordListCount(K1918,keywords!$A$2:$A$31)-WordListCount(K1918,keywords!$B$2:$B$31)</f>
        <v>0</v>
      </c>
      <c r="P1918" s="25">
        <f t="shared" si="59"/>
        <v>0.75559027777777776</v>
      </c>
      <c r="Q1918" s="23">
        <f>SUM($O$2:O1918)</f>
        <v>52</v>
      </c>
      <c r="Y1918" s="14"/>
      <c r="Z1918" s="13"/>
      <c r="AA1918"/>
    </row>
    <row r="1919" spans="1:27" x14ac:dyDescent="0.2">
      <c r="A1919" s="12" t="s">
        <v>5888</v>
      </c>
      <c r="B1919" t="s">
        <v>5891</v>
      </c>
      <c r="C1919" t="s">
        <v>5892</v>
      </c>
      <c r="D1919" t="s">
        <v>12</v>
      </c>
      <c r="E1919" t="s">
        <v>13</v>
      </c>
      <c r="F1919">
        <v>40</v>
      </c>
      <c r="G1919">
        <v>195</v>
      </c>
      <c r="H1919" s="5" t="s">
        <v>22</v>
      </c>
      <c r="I1919" s="5">
        <v>0</v>
      </c>
      <c r="J1919" s="5">
        <v>0</v>
      </c>
      <c r="K1919" t="s">
        <v>9584</v>
      </c>
      <c r="L1919" cm="1">
        <f t="array" ref="L1919">wordCount(K1919)</f>
        <v>3</v>
      </c>
      <c r="M1919">
        <f t="shared" si="58"/>
        <v>8</v>
      </c>
      <c r="N1919">
        <v>1</v>
      </c>
      <c r="O1919" s="23" cm="1">
        <f t="array" ref="O1919">WordListCount(K1919,keywords!$A$2:$A$31)-WordListCount(K1919,keywords!$B$2:$B$31)</f>
        <v>0</v>
      </c>
      <c r="P1919" s="25">
        <f t="shared" si="59"/>
        <v>0.75559027777777776</v>
      </c>
      <c r="Q1919" s="23">
        <f>SUM($O$2:O1919)</f>
        <v>52</v>
      </c>
      <c r="Y1919" s="14"/>
      <c r="Z1919" s="13"/>
      <c r="AA1919"/>
    </row>
    <row r="1920" spans="1:27" x14ac:dyDescent="0.2">
      <c r="A1920" s="12" t="s">
        <v>5893</v>
      </c>
      <c r="B1920" t="s">
        <v>5894</v>
      </c>
      <c r="C1920" t="s">
        <v>5695</v>
      </c>
      <c r="D1920" t="s">
        <v>231</v>
      </c>
      <c r="E1920" t="s">
        <v>13</v>
      </c>
      <c r="F1920">
        <v>178</v>
      </c>
      <c r="G1920">
        <v>135</v>
      </c>
      <c r="H1920" s="5" t="s">
        <v>22</v>
      </c>
      <c r="I1920" s="5">
        <v>0</v>
      </c>
      <c r="J1920" s="5">
        <v>0</v>
      </c>
      <c r="K1920" t="s">
        <v>9579</v>
      </c>
      <c r="L1920" cm="1">
        <f t="array" ref="L1920">wordCount(K1920)</f>
        <v>17</v>
      </c>
      <c r="M1920">
        <f t="shared" si="58"/>
        <v>93</v>
      </c>
      <c r="N1920">
        <v>0.94444444444444442</v>
      </c>
      <c r="O1920" s="23" cm="1">
        <f t="array" ref="O1920">WordListCount(K1920,keywords!$A$2:$A$31)-WordListCount(K1920,keywords!$B$2:$B$31)</f>
        <v>0</v>
      </c>
      <c r="P1920" s="25">
        <f t="shared" si="59"/>
        <v>0.7556250000000001</v>
      </c>
      <c r="Q1920" s="23">
        <f>SUM($O$2:O1920)</f>
        <v>52</v>
      </c>
      <c r="Y1920" s="14"/>
      <c r="Z1920" s="13"/>
      <c r="AA1920"/>
    </row>
    <row r="1921" spans="1:27" x14ac:dyDescent="0.2">
      <c r="A1921" s="12" t="s">
        <v>5895</v>
      </c>
      <c r="B1921" t="s">
        <v>5896</v>
      </c>
      <c r="C1921" t="s">
        <v>5897</v>
      </c>
      <c r="D1921" t="s">
        <v>1356</v>
      </c>
      <c r="E1921" t="s">
        <v>13</v>
      </c>
      <c r="F1921">
        <v>10594</v>
      </c>
      <c r="G1921">
        <v>158</v>
      </c>
      <c r="H1921" s="5" t="s">
        <v>382</v>
      </c>
      <c r="I1921" s="5">
        <v>0</v>
      </c>
      <c r="J1921" s="5">
        <v>0</v>
      </c>
      <c r="K1921" t="s">
        <v>11134</v>
      </c>
      <c r="L1921" cm="1">
        <f t="array" ref="L1921">wordCount(K1921)</f>
        <v>17</v>
      </c>
      <c r="M1921">
        <f t="shared" si="58"/>
        <v>56</v>
      </c>
      <c r="N1921">
        <v>0.73076923076923073</v>
      </c>
      <c r="O1921" s="23" cm="1">
        <f t="array" ref="O1921">WordListCount(K1921,keywords!$A$2:$A$31)-WordListCount(K1921,keywords!$B$2:$B$31)</f>
        <v>-1</v>
      </c>
      <c r="P1921" s="25">
        <f t="shared" si="59"/>
        <v>0.75564814814814818</v>
      </c>
      <c r="Q1921" s="23">
        <f>SUM($O$2:O1921)</f>
        <v>51</v>
      </c>
      <c r="Y1921" s="14"/>
      <c r="Z1921" s="13"/>
      <c r="AA1921"/>
    </row>
    <row r="1922" spans="1:27" x14ac:dyDescent="0.2">
      <c r="A1922" s="12" t="s">
        <v>5898</v>
      </c>
      <c r="B1922" t="s">
        <v>5899</v>
      </c>
      <c r="C1922" t="s">
        <v>5233</v>
      </c>
      <c r="D1922" t="s">
        <v>12</v>
      </c>
      <c r="E1922" t="s">
        <v>13</v>
      </c>
      <c r="F1922">
        <v>49</v>
      </c>
      <c r="G1922">
        <v>146</v>
      </c>
      <c r="H1922" s="5" t="s">
        <v>22</v>
      </c>
      <c r="I1922" s="5">
        <v>0</v>
      </c>
      <c r="J1922" s="5">
        <v>0</v>
      </c>
      <c r="K1922" t="s">
        <v>9585</v>
      </c>
      <c r="L1922" cm="1">
        <f t="array" ref="L1922">wordCount(K1922)</f>
        <v>12</v>
      </c>
      <c r="M1922">
        <f t="shared" ref="M1922:M1985" si="60">LEN(K1922)</f>
        <v>61</v>
      </c>
      <c r="N1922">
        <v>0.68965517241379315</v>
      </c>
      <c r="O1922" s="23" cm="1">
        <f t="array" ref="O1922">WordListCount(K1922,keywords!$A$2:$A$31)-WordListCount(K1922,keywords!$B$2:$B$31)</f>
        <v>0</v>
      </c>
      <c r="P1922" s="25">
        <f t="shared" ref="P1922:P1985" si="61">TIMEVALUE(RIGHT(A1922,8))</f>
        <v>0.75577546296296294</v>
      </c>
      <c r="Q1922" s="23">
        <f>SUM($O$2:O1922)</f>
        <v>51</v>
      </c>
      <c r="Y1922" s="14"/>
      <c r="Z1922" s="13"/>
      <c r="AA1922"/>
    </row>
    <row r="1923" spans="1:27" x14ac:dyDescent="0.2">
      <c r="A1923" s="12" t="s">
        <v>5900</v>
      </c>
      <c r="B1923" t="s">
        <v>5901</v>
      </c>
      <c r="C1923" t="s">
        <v>5695</v>
      </c>
      <c r="D1923" t="s">
        <v>231</v>
      </c>
      <c r="E1923" t="s">
        <v>13</v>
      </c>
      <c r="F1923">
        <v>178</v>
      </c>
      <c r="G1923">
        <v>135</v>
      </c>
      <c r="H1923" s="5" t="s">
        <v>22</v>
      </c>
      <c r="I1923" s="5">
        <v>0</v>
      </c>
      <c r="J1923" s="5">
        <v>0</v>
      </c>
      <c r="K1923" t="s">
        <v>9579</v>
      </c>
      <c r="L1923" cm="1">
        <f t="array" ref="L1923">wordCount(K1923)</f>
        <v>17</v>
      </c>
      <c r="M1923">
        <f t="shared" si="60"/>
        <v>93</v>
      </c>
      <c r="N1923">
        <v>0.94444444444444442</v>
      </c>
      <c r="O1923" s="23" cm="1">
        <f t="array" ref="O1923">WordListCount(K1923,keywords!$A$2:$A$31)-WordListCount(K1923,keywords!$B$2:$B$31)</f>
        <v>0</v>
      </c>
      <c r="P1923" s="25">
        <f t="shared" si="61"/>
        <v>0.7560069444444445</v>
      </c>
      <c r="Q1923" s="23">
        <f>SUM($O$2:O1923)</f>
        <v>51</v>
      </c>
      <c r="Y1923" s="14"/>
      <c r="Z1923" s="13"/>
      <c r="AA1923"/>
    </row>
    <row r="1924" spans="1:27" x14ac:dyDescent="0.2">
      <c r="A1924" s="12" t="s">
        <v>5902</v>
      </c>
      <c r="B1924" t="s">
        <v>5903</v>
      </c>
      <c r="C1924" t="s">
        <v>5695</v>
      </c>
      <c r="D1924" t="s">
        <v>231</v>
      </c>
      <c r="E1924" t="s">
        <v>13</v>
      </c>
      <c r="F1924">
        <v>178</v>
      </c>
      <c r="G1924">
        <v>135</v>
      </c>
      <c r="H1924" s="5" t="s">
        <v>22</v>
      </c>
      <c r="I1924" s="5">
        <v>0</v>
      </c>
      <c r="J1924" s="5">
        <v>0</v>
      </c>
      <c r="K1924" t="s">
        <v>9579</v>
      </c>
      <c r="L1924" cm="1">
        <f t="array" ref="L1924">wordCount(K1924)</f>
        <v>17</v>
      </c>
      <c r="M1924">
        <f t="shared" si="60"/>
        <v>93</v>
      </c>
      <c r="N1924">
        <v>0.94444444444444442</v>
      </c>
      <c r="O1924" s="23" cm="1">
        <f t="array" ref="O1924">WordListCount(K1924,keywords!$A$2:$A$31)-WordListCount(K1924,keywords!$B$2:$B$31)</f>
        <v>0</v>
      </c>
      <c r="P1924" s="25">
        <f t="shared" si="61"/>
        <v>0.75648148148148142</v>
      </c>
      <c r="Q1924" s="23">
        <f>SUM($O$2:O1924)</f>
        <v>51</v>
      </c>
      <c r="Y1924" s="14"/>
      <c r="Z1924" s="13"/>
      <c r="AA1924"/>
    </row>
    <row r="1925" spans="1:27" x14ac:dyDescent="0.2">
      <c r="A1925" s="12" t="s">
        <v>5904</v>
      </c>
      <c r="B1925" t="s">
        <v>5905</v>
      </c>
      <c r="C1925" t="s">
        <v>5823</v>
      </c>
      <c r="D1925" t="s">
        <v>1454</v>
      </c>
      <c r="E1925" t="s">
        <v>13</v>
      </c>
      <c r="F1925">
        <v>4</v>
      </c>
      <c r="G1925">
        <v>14</v>
      </c>
      <c r="H1925" s="5" t="s">
        <v>22</v>
      </c>
      <c r="I1925" s="5">
        <v>0</v>
      </c>
      <c r="J1925" s="5">
        <v>0</v>
      </c>
      <c r="K1925" t="s">
        <v>9586</v>
      </c>
      <c r="L1925" cm="1">
        <f t="array" ref="L1925">wordCount(K1925)</f>
        <v>3</v>
      </c>
      <c r="M1925">
        <f t="shared" si="60"/>
        <v>10</v>
      </c>
      <c r="N1925">
        <v>0.75</v>
      </c>
      <c r="O1925" s="23" cm="1">
        <f t="array" ref="O1925">WordListCount(K1925,keywords!$A$2:$A$31)-WordListCount(K1925,keywords!$B$2:$B$31)</f>
        <v>0</v>
      </c>
      <c r="P1925" s="25">
        <f t="shared" si="61"/>
        <v>0.75653935185185184</v>
      </c>
      <c r="Q1925" s="23">
        <f>SUM($O$2:O1925)</f>
        <v>51</v>
      </c>
      <c r="Y1925" s="14"/>
      <c r="Z1925" s="13"/>
      <c r="AA1925"/>
    </row>
    <row r="1926" spans="1:27" x14ac:dyDescent="0.2">
      <c r="A1926" s="12" t="s">
        <v>5906</v>
      </c>
      <c r="B1926" t="s">
        <v>5907</v>
      </c>
      <c r="C1926" t="s">
        <v>5908</v>
      </c>
      <c r="D1926" t="s">
        <v>5909</v>
      </c>
      <c r="E1926" t="s">
        <v>13</v>
      </c>
      <c r="F1926">
        <v>1638</v>
      </c>
      <c r="G1926">
        <v>1207</v>
      </c>
      <c r="H1926" s="5" t="s">
        <v>22</v>
      </c>
      <c r="I1926" s="5">
        <v>0</v>
      </c>
      <c r="J1926" s="5">
        <v>0</v>
      </c>
      <c r="K1926" t="s">
        <v>11135</v>
      </c>
      <c r="L1926" cm="1">
        <f t="array" ref="L1926">wordCount(K1926)</f>
        <v>11</v>
      </c>
      <c r="M1926">
        <f t="shared" si="60"/>
        <v>45</v>
      </c>
      <c r="N1926">
        <v>0.6</v>
      </c>
      <c r="O1926" s="23" cm="1">
        <f t="array" ref="O1926">WordListCount(K1926,keywords!$A$2:$A$31)-WordListCount(K1926,keywords!$B$2:$B$31)</f>
        <v>0</v>
      </c>
      <c r="P1926" s="25">
        <f t="shared" si="61"/>
        <v>0.75673611111111105</v>
      </c>
      <c r="Q1926" s="23">
        <f>SUM($O$2:O1926)</f>
        <v>51</v>
      </c>
      <c r="Y1926" s="14"/>
      <c r="Z1926" s="13"/>
      <c r="AA1926"/>
    </row>
    <row r="1927" spans="1:27" x14ac:dyDescent="0.2">
      <c r="A1927" s="12" t="s">
        <v>5910</v>
      </c>
      <c r="B1927" t="s">
        <v>5911</v>
      </c>
      <c r="C1927" t="s">
        <v>119</v>
      </c>
      <c r="D1927" t="s">
        <v>120</v>
      </c>
      <c r="E1927" t="s">
        <v>13</v>
      </c>
      <c r="F1927">
        <v>16</v>
      </c>
      <c r="G1927">
        <v>39</v>
      </c>
      <c r="H1927" s="5" t="s">
        <v>22</v>
      </c>
      <c r="I1927" s="5">
        <v>0</v>
      </c>
      <c r="J1927" s="5">
        <v>0</v>
      </c>
      <c r="K1927" t="s">
        <v>9914</v>
      </c>
      <c r="L1927" cm="1">
        <f t="array" ref="L1927">wordCount(K1927)</f>
        <v>10</v>
      </c>
      <c r="M1927">
        <f t="shared" si="60"/>
        <v>49</v>
      </c>
      <c r="N1927">
        <v>0.9</v>
      </c>
      <c r="O1927" s="23" cm="1">
        <f t="array" ref="O1927">WordListCount(K1927,keywords!$A$2:$A$31)-WordListCount(K1927,keywords!$B$2:$B$31)</f>
        <v>0</v>
      </c>
      <c r="P1927" s="25">
        <f t="shared" si="61"/>
        <v>0.75697916666666665</v>
      </c>
      <c r="Q1927" s="23">
        <f>SUM($O$2:O1927)</f>
        <v>51</v>
      </c>
      <c r="Y1927" s="14"/>
      <c r="Z1927" s="13"/>
      <c r="AA1927"/>
    </row>
    <row r="1928" spans="1:27" x14ac:dyDescent="0.2">
      <c r="A1928" s="33" t="s">
        <v>5912</v>
      </c>
      <c r="B1928" s="34" t="s">
        <v>5913</v>
      </c>
      <c r="C1928" s="34" t="s">
        <v>123</v>
      </c>
      <c r="D1928" s="34" t="s">
        <v>124</v>
      </c>
      <c r="E1928" s="34" t="s">
        <v>13</v>
      </c>
      <c r="F1928" s="34">
        <v>838</v>
      </c>
      <c r="G1928" s="34">
        <v>898</v>
      </c>
      <c r="H1928" s="35" t="s">
        <v>125</v>
      </c>
      <c r="I1928" s="35">
        <v>0</v>
      </c>
      <c r="J1928" s="35">
        <v>0</v>
      </c>
      <c r="K1928" s="34" t="s">
        <v>9587</v>
      </c>
      <c r="L1928" s="34" cm="1">
        <f t="array" ref="L1928">wordCount(K1928)</f>
        <v>20</v>
      </c>
      <c r="M1928" s="34">
        <f t="shared" si="60"/>
        <v>90</v>
      </c>
      <c r="N1928" s="34">
        <v>0.8</v>
      </c>
      <c r="O1928" s="36" cm="1">
        <f t="array" ref="O1928">WordListCount(K1928,keywords!$A$2:$A$31)-WordListCount(K1928,keywords!$B$2:$B$31)</f>
        <v>0</v>
      </c>
      <c r="P1928" s="37">
        <f t="shared" si="61"/>
        <v>0.75700231481481473</v>
      </c>
      <c r="Q1928" s="23">
        <f>SUM($O$2:O1928)</f>
        <v>51</v>
      </c>
    </row>
    <row r="1929" spans="1:27" x14ac:dyDescent="0.2">
      <c r="A1929" s="12" t="s">
        <v>5914</v>
      </c>
      <c r="B1929" t="s">
        <v>5915</v>
      </c>
      <c r="C1929" t="s">
        <v>119</v>
      </c>
      <c r="D1929" t="s">
        <v>120</v>
      </c>
      <c r="E1929" t="s">
        <v>13</v>
      </c>
      <c r="F1929">
        <v>16</v>
      </c>
      <c r="G1929">
        <v>39</v>
      </c>
      <c r="H1929" s="5" t="s">
        <v>22</v>
      </c>
      <c r="I1929" s="5">
        <v>0</v>
      </c>
      <c r="J1929" s="5">
        <v>0</v>
      </c>
      <c r="K1929" t="s">
        <v>9914</v>
      </c>
      <c r="L1929" cm="1">
        <f t="array" ref="L1929">wordCount(K1929)</f>
        <v>10</v>
      </c>
      <c r="M1929">
        <f t="shared" si="60"/>
        <v>49</v>
      </c>
      <c r="N1929">
        <v>0.9</v>
      </c>
      <c r="O1929" s="23" cm="1">
        <f t="array" ref="O1929">WordListCount(K1929,keywords!$A$2:$A$31)-WordListCount(K1929,keywords!$B$2:$B$31)</f>
        <v>0</v>
      </c>
      <c r="P1929" s="25">
        <f t="shared" si="61"/>
        <v>0.7570486111111111</v>
      </c>
      <c r="Q1929" s="23">
        <f>SUM($O$2:O1929)</f>
        <v>51</v>
      </c>
      <c r="Y1929" s="14"/>
      <c r="Z1929" s="13"/>
      <c r="AA1929"/>
    </row>
    <row r="1930" spans="1:27" x14ac:dyDescent="0.2">
      <c r="A1930" s="12" t="s">
        <v>5916</v>
      </c>
      <c r="B1930" t="s">
        <v>5917</v>
      </c>
      <c r="C1930" t="s">
        <v>130</v>
      </c>
      <c r="D1930" t="s">
        <v>131</v>
      </c>
      <c r="E1930" t="s">
        <v>13</v>
      </c>
      <c r="F1930">
        <v>94</v>
      </c>
      <c r="G1930">
        <v>202</v>
      </c>
      <c r="H1930" s="5" t="s">
        <v>22</v>
      </c>
      <c r="I1930" s="5">
        <v>0</v>
      </c>
      <c r="J1930" s="5">
        <v>0</v>
      </c>
      <c r="K1930" t="s">
        <v>11136</v>
      </c>
      <c r="L1930" cm="1">
        <f t="array" ref="L1930">wordCount(K1930)</f>
        <v>20</v>
      </c>
      <c r="M1930">
        <f t="shared" si="60"/>
        <v>97</v>
      </c>
      <c r="N1930">
        <v>0.6428571428571429</v>
      </c>
      <c r="O1930" s="23" cm="1">
        <f t="array" ref="O1930">WordListCount(K1930,keywords!$A$2:$A$31)-WordListCount(K1930,keywords!$B$2:$B$31)</f>
        <v>0</v>
      </c>
      <c r="P1930" s="25">
        <f t="shared" si="61"/>
        <v>0.7571296296296296</v>
      </c>
      <c r="Q1930" s="23">
        <f>SUM($O$2:O1930)</f>
        <v>51</v>
      </c>
      <c r="Y1930" s="14"/>
      <c r="Z1930" s="13"/>
      <c r="AA1930"/>
    </row>
    <row r="1931" spans="1:27" x14ac:dyDescent="0.2">
      <c r="A1931" s="12" t="s">
        <v>5918</v>
      </c>
      <c r="B1931" t="s">
        <v>5919</v>
      </c>
      <c r="C1931" t="s">
        <v>5920</v>
      </c>
      <c r="D1931" t="s">
        <v>12</v>
      </c>
      <c r="E1931" t="s">
        <v>13</v>
      </c>
      <c r="F1931">
        <v>1905</v>
      </c>
      <c r="G1931">
        <v>801</v>
      </c>
      <c r="H1931" s="5" t="s">
        <v>22</v>
      </c>
      <c r="I1931" s="5">
        <v>0</v>
      </c>
      <c r="J1931" s="5">
        <v>0</v>
      </c>
      <c r="K1931" t="s">
        <v>9588</v>
      </c>
      <c r="L1931" cm="1">
        <f t="array" ref="L1931">wordCount(K1931)</f>
        <v>11</v>
      </c>
      <c r="M1931">
        <f t="shared" si="60"/>
        <v>56</v>
      </c>
      <c r="N1931">
        <v>0.7857142857142857</v>
      </c>
      <c r="O1931" s="23" cm="1">
        <f t="array" ref="O1931">WordListCount(K1931,keywords!$A$2:$A$31)-WordListCount(K1931,keywords!$B$2:$B$31)</f>
        <v>-1</v>
      </c>
      <c r="P1931" s="25">
        <f t="shared" si="61"/>
        <v>0.75722222222222213</v>
      </c>
      <c r="Q1931" s="23">
        <f>SUM($O$2:O1931)</f>
        <v>50</v>
      </c>
      <c r="Y1931" s="14"/>
      <c r="Z1931" s="13"/>
      <c r="AA1931"/>
    </row>
    <row r="1932" spans="1:27" x14ac:dyDescent="0.2">
      <c r="A1932" s="12" t="s">
        <v>5921</v>
      </c>
      <c r="B1932" t="s">
        <v>5922</v>
      </c>
      <c r="C1932" t="s">
        <v>782</v>
      </c>
      <c r="D1932" t="s">
        <v>12</v>
      </c>
      <c r="E1932" t="s">
        <v>13</v>
      </c>
      <c r="F1932">
        <v>17346</v>
      </c>
      <c r="G1932">
        <v>12512</v>
      </c>
      <c r="H1932" s="5" t="s">
        <v>22</v>
      </c>
      <c r="I1932" s="5">
        <v>0</v>
      </c>
      <c r="J1932" s="5">
        <v>0</v>
      </c>
      <c r="K1932" t="s">
        <v>11137</v>
      </c>
      <c r="L1932" cm="1">
        <f t="array" ref="L1932">wordCount(K1932)</f>
        <v>24</v>
      </c>
      <c r="M1932">
        <f t="shared" si="60"/>
        <v>107</v>
      </c>
      <c r="N1932">
        <v>0.4642857142857143</v>
      </c>
      <c r="O1932" s="23" cm="1">
        <f t="array" ref="O1932">WordListCount(K1932,keywords!$A$2:$A$31)-WordListCount(K1932,keywords!$B$2:$B$31)</f>
        <v>1</v>
      </c>
      <c r="P1932" s="25">
        <f t="shared" si="61"/>
        <v>0.75730324074074085</v>
      </c>
      <c r="Q1932" s="23">
        <f>SUM($O$2:O1932)</f>
        <v>51</v>
      </c>
      <c r="Y1932" s="14"/>
      <c r="Z1932" s="13"/>
      <c r="AA1932"/>
    </row>
    <row r="1933" spans="1:27" x14ac:dyDescent="0.2">
      <c r="A1933" s="12" t="s">
        <v>5923</v>
      </c>
      <c r="B1933" t="s">
        <v>5924</v>
      </c>
      <c r="C1933" t="s">
        <v>5925</v>
      </c>
      <c r="D1933" t="s">
        <v>12</v>
      </c>
      <c r="E1933" t="s">
        <v>13</v>
      </c>
      <c r="F1933">
        <v>9</v>
      </c>
      <c r="G1933">
        <v>41</v>
      </c>
      <c r="H1933" s="5" t="s">
        <v>22</v>
      </c>
      <c r="I1933" s="5">
        <v>0</v>
      </c>
      <c r="J1933" s="5">
        <v>0</v>
      </c>
      <c r="K1933" t="s">
        <v>11138</v>
      </c>
      <c r="L1933" cm="1">
        <f t="array" ref="L1933">wordCount(K1933)</f>
        <v>16</v>
      </c>
      <c r="M1933">
        <f t="shared" si="60"/>
        <v>76</v>
      </c>
      <c r="N1933">
        <v>0.2</v>
      </c>
      <c r="O1933" s="23" cm="1">
        <f t="array" ref="O1933">WordListCount(K1933,keywords!$A$2:$A$31)-WordListCount(K1933,keywords!$B$2:$B$31)</f>
        <v>0</v>
      </c>
      <c r="P1933" s="25">
        <f t="shared" si="61"/>
        <v>0.75740740740740742</v>
      </c>
      <c r="Q1933" s="23">
        <f>SUM($O$2:O1933)</f>
        <v>51</v>
      </c>
      <c r="Y1933" s="14"/>
      <c r="Z1933" s="13"/>
      <c r="AA1933"/>
    </row>
    <row r="1934" spans="1:27" x14ac:dyDescent="0.2">
      <c r="A1934" s="12" t="s">
        <v>5926</v>
      </c>
      <c r="B1934" t="s">
        <v>5927</v>
      </c>
      <c r="C1934" t="s">
        <v>645</v>
      </c>
      <c r="D1934" t="s">
        <v>646</v>
      </c>
      <c r="E1934" t="s">
        <v>13</v>
      </c>
      <c r="F1934">
        <v>14</v>
      </c>
      <c r="G1934">
        <v>27</v>
      </c>
      <c r="H1934" s="5" t="s">
        <v>59</v>
      </c>
      <c r="I1934" s="5">
        <v>0</v>
      </c>
      <c r="J1934" s="5">
        <v>0</v>
      </c>
      <c r="K1934" t="s">
        <v>11139</v>
      </c>
      <c r="L1934" cm="1">
        <f t="array" ref="L1934">wordCount(K1934)</f>
        <v>13</v>
      </c>
      <c r="M1934">
        <f t="shared" si="60"/>
        <v>63</v>
      </c>
      <c r="N1934">
        <v>0.16666666666666666</v>
      </c>
      <c r="O1934" s="23" cm="1">
        <f t="array" ref="O1934">WordListCount(K1934,keywords!$A$2:$A$31)-WordListCount(K1934,keywords!$B$2:$B$31)</f>
        <v>0</v>
      </c>
      <c r="P1934" s="25">
        <f t="shared" si="61"/>
        <v>0.75748842592592591</v>
      </c>
      <c r="Q1934" s="23">
        <f>SUM($O$2:O1934)</f>
        <v>51</v>
      </c>
      <c r="Y1934" s="14"/>
      <c r="Z1934" s="13"/>
      <c r="AA1934"/>
    </row>
    <row r="1935" spans="1:27" x14ac:dyDescent="0.2">
      <c r="A1935" s="12" t="s">
        <v>5928</v>
      </c>
      <c r="B1935" t="s">
        <v>5931</v>
      </c>
      <c r="C1935" t="s">
        <v>5695</v>
      </c>
      <c r="D1935" t="s">
        <v>231</v>
      </c>
      <c r="E1935" t="s">
        <v>13</v>
      </c>
      <c r="F1935">
        <v>178</v>
      </c>
      <c r="G1935">
        <v>135</v>
      </c>
      <c r="H1935" s="5" t="s">
        <v>22</v>
      </c>
      <c r="I1935" s="5">
        <v>0</v>
      </c>
      <c r="J1935" s="5">
        <v>0</v>
      </c>
      <c r="K1935" t="s">
        <v>9579</v>
      </c>
      <c r="L1935" cm="1">
        <f t="array" ref="L1935">wordCount(K1935)</f>
        <v>17</v>
      </c>
      <c r="M1935">
        <f t="shared" si="60"/>
        <v>93</v>
      </c>
      <c r="N1935">
        <v>0.94444444444444442</v>
      </c>
      <c r="O1935" s="23" cm="1">
        <f t="array" ref="O1935">WordListCount(K1935,keywords!$A$2:$A$31)-WordListCount(K1935,keywords!$B$2:$B$31)</f>
        <v>0</v>
      </c>
      <c r="P1935" s="25">
        <f t="shared" si="61"/>
        <v>0.7575925925925926</v>
      </c>
      <c r="Q1935" s="23">
        <f>SUM($O$2:O1935)</f>
        <v>51</v>
      </c>
      <c r="Y1935" s="14"/>
      <c r="Z1935" s="13"/>
      <c r="AA1935"/>
    </row>
    <row r="1936" spans="1:27" x14ac:dyDescent="0.2">
      <c r="A1936" s="12" t="s">
        <v>5928</v>
      </c>
      <c r="B1936" t="s">
        <v>5929</v>
      </c>
      <c r="C1936" t="s">
        <v>5930</v>
      </c>
      <c r="D1936" t="s">
        <v>12</v>
      </c>
      <c r="E1936" t="s">
        <v>13</v>
      </c>
      <c r="F1936">
        <v>102</v>
      </c>
      <c r="G1936">
        <v>136</v>
      </c>
      <c r="H1936" s="5" t="s">
        <v>22</v>
      </c>
      <c r="I1936" s="5">
        <v>0</v>
      </c>
      <c r="J1936" s="5">
        <v>0</v>
      </c>
      <c r="K1936" t="s">
        <v>11140</v>
      </c>
      <c r="L1936" cm="1">
        <f t="array" ref="L1936">wordCount(K1936)</f>
        <v>25</v>
      </c>
      <c r="M1936">
        <f t="shared" si="60"/>
        <v>119</v>
      </c>
      <c r="N1936">
        <v>0.47058823529411764</v>
      </c>
      <c r="O1936" s="23" cm="1">
        <f t="array" ref="O1936">WordListCount(K1936,keywords!$A$2:$A$31)-WordListCount(K1936,keywords!$B$2:$B$31)</f>
        <v>0</v>
      </c>
      <c r="P1936" s="25">
        <f t="shared" si="61"/>
        <v>0.7575925925925926</v>
      </c>
      <c r="Q1936" s="23">
        <f>SUM($O$2:O1936)</f>
        <v>51</v>
      </c>
      <c r="Y1936" s="14"/>
      <c r="Z1936" s="13"/>
      <c r="AA1936"/>
    </row>
    <row r="1937" spans="1:27" x14ac:dyDescent="0.2">
      <c r="A1937" s="12" t="s">
        <v>5932</v>
      </c>
      <c r="B1937" t="s">
        <v>5933</v>
      </c>
      <c r="C1937" t="s">
        <v>103</v>
      </c>
      <c r="D1937" t="s">
        <v>104</v>
      </c>
      <c r="E1937" t="s">
        <v>13</v>
      </c>
      <c r="F1937">
        <v>136</v>
      </c>
      <c r="G1937">
        <v>11</v>
      </c>
      <c r="H1937" s="5" t="s">
        <v>22</v>
      </c>
      <c r="I1937" s="5">
        <v>0</v>
      </c>
      <c r="J1937" s="5">
        <v>0</v>
      </c>
      <c r="K1937" t="s">
        <v>11141</v>
      </c>
      <c r="L1937" cm="1">
        <f t="array" ref="L1937">wordCount(K1937)</f>
        <v>23</v>
      </c>
      <c r="M1937">
        <f t="shared" si="60"/>
        <v>107</v>
      </c>
      <c r="N1937">
        <v>0.34375</v>
      </c>
      <c r="O1937" s="23" cm="1">
        <f t="array" ref="O1937">WordListCount(K1937,keywords!$A$2:$A$31)-WordListCount(K1937,keywords!$B$2:$B$31)</f>
        <v>0</v>
      </c>
      <c r="P1937" s="25">
        <f t="shared" si="61"/>
        <v>0.75814814814814813</v>
      </c>
      <c r="Q1937" s="23">
        <f>SUM($O$2:O1937)</f>
        <v>51</v>
      </c>
      <c r="Y1937" s="14"/>
      <c r="Z1937" s="13"/>
      <c r="AA1937"/>
    </row>
    <row r="1938" spans="1:27" x14ac:dyDescent="0.2">
      <c r="A1938" s="12" t="s">
        <v>5934</v>
      </c>
      <c r="B1938" t="s">
        <v>5935</v>
      </c>
      <c r="C1938" t="s">
        <v>5936</v>
      </c>
      <c r="D1938" t="s">
        <v>5937</v>
      </c>
      <c r="E1938" t="s">
        <v>13</v>
      </c>
      <c r="F1938">
        <v>83</v>
      </c>
      <c r="G1938">
        <v>575</v>
      </c>
      <c r="H1938" s="5" t="s">
        <v>22</v>
      </c>
      <c r="I1938" s="5">
        <v>0</v>
      </c>
      <c r="J1938" s="5">
        <v>0</v>
      </c>
      <c r="K1938" t="s">
        <v>11142</v>
      </c>
      <c r="L1938" cm="1">
        <f t="array" ref="L1938">wordCount(K1938)</f>
        <v>8</v>
      </c>
      <c r="M1938">
        <f t="shared" si="60"/>
        <v>39</v>
      </c>
      <c r="N1938">
        <v>0.7931034482758621</v>
      </c>
      <c r="O1938" s="23" cm="1">
        <f t="array" ref="O1938">WordListCount(K1938,keywords!$A$2:$A$31)-WordListCount(K1938,keywords!$B$2:$B$31)</f>
        <v>0</v>
      </c>
      <c r="P1938" s="25">
        <f t="shared" si="61"/>
        <v>0.75835648148148149</v>
      </c>
      <c r="Q1938" s="23">
        <f>SUM($O$2:O1938)</f>
        <v>51</v>
      </c>
      <c r="Y1938" s="14"/>
      <c r="Z1938" s="13"/>
      <c r="AA1938"/>
    </row>
    <row r="1939" spans="1:27" x14ac:dyDescent="0.2">
      <c r="A1939" s="12" t="s">
        <v>5938</v>
      </c>
      <c r="B1939" t="s">
        <v>5939</v>
      </c>
      <c r="C1939" t="s">
        <v>5940</v>
      </c>
      <c r="D1939" t="s">
        <v>5941</v>
      </c>
      <c r="E1939" t="s">
        <v>13</v>
      </c>
      <c r="F1939">
        <v>29</v>
      </c>
      <c r="G1939">
        <v>27</v>
      </c>
      <c r="H1939" s="5" t="s">
        <v>22</v>
      </c>
      <c r="I1939" s="5">
        <v>0</v>
      </c>
      <c r="J1939" s="5">
        <v>0</v>
      </c>
      <c r="K1939" t="s">
        <v>11143</v>
      </c>
      <c r="L1939" cm="1">
        <f t="array" ref="L1939">wordCount(K1939)</f>
        <v>17</v>
      </c>
      <c r="M1939">
        <f t="shared" si="60"/>
        <v>73</v>
      </c>
      <c r="N1939">
        <v>0.26315789473684209</v>
      </c>
      <c r="O1939" s="23" cm="1">
        <f t="array" ref="O1939">WordListCount(K1939,keywords!$A$2:$A$31)-WordListCount(K1939,keywords!$B$2:$B$31)</f>
        <v>0</v>
      </c>
      <c r="P1939" s="25">
        <f t="shared" si="61"/>
        <v>0.75850694444444444</v>
      </c>
      <c r="Q1939" s="23">
        <f>SUM($O$2:O1939)</f>
        <v>51</v>
      </c>
      <c r="Y1939" s="14"/>
      <c r="Z1939" s="13"/>
      <c r="AA1939"/>
    </row>
    <row r="1940" spans="1:27" x14ac:dyDescent="0.2">
      <c r="A1940" s="12" t="s">
        <v>5942</v>
      </c>
      <c r="B1940" t="s">
        <v>5943</v>
      </c>
      <c r="C1940" t="s">
        <v>5695</v>
      </c>
      <c r="D1940" t="s">
        <v>231</v>
      </c>
      <c r="E1940" t="s">
        <v>13</v>
      </c>
      <c r="F1940">
        <v>178</v>
      </c>
      <c r="G1940">
        <v>135</v>
      </c>
      <c r="H1940" s="5" t="s">
        <v>22</v>
      </c>
      <c r="I1940" s="5">
        <v>0</v>
      </c>
      <c r="J1940" s="5">
        <v>0</v>
      </c>
      <c r="K1940" t="s">
        <v>9579</v>
      </c>
      <c r="L1940" cm="1">
        <f t="array" ref="L1940">wordCount(K1940)</f>
        <v>17</v>
      </c>
      <c r="M1940">
        <f t="shared" si="60"/>
        <v>93</v>
      </c>
      <c r="N1940">
        <v>0.94444444444444442</v>
      </c>
      <c r="O1940" s="23" cm="1">
        <f t="array" ref="O1940">WordListCount(K1940,keywords!$A$2:$A$31)-WordListCount(K1940,keywords!$B$2:$B$31)</f>
        <v>0</v>
      </c>
      <c r="P1940" s="25">
        <f t="shared" si="61"/>
        <v>0.75859953703703698</v>
      </c>
      <c r="Q1940" s="23">
        <f>SUM($O$2:O1940)</f>
        <v>51</v>
      </c>
      <c r="Y1940" s="14"/>
      <c r="Z1940" s="13"/>
      <c r="AA1940"/>
    </row>
    <row r="1941" spans="1:27" x14ac:dyDescent="0.2">
      <c r="A1941" s="12" t="s">
        <v>5944</v>
      </c>
      <c r="B1941" t="s">
        <v>5945</v>
      </c>
      <c r="C1941" t="s">
        <v>5946</v>
      </c>
      <c r="D1941" t="s">
        <v>12</v>
      </c>
      <c r="E1941" t="s">
        <v>13</v>
      </c>
      <c r="F1941">
        <v>64</v>
      </c>
      <c r="G1941">
        <v>71</v>
      </c>
      <c r="H1941" s="5" t="s">
        <v>22</v>
      </c>
      <c r="I1941" s="5">
        <v>0</v>
      </c>
      <c r="J1941" s="5">
        <v>0</v>
      </c>
      <c r="K1941" t="s">
        <v>9589</v>
      </c>
      <c r="L1941" cm="1">
        <f t="array" ref="L1941">wordCount(K1941)</f>
        <v>8</v>
      </c>
      <c r="M1941">
        <f t="shared" si="60"/>
        <v>31</v>
      </c>
      <c r="N1941">
        <v>0.81818181818181823</v>
      </c>
      <c r="O1941" s="23" cm="1">
        <f t="array" ref="O1941">WordListCount(K1941,keywords!$A$2:$A$31)-WordListCount(K1941,keywords!$B$2:$B$31)</f>
        <v>0</v>
      </c>
      <c r="P1941" s="25">
        <f t="shared" si="61"/>
        <v>0.75865740740740739</v>
      </c>
      <c r="Q1941" s="23">
        <f>SUM($O$2:O1941)</f>
        <v>51</v>
      </c>
      <c r="Y1941" s="14"/>
      <c r="Z1941" s="13"/>
      <c r="AA1941"/>
    </row>
    <row r="1942" spans="1:27" x14ac:dyDescent="0.2">
      <c r="A1942" s="12" t="s">
        <v>5947</v>
      </c>
      <c r="B1942" t="s">
        <v>5948</v>
      </c>
      <c r="C1942" t="s">
        <v>5949</v>
      </c>
      <c r="D1942" t="s">
        <v>990</v>
      </c>
      <c r="E1942" t="s">
        <v>13</v>
      </c>
      <c r="F1942">
        <v>486</v>
      </c>
      <c r="G1942">
        <v>358</v>
      </c>
      <c r="H1942" s="5" t="s">
        <v>22</v>
      </c>
      <c r="I1942" s="5">
        <v>0</v>
      </c>
      <c r="J1942" s="5">
        <v>0</v>
      </c>
      <c r="K1942" t="s">
        <v>11144</v>
      </c>
      <c r="L1942" cm="1">
        <f t="array" ref="L1942">wordCount(K1942)</f>
        <v>12</v>
      </c>
      <c r="M1942">
        <f t="shared" si="60"/>
        <v>44</v>
      </c>
      <c r="N1942">
        <v>0.5</v>
      </c>
      <c r="O1942" s="23" cm="1">
        <f t="array" ref="O1942">WordListCount(K1942,keywords!$A$2:$A$31)-WordListCount(K1942,keywords!$B$2:$B$31)</f>
        <v>0</v>
      </c>
      <c r="P1942" s="25">
        <f t="shared" si="61"/>
        <v>0.75873842592592589</v>
      </c>
      <c r="Q1942" s="23">
        <f>SUM($O$2:O1942)</f>
        <v>51</v>
      </c>
      <c r="Y1942" s="14"/>
      <c r="Z1942" s="13"/>
      <c r="AA1942"/>
    </row>
    <row r="1943" spans="1:27" x14ac:dyDescent="0.2">
      <c r="A1943" s="12" t="s">
        <v>5950</v>
      </c>
      <c r="B1943" t="s">
        <v>5951</v>
      </c>
      <c r="C1943" t="s">
        <v>5952</v>
      </c>
      <c r="D1943" t="s">
        <v>12</v>
      </c>
      <c r="E1943" t="s">
        <v>13</v>
      </c>
      <c r="F1943">
        <v>27</v>
      </c>
      <c r="G1943">
        <v>28</v>
      </c>
      <c r="H1943" s="5" t="s">
        <v>22</v>
      </c>
      <c r="I1943" s="5">
        <v>0</v>
      </c>
      <c r="J1943" s="5">
        <v>0</v>
      </c>
      <c r="K1943" t="s">
        <v>11145</v>
      </c>
      <c r="L1943" cm="1">
        <f t="array" ref="L1943">wordCount(K1943)</f>
        <v>14</v>
      </c>
      <c r="M1943">
        <f t="shared" si="60"/>
        <v>76</v>
      </c>
      <c r="N1943">
        <v>0.40909090909090912</v>
      </c>
      <c r="O1943" s="23" cm="1">
        <f t="array" ref="O1943">WordListCount(K1943,keywords!$A$2:$A$31)-WordListCount(K1943,keywords!$B$2:$B$31)</f>
        <v>0</v>
      </c>
      <c r="P1943" s="25">
        <f t="shared" si="61"/>
        <v>0.75885416666666661</v>
      </c>
      <c r="Q1943" s="23">
        <f>SUM($O$2:O1943)</f>
        <v>51</v>
      </c>
      <c r="Y1943" s="14"/>
      <c r="Z1943" s="13"/>
      <c r="AA1943"/>
    </row>
    <row r="1944" spans="1:27" x14ac:dyDescent="0.2">
      <c r="A1944" s="12" t="s">
        <v>5953</v>
      </c>
      <c r="B1944" t="s">
        <v>5954</v>
      </c>
      <c r="C1944" t="s">
        <v>5955</v>
      </c>
      <c r="D1944" t="s">
        <v>12</v>
      </c>
      <c r="E1944" t="s">
        <v>13</v>
      </c>
      <c r="F1944">
        <v>1</v>
      </c>
      <c r="G1944">
        <v>7</v>
      </c>
      <c r="H1944" s="5" t="s">
        <v>22</v>
      </c>
      <c r="I1944" s="5">
        <v>0</v>
      </c>
      <c r="J1944" s="5">
        <v>0</v>
      </c>
      <c r="K1944" t="s">
        <v>9590</v>
      </c>
      <c r="L1944" cm="1">
        <f t="array" ref="L1944">wordCount(K1944)</f>
        <v>3</v>
      </c>
      <c r="M1944">
        <f t="shared" si="60"/>
        <v>15</v>
      </c>
      <c r="N1944">
        <v>0.8571428571428571</v>
      </c>
      <c r="O1944" s="23" cm="1">
        <f t="array" ref="O1944">WordListCount(K1944,keywords!$A$2:$A$31)-WordListCount(K1944,keywords!$B$2:$B$31)</f>
        <v>0</v>
      </c>
      <c r="P1944" s="25">
        <f t="shared" si="61"/>
        <v>0.75892361111111117</v>
      </c>
      <c r="Q1944" s="23">
        <f>SUM($O$2:O1944)</f>
        <v>51</v>
      </c>
      <c r="Y1944" s="14"/>
      <c r="Z1944" s="13"/>
      <c r="AA1944"/>
    </row>
    <row r="1945" spans="1:27" x14ac:dyDescent="0.2">
      <c r="A1945" s="12" t="s">
        <v>5956</v>
      </c>
      <c r="B1945" t="s">
        <v>5957</v>
      </c>
      <c r="C1945" t="s">
        <v>5958</v>
      </c>
      <c r="D1945" t="s">
        <v>5959</v>
      </c>
      <c r="E1945" t="s">
        <v>13</v>
      </c>
      <c r="F1945">
        <v>115</v>
      </c>
      <c r="G1945">
        <v>389</v>
      </c>
      <c r="H1945" s="5" t="s">
        <v>22</v>
      </c>
      <c r="I1945" s="5">
        <v>0</v>
      </c>
      <c r="J1945" s="5">
        <v>0</v>
      </c>
      <c r="K1945" t="s">
        <v>11146</v>
      </c>
      <c r="L1945" cm="1">
        <f t="array" ref="L1945">wordCount(K1945)</f>
        <v>19</v>
      </c>
      <c r="M1945">
        <f t="shared" si="60"/>
        <v>99</v>
      </c>
      <c r="N1945">
        <v>0.48275862068965519</v>
      </c>
      <c r="O1945" s="23" cm="1">
        <f t="array" ref="O1945">WordListCount(K1945,keywords!$A$2:$A$31)-WordListCount(K1945,keywords!$B$2:$B$31)</f>
        <v>1</v>
      </c>
      <c r="P1945" s="25">
        <f t="shared" si="61"/>
        <v>0.75902777777777775</v>
      </c>
      <c r="Q1945" s="23">
        <f>SUM($O$2:O1945)</f>
        <v>52</v>
      </c>
      <c r="Y1945" s="14"/>
      <c r="Z1945" s="13"/>
      <c r="AA1945"/>
    </row>
    <row r="1946" spans="1:27" x14ac:dyDescent="0.2">
      <c r="A1946" s="12" t="s">
        <v>5960</v>
      </c>
      <c r="B1946" t="s">
        <v>5961</v>
      </c>
      <c r="C1946" t="s">
        <v>5962</v>
      </c>
      <c r="D1946" t="s">
        <v>12</v>
      </c>
      <c r="E1946" t="s">
        <v>13</v>
      </c>
      <c r="F1946">
        <v>10312</v>
      </c>
      <c r="G1946">
        <v>11025</v>
      </c>
      <c r="H1946" s="5" t="s">
        <v>14</v>
      </c>
      <c r="I1946" s="5">
        <v>0</v>
      </c>
      <c r="J1946" s="5">
        <v>0</v>
      </c>
      <c r="K1946" t="s">
        <v>11147</v>
      </c>
      <c r="L1946" cm="1">
        <f t="array" ref="L1946">wordCount(K1946)</f>
        <v>18</v>
      </c>
      <c r="M1946">
        <f t="shared" si="60"/>
        <v>81</v>
      </c>
      <c r="N1946">
        <v>0.27777777777777779</v>
      </c>
      <c r="O1946" s="23" cm="1">
        <f t="array" ref="O1946">WordListCount(K1946,keywords!$A$2:$A$31)-WordListCount(K1946,keywords!$B$2:$B$31)</f>
        <v>1</v>
      </c>
      <c r="P1946" s="25">
        <f t="shared" si="61"/>
        <v>0.75906250000000008</v>
      </c>
      <c r="Q1946" s="23">
        <f>SUM($O$2:O1946)</f>
        <v>53</v>
      </c>
      <c r="Y1946" s="14"/>
      <c r="Z1946" s="13"/>
      <c r="AA1946"/>
    </row>
    <row r="1947" spans="1:27" x14ac:dyDescent="0.2">
      <c r="A1947" s="12" t="s">
        <v>5963</v>
      </c>
      <c r="B1947" t="s">
        <v>5964</v>
      </c>
      <c r="C1947" t="s">
        <v>5965</v>
      </c>
      <c r="D1947" t="s">
        <v>516</v>
      </c>
      <c r="E1947" t="s">
        <v>13</v>
      </c>
      <c r="F1947">
        <v>297</v>
      </c>
      <c r="G1947">
        <v>520</v>
      </c>
      <c r="H1947" s="5" t="s">
        <v>22</v>
      </c>
      <c r="I1947" s="5">
        <v>0</v>
      </c>
      <c r="J1947" s="5">
        <v>0</v>
      </c>
      <c r="K1947" t="s">
        <v>11148</v>
      </c>
      <c r="L1947" cm="1">
        <f t="array" ref="L1947">wordCount(K1947)</f>
        <v>13</v>
      </c>
      <c r="M1947">
        <f t="shared" si="60"/>
        <v>68</v>
      </c>
      <c r="N1947">
        <v>0.52380952380952384</v>
      </c>
      <c r="O1947" s="23" cm="1">
        <f t="array" ref="O1947">WordListCount(K1947,keywords!$A$2:$A$31)-WordListCount(K1947,keywords!$B$2:$B$31)</f>
        <v>0</v>
      </c>
      <c r="P1947" s="25">
        <f t="shared" si="61"/>
        <v>0.75957175925925924</v>
      </c>
      <c r="Q1947" s="23">
        <f>SUM($O$2:O1947)</f>
        <v>53</v>
      </c>
      <c r="Y1947" s="14"/>
      <c r="Z1947" s="13"/>
      <c r="AA1947"/>
    </row>
    <row r="1948" spans="1:27" x14ac:dyDescent="0.2">
      <c r="A1948" s="12" t="s">
        <v>5966</v>
      </c>
      <c r="B1948" t="s">
        <v>5967</v>
      </c>
      <c r="C1948" t="s">
        <v>5445</v>
      </c>
      <c r="D1948" t="s">
        <v>12</v>
      </c>
      <c r="E1948" t="s">
        <v>13</v>
      </c>
      <c r="F1948">
        <v>18</v>
      </c>
      <c r="G1948">
        <v>107</v>
      </c>
      <c r="H1948" s="5" t="s">
        <v>22</v>
      </c>
      <c r="I1948" s="5">
        <v>0</v>
      </c>
      <c r="J1948" s="5">
        <v>0</v>
      </c>
      <c r="K1948" t="s">
        <v>11149</v>
      </c>
      <c r="L1948" cm="1">
        <f t="array" ref="L1948">wordCount(K1948)</f>
        <v>18</v>
      </c>
      <c r="M1948">
        <f t="shared" si="60"/>
        <v>100</v>
      </c>
      <c r="N1948">
        <v>0.56000000000000005</v>
      </c>
      <c r="O1948" s="23" cm="1">
        <f t="array" ref="O1948">WordListCount(K1948,keywords!$A$2:$A$31)-WordListCount(K1948,keywords!$B$2:$B$31)</f>
        <v>0</v>
      </c>
      <c r="P1948" s="25">
        <f t="shared" si="61"/>
        <v>0.75968750000000007</v>
      </c>
      <c r="Q1948" s="23">
        <f>SUM($O$2:O1948)</f>
        <v>53</v>
      </c>
      <c r="Y1948" s="14"/>
      <c r="Z1948" s="13"/>
      <c r="AA1948"/>
    </row>
    <row r="1949" spans="1:27" x14ac:dyDescent="0.2">
      <c r="A1949" s="12" t="s">
        <v>5968</v>
      </c>
      <c r="B1949" t="s">
        <v>5969</v>
      </c>
      <c r="C1949" t="s">
        <v>5970</v>
      </c>
      <c r="D1949" t="s">
        <v>5520</v>
      </c>
      <c r="E1949" t="s">
        <v>13</v>
      </c>
      <c r="F1949">
        <v>3</v>
      </c>
      <c r="G1949">
        <v>30</v>
      </c>
      <c r="H1949" s="5" t="s">
        <v>22</v>
      </c>
      <c r="I1949" s="5">
        <v>0</v>
      </c>
      <c r="J1949" s="5">
        <v>0</v>
      </c>
      <c r="K1949" t="s">
        <v>11150</v>
      </c>
      <c r="L1949" cm="1">
        <f t="array" ref="L1949">wordCount(K1949)</f>
        <v>9</v>
      </c>
      <c r="M1949">
        <f t="shared" si="60"/>
        <v>30</v>
      </c>
      <c r="N1949">
        <v>0.55555555555555558</v>
      </c>
      <c r="O1949" s="23" cm="1">
        <f t="array" ref="O1949">WordListCount(K1949,keywords!$A$2:$A$31)-WordListCount(K1949,keywords!$B$2:$B$31)</f>
        <v>0</v>
      </c>
      <c r="P1949" s="25">
        <f t="shared" si="61"/>
        <v>0.75971064814814815</v>
      </c>
      <c r="Q1949" s="23">
        <f>SUM($O$2:O1949)</f>
        <v>53</v>
      </c>
      <c r="Y1949" s="14"/>
      <c r="Z1949" s="13"/>
      <c r="AA1949"/>
    </row>
    <row r="1950" spans="1:27" x14ac:dyDescent="0.2">
      <c r="A1950" s="12" t="s">
        <v>5971</v>
      </c>
      <c r="B1950" t="s">
        <v>5972</v>
      </c>
      <c r="C1950" t="s">
        <v>5973</v>
      </c>
      <c r="D1950" t="s">
        <v>5974</v>
      </c>
      <c r="E1950" t="s">
        <v>13</v>
      </c>
      <c r="F1950">
        <v>5153</v>
      </c>
      <c r="G1950">
        <v>508</v>
      </c>
      <c r="H1950" s="5" t="s">
        <v>14</v>
      </c>
      <c r="I1950" s="5">
        <v>0</v>
      </c>
      <c r="J1950" s="5">
        <v>0</v>
      </c>
      <c r="K1950" t="s">
        <v>11151</v>
      </c>
      <c r="L1950" cm="1">
        <f t="array" ref="L1950">wordCount(K1950)</f>
        <v>12</v>
      </c>
      <c r="M1950">
        <f t="shared" si="60"/>
        <v>80</v>
      </c>
      <c r="N1950">
        <v>0.59259259259259256</v>
      </c>
      <c r="O1950" s="23" cm="1">
        <f t="array" ref="O1950">WordListCount(K1950,keywords!$A$2:$A$31)-WordListCount(K1950,keywords!$B$2:$B$31)</f>
        <v>0</v>
      </c>
      <c r="P1950" s="25">
        <f t="shared" si="61"/>
        <v>0.76015046296296296</v>
      </c>
      <c r="Q1950" s="23">
        <f>SUM($O$2:O1950)</f>
        <v>53</v>
      </c>
      <c r="Y1950" s="14"/>
      <c r="Z1950" s="13"/>
      <c r="AA1950"/>
    </row>
    <row r="1951" spans="1:27" x14ac:dyDescent="0.2">
      <c r="A1951" s="12" t="s">
        <v>5975</v>
      </c>
      <c r="B1951" t="s">
        <v>5976</v>
      </c>
      <c r="C1951" t="s">
        <v>5977</v>
      </c>
      <c r="D1951" t="s">
        <v>1963</v>
      </c>
      <c r="E1951" t="s">
        <v>13</v>
      </c>
      <c r="F1951">
        <v>56</v>
      </c>
      <c r="G1951">
        <v>227</v>
      </c>
      <c r="H1951" s="5" t="s">
        <v>22</v>
      </c>
      <c r="I1951" s="5">
        <v>0</v>
      </c>
      <c r="J1951" s="5">
        <v>0</v>
      </c>
      <c r="K1951" t="s">
        <v>9591</v>
      </c>
      <c r="L1951" cm="1">
        <f t="array" ref="L1951">wordCount(K1951)</f>
        <v>12</v>
      </c>
      <c r="M1951">
        <f t="shared" si="60"/>
        <v>63</v>
      </c>
      <c r="N1951">
        <v>0.33333333333333331</v>
      </c>
      <c r="O1951" s="23" cm="1">
        <f t="array" ref="O1951">WordListCount(K1951,keywords!$A$2:$A$31)-WordListCount(K1951,keywords!$B$2:$B$31)</f>
        <v>1</v>
      </c>
      <c r="P1951" s="25">
        <f t="shared" si="61"/>
        <v>0.76033564814814814</v>
      </c>
      <c r="Q1951" s="23">
        <f>SUM($O$2:O1951)</f>
        <v>54</v>
      </c>
      <c r="Y1951" s="14"/>
      <c r="Z1951" s="13"/>
      <c r="AA1951"/>
    </row>
    <row r="1952" spans="1:27" x14ac:dyDescent="0.2">
      <c r="A1952" s="12" t="s">
        <v>5978</v>
      </c>
      <c r="B1952" t="s">
        <v>5979</v>
      </c>
      <c r="C1952" t="s">
        <v>5753</v>
      </c>
      <c r="D1952" t="s">
        <v>5754</v>
      </c>
      <c r="E1952" t="s">
        <v>13</v>
      </c>
      <c r="F1952">
        <v>0</v>
      </c>
      <c r="G1952">
        <v>1</v>
      </c>
      <c r="H1952" s="5" t="s">
        <v>22</v>
      </c>
      <c r="I1952" s="5">
        <v>0</v>
      </c>
      <c r="J1952" s="5">
        <v>0</v>
      </c>
      <c r="K1952" t="s">
        <v>9592</v>
      </c>
      <c r="L1952" cm="1">
        <f t="array" ref="L1952">wordCount(K1952)</f>
        <v>5</v>
      </c>
      <c r="M1952">
        <f t="shared" si="60"/>
        <v>29</v>
      </c>
      <c r="N1952">
        <v>0.75</v>
      </c>
      <c r="O1952" s="23" cm="1">
        <f t="array" ref="O1952">WordListCount(K1952,keywords!$A$2:$A$31)-WordListCount(K1952,keywords!$B$2:$B$31)</f>
        <v>0</v>
      </c>
      <c r="P1952" s="25">
        <f t="shared" si="61"/>
        <v>0.76038194444444451</v>
      </c>
      <c r="Q1952" s="23">
        <f>SUM($O$2:O1952)</f>
        <v>54</v>
      </c>
      <c r="Y1952" s="14"/>
      <c r="Z1952" s="13"/>
      <c r="AA1952"/>
    </row>
    <row r="1953" spans="1:27" x14ac:dyDescent="0.2">
      <c r="A1953" s="12" t="s">
        <v>5980</v>
      </c>
      <c r="B1953" t="s">
        <v>5983</v>
      </c>
      <c r="C1953" t="s">
        <v>179</v>
      </c>
      <c r="D1953" t="s">
        <v>180</v>
      </c>
      <c r="E1953" t="s">
        <v>13</v>
      </c>
      <c r="F1953">
        <v>971</v>
      </c>
      <c r="G1953">
        <v>180</v>
      </c>
      <c r="H1953" s="5" t="s">
        <v>22</v>
      </c>
      <c r="I1953" s="5">
        <v>0</v>
      </c>
      <c r="J1953" s="5">
        <v>0</v>
      </c>
      <c r="K1953" t="s">
        <v>11153</v>
      </c>
      <c r="L1953" cm="1">
        <f t="array" ref="L1953">wordCount(K1953)</f>
        <v>17</v>
      </c>
      <c r="M1953">
        <f t="shared" si="60"/>
        <v>96</v>
      </c>
      <c r="N1953">
        <v>0.75</v>
      </c>
      <c r="O1953" s="23" cm="1">
        <f t="array" ref="O1953">WordListCount(K1953,keywords!$A$2:$A$31)-WordListCount(K1953,keywords!$B$2:$B$31)</f>
        <v>0</v>
      </c>
      <c r="P1953" s="25">
        <f t="shared" si="61"/>
        <v>0.76043981481481471</v>
      </c>
      <c r="Q1953" s="23">
        <f>SUM($O$2:O1953)</f>
        <v>54</v>
      </c>
      <c r="Y1953" s="14"/>
      <c r="Z1953" s="13"/>
      <c r="AA1953"/>
    </row>
    <row r="1954" spans="1:27" x14ac:dyDescent="0.2">
      <c r="A1954" s="12" t="s">
        <v>5980</v>
      </c>
      <c r="B1954" t="s">
        <v>5981</v>
      </c>
      <c r="C1954" t="s">
        <v>5982</v>
      </c>
      <c r="D1954" t="s">
        <v>108</v>
      </c>
      <c r="E1954" t="s">
        <v>13</v>
      </c>
      <c r="F1954">
        <v>88</v>
      </c>
      <c r="G1954">
        <v>9</v>
      </c>
      <c r="H1954" s="5" t="s">
        <v>22</v>
      </c>
      <c r="I1954" s="5">
        <v>0</v>
      </c>
      <c r="J1954" s="5">
        <v>0</v>
      </c>
      <c r="K1954" t="s">
        <v>11152</v>
      </c>
      <c r="L1954" cm="1">
        <f t="array" ref="L1954">wordCount(K1954)</f>
        <v>21</v>
      </c>
      <c r="M1954">
        <f t="shared" si="60"/>
        <v>98</v>
      </c>
      <c r="N1954">
        <v>0.15789473684210525</v>
      </c>
      <c r="O1954" s="23" cm="1">
        <f t="array" ref="O1954">WordListCount(K1954,keywords!$A$2:$A$31)-WordListCount(K1954,keywords!$B$2:$B$31)</f>
        <v>0</v>
      </c>
      <c r="P1954" s="25">
        <f t="shared" si="61"/>
        <v>0.76043981481481471</v>
      </c>
      <c r="Q1954" s="23">
        <f>SUM($O$2:O1954)</f>
        <v>54</v>
      </c>
      <c r="Y1954" s="14"/>
      <c r="Z1954" s="13"/>
      <c r="AA1954"/>
    </row>
    <row r="1955" spans="1:27" x14ac:dyDescent="0.2">
      <c r="A1955" s="12" t="s">
        <v>5984</v>
      </c>
      <c r="B1955" t="s">
        <v>5985</v>
      </c>
      <c r="C1955" t="s">
        <v>5986</v>
      </c>
      <c r="D1955" t="s">
        <v>5987</v>
      </c>
      <c r="E1955" t="s">
        <v>13</v>
      </c>
      <c r="F1955">
        <v>164</v>
      </c>
      <c r="G1955">
        <v>77</v>
      </c>
      <c r="H1955" s="5" t="s">
        <v>22</v>
      </c>
      <c r="I1955" s="5">
        <v>0</v>
      </c>
      <c r="J1955" s="5">
        <v>0</v>
      </c>
      <c r="K1955" t="s">
        <v>9593</v>
      </c>
      <c r="L1955" cm="1">
        <f t="array" ref="L1955">wordCount(K1955)</f>
        <v>3</v>
      </c>
      <c r="M1955">
        <f t="shared" si="60"/>
        <v>18</v>
      </c>
      <c r="N1955">
        <v>0.7142857142857143</v>
      </c>
      <c r="O1955" s="23" cm="1">
        <f t="array" ref="O1955">WordListCount(K1955,keywords!$A$2:$A$31)-WordListCount(K1955,keywords!$B$2:$B$31)</f>
        <v>0</v>
      </c>
      <c r="P1955" s="25">
        <f t="shared" si="61"/>
        <v>0.76072916666666668</v>
      </c>
      <c r="Q1955" s="23">
        <f>SUM($O$2:O1955)</f>
        <v>54</v>
      </c>
      <c r="Y1955" s="14"/>
      <c r="Z1955" s="13"/>
      <c r="AA1955"/>
    </row>
    <row r="1956" spans="1:27" x14ac:dyDescent="0.2">
      <c r="A1956" s="12" t="s">
        <v>5988</v>
      </c>
      <c r="B1956" t="s">
        <v>5989</v>
      </c>
      <c r="C1956" t="s">
        <v>5930</v>
      </c>
      <c r="D1956" t="s">
        <v>12</v>
      </c>
      <c r="E1956" t="s">
        <v>13</v>
      </c>
      <c r="F1956">
        <v>102</v>
      </c>
      <c r="G1956">
        <v>136</v>
      </c>
      <c r="H1956" s="5" t="s">
        <v>22</v>
      </c>
      <c r="I1956" s="5">
        <v>0</v>
      </c>
      <c r="J1956" s="5">
        <v>0</v>
      </c>
      <c r="K1956" t="s">
        <v>11154</v>
      </c>
      <c r="L1956" cm="1">
        <f t="array" ref="L1956">wordCount(K1956)</f>
        <v>13</v>
      </c>
      <c r="M1956">
        <f t="shared" si="60"/>
        <v>62</v>
      </c>
      <c r="N1956">
        <v>0.66666666666666663</v>
      </c>
      <c r="O1956" s="23" cm="1">
        <f t="array" ref="O1956">WordListCount(K1956,keywords!$A$2:$A$31)-WordListCount(K1956,keywords!$B$2:$B$31)</f>
        <v>0</v>
      </c>
      <c r="P1956" s="25">
        <f t="shared" si="61"/>
        <v>0.76094907407407408</v>
      </c>
      <c r="Q1956" s="23">
        <f>SUM($O$2:O1956)</f>
        <v>54</v>
      </c>
      <c r="Y1956" s="14"/>
      <c r="Z1956" s="13"/>
      <c r="AA1956"/>
    </row>
    <row r="1957" spans="1:27" x14ac:dyDescent="0.2">
      <c r="A1957" s="12" t="s">
        <v>5990</v>
      </c>
      <c r="B1957" t="s">
        <v>5991</v>
      </c>
      <c r="C1957" t="s">
        <v>5992</v>
      </c>
      <c r="D1957" t="s">
        <v>5993</v>
      </c>
      <c r="E1957" t="s">
        <v>13</v>
      </c>
      <c r="F1957">
        <v>184</v>
      </c>
      <c r="G1957">
        <v>536</v>
      </c>
      <c r="H1957" s="5" t="s">
        <v>22</v>
      </c>
      <c r="I1957" s="5">
        <v>0</v>
      </c>
      <c r="J1957" s="5">
        <v>0</v>
      </c>
      <c r="K1957" t="s">
        <v>11155</v>
      </c>
      <c r="L1957" cm="1">
        <f t="array" ref="L1957">wordCount(K1957)</f>
        <v>11</v>
      </c>
      <c r="M1957">
        <f t="shared" si="60"/>
        <v>63</v>
      </c>
      <c r="N1957">
        <v>0.65384615384615385</v>
      </c>
      <c r="O1957" s="23" cm="1">
        <f t="array" ref="O1957">WordListCount(K1957,keywords!$A$2:$A$31)-WordListCount(K1957,keywords!$B$2:$B$31)</f>
        <v>0</v>
      </c>
      <c r="P1957" s="25">
        <f t="shared" si="61"/>
        <v>0.76105324074074077</v>
      </c>
      <c r="Q1957" s="23">
        <f>SUM($O$2:O1957)</f>
        <v>54</v>
      </c>
      <c r="Y1957" s="14"/>
      <c r="Z1957" s="13"/>
      <c r="AA1957"/>
    </row>
    <row r="1958" spans="1:27" x14ac:dyDescent="0.2">
      <c r="A1958" s="12" t="s">
        <v>5994</v>
      </c>
      <c r="B1958" t="s">
        <v>5995</v>
      </c>
      <c r="C1958" t="s">
        <v>5996</v>
      </c>
      <c r="D1958" t="s">
        <v>12</v>
      </c>
      <c r="E1958" t="s">
        <v>13</v>
      </c>
      <c r="F1958">
        <v>184</v>
      </c>
      <c r="G1958">
        <v>210</v>
      </c>
      <c r="H1958" s="5" t="s">
        <v>22</v>
      </c>
      <c r="I1958" s="5">
        <v>0</v>
      </c>
      <c r="J1958" s="5">
        <v>0</v>
      </c>
      <c r="K1958" t="s">
        <v>11156</v>
      </c>
      <c r="L1958" cm="1">
        <f t="array" ref="L1958">wordCount(K1958)</f>
        <v>18</v>
      </c>
      <c r="M1958">
        <f t="shared" si="60"/>
        <v>103</v>
      </c>
      <c r="N1958">
        <v>0.55172413793103448</v>
      </c>
      <c r="O1958" s="23" cm="1">
        <f t="array" ref="O1958">WordListCount(K1958,keywords!$A$2:$A$31)-WordListCount(K1958,keywords!$B$2:$B$31)</f>
        <v>0</v>
      </c>
      <c r="P1958" s="25">
        <f t="shared" si="61"/>
        <v>0.76109953703703714</v>
      </c>
      <c r="Q1958" s="23">
        <f>SUM($O$2:O1958)</f>
        <v>54</v>
      </c>
      <c r="Y1958" s="14"/>
      <c r="Z1958" s="13"/>
      <c r="AA1958"/>
    </row>
    <row r="1959" spans="1:27" x14ac:dyDescent="0.2">
      <c r="A1959" s="12" t="s">
        <v>5997</v>
      </c>
      <c r="B1959" t="s">
        <v>5998</v>
      </c>
      <c r="C1959" t="s">
        <v>5695</v>
      </c>
      <c r="D1959" t="s">
        <v>231</v>
      </c>
      <c r="E1959" t="s">
        <v>13</v>
      </c>
      <c r="F1959">
        <v>178</v>
      </c>
      <c r="G1959">
        <v>135</v>
      </c>
      <c r="H1959" s="5" t="s">
        <v>22</v>
      </c>
      <c r="I1959" s="5">
        <v>0</v>
      </c>
      <c r="J1959" s="5">
        <v>0</v>
      </c>
      <c r="K1959" t="s">
        <v>9579</v>
      </c>
      <c r="L1959" cm="1">
        <f t="array" ref="L1959">wordCount(K1959)</f>
        <v>17</v>
      </c>
      <c r="M1959">
        <f t="shared" si="60"/>
        <v>93</v>
      </c>
      <c r="N1959">
        <v>0.94444444444444442</v>
      </c>
      <c r="O1959" s="23" cm="1">
        <f t="array" ref="O1959">WordListCount(K1959,keywords!$A$2:$A$31)-WordListCount(K1959,keywords!$B$2:$B$31)</f>
        <v>0</v>
      </c>
      <c r="P1959" s="25">
        <f t="shared" si="61"/>
        <v>0.76126157407407413</v>
      </c>
      <c r="Q1959" s="23">
        <f>SUM($O$2:O1959)</f>
        <v>54</v>
      </c>
      <c r="Y1959" s="14"/>
      <c r="Z1959" s="13"/>
      <c r="AA1959"/>
    </row>
    <row r="1960" spans="1:27" x14ac:dyDescent="0.2">
      <c r="A1960" s="12" t="s">
        <v>5999</v>
      </c>
      <c r="B1960" t="s">
        <v>6000</v>
      </c>
      <c r="C1960" t="s">
        <v>6001</v>
      </c>
      <c r="D1960" t="s">
        <v>6002</v>
      </c>
      <c r="E1960" t="s">
        <v>13</v>
      </c>
      <c r="F1960">
        <v>82</v>
      </c>
      <c r="G1960">
        <v>341</v>
      </c>
      <c r="H1960" s="5" t="s">
        <v>22</v>
      </c>
      <c r="I1960" s="5">
        <v>0</v>
      </c>
      <c r="J1960" s="5">
        <v>0</v>
      </c>
      <c r="K1960" t="s">
        <v>11157</v>
      </c>
      <c r="L1960" cm="1">
        <f t="array" ref="L1960">wordCount(K1960)</f>
        <v>3</v>
      </c>
      <c r="M1960">
        <f t="shared" si="60"/>
        <v>18</v>
      </c>
      <c r="N1960">
        <v>0.72727272727272729</v>
      </c>
      <c r="O1960" s="23" cm="1">
        <f t="array" ref="O1960">WordListCount(K1960,keywords!$A$2:$A$31)-WordListCount(K1960,keywords!$B$2:$B$31)</f>
        <v>0</v>
      </c>
      <c r="P1960" s="25">
        <f t="shared" si="61"/>
        <v>0.7613078703703704</v>
      </c>
      <c r="Q1960" s="23">
        <f>SUM($O$2:O1960)</f>
        <v>54</v>
      </c>
      <c r="Y1960" s="14"/>
      <c r="Z1960" s="13"/>
      <c r="AA1960"/>
    </row>
    <row r="1961" spans="1:27" x14ac:dyDescent="0.2">
      <c r="A1961" s="12" t="s">
        <v>6003</v>
      </c>
      <c r="B1961" t="s">
        <v>6004</v>
      </c>
      <c r="C1961" t="s">
        <v>2365</v>
      </c>
      <c r="D1961" t="s">
        <v>2366</v>
      </c>
      <c r="E1961" t="s">
        <v>13</v>
      </c>
      <c r="F1961">
        <v>62177</v>
      </c>
      <c r="G1961">
        <v>346</v>
      </c>
      <c r="H1961" s="5" t="s">
        <v>96</v>
      </c>
      <c r="I1961" s="5">
        <v>0</v>
      </c>
      <c r="J1961" s="5">
        <v>0</v>
      </c>
      <c r="K1961" t="s">
        <v>9594</v>
      </c>
      <c r="L1961" cm="1">
        <f t="array" ref="L1961">wordCount(K1961)</f>
        <v>18</v>
      </c>
      <c r="M1961">
        <f t="shared" si="60"/>
        <v>96</v>
      </c>
      <c r="N1961">
        <v>0.4</v>
      </c>
      <c r="O1961" s="23" cm="1">
        <f t="array" ref="O1961">WordListCount(K1961,keywords!$A$2:$A$31)-WordListCount(K1961,keywords!$B$2:$B$31)</f>
        <v>0</v>
      </c>
      <c r="P1961" s="25">
        <f t="shared" si="61"/>
        <v>0.76131944444444455</v>
      </c>
      <c r="Q1961" s="23">
        <f>SUM($O$2:O1961)</f>
        <v>54</v>
      </c>
      <c r="Y1961" s="14"/>
      <c r="Z1961" s="13"/>
      <c r="AA1961"/>
    </row>
    <row r="1962" spans="1:27" x14ac:dyDescent="0.2">
      <c r="A1962" s="12" t="s">
        <v>6003</v>
      </c>
      <c r="B1962" t="s">
        <v>6005</v>
      </c>
      <c r="C1962" t="s">
        <v>6006</v>
      </c>
      <c r="D1962" t="s">
        <v>12</v>
      </c>
      <c r="E1962" t="s">
        <v>13</v>
      </c>
      <c r="F1962">
        <v>204</v>
      </c>
      <c r="G1962">
        <v>196</v>
      </c>
      <c r="H1962" s="5" t="s">
        <v>22</v>
      </c>
      <c r="I1962" s="5">
        <v>0</v>
      </c>
      <c r="J1962" s="5">
        <v>0</v>
      </c>
      <c r="K1962" t="s">
        <v>9595</v>
      </c>
      <c r="L1962" cm="1">
        <f t="array" ref="L1962">wordCount(K1962)</f>
        <v>2</v>
      </c>
      <c r="M1962">
        <f t="shared" si="60"/>
        <v>11</v>
      </c>
      <c r="N1962">
        <v>0.90476190476190477</v>
      </c>
      <c r="O1962" s="23" cm="1">
        <f t="array" ref="O1962">WordListCount(K1962,keywords!$A$2:$A$31)-WordListCount(K1962,keywords!$B$2:$B$31)</f>
        <v>0</v>
      </c>
      <c r="P1962" s="25">
        <f t="shared" si="61"/>
        <v>0.76131944444444455</v>
      </c>
      <c r="Q1962" s="23">
        <f>SUM($O$2:O1962)</f>
        <v>54</v>
      </c>
      <c r="Y1962" s="14"/>
      <c r="Z1962" s="13"/>
      <c r="AA1962"/>
    </row>
    <row r="1963" spans="1:27" x14ac:dyDescent="0.2">
      <c r="A1963" s="12" t="s">
        <v>6007</v>
      </c>
      <c r="B1963" t="s">
        <v>6008</v>
      </c>
      <c r="C1963" t="s">
        <v>6009</v>
      </c>
      <c r="D1963" t="s">
        <v>4669</v>
      </c>
      <c r="E1963" t="s">
        <v>13</v>
      </c>
      <c r="F1963">
        <v>555</v>
      </c>
      <c r="G1963">
        <v>327</v>
      </c>
      <c r="H1963" s="5" t="s">
        <v>22</v>
      </c>
      <c r="I1963" s="5">
        <v>0</v>
      </c>
      <c r="J1963" s="5">
        <v>0</v>
      </c>
      <c r="K1963" t="s">
        <v>9596</v>
      </c>
      <c r="L1963" cm="1">
        <f t="array" ref="L1963">wordCount(K1963)</f>
        <v>4</v>
      </c>
      <c r="M1963">
        <f t="shared" si="60"/>
        <v>22</v>
      </c>
      <c r="N1963">
        <v>0.69230769230769229</v>
      </c>
      <c r="O1963" s="23" cm="1">
        <f t="array" ref="O1963">WordListCount(K1963,keywords!$A$2:$A$31)-WordListCount(K1963,keywords!$B$2:$B$31)</f>
        <v>0</v>
      </c>
      <c r="P1963" s="25">
        <f t="shared" si="61"/>
        <v>0.76142361111111112</v>
      </c>
      <c r="Q1963" s="23">
        <f>SUM($O$2:O1963)</f>
        <v>54</v>
      </c>
      <c r="Y1963" s="14"/>
      <c r="Z1963" s="13"/>
      <c r="AA1963"/>
    </row>
    <row r="1964" spans="1:27" x14ac:dyDescent="0.2">
      <c r="A1964" s="12" t="s">
        <v>6010</v>
      </c>
      <c r="B1964" t="s">
        <v>6011</v>
      </c>
      <c r="C1964" t="s">
        <v>6012</v>
      </c>
      <c r="D1964" t="s">
        <v>6013</v>
      </c>
      <c r="E1964" t="s">
        <v>13</v>
      </c>
      <c r="F1964">
        <v>147</v>
      </c>
      <c r="G1964">
        <v>293</v>
      </c>
      <c r="H1964" s="5" t="s">
        <v>393</v>
      </c>
      <c r="I1964" s="5">
        <v>0</v>
      </c>
      <c r="J1964" s="5">
        <v>0</v>
      </c>
      <c r="K1964" t="s">
        <v>11158</v>
      </c>
      <c r="L1964" cm="1">
        <f t="array" ref="L1964">wordCount(K1964)</f>
        <v>20</v>
      </c>
      <c r="M1964">
        <f t="shared" si="60"/>
        <v>93</v>
      </c>
      <c r="N1964">
        <v>0.94117647058823528</v>
      </c>
      <c r="O1964" s="23" cm="1">
        <f t="array" ref="O1964">WordListCount(K1964,keywords!$A$2:$A$31)-WordListCount(K1964,keywords!$B$2:$B$31)</f>
        <v>0</v>
      </c>
      <c r="P1964" s="25">
        <f t="shared" si="61"/>
        <v>0.76151620370370365</v>
      </c>
      <c r="Q1964" s="23">
        <f>SUM($O$2:O1964)</f>
        <v>54</v>
      </c>
      <c r="Y1964" s="14"/>
      <c r="Z1964" s="13"/>
      <c r="AA1964"/>
    </row>
    <row r="1965" spans="1:27" x14ac:dyDescent="0.2">
      <c r="A1965" s="33" t="s">
        <v>6014</v>
      </c>
      <c r="B1965" s="34" t="s">
        <v>6015</v>
      </c>
      <c r="C1965" s="34" t="s">
        <v>123</v>
      </c>
      <c r="D1965" s="34" t="s">
        <v>124</v>
      </c>
      <c r="E1965" s="34" t="s">
        <v>13</v>
      </c>
      <c r="F1965" s="34">
        <v>838</v>
      </c>
      <c r="G1965" s="34">
        <v>898</v>
      </c>
      <c r="H1965" s="35" t="s">
        <v>125</v>
      </c>
      <c r="I1965" s="35">
        <v>0</v>
      </c>
      <c r="J1965" s="35">
        <v>0</v>
      </c>
      <c r="K1965" s="34" t="s">
        <v>9597</v>
      </c>
      <c r="L1965" s="34" cm="1">
        <f t="array" ref="L1965">wordCount(K1965)</f>
        <v>21</v>
      </c>
      <c r="M1965" s="34">
        <f t="shared" si="60"/>
        <v>99</v>
      </c>
      <c r="N1965" s="34">
        <v>0.81818181818181823</v>
      </c>
      <c r="O1965" s="36" cm="1">
        <f t="array" ref="O1965">WordListCount(K1965,keywords!$A$2:$A$31)-WordListCount(K1965,keywords!$B$2:$B$31)</f>
        <v>0</v>
      </c>
      <c r="P1965" s="37">
        <f t="shared" si="61"/>
        <v>0.76186342592592593</v>
      </c>
      <c r="Q1965" s="23">
        <f>SUM($O$2:O1965)</f>
        <v>54</v>
      </c>
    </row>
    <row r="1966" spans="1:27" x14ac:dyDescent="0.2">
      <c r="A1966" s="12" t="s">
        <v>6016</v>
      </c>
      <c r="B1966" t="s">
        <v>6017</v>
      </c>
      <c r="C1966" t="s">
        <v>5695</v>
      </c>
      <c r="D1966" t="s">
        <v>231</v>
      </c>
      <c r="E1966" t="s">
        <v>13</v>
      </c>
      <c r="F1966">
        <v>178</v>
      </c>
      <c r="G1966">
        <v>135</v>
      </c>
      <c r="H1966" s="5" t="s">
        <v>22</v>
      </c>
      <c r="I1966" s="5">
        <v>0</v>
      </c>
      <c r="J1966" s="5">
        <v>0</v>
      </c>
      <c r="K1966" t="s">
        <v>9579</v>
      </c>
      <c r="L1966" cm="1">
        <f t="array" ref="L1966">wordCount(K1966)</f>
        <v>17</v>
      </c>
      <c r="M1966">
        <f t="shared" si="60"/>
        <v>93</v>
      </c>
      <c r="N1966">
        <v>0.94444444444444442</v>
      </c>
      <c r="O1966" s="23" cm="1">
        <f t="array" ref="O1966">WordListCount(K1966,keywords!$A$2:$A$31)-WordListCount(K1966,keywords!$B$2:$B$31)</f>
        <v>0</v>
      </c>
      <c r="P1966" s="25">
        <f t="shared" si="61"/>
        <v>0.76187499999999997</v>
      </c>
      <c r="Q1966" s="23">
        <f>SUM($O$2:O1966)</f>
        <v>54</v>
      </c>
      <c r="Y1966" s="14"/>
      <c r="Z1966" s="13"/>
      <c r="AA1966"/>
    </row>
    <row r="1967" spans="1:27" x14ac:dyDescent="0.2">
      <c r="A1967" s="12" t="s">
        <v>6018</v>
      </c>
      <c r="B1967" t="s">
        <v>6019</v>
      </c>
      <c r="C1967" t="s">
        <v>6020</v>
      </c>
      <c r="D1967" t="s">
        <v>4030</v>
      </c>
      <c r="E1967" t="s">
        <v>13</v>
      </c>
      <c r="F1967">
        <v>2849</v>
      </c>
      <c r="G1967">
        <v>510</v>
      </c>
      <c r="H1967" s="5" t="s">
        <v>22</v>
      </c>
      <c r="I1967" s="5">
        <v>0</v>
      </c>
      <c r="J1967" s="5">
        <v>0</v>
      </c>
      <c r="K1967" t="s">
        <v>9598</v>
      </c>
      <c r="L1967" cm="1">
        <f t="array" ref="L1967">wordCount(K1967)</f>
        <v>3</v>
      </c>
      <c r="M1967">
        <f t="shared" si="60"/>
        <v>20</v>
      </c>
      <c r="N1967">
        <v>0.75</v>
      </c>
      <c r="O1967" s="23" cm="1">
        <f t="array" ref="O1967">WordListCount(K1967,keywords!$A$2:$A$31)-WordListCount(K1967,keywords!$B$2:$B$31)</f>
        <v>0</v>
      </c>
      <c r="P1967" s="25">
        <f t="shared" si="61"/>
        <v>0.76188657407407412</v>
      </c>
      <c r="Q1967" s="23">
        <f>SUM($O$2:O1967)</f>
        <v>54</v>
      </c>
      <c r="Y1967" s="14"/>
      <c r="Z1967" s="13"/>
      <c r="AA1967"/>
    </row>
    <row r="1968" spans="1:27" x14ac:dyDescent="0.2">
      <c r="A1968" s="12" t="s">
        <v>6021</v>
      </c>
      <c r="B1968" t="s">
        <v>6022</v>
      </c>
      <c r="C1968" t="s">
        <v>6023</v>
      </c>
      <c r="D1968" t="s">
        <v>743</v>
      </c>
      <c r="E1968" t="s">
        <v>13</v>
      </c>
      <c r="F1968">
        <v>16</v>
      </c>
      <c r="G1968">
        <v>37</v>
      </c>
      <c r="H1968" s="5" t="s">
        <v>22</v>
      </c>
      <c r="I1968" s="5">
        <v>0</v>
      </c>
      <c r="J1968" s="5">
        <v>0</v>
      </c>
      <c r="K1968" t="s">
        <v>11159</v>
      </c>
      <c r="L1968" cm="1">
        <f t="array" ref="L1968">wordCount(K1968)</f>
        <v>11</v>
      </c>
      <c r="M1968">
        <f t="shared" si="60"/>
        <v>47</v>
      </c>
      <c r="N1968">
        <v>0.68181818181818177</v>
      </c>
      <c r="O1968" s="23" cm="1">
        <f t="array" ref="O1968">WordListCount(K1968,keywords!$A$2:$A$31)-WordListCount(K1968,keywords!$B$2:$B$31)</f>
        <v>0</v>
      </c>
      <c r="P1968" s="25">
        <f t="shared" si="61"/>
        <v>0.76210648148148152</v>
      </c>
      <c r="Q1968" s="23">
        <f>SUM($O$2:O1968)</f>
        <v>54</v>
      </c>
      <c r="Y1968" s="14"/>
      <c r="Z1968" s="13"/>
      <c r="AA1968"/>
    </row>
    <row r="1969" spans="1:27" x14ac:dyDescent="0.2">
      <c r="A1969" s="12" t="s">
        <v>6024</v>
      </c>
      <c r="B1969" t="s">
        <v>6025</v>
      </c>
      <c r="C1969" t="s">
        <v>6026</v>
      </c>
      <c r="D1969" t="s">
        <v>6027</v>
      </c>
      <c r="E1969" t="s">
        <v>13</v>
      </c>
      <c r="F1969">
        <v>258</v>
      </c>
      <c r="G1969">
        <v>237</v>
      </c>
      <c r="H1969" s="5" t="s">
        <v>22</v>
      </c>
      <c r="I1969" s="5">
        <v>0</v>
      </c>
      <c r="J1969" s="5">
        <v>0</v>
      </c>
      <c r="K1969" t="s">
        <v>9599</v>
      </c>
      <c r="L1969" cm="1">
        <f t="array" ref="L1969">wordCount(K1969)</f>
        <v>6</v>
      </c>
      <c r="M1969">
        <f t="shared" si="60"/>
        <v>36</v>
      </c>
      <c r="N1969">
        <v>0.4</v>
      </c>
      <c r="O1969" s="23" cm="1">
        <f t="array" ref="O1969">WordListCount(K1969,keywords!$A$2:$A$31)-WordListCount(K1969,keywords!$B$2:$B$31)</f>
        <v>0</v>
      </c>
      <c r="P1969" s="25">
        <f t="shared" si="61"/>
        <v>0.76247685185185177</v>
      </c>
      <c r="Q1969" s="23">
        <f>SUM($O$2:O1969)</f>
        <v>54</v>
      </c>
      <c r="Y1969" s="14"/>
      <c r="Z1969" s="13"/>
      <c r="AA1969"/>
    </row>
    <row r="1970" spans="1:27" x14ac:dyDescent="0.2">
      <c r="A1970" s="12" t="s">
        <v>6028</v>
      </c>
      <c r="B1970" t="s">
        <v>6029</v>
      </c>
      <c r="C1970" t="s">
        <v>511</v>
      </c>
      <c r="D1970" t="s">
        <v>512</v>
      </c>
      <c r="E1970" t="s">
        <v>13</v>
      </c>
      <c r="F1970">
        <v>1898</v>
      </c>
      <c r="G1970">
        <v>540</v>
      </c>
      <c r="H1970" s="5" t="s">
        <v>22</v>
      </c>
      <c r="I1970" s="5">
        <v>0</v>
      </c>
      <c r="J1970" s="5">
        <v>0</v>
      </c>
      <c r="K1970" t="s">
        <v>9600</v>
      </c>
      <c r="L1970" cm="1">
        <f t="array" ref="L1970">wordCount(K1970)</f>
        <v>9</v>
      </c>
      <c r="M1970">
        <f t="shared" si="60"/>
        <v>45</v>
      </c>
      <c r="N1970">
        <v>0.88888888888888884</v>
      </c>
      <c r="O1970" s="23" cm="1">
        <f t="array" ref="O1970">WordListCount(K1970,keywords!$A$2:$A$31)-WordListCount(K1970,keywords!$B$2:$B$31)</f>
        <v>0</v>
      </c>
      <c r="P1970" s="25">
        <f t="shared" si="61"/>
        <v>0.76253472222222218</v>
      </c>
      <c r="Q1970" s="23">
        <f>SUM($O$2:O1970)</f>
        <v>54</v>
      </c>
      <c r="Y1970" s="14"/>
      <c r="Z1970" s="13"/>
      <c r="AA1970"/>
    </row>
    <row r="1971" spans="1:27" x14ac:dyDescent="0.2">
      <c r="A1971" s="12" t="s">
        <v>6030</v>
      </c>
      <c r="B1971" t="s">
        <v>6031</v>
      </c>
      <c r="C1971" t="s">
        <v>6032</v>
      </c>
      <c r="D1971" t="s">
        <v>12</v>
      </c>
      <c r="E1971" t="s">
        <v>13</v>
      </c>
      <c r="F1971">
        <v>38</v>
      </c>
      <c r="G1971">
        <v>282</v>
      </c>
      <c r="H1971" s="5" t="s">
        <v>22</v>
      </c>
      <c r="I1971" s="5">
        <v>0</v>
      </c>
      <c r="J1971" s="5">
        <v>0</v>
      </c>
      <c r="K1971" t="s">
        <v>11160</v>
      </c>
      <c r="L1971" cm="1">
        <f t="array" ref="L1971">wordCount(K1971)</f>
        <v>15</v>
      </c>
      <c r="M1971">
        <f t="shared" si="60"/>
        <v>72</v>
      </c>
      <c r="N1971">
        <v>0.29411764705882354</v>
      </c>
      <c r="O1971" s="23" cm="1">
        <f t="array" ref="O1971">WordListCount(K1971,keywords!$A$2:$A$31)-WordListCount(K1971,keywords!$B$2:$B$31)</f>
        <v>0</v>
      </c>
      <c r="P1971" s="25">
        <f t="shared" si="61"/>
        <v>0.76269675925925917</v>
      </c>
      <c r="Q1971" s="23">
        <f>SUM($O$2:O1971)</f>
        <v>54</v>
      </c>
      <c r="Y1971" s="14"/>
      <c r="Z1971" s="13"/>
      <c r="AA1971"/>
    </row>
    <row r="1972" spans="1:27" x14ac:dyDescent="0.2">
      <c r="A1972" s="12" t="s">
        <v>6033</v>
      </c>
      <c r="B1972" t="s">
        <v>6034</v>
      </c>
      <c r="C1972" t="s">
        <v>6035</v>
      </c>
      <c r="D1972" t="s">
        <v>6036</v>
      </c>
      <c r="E1972" t="s">
        <v>13</v>
      </c>
      <c r="F1972">
        <v>206</v>
      </c>
      <c r="G1972">
        <v>367</v>
      </c>
      <c r="H1972" s="5" t="s">
        <v>22</v>
      </c>
      <c r="I1972" s="5">
        <v>0</v>
      </c>
      <c r="J1972" s="5">
        <v>0</v>
      </c>
      <c r="K1972" t="s">
        <v>11161</v>
      </c>
      <c r="L1972" cm="1">
        <f t="array" ref="L1972">wordCount(K1972)</f>
        <v>11</v>
      </c>
      <c r="M1972">
        <f t="shared" si="60"/>
        <v>68</v>
      </c>
      <c r="N1972">
        <v>0.46666666666666667</v>
      </c>
      <c r="O1972" s="23" cm="1">
        <f t="array" ref="O1972">WordListCount(K1972,keywords!$A$2:$A$31)-WordListCount(K1972,keywords!$B$2:$B$31)</f>
        <v>0</v>
      </c>
      <c r="P1972" s="25">
        <f t="shared" si="61"/>
        <v>0.76270833333333332</v>
      </c>
      <c r="Q1972" s="23">
        <f>SUM($O$2:O1972)</f>
        <v>54</v>
      </c>
      <c r="Y1972" s="14"/>
      <c r="Z1972" s="13"/>
      <c r="AA1972"/>
    </row>
    <row r="1973" spans="1:27" x14ac:dyDescent="0.2">
      <c r="A1973" s="12" t="s">
        <v>6037</v>
      </c>
      <c r="B1973" t="s">
        <v>6038</v>
      </c>
      <c r="C1973" t="s">
        <v>6039</v>
      </c>
      <c r="D1973" t="s">
        <v>6040</v>
      </c>
      <c r="E1973" t="s">
        <v>13</v>
      </c>
      <c r="F1973">
        <v>1502</v>
      </c>
      <c r="G1973">
        <v>2578</v>
      </c>
      <c r="H1973" s="5" t="s">
        <v>22</v>
      </c>
      <c r="I1973" s="5">
        <v>0</v>
      </c>
      <c r="J1973" s="5">
        <v>0</v>
      </c>
      <c r="K1973" t="s">
        <v>9601</v>
      </c>
      <c r="L1973" cm="1">
        <f t="array" ref="L1973">wordCount(K1973)</f>
        <v>9</v>
      </c>
      <c r="M1973">
        <f t="shared" si="60"/>
        <v>51</v>
      </c>
      <c r="N1973">
        <v>0.7</v>
      </c>
      <c r="O1973" s="23" cm="1">
        <f t="array" ref="O1973">WordListCount(K1973,keywords!$A$2:$A$31)-WordListCount(K1973,keywords!$B$2:$B$31)</f>
        <v>0</v>
      </c>
      <c r="P1973" s="25">
        <f t="shared" si="61"/>
        <v>0.76271990740740747</v>
      </c>
      <c r="Q1973" s="23">
        <f>SUM($O$2:O1973)</f>
        <v>54</v>
      </c>
      <c r="Y1973" s="14"/>
      <c r="Z1973" s="13"/>
      <c r="AA1973"/>
    </row>
    <row r="1974" spans="1:27" x14ac:dyDescent="0.2">
      <c r="A1974" s="12" t="s">
        <v>6041</v>
      </c>
      <c r="B1974" t="s">
        <v>6042</v>
      </c>
      <c r="C1974" t="s">
        <v>6043</v>
      </c>
      <c r="D1974" t="s">
        <v>6044</v>
      </c>
      <c r="E1974" t="s">
        <v>13</v>
      </c>
      <c r="F1974">
        <v>402</v>
      </c>
      <c r="G1974">
        <v>383</v>
      </c>
      <c r="H1974" s="5" t="s">
        <v>22</v>
      </c>
      <c r="I1974" s="5">
        <v>0</v>
      </c>
      <c r="J1974" s="5">
        <v>0</v>
      </c>
      <c r="K1974" t="s">
        <v>9602</v>
      </c>
      <c r="L1974" cm="1">
        <f t="array" ref="L1974">wordCount(K1974)</f>
        <v>8</v>
      </c>
      <c r="M1974">
        <f t="shared" si="60"/>
        <v>40</v>
      </c>
      <c r="N1974">
        <v>0.5625</v>
      </c>
      <c r="O1974" s="23" cm="1">
        <f t="array" ref="O1974">WordListCount(K1974,keywords!$A$2:$A$31)-WordListCount(K1974,keywords!$B$2:$B$31)</f>
        <v>0</v>
      </c>
      <c r="P1974" s="25">
        <f t="shared" si="61"/>
        <v>0.76275462962962959</v>
      </c>
      <c r="Q1974" s="23">
        <f>SUM($O$2:O1974)</f>
        <v>54</v>
      </c>
      <c r="Y1974" s="14"/>
      <c r="Z1974" s="13"/>
      <c r="AA1974"/>
    </row>
    <row r="1975" spans="1:27" x14ac:dyDescent="0.2">
      <c r="A1975" s="12" t="s">
        <v>6045</v>
      </c>
      <c r="B1975" t="s">
        <v>6046</v>
      </c>
      <c r="C1975" t="s">
        <v>6047</v>
      </c>
      <c r="D1975" t="s">
        <v>3517</v>
      </c>
      <c r="E1975" t="s">
        <v>13</v>
      </c>
      <c r="F1975">
        <v>353</v>
      </c>
      <c r="G1975">
        <v>189</v>
      </c>
      <c r="H1975" s="5" t="s">
        <v>22</v>
      </c>
      <c r="I1975" s="5">
        <v>0</v>
      </c>
      <c r="J1975" s="5">
        <v>0</v>
      </c>
      <c r="K1975" t="s">
        <v>11162</v>
      </c>
      <c r="L1975" cm="1">
        <f t="array" ref="L1975">wordCount(K1975)</f>
        <v>5</v>
      </c>
      <c r="M1975">
        <f t="shared" si="60"/>
        <v>24</v>
      </c>
      <c r="N1975">
        <v>0.89473684210526316</v>
      </c>
      <c r="O1975" s="23" cm="1">
        <f t="array" ref="O1975">WordListCount(K1975,keywords!$A$2:$A$31)-WordListCount(K1975,keywords!$B$2:$B$31)</f>
        <v>0</v>
      </c>
      <c r="P1975" s="25">
        <f t="shared" si="61"/>
        <v>0.76297453703703699</v>
      </c>
      <c r="Q1975" s="23">
        <f>SUM($O$2:O1975)</f>
        <v>54</v>
      </c>
      <c r="Y1975" s="14"/>
      <c r="Z1975" s="13"/>
      <c r="AA1975"/>
    </row>
    <row r="1976" spans="1:27" x14ac:dyDescent="0.2">
      <c r="A1976" s="12" t="s">
        <v>6048</v>
      </c>
      <c r="B1976" t="s">
        <v>6049</v>
      </c>
      <c r="C1976" t="s">
        <v>5695</v>
      </c>
      <c r="D1976" t="s">
        <v>231</v>
      </c>
      <c r="E1976" t="s">
        <v>13</v>
      </c>
      <c r="F1976">
        <v>178</v>
      </c>
      <c r="G1976">
        <v>135</v>
      </c>
      <c r="H1976" s="5" t="s">
        <v>22</v>
      </c>
      <c r="I1976" s="5">
        <v>0</v>
      </c>
      <c r="J1976" s="5">
        <v>0</v>
      </c>
      <c r="K1976" t="s">
        <v>9579</v>
      </c>
      <c r="L1976" cm="1">
        <f t="array" ref="L1976">wordCount(K1976)</f>
        <v>17</v>
      </c>
      <c r="M1976">
        <f t="shared" si="60"/>
        <v>93</v>
      </c>
      <c r="N1976">
        <v>0.94444444444444442</v>
      </c>
      <c r="O1976" s="23" cm="1">
        <f t="array" ref="O1976">WordListCount(K1976,keywords!$A$2:$A$31)-WordListCount(K1976,keywords!$B$2:$B$31)</f>
        <v>0</v>
      </c>
      <c r="P1976" s="25">
        <f t="shared" si="61"/>
        <v>0.76313657407407398</v>
      </c>
      <c r="Q1976" s="23">
        <f>SUM($O$2:O1976)</f>
        <v>54</v>
      </c>
      <c r="Y1976" s="14"/>
      <c r="Z1976" s="13"/>
      <c r="AA1976"/>
    </row>
    <row r="1977" spans="1:27" x14ac:dyDescent="0.2">
      <c r="A1977" s="12" t="s">
        <v>6050</v>
      </c>
      <c r="B1977" t="s">
        <v>6051</v>
      </c>
      <c r="C1977" t="s">
        <v>6052</v>
      </c>
      <c r="D1977" t="s">
        <v>6053</v>
      </c>
      <c r="E1977" t="s">
        <v>13</v>
      </c>
      <c r="F1977">
        <v>163</v>
      </c>
      <c r="G1977">
        <v>382</v>
      </c>
      <c r="H1977" s="5" t="s">
        <v>22</v>
      </c>
      <c r="I1977" s="5">
        <v>0</v>
      </c>
      <c r="J1977" s="5">
        <v>0</v>
      </c>
      <c r="K1977" t="s">
        <v>9603</v>
      </c>
      <c r="L1977" cm="1">
        <f t="array" ref="L1977">wordCount(K1977)</f>
        <v>4</v>
      </c>
      <c r="M1977">
        <f t="shared" si="60"/>
        <v>14</v>
      </c>
      <c r="N1977">
        <v>0.8666666666666667</v>
      </c>
      <c r="O1977" s="23" cm="1">
        <f t="array" ref="O1977">WordListCount(K1977,keywords!$A$2:$A$31)-WordListCount(K1977,keywords!$B$2:$B$31)</f>
        <v>0</v>
      </c>
      <c r="P1977" s="25">
        <f t="shared" si="61"/>
        <v>0.76334490740740746</v>
      </c>
      <c r="Q1977" s="23">
        <f>SUM($O$2:O1977)</f>
        <v>54</v>
      </c>
      <c r="Y1977" s="14"/>
      <c r="Z1977" s="13"/>
      <c r="AA1977"/>
    </row>
    <row r="1978" spans="1:27" x14ac:dyDescent="0.2">
      <c r="A1978" s="12" t="s">
        <v>6054</v>
      </c>
      <c r="B1978" t="s">
        <v>6055</v>
      </c>
      <c r="C1978" t="s">
        <v>5233</v>
      </c>
      <c r="D1978" t="s">
        <v>12</v>
      </c>
      <c r="E1978" t="s">
        <v>13</v>
      </c>
      <c r="F1978">
        <v>49</v>
      </c>
      <c r="G1978">
        <v>146</v>
      </c>
      <c r="H1978" s="5" t="s">
        <v>22</v>
      </c>
      <c r="I1978" s="5">
        <v>0</v>
      </c>
      <c r="J1978" s="5">
        <v>0</v>
      </c>
      <c r="K1978" t="s">
        <v>11163</v>
      </c>
      <c r="L1978" cm="1">
        <f t="array" ref="L1978">wordCount(K1978)</f>
        <v>24</v>
      </c>
      <c r="M1978">
        <f t="shared" si="60"/>
        <v>108</v>
      </c>
      <c r="N1978">
        <v>0.48780487804878048</v>
      </c>
      <c r="O1978" s="23" cm="1">
        <f t="array" ref="O1978">WordListCount(K1978,keywords!$A$2:$A$31)-WordListCount(K1978,keywords!$B$2:$B$31)</f>
        <v>0</v>
      </c>
      <c r="P1978" s="25">
        <f t="shared" si="61"/>
        <v>0.7634375000000001</v>
      </c>
      <c r="Q1978" s="23">
        <f>SUM($O$2:O1978)</f>
        <v>54</v>
      </c>
      <c r="Y1978" s="14"/>
      <c r="Z1978" s="13"/>
      <c r="AA1978"/>
    </row>
    <row r="1979" spans="1:27" x14ac:dyDescent="0.2">
      <c r="A1979" s="12" t="s">
        <v>6056</v>
      </c>
      <c r="B1979" t="s">
        <v>6057</v>
      </c>
      <c r="C1979" t="s">
        <v>5695</v>
      </c>
      <c r="D1979" t="s">
        <v>231</v>
      </c>
      <c r="E1979" t="s">
        <v>13</v>
      </c>
      <c r="F1979">
        <v>178</v>
      </c>
      <c r="G1979">
        <v>135</v>
      </c>
      <c r="H1979" s="5" t="s">
        <v>22</v>
      </c>
      <c r="I1979" s="5">
        <v>0</v>
      </c>
      <c r="J1979" s="5">
        <v>0</v>
      </c>
      <c r="K1979" t="s">
        <v>9579</v>
      </c>
      <c r="L1979" cm="1">
        <f t="array" ref="L1979">wordCount(K1979)</f>
        <v>17</v>
      </c>
      <c r="M1979">
        <f t="shared" si="60"/>
        <v>93</v>
      </c>
      <c r="N1979">
        <v>0.94444444444444442</v>
      </c>
      <c r="O1979" s="23" cm="1">
        <f t="array" ref="O1979">WordListCount(K1979,keywords!$A$2:$A$31)-WordListCount(K1979,keywords!$B$2:$B$31)</f>
        <v>0</v>
      </c>
      <c r="P1979" s="25">
        <f t="shared" si="61"/>
        <v>0.76354166666666667</v>
      </c>
      <c r="Q1979" s="23">
        <f>SUM($O$2:O1979)</f>
        <v>54</v>
      </c>
      <c r="Y1979" s="14"/>
      <c r="Z1979" s="13"/>
      <c r="AA1979"/>
    </row>
    <row r="1980" spans="1:27" x14ac:dyDescent="0.2">
      <c r="A1980" s="12" t="s">
        <v>6058</v>
      </c>
      <c r="B1980" t="s">
        <v>6059</v>
      </c>
      <c r="C1980" t="s">
        <v>6060</v>
      </c>
      <c r="D1980" t="s">
        <v>12</v>
      </c>
      <c r="E1980" t="s">
        <v>13</v>
      </c>
      <c r="F1980">
        <v>637</v>
      </c>
      <c r="G1980">
        <v>862</v>
      </c>
      <c r="H1980" s="5" t="s">
        <v>22</v>
      </c>
      <c r="I1980" s="5">
        <v>0</v>
      </c>
      <c r="J1980" s="5">
        <v>0</v>
      </c>
      <c r="K1980" t="s">
        <v>11164</v>
      </c>
      <c r="L1980" cm="1">
        <f t="array" ref="L1980">wordCount(K1980)</f>
        <v>14</v>
      </c>
      <c r="M1980">
        <f t="shared" si="60"/>
        <v>64</v>
      </c>
      <c r="N1980">
        <v>0.23529411764705882</v>
      </c>
      <c r="O1980" s="23" cm="1">
        <f t="array" ref="O1980">WordListCount(K1980,keywords!$A$2:$A$31)-WordListCount(K1980,keywords!$B$2:$B$31)</f>
        <v>0</v>
      </c>
      <c r="P1980" s="25">
        <f t="shared" si="61"/>
        <v>0.76421296296296293</v>
      </c>
      <c r="Q1980" s="23">
        <f>SUM($O$2:O1980)</f>
        <v>54</v>
      </c>
      <c r="Y1980" s="14"/>
      <c r="Z1980" s="13"/>
      <c r="AA1980"/>
    </row>
    <row r="1981" spans="1:27" x14ac:dyDescent="0.2">
      <c r="A1981" s="12" t="s">
        <v>6061</v>
      </c>
      <c r="B1981" t="s">
        <v>6062</v>
      </c>
      <c r="C1981" t="s">
        <v>6063</v>
      </c>
      <c r="D1981" t="s">
        <v>6064</v>
      </c>
      <c r="E1981" t="s">
        <v>13</v>
      </c>
      <c r="F1981">
        <v>659</v>
      </c>
      <c r="G1981">
        <v>285</v>
      </c>
      <c r="H1981" s="5" t="s">
        <v>22</v>
      </c>
      <c r="I1981" s="5">
        <v>0</v>
      </c>
      <c r="J1981" s="5">
        <v>0</v>
      </c>
      <c r="K1981" t="s">
        <v>9604</v>
      </c>
      <c r="L1981" cm="1">
        <f t="array" ref="L1981">wordCount(K1981)</f>
        <v>4</v>
      </c>
      <c r="M1981">
        <f t="shared" si="60"/>
        <v>20</v>
      </c>
      <c r="N1981">
        <v>0.90476190476190477</v>
      </c>
      <c r="O1981" s="23" cm="1">
        <f t="array" ref="O1981">WordListCount(K1981,keywords!$A$2:$A$31)-WordListCount(K1981,keywords!$B$2:$B$31)</f>
        <v>0</v>
      </c>
      <c r="P1981" s="25">
        <f t="shared" si="61"/>
        <v>0.76427083333333334</v>
      </c>
      <c r="Q1981" s="23">
        <f>SUM($O$2:O1981)</f>
        <v>54</v>
      </c>
      <c r="Y1981" s="14"/>
      <c r="Z1981" s="13"/>
      <c r="AA1981"/>
    </row>
    <row r="1982" spans="1:27" x14ac:dyDescent="0.2">
      <c r="A1982" s="12" t="s">
        <v>6065</v>
      </c>
      <c r="B1982" t="s">
        <v>6066</v>
      </c>
      <c r="C1982" t="s">
        <v>6067</v>
      </c>
      <c r="D1982" t="s">
        <v>6068</v>
      </c>
      <c r="E1982" t="s">
        <v>13</v>
      </c>
      <c r="F1982">
        <v>224</v>
      </c>
      <c r="G1982">
        <v>572</v>
      </c>
      <c r="H1982" s="5" t="s">
        <v>22</v>
      </c>
      <c r="I1982" s="5">
        <v>0</v>
      </c>
      <c r="J1982" s="5">
        <v>0</v>
      </c>
      <c r="K1982" t="s">
        <v>11165</v>
      </c>
      <c r="L1982" cm="1">
        <f t="array" ref="L1982">wordCount(K1982)</f>
        <v>24</v>
      </c>
      <c r="M1982">
        <f t="shared" si="60"/>
        <v>101</v>
      </c>
      <c r="N1982">
        <v>0.4</v>
      </c>
      <c r="O1982" s="23" cm="1">
        <f t="array" ref="O1982">WordListCount(K1982,keywords!$A$2:$A$31)-WordListCount(K1982,keywords!$B$2:$B$31)</f>
        <v>0</v>
      </c>
      <c r="P1982" s="25">
        <f t="shared" si="61"/>
        <v>0.76428240740740738</v>
      </c>
      <c r="Q1982" s="23">
        <f>SUM($O$2:O1982)</f>
        <v>54</v>
      </c>
      <c r="Y1982" s="14"/>
      <c r="Z1982" s="13"/>
      <c r="AA1982"/>
    </row>
    <row r="1983" spans="1:27" x14ac:dyDescent="0.2">
      <c r="A1983" s="12" t="s">
        <v>6069</v>
      </c>
      <c r="B1983" t="s">
        <v>6070</v>
      </c>
      <c r="C1983" t="s">
        <v>5695</v>
      </c>
      <c r="D1983" t="s">
        <v>231</v>
      </c>
      <c r="E1983" t="s">
        <v>13</v>
      </c>
      <c r="F1983">
        <v>178</v>
      </c>
      <c r="G1983">
        <v>135</v>
      </c>
      <c r="H1983" s="5" t="s">
        <v>22</v>
      </c>
      <c r="I1983" s="5">
        <v>0</v>
      </c>
      <c r="J1983" s="5">
        <v>0</v>
      </c>
      <c r="K1983" t="s">
        <v>9579</v>
      </c>
      <c r="L1983" cm="1">
        <f t="array" ref="L1983">wordCount(K1983)</f>
        <v>17</v>
      </c>
      <c r="M1983">
        <f t="shared" si="60"/>
        <v>93</v>
      </c>
      <c r="N1983">
        <v>0.94444444444444442</v>
      </c>
      <c r="O1983" s="23" cm="1">
        <f t="array" ref="O1983">WordListCount(K1983,keywords!$A$2:$A$31)-WordListCount(K1983,keywords!$B$2:$B$31)</f>
        <v>0</v>
      </c>
      <c r="P1983" s="25">
        <f t="shared" si="61"/>
        <v>0.76450231481481479</v>
      </c>
      <c r="Q1983" s="23">
        <f>SUM($O$2:O1983)</f>
        <v>54</v>
      </c>
      <c r="Y1983" s="14"/>
      <c r="Z1983" s="13"/>
      <c r="AA1983"/>
    </row>
    <row r="1984" spans="1:27" x14ac:dyDescent="0.2">
      <c r="A1984" s="12" t="s">
        <v>6071</v>
      </c>
      <c r="B1984" t="s">
        <v>6072</v>
      </c>
      <c r="C1984" t="s">
        <v>5930</v>
      </c>
      <c r="D1984" t="s">
        <v>12</v>
      </c>
      <c r="E1984" t="s">
        <v>13</v>
      </c>
      <c r="F1984">
        <v>102</v>
      </c>
      <c r="G1984">
        <v>136</v>
      </c>
      <c r="H1984" s="5" t="s">
        <v>22</v>
      </c>
      <c r="I1984" s="5">
        <v>0</v>
      </c>
      <c r="J1984" s="5">
        <v>0</v>
      </c>
      <c r="K1984" t="s">
        <v>11166</v>
      </c>
      <c r="L1984" cm="1">
        <f t="array" ref="L1984">wordCount(K1984)</f>
        <v>23</v>
      </c>
      <c r="M1984">
        <f t="shared" si="60"/>
        <v>111</v>
      </c>
      <c r="N1984">
        <v>0.52777777777777779</v>
      </c>
      <c r="O1984" s="23" cm="1">
        <f t="array" ref="O1984">WordListCount(K1984,keywords!$A$2:$A$31)-WordListCount(K1984,keywords!$B$2:$B$31)</f>
        <v>-1</v>
      </c>
      <c r="P1984" s="25">
        <f t="shared" si="61"/>
        <v>0.7645601851851852</v>
      </c>
      <c r="Q1984" s="23">
        <f>SUM($O$2:O1984)</f>
        <v>53</v>
      </c>
      <c r="Y1984" s="14"/>
      <c r="Z1984" s="13"/>
      <c r="AA1984"/>
    </row>
    <row r="1985" spans="1:27" x14ac:dyDescent="0.2">
      <c r="A1985" s="12" t="s">
        <v>6073</v>
      </c>
      <c r="B1985" t="s">
        <v>6074</v>
      </c>
      <c r="C1985" t="s">
        <v>6075</v>
      </c>
      <c r="D1985" t="s">
        <v>12</v>
      </c>
      <c r="E1985" t="s">
        <v>13</v>
      </c>
      <c r="F1985">
        <v>101</v>
      </c>
      <c r="G1985">
        <v>367</v>
      </c>
      <c r="H1985" s="5" t="s">
        <v>22</v>
      </c>
      <c r="I1985" s="5">
        <v>0</v>
      </c>
      <c r="J1985" s="5">
        <v>0</v>
      </c>
      <c r="K1985" t="s">
        <v>9605</v>
      </c>
      <c r="L1985" cm="1">
        <f t="array" ref="L1985">wordCount(K1985)</f>
        <v>15</v>
      </c>
      <c r="M1985">
        <f t="shared" si="60"/>
        <v>79</v>
      </c>
      <c r="N1985">
        <v>0.55882352941176472</v>
      </c>
      <c r="O1985" s="23" cm="1">
        <f t="array" ref="O1985">WordListCount(K1985,keywords!$A$2:$A$31)-WordListCount(K1985,keywords!$B$2:$B$31)</f>
        <v>-1</v>
      </c>
      <c r="P1985" s="25">
        <f t="shared" si="61"/>
        <v>0.76484953703703706</v>
      </c>
      <c r="Q1985" s="23">
        <f>SUM($O$2:O1985)</f>
        <v>52</v>
      </c>
      <c r="Y1985" s="14"/>
      <c r="Z1985" s="13"/>
      <c r="AA1985"/>
    </row>
    <row r="1986" spans="1:27" x14ac:dyDescent="0.2">
      <c r="A1986" s="12" t="s">
        <v>6076</v>
      </c>
      <c r="B1986" t="s">
        <v>6077</v>
      </c>
      <c r="C1986" t="s">
        <v>6078</v>
      </c>
      <c r="D1986" t="s">
        <v>6079</v>
      </c>
      <c r="E1986" t="s">
        <v>13</v>
      </c>
      <c r="F1986">
        <v>2395</v>
      </c>
      <c r="G1986">
        <v>623</v>
      </c>
      <c r="H1986" s="5" t="s">
        <v>22</v>
      </c>
      <c r="I1986" s="5">
        <v>0</v>
      </c>
      <c r="J1986" s="5">
        <v>0</v>
      </c>
      <c r="K1986" t="s">
        <v>9606</v>
      </c>
      <c r="L1986" cm="1">
        <f t="array" ref="L1986">wordCount(K1986)</f>
        <v>8</v>
      </c>
      <c r="M1986">
        <f t="shared" ref="M1986:M2049" si="62">LEN(K1986)</f>
        <v>44</v>
      </c>
      <c r="N1986">
        <v>0.36363636363636365</v>
      </c>
      <c r="O1986" s="23" cm="1">
        <f t="array" ref="O1986">WordListCount(K1986,keywords!$A$2:$A$31)-WordListCount(K1986,keywords!$B$2:$B$31)</f>
        <v>0</v>
      </c>
      <c r="P1986" s="25">
        <f t="shared" ref="P1986:P2049" si="63">TIMEVALUE(RIGHT(A1986,8))</f>
        <v>0.76501157407407405</v>
      </c>
      <c r="Q1986" s="23">
        <f>SUM($O$2:O1986)</f>
        <v>52</v>
      </c>
      <c r="Y1986" s="14"/>
      <c r="Z1986" s="13"/>
      <c r="AA1986"/>
    </row>
    <row r="1987" spans="1:27" x14ac:dyDescent="0.2">
      <c r="A1987" s="12" t="s">
        <v>6080</v>
      </c>
      <c r="B1987" t="s">
        <v>6081</v>
      </c>
      <c r="C1987" t="s">
        <v>6082</v>
      </c>
      <c r="D1987" t="s">
        <v>6083</v>
      </c>
      <c r="E1987" t="s">
        <v>13</v>
      </c>
      <c r="F1987">
        <v>329</v>
      </c>
      <c r="G1987">
        <v>294</v>
      </c>
      <c r="H1987" s="5" t="s">
        <v>125</v>
      </c>
      <c r="I1987" s="5">
        <v>0</v>
      </c>
      <c r="J1987" s="5">
        <v>0</v>
      </c>
      <c r="K1987" t="s">
        <v>11167</v>
      </c>
      <c r="L1987" cm="1">
        <f t="array" ref="L1987">wordCount(K1987)</f>
        <v>19</v>
      </c>
      <c r="M1987">
        <f t="shared" si="62"/>
        <v>109</v>
      </c>
      <c r="N1987">
        <v>0.34615384615384615</v>
      </c>
      <c r="O1987" s="23" cm="1">
        <f t="array" ref="O1987">WordListCount(K1987,keywords!$A$2:$A$31)-WordListCount(K1987,keywords!$B$2:$B$31)</f>
        <v>0</v>
      </c>
      <c r="P1987" s="25">
        <f t="shared" si="63"/>
        <v>0.76513888888888892</v>
      </c>
      <c r="Q1987" s="23">
        <f>SUM($O$2:O1987)</f>
        <v>52</v>
      </c>
      <c r="Y1987" s="14"/>
      <c r="Z1987" s="13"/>
      <c r="AA1987"/>
    </row>
    <row r="1988" spans="1:27" x14ac:dyDescent="0.2">
      <c r="A1988" s="12" t="s">
        <v>6084</v>
      </c>
      <c r="B1988" t="s">
        <v>6085</v>
      </c>
      <c r="C1988" t="s">
        <v>6052</v>
      </c>
      <c r="D1988" t="s">
        <v>6053</v>
      </c>
      <c r="E1988" t="s">
        <v>13</v>
      </c>
      <c r="F1988">
        <v>163</v>
      </c>
      <c r="G1988">
        <v>382</v>
      </c>
      <c r="H1988" s="5" t="s">
        <v>22</v>
      </c>
      <c r="I1988" s="5">
        <v>0</v>
      </c>
      <c r="J1988" s="5">
        <v>0</v>
      </c>
      <c r="K1988" t="s">
        <v>9607</v>
      </c>
      <c r="L1988" cm="1">
        <f t="array" ref="L1988">wordCount(K1988)</f>
        <v>14</v>
      </c>
      <c r="M1988">
        <f t="shared" si="62"/>
        <v>64</v>
      </c>
      <c r="N1988">
        <v>0.66666666666666663</v>
      </c>
      <c r="O1988" s="23" cm="1">
        <f t="array" ref="O1988">WordListCount(K1988,keywords!$A$2:$A$31)-WordListCount(K1988,keywords!$B$2:$B$31)</f>
        <v>0</v>
      </c>
      <c r="P1988" s="25">
        <f t="shared" si="63"/>
        <v>0.76527777777777783</v>
      </c>
      <c r="Q1988" s="23">
        <f>SUM($O$2:O1988)</f>
        <v>52</v>
      </c>
      <c r="Y1988" s="14"/>
      <c r="Z1988" s="13"/>
      <c r="AA1988"/>
    </row>
    <row r="1989" spans="1:27" x14ac:dyDescent="0.2">
      <c r="A1989" s="12" t="s">
        <v>6086</v>
      </c>
      <c r="B1989" t="s">
        <v>6087</v>
      </c>
      <c r="C1989" t="s">
        <v>5704</v>
      </c>
      <c r="D1989" t="s">
        <v>12</v>
      </c>
      <c r="E1989" t="s">
        <v>13</v>
      </c>
      <c r="F1989">
        <v>4</v>
      </c>
      <c r="G1989">
        <v>0</v>
      </c>
      <c r="H1989" s="5" t="s">
        <v>22</v>
      </c>
      <c r="I1989" s="5">
        <v>0</v>
      </c>
      <c r="J1989" s="5">
        <v>0</v>
      </c>
      <c r="K1989" t="s">
        <v>11168</v>
      </c>
      <c r="L1989" cm="1">
        <f t="array" ref="L1989">wordCount(K1989)</f>
        <v>7</v>
      </c>
      <c r="M1989">
        <f t="shared" si="62"/>
        <v>37</v>
      </c>
      <c r="N1989">
        <v>0.6428571428571429</v>
      </c>
      <c r="O1989" s="23" cm="1">
        <f t="array" ref="O1989">WordListCount(K1989,keywords!$A$2:$A$31)-WordListCount(K1989,keywords!$B$2:$B$31)</f>
        <v>0</v>
      </c>
      <c r="P1989" s="25">
        <f t="shared" si="63"/>
        <v>0.76538194444444441</v>
      </c>
      <c r="Q1989" s="23">
        <f>SUM($O$2:O1989)</f>
        <v>52</v>
      </c>
      <c r="Y1989" s="14"/>
      <c r="Z1989" s="13"/>
      <c r="AA1989"/>
    </row>
    <row r="1990" spans="1:27" x14ac:dyDescent="0.2">
      <c r="A1990" s="12" t="s">
        <v>6088</v>
      </c>
      <c r="B1990" t="s">
        <v>6089</v>
      </c>
      <c r="C1990" t="s">
        <v>6090</v>
      </c>
      <c r="D1990" t="s">
        <v>6091</v>
      </c>
      <c r="E1990" t="s">
        <v>13</v>
      </c>
      <c r="F1990">
        <v>290</v>
      </c>
      <c r="G1990">
        <v>298</v>
      </c>
      <c r="H1990" s="5" t="s">
        <v>22</v>
      </c>
      <c r="I1990" s="5">
        <v>0</v>
      </c>
      <c r="J1990" s="5">
        <v>0</v>
      </c>
      <c r="K1990" t="s">
        <v>9608</v>
      </c>
      <c r="L1990" cm="1">
        <f t="array" ref="L1990">wordCount(K1990)</f>
        <v>12</v>
      </c>
      <c r="M1990">
        <f t="shared" si="62"/>
        <v>66</v>
      </c>
      <c r="N1990">
        <v>0.60869565217391308</v>
      </c>
      <c r="O1990" s="23" cm="1">
        <f t="array" ref="O1990">WordListCount(K1990,keywords!$A$2:$A$31)-WordListCount(K1990,keywords!$B$2:$B$31)</f>
        <v>0</v>
      </c>
      <c r="P1990" s="25">
        <f t="shared" si="63"/>
        <v>0.76579861111111114</v>
      </c>
      <c r="Q1990" s="23">
        <f>SUM($O$2:O1990)</f>
        <v>52</v>
      </c>
      <c r="Y1990" s="14"/>
      <c r="Z1990" s="13"/>
      <c r="AA1990"/>
    </row>
    <row r="1991" spans="1:27" x14ac:dyDescent="0.2">
      <c r="A1991" s="12" t="s">
        <v>6092</v>
      </c>
      <c r="B1991" t="s">
        <v>6093</v>
      </c>
      <c r="C1991" t="s">
        <v>6094</v>
      </c>
      <c r="D1991" t="s">
        <v>6095</v>
      </c>
      <c r="E1991" t="s">
        <v>13</v>
      </c>
      <c r="F1991">
        <v>6752</v>
      </c>
      <c r="G1991">
        <v>2991</v>
      </c>
      <c r="H1991" s="5" t="s">
        <v>22</v>
      </c>
      <c r="I1991" s="5">
        <v>0</v>
      </c>
      <c r="J1991" s="5">
        <v>0</v>
      </c>
      <c r="K1991" t="s">
        <v>11169</v>
      </c>
      <c r="L1991" cm="1">
        <f t="array" ref="L1991">wordCount(K1991)</f>
        <v>16</v>
      </c>
      <c r="M1991">
        <f t="shared" si="62"/>
        <v>92</v>
      </c>
      <c r="N1991">
        <v>0.31818181818181818</v>
      </c>
      <c r="O1991" s="23" cm="1">
        <f t="array" ref="O1991">WordListCount(K1991,keywords!$A$2:$A$31)-WordListCount(K1991,keywords!$B$2:$B$31)</f>
        <v>0</v>
      </c>
      <c r="P1991" s="25">
        <f t="shared" si="63"/>
        <v>0.76581018518518518</v>
      </c>
      <c r="Q1991" s="23">
        <f>SUM($O$2:O1991)</f>
        <v>52</v>
      </c>
      <c r="Y1991" s="14"/>
      <c r="Z1991" s="13"/>
      <c r="AA1991"/>
    </row>
    <row r="1992" spans="1:27" x14ac:dyDescent="0.2">
      <c r="A1992" s="12" t="s">
        <v>6096</v>
      </c>
      <c r="B1992" t="s">
        <v>6097</v>
      </c>
      <c r="C1992" t="s">
        <v>6098</v>
      </c>
      <c r="D1992" t="s">
        <v>594</v>
      </c>
      <c r="E1992" t="s">
        <v>13</v>
      </c>
      <c r="F1992">
        <v>6</v>
      </c>
      <c r="G1992">
        <v>172</v>
      </c>
      <c r="H1992" s="5" t="s">
        <v>22</v>
      </c>
      <c r="I1992" s="5">
        <v>0</v>
      </c>
      <c r="J1992" s="5">
        <v>0</v>
      </c>
      <c r="K1992" t="s">
        <v>11170</v>
      </c>
      <c r="L1992" cm="1">
        <f t="array" ref="L1992">wordCount(K1992)</f>
        <v>19</v>
      </c>
      <c r="M1992">
        <f t="shared" si="62"/>
        <v>111</v>
      </c>
      <c r="N1992">
        <v>0.32</v>
      </c>
      <c r="O1992" s="23" cm="1">
        <f t="array" ref="O1992">WordListCount(K1992,keywords!$A$2:$A$31)-WordListCount(K1992,keywords!$B$2:$B$31)</f>
        <v>0</v>
      </c>
      <c r="P1992" s="25">
        <f t="shared" si="63"/>
        <v>0.76618055555555553</v>
      </c>
      <c r="Q1992" s="23">
        <f>SUM($O$2:O1992)</f>
        <v>52</v>
      </c>
      <c r="Y1992" s="14"/>
      <c r="Z1992" s="13"/>
      <c r="AA1992"/>
    </row>
    <row r="1993" spans="1:27" x14ac:dyDescent="0.2">
      <c r="A1993" s="12" t="s">
        <v>6099</v>
      </c>
      <c r="B1993" t="s">
        <v>6102</v>
      </c>
      <c r="C1993" t="s">
        <v>6103</v>
      </c>
      <c r="D1993" t="s">
        <v>12</v>
      </c>
      <c r="E1993" t="s">
        <v>13</v>
      </c>
      <c r="F1993">
        <v>23</v>
      </c>
      <c r="G1993">
        <v>128</v>
      </c>
      <c r="H1993" s="5" t="s">
        <v>22</v>
      </c>
      <c r="I1993" s="5">
        <v>0</v>
      </c>
      <c r="J1993" s="5">
        <v>0</v>
      </c>
      <c r="K1993" t="s">
        <v>11171</v>
      </c>
      <c r="L1993" cm="1">
        <f t="array" ref="L1993">wordCount(K1993)</f>
        <v>23</v>
      </c>
      <c r="M1993">
        <f t="shared" si="62"/>
        <v>125</v>
      </c>
      <c r="N1993">
        <v>0.16666666666666666</v>
      </c>
      <c r="O1993" s="23" cm="1">
        <f t="array" ref="O1993">WordListCount(K1993,keywords!$A$2:$A$31)-WordListCount(K1993,keywords!$B$2:$B$31)</f>
        <v>0</v>
      </c>
      <c r="P1993" s="25">
        <f t="shared" si="63"/>
        <v>0.76652777777777781</v>
      </c>
      <c r="Q1993" s="23">
        <f>SUM($O$2:O1993)</f>
        <v>52</v>
      </c>
      <c r="Y1993" s="14"/>
      <c r="Z1993" s="13"/>
      <c r="AA1993"/>
    </row>
    <row r="1994" spans="1:27" x14ac:dyDescent="0.2">
      <c r="A1994" s="12" t="s">
        <v>6099</v>
      </c>
      <c r="B1994" t="s">
        <v>6100</v>
      </c>
      <c r="C1994" t="s">
        <v>6101</v>
      </c>
      <c r="D1994" t="s">
        <v>1552</v>
      </c>
      <c r="E1994" t="s">
        <v>13</v>
      </c>
      <c r="F1994">
        <v>9</v>
      </c>
      <c r="G1994">
        <v>18</v>
      </c>
      <c r="H1994" s="5" t="s">
        <v>22</v>
      </c>
      <c r="I1994" s="5">
        <v>0</v>
      </c>
      <c r="J1994" s="5">
        <v>0</v>
      </c>
      <c r="K1994" t="s">
        <v>9609</v>
      </c>
      <c r="L1994" cm="1">
        <f t="array" ref="L1994">wordCount(K1994)</f>
        <v>6</v>
      </c>
      <c r="M1994">
        <f t="shared" si="62"/>
        <v>29</v>
      </c>
      <c r="N1994">
        <v>0.73333333333333328</v>
      </c>
      <c r="O1994" s="23" cm="1">
        <f t="array" ref="O1994">WordListCount(K1994,keywords!$A$2:$A$31)-WordListCount(K1994,keywords!$B$2:$B$31)</f>
        <v>0</v>
      </c>
      <c r="P1994" s="25">
        <f t="shared" si="63"/>
        <v>0.76652777777777781</v>
      </c>
      <c r="Q1994" s="23">
        <f>SUM($O$2:O1994)</f>
        <v>52</v>
      </c>
      <c r="Y1994" s="14"/>
      <c r="Z1994" s="13"/>
      <c r="AA1994"/>
    </row>
    <row r="1995" spans="1:27" x14ac:dyDescent="0.2">
      <c r="A1995" s="12" t="s">
        <v>6104</v>
      </c>
      <c r="B1995" t="s">
        <v>6105</v>
      </c>
      <c r="C1995" t="s">
        <v>6106</v>
      </c>
      <c r="D1995" t="s">
        <v>6107</v>
      </c>
      <c r="E1995" t="s">
        <v>13</v>
      </c>
      <c r="F1995">
        <v>63</v>
      </c>
      <c r="G1995">
        <v>242</v>
      </c>
      <c r="H1995" s="5" t="s">
        <v>22</v>
      </c>
      <c r="I1995" s="5">
        <v>0</v>
      </c>
      <c r="J1995" s="5">
        <v>0</v>
      </c>
      <c r="K1995" t="s">
        <v>11172</v>
      </c>
      <c r="L1995" cm="1">
        <f t="array" ref="L1995">wordCount(K1995)</f>
        <v>14</v>
      </c>
      <c r="M1995">
        <f t="shared" si="62"/>
        <v>76</v>
      </c>
      <c r="N1995">
        <v>0.43478260869565216</v>
      </c>
      <c r="O1995" s="23" cm="1">
        <f t="array" ref="O1995">WordListCount(K1995,keywords!$A$2:$A$31)-WordListCount(K1995,keywords!$B$2:$B$31)</f>
        <v>0</v>
      </c>
      <c r="P1995" s="25">
        <f t="shared" si="63"/>
        <v>0.76677083333333329</v>
      </c>
      <c r="Q1995" s="23">
        <f>SUM($O$2:O1995)</f>
        <v>52</v>
      </c>
      <c r="Y1995" s="14"/>
      <c r="Z1995" s="13"/>
      <c r="AA1995"/>
    </row>
    <row r="1996" spans="1:27" x14ac:dyDescent="0.2">
      <c r="A1996" s="12" t="s">
        <v>6108</v>
      </c>
      <c r="B1996" t="s">
        <v>6109</v>
      </c>
      <c r="C1996" t="s">
        <v>310</v>
      </c>
      <c r="D1996" t="s">
        <v>12</v>
      </c>
      <c r="E1996" t="s">
        <v>13</v>
      </c>
      <c r="F1996">
        <v>3634</v>
      </c>
      <c r="G1996">
        <v>3732</v>
      </c>
      <c r="H1996" s="5" t="s">
        <v>22</v>
      </c>
      <c r="I1996" s="5">
        <v>0</v>
      </c>
      <c r="J1996" s="5">
        <v>0</v>
      </c>
      <c r="K1996" t="s">
        <v>11173</v>
      </c>
      <c r="L1996" cm="1">
        <f t="array" ref="L1996">wordCount(K1996)</f>
        <v>9</v>
      </c>
      <c r="M1996">
        <f t="shared" si="62"/>
        <v>56</v>
      </c>
      <c r="N1996">
        <v>0.47058823529411764</v>
      </c>
      <c r="O1996" s="23" cm="1">
        <f t="array" ref="O1996">WordListCount(K1996,keywords!$A$2:$A$31)-WordListCount(K1996,keywords!$B$2:$B$31)</f>
        <v>0</v>
      </c>
      <c r="P1996" s="25">
        <f t="shared" si="63"/>
        <v>0.76695601851851858</v>
      </c>
      <c r="Q1996" s="23">
        <f>SUM($O$2:O1996)</f>
        <v>52</v>
      </c>
      <c r="Y1996" s="14"/>
      <c r="Z1996" s="13"/>
      <c r="AA1996"/>
    </row>
    <row r="1997" spans="1:27" x14ac:dyDescent="0.2">
      <c r="A1997" s="12" t="s">
        <v>6110</v>
      </c>
      <c r="B1997" t="s">
        <v>6111</v>
      </c>
      <c r="C1997" t="s">
        <v>6112</v>
      </c>
      <c r="D1997" t="s">
        <v>74</v>
      </c>
      <c r="E1997" t="s">
        <v>13</v>
      </c>
      <c r="F1997">
        <v>785</v>
      </c>
      <c r="G1997">
        <v>934</v>
      </c>
      <c r="H1997" s="5" t="s">
        <v>22</v>
      </c>
      <c r="I1997" s="5">
        <v>0</v>
      </c>
      <c r="J1997" s="5">
        <v>0</v>
      </c>
      <c r="K1997" t="s">
        <v>11174</v>
      </c>
      <c r="L1997" cm="1">
        <f t="array" ref="L1997">wordCount(K1997)</f>
        <v>11</v>
      </c>
      <c r="M1997">
        <f t="shared" si="62"/>
        <v>71</v>
      </c>
      <c r="N1997">
        <v>0.65217391304347827</v>
      </c>
      <c r="O1997" s="23" cm="1">
        <f t="array" ref="O1997">WordListCount(K1997,keywords!$A$2:$A$31)-WordListCount(K1997,keywords!$B$2:$B$31)</f>
        <v>0</v>
      </c>
      <c r="P1997" s="25">
        <f t="shared" si="63"/>
        <v>0.7672337962962964</v>
      </c>
      <c r="Q1997" s="23">
        <f>SUM($O$2:O1997)</f>
        <v>52</v>
      </c>
      <c r="Y1997" s="14"/>
      <c r="Z1997" s="13"/>
      <c r="AA1997"/>
    </row>
    <row r="1998" spans="1:27" x14ac:dyDescent="0.2">
      <c r="A1998" s="12" t="s">
        <v>6113</v>
      </c>
      <c r="B1998" t="s">
        <v>6114</v>
      </c>
      <c r="C1998" t="s">
        <v>6115</v>
      </c>
      <c r="D1998" t="s">
        <v>12</v>
      </c>
      <c r="E1998" t="s">
        <v>13</v>
      </c>
      <c r="F1998">
        <v>110</v>
      </c>
      <c r="G1998">
        <v>45</v>
      </c>
      <c r="H1998" s="5" t="s">
        <v>22</v>
      </c>
      <c r="I1998" s="5">
        <v>0</v>
      </c>
      <c r="J1998" s="5">
        <v>0</v>
      </c>
      <c r="K1998" t="s">
        <v>9610</v>
      </c>
      <c r="L1998" cm="1">
        <f t="array" ref="L1998">wordCount(K1998)</f>
        <v>18</v>
      </c>
      <c r="M1998">
        <f t="shared" si="62"/>
        <v>88</v>
      </c>
      <c r="N1998">
        <v>0.5</v>
      </c>
      <c r="O1998" s="23" cm="1">
        <f t="array" ref="O1998">WordListCount(K1998,keywords!$A$2:$A$31)-WordListCount(K1998,keywords!$B$2:$B$31)</f>
        <v>0</v>
      </c>
      <c r="P1998" s="25">
        <f t="shared" si="63"/>
        <v>0.76730324074074074</v>
      </c>
      <c r="Q1998" s="23">
        <f>SUM($O$2:O1998)</f>
        <v>52</v>
      </c>
      <c r="Y1998" s="14"/>
      <c r="Z1998" s="13"/>
      <c r="AA1998"/>
    </row>
    <row r="1999" spans="1:27" x14ac:dyDescent="0.2">
      <c r="A1999" s="12" t="s">
        <v>6116</v>
      </c>
      <c r="B1999" t="s">
        <v>6117</v>
      </c>
      <c r="C1999" t="s">
        <v>6118</v>
      </c>
      <c r="D1999" t="s">
        <v>1091</v>
      </c>
      <c r="E1999" t="s">
        <v>13</v>
      </c>
      <c r="F1999">
        <v>6</v>
      </c>
      <c r="G1999">
        <v>36</v>
      </c>
      <c r="H1999" s="5" t="s">
        <v>22</v>
      </c>
      <c r="I1999" s="5">
        <v>0</v>
      </c>
      <c r="J1999" s="5">
        <v>0</v>
      </c>
      <c r="K1999" t="s">
        <v>11175</v>
      </c>
      <c r="L1999" cm="1">
        <f t="array" ref="L1999">wordCount(K1999)</f>
        <v>19</v>
      </c>
      <c r="M1999">
        <f t="shared" si="62"/>
        <v>84</v>
      </c>
      <c r="N1999">
        <v>0.35</v>
      </c>
      <c r="O1999" s="23" cm="1">
        <f t="array" ref="O1999">WordListCount(K1999,keywords!$A$2:$A$31)-WordListCount(K1999,keywords!$B$2:$B$31)</f>
        <v>1</v>
      </c>
      <c r="P1999" s="25">
        <f t="shared" si="63"/>
        <v>0.76761574074074079</v>
      </c>
      <c r="Q1999" s="23">
        <f>SUM($O$2:O1999)</f>
        <v>53</v>
      </c>
      <c r="Y1999" s="14"/>
      <c r="Z1999" s="13"/>
      <c r="AA1999"/>
    </row>
    <row r="2000" spans="1:27" x14ac:dyDescent="0.2">
      <c r="A2000" s="12" t="s">
        <v>6119</v>
      </c>
      <c r="B2000" t="s">
        <v>6120</v>
      </c>
      <c r="C2000" t="s">
        <v>6121</v>
      </c>
      <c r="D2000" t="s">
        <v>4030</v>
      </c>
      <c r="E2000" t="s">
        <v>13</v>
      </c>
      <c r="F2000">
        <v>17</v>
      </c>
      <c r="G2000">
        <v>56</v>
      </c>
      <c r="H2000" s="5" t="s">
        <v>22</v>
      </c>
      <c r="I2000" s="5">
        <v>0</v>
      </c>
      <c r="J2000" s="5">
        <v>0</v>
      </c>
      <c r="K2000" t="s">
        <v>11176</v>
      </c>
      <c r="L2000" cm="1">
        <f t="array" ref="L2000">wordCount(K2000)</f>
        <v>8</v>
      </c>
      <c r="M2000">
        <f t="shared" si="62"/>
        <v>35</v>
      </c>
      <c r="N2000">
        <v>0.66666666666666663</v>
      </c>
      <c r="O2000" s="23" cm="1">
        <f t="array" ref="O2000">WordListCount(K2000,keywords!$A$2:$A$31)-WordListCount(K2000,keywords!$B$2:$B$31)</f>
        <v>0</v>
      </c>
      <c r="P2000" s="25">
        <f t="shared" si="63"/>
        <v>0.76770833333333333</v>
      </c>
      <c r="Q2000" s="23">
        <f>SUM($O$2:O2000)</f>
        <v>53</v>
      </c>
      <c r="Y2000" s="14"/>
      <c r="Z2000" s="13"/>
      <c r="AA2000"/>
    </row>
    <row r="2001" spans="1:27" x14ac:dyDescent="0.2">
      <c r="A2001" s="12" t="s">
        <v>6122</v>
      </c>
      <c r="B2001" t="s">
        <v>6123</v>
      </c>
      <c r="C2001" t="s">
        <v>6124</v>
      </c>
      <c r="D2001" t="s">
        <v>12</v>
      </c>
      <c r="E2001" t="s">
        <v>13</v>
      </c>
      <c r="F2001">
        <v>1</v>
      </c>
      <c r="G2001">
        <v>42</v>
      </c>
      <c r="H2001" s="5" t="s">
        <v>22</v>
      </c>
      <c r="I2001" s="5">
        <v>0</v>
      </c>
      <c r="J2001" s="5">
        <v>0</v>
      </c>
      <c r="K2001" t="s">
        <v>11177</v>
      </c>
      <c r="L2001" cm="1">
        <f t="array" ref="L2001">wordCount(K2001)</f>
        <v>10</v>
      </c>
      <c r="M2001">
        <f t="shared" si="62"/>
        <v>69</v>
      </c>
      <c r="N2001">
        <v>0.69230769230769229</v>
      </c>
      <c r="O2001" s="23" cm="1">
        <f t="array" ref="O2001">WordListCount(K2001,keywords!$A$2:$A$31)-WordListCount(K2001,keywords!$B$2:$B$31)</f>
        <v>0</v>
      </c>
      <c r="P2001" s="25">
        <f t="shared" si="63"/>
        <v>0.76776620370370363</v>
      </c>
      <c r="Q2001" s="23">
        <f>SUM($O$2:O2001)</f>
        <v>53</v>
      </c>
      <c r="Y2001" s="14"/>
      <c r="Z2001" s="13"/>
      <c r="AA2001"/>
    </row>
    <row r="2002" spans="1:27" x14ac:dyDescent="0.2">
      <c r="A2002" s="12" t="s">
        <v>6125</v>
      </c>
      <c r="B2002" t="s">
        <v>6126</v>
      </c>
      <c r="C2002" t="s">
        <v>6127</v>
      </c>
      <c r="D2002" t="s">
        <v>12</v>
      </c>
      <c r="E2002" t="s">
        <v>13</v>
      </c>
      <c r="F2002">
        <v>19</v>
      </c>
      <c r="G2002">
        <v>11</v>
      </c>
      <c r="H2002" s="5" t="s">
        <v>22</v>
      </c>
      <c r="I2002" s="5">
        <v>0</v>
      </c>
      <c r="J2002" s="5">
        <v>0</v>
      </c>
      <c r="K2002" t="s">
        <v>9611</v>
      </c>
      <c r="L2002" cm="1">
        <f t="array" ref="L2002">wordCount(K2002)</f>
        <v>3</v>
      </c>
      <c r="M2002">
        <f t="shared" si="62"/>
        <v>13</v>
      </c>
      <c r="N2002">
        <v>0.94117647058823528</v>
      </c>
      <c r="O2002" s="23" cm="1">
        <f t="array" ref="O2002">WordListCount(K2002,keywords!$A$2:$A$31)-WordListCount(K2002,keywords!$B$2:$B$31)</f>
        <v>0</v>
      </c>
      <c r="P2002" s="25">
        <f t="shared" si="63"/>
        <v>0.76780092592592597</v>
      </c>
      <c r="Q2002" s="23">
        <f>SUM($O$2:O2002)</f>
        <v>53</v>
      </c>
      <c r="Y2002" s="14"/>
      <c r="Z2002" s="13"/>
      <c r="AA2002"/>
    </row>
    <row r="2003" spans="1:27" x14ac:dyDescent="0.2">
      <c r="A2003" s="12" t="s">
        <v>6128</v>
      </c>
      <c r="B2003" t="s">
        <v>6129</v>
      </c>
      <c r="C2003" t="s">
        <v>511</v>
      </c>
      <c r="D2003" t="s">
        <v>512</v>
      </c>
      <c r="E2003" t="s">
        <v>13</v>
      </c>
      <c r="F2003">
        <v>1898</v>
      </c>
      <c r="G2003">
        <v>540</v>
      </c>
      <c r="H2003" s="5" t="s">
        <v>22</v>
      </c>
      <c r="I2003" s="5">
        <v>0</v>
      </c>
      <c r="J2003" s="5">
        <v>0</v>
      </c>
      <c r="K2003" t="s">
        <v>9612</v>
      </c>
      <c r="L2003" cm="1">
        <f t="array" ref="L2003">wordCount(K2003)</f>
        <v>11</v>
      </c>
      <c r="M2003">
        <f t="shared" si="62"/>
        <v>55</v>
      </c>
      <c r="N2003">
        <v>0.90909090909090906</v>
      </c>
      <c r="O2003" s="23" cm="1">
        <f t="array" ref="O2003">WordListCount(K2003,keywords!$A$2:$A$31)-WordListCount(K2003,keywords!$B$2:$B$31)</f>
        <v>0</v>
      </c>
      <c r="P2003" s="25">
        <f t="shared" si="63"/>
        <v>0.76790509259259254</v>
      </c>
      <c r="Q2003" s="23">
        <f>SUM($O$2:O2003)</f>
        <v>53</v>
      </c>
      <c r="Y2003" s="14"/>
      <c r="Z2003" s="13"/>
      <c r="AA2003"/>
    </row>
    <row r="2004" spans="1:27" x14ac:dyDescent="0.2">
      <c r="A2004" s="12" t="s">
        <v>6130</v>
      </c>
      <c r="B2004" t="s">
        <v>6131</v>
      </c>
      <c r="C2004" t="s">
        <v>6132</v>
      </c>
      <c r="D2004" t="s">
        <v>12</v>
      </c>
      <c r="E2004" t="s">
        <v>13</v>
      </c>
      <c r="F2004">
        <v>479</v>
      </c>
      <c r="G2004">
        <v>305</v>
      </c>
      <c r="H2004" s="5" t="s">
        <v>22</v>
      </c>
      <c r="I2004" s="5">
        <v>0</v>
      </c>
      <c r="J2004" s="5">
        <v>0</v>
      </c>
      <c r="K2004" t="s">
        <v>11178</v>
      </c>
      <c r="L2004" cm="1">
        <f t="array" ref="L2004">wordCount(K2004)</f>
        <v>4</v>
      </c>
      <c r="M2004">
        <f t="shared" si="62"/>
        <v>29</v>
      </c>
      <c r="N2004">
        <v>0.9</v>
      </c>
      <c r="O2004" s="23" cm="1">
        <f t="array" ref="O2004">WordListCount(K2004,keywords!$A$2:$A$31)-WordListCount(K2004,keywords!$B$2:$B$31)</f>
        <v>0</v>
      </c>
      <c r="P2004" s="25">
        <f t="shared" si="63"/>
        <v>0.76809027777777772</v>
      </c>
      <c r="Q2004" s="23">
        <f>SUM($O$2:O2004)</f>
        <v>53</v>
      </c>
      <c r="Y2004" s="14"/>
      <c r="Z2004" s="13"/>
      <c r="AA2004"/>
    </row>
    <row r="2005" spans="1:27" x14ac:dyDescent="0.2">
      <c r="A2005" s="12" t="s">
        <v>6133</v>
      </c>
      <c r="B2005" t="s">
        <v>6134</v>
      </c>
      <c r="C2005" t="s">
        <v>6082</v>
      </c>
      <c r="D2005" t="s">
        <v>6083</v>
      </c>
      <c r="E2005" t="s">
        <v>13</v>
      </c>
      <c r="F2005">
        <v>329</v>
      </c>
      <c r="G2005">
        <v>294</v>
      </c>
      <c r="H2005" s="5" t="s">
        <v>125</v>
      </c>
      <c r="I2005" s="5">
        <v>0</v>
      </c>
      <c r="J2005" s="5">
        <v>0</v>
      </c>
      <c r="K2005" t="s">
        <v>11179</v>
      </c>
      <c r="L2005" cm="1">
        <f t="array" ref="L2005">wordCount(K2005)</f>
        <v>17</v>
      </c>
      <c r="M2005">
        <f t="shared" si="62"/>
        <v>83</v>
      </c>
      <c r="N2005">
        <v>0.69696969696969702</v>
      </c>
      <c r="O2005" s="23" cm="1">
        <f t="array" ref="O2005">WordListCount(K2005,keywords!$A$2:$A$31)-WordListCount(K2005,keywords!$B$2:$B$31)</f>
        <v>0</v>
      </c>
      <c r="P2005" s="25">
        <f t="shared" si="63"/>
        <v>0.76827546296296301</v>
      </c>
      <c r="Q2005" s="23">
        <f>SUM($O$2:O2005)</f>
        <v>53</v>
      </c>
      <c r="Y2005" s="14"/>
      <c r="Z2005" s="13"/>
      <c r="AA2005"/>
    </row>
    <row r="2006" spans="1:27" x14ac:dyDescent="0.2">
      <c r="A2006" s="12" t="s">
        <v>6133</v>
      </c>
      <c r="B2006" t="s">
        <v>6135</v>
      </c>
      <c r="C2006" t="s">
        <v>6136</v>
      </c>
      <c r="D2006" t="s">
        <v>12</v>
      </c>
      <c r="E2006" t="s">
        <v>13</v>
      </c>
      <c r="F2006">
        <v>122</v>
      </c>
      <c r="G2006">
        <v>82</v>
      </c>
      <c r="H2006" s="5" t="s">
        <v>22</v>
      </c>
      <c r="I2006" s="5">
        <v>0</v>
      </c>
      <c r="J2006" s="5">
        <v>0</v>
      </c>
      <c r="K2006" t="s">
        <v>11180</v>
      </c>
      <c r="L2006" cm="1">
        <f t="array" ref="L2006">wordCount(K2006)</f>
        <v>23</v>
      </c>
      <c r="M2006">
        <f t="shared" si="62"/>
        <v>106</v>
      </c>
      <c r="N2006">
        <v>0.25925925925925924</v>
      </c>
      <c r="O2006" s="23" cm="1">
        <f t="array" ref="O2006">WordListCount(K2006,keywords!$A$2:$A$31)-WordListCount(K2006,keywords!$B$2:$B$31)</f>
        <v>-2</v>
      </c>
      <c r="P2006" s="25">
        <f t="shared" si="63"/>
        <v>0.76827546296296301</v>
      </c>
      <c r="Q2006" s="23">
        <f>SUM($O$2:O2006)</f>
        <v>51</v>
      </c>
      <c r="Y2006" s="14"/>
      <c r="Z2006" s="13"/>
      <c r="AA2006"/>
    </row>
    <row r="2007" spans="1:27" x14ac:dyDescent="0.2">
      <c r="A2007" s="12" t="s">
        <v>6137</v>
      </c>
      <c r="B2007" t="s">
        <v>6138</v>
      </c>
      <c r="C2007" t="s">
        <v>6139</v>
      </c>
      <c r="D2007" t="s">
        <v>12</v>
      </c>
      <c r="E2007" t="s">
        <v>13</v>
      </c>
      <c r="F2007">
        <v>157</v>
      </c>
      <c r="G2007">
        <v>178</v>
      </c>
      <c r="H2007" s="5" t="s">
        <v>22</v>
      </c>
      <c r="I2007" s="5">
        <v>0</v>
      </c>
      <c r="J2007" s="5">
        <v>0</v>
      </c>
      <c r="K2007" t="s">
        <v>11181</v>
      </c>
      <c r="L2007" cm="1">
        <f t="array" ref="L2007">wordCount(K2007)</f>
        <v>15</v>
      </c>
      <c r="M2007">
        <f t="shared" si="62"/>
        <v>84</v>
      </c>
      <c r="N2007">
        <v>0.22222222222222221</v>
      </c>
      <c r="O2007" s="23" cm="1">
        <f t="array" ref="O2007">WordListCount(K2007,keywords!$A$2:$A$31)-WordListCount(K2007,keywords!$B$2:$B$31)</f>
        <v>0</v>
      </c>
      <c r="P2007" s="25">
        <f t="shared" si="63"/>
        <v>0.76840277777777777</v>
      </c>
      <c r="Q2007" s="23">
        <f>SUM($O$2:O2007)</f>
        <v>51</v>
      </c>
      <c r="Y2007" s="14"/>
      <c r="Z2007" s="13"/>
      <c r="AA2007"/>
    </row>
    <row r="2008" spans="1:27" x14ac:dyDescent="0.2">
      <c r="A2008" s="12" t="s">
        <v>6140</v>
      </c>
      <c r="B2008" t="s">
        <v>6141</v>
      </c>
      <c r="C2008" t="s">
        <v>6142</v>
      </c>
      <c r="D2008" t="s">
        <v>6143</v>
      </c>
      <c r="E2008" t="s">
        <v>13</v>
      </c>
      <c r="F2008">
        <v>42</v>
      </c>
      <c r="G2008">
        <v>176</v>
      </c>
      <c r="H2008" s="5" t="s">
        <v>22</v>
      </c>
      <c r="I2008" s="5">
        <v>0</v>
      </c>
      <c r="J2008" s="5">
        <v>0</v>
      </c>
      <c r="K2008" t="s">
        <v>11182</v>
      </c>
      <c r="L2008" cm="1">
        <f t="array" ref="L2008">wordCount(K2008)</f>
        <v>24</v>
      </c>
      <c r="M2008">
        <f t="shared" si="62"/>
        <v>130</v>
      </c>
      <c r="N2008">
        <v>0.43243243243243246</v>
      </c>
      <c r="O2008" s="23" cm="1">
        <f t="array" ref="O2008">WordListCount(K2008,keywords!$A$2:$A$31)-WordListCount(K2008,keywords!$B$2:$B$31)</f>
        <v>0</v>
      </c>
      <c r="P2008" s="25">
        <f t="shared" si="63"/>
        <v>0.76841435185185192</v>
      </c>
      <c r="Q2008" s="23">
        <f>SUM($O$2:O2008)</f>
        <v>51</v>
      </c>
      <c r="Y2008" s="14"/>
      <c r="Z2008" s="13"/>
      <c r="AA2008"/>
    </row>
    <row r="2009" spans="1:27" x14ac:dyDescent="0.2">
      <c r="A2009" s="12" t="s">
        <v>6144</v>
      </c>
      <c r="B2009" t="s">
        <v>6145</v>
      </c>
      <c r="C2009" t="s">
        <v>6146</v>
      </c>
      <c r="D2009" t="s">
        <v>6147</v>
      </c>
      <c r="E2009" t="s">
        <v>13</v>
      </c>
      <c r="F2009">
        <v>198</v>
      </c>
      <c r="G2009">
        <v>191</v>
      </c>
      <c r="H2009" s="5" t="s">
        <v>22</v>
      </c>
      <c r="I2009" s="5">
        <v>0</v>
      </c>
      <c r="J2009" s="5">
        <v>0</v>
      </c>
      <c r="K2009" t="s">
        <v>9613</v>
      </c>
      <c r="L2009" cm="1">
        <f t="array" ref="L2009">wordCount(K2009)</f>
        <v>8</v>
      </c>
      <c r="M2009">
        <f t="shared" si="62"/>
        <v>53</v>
      </c>
      <c r="N2009">
        <v>0.7407407407407407</v>
      </c>
      <c r="O2009" s="23" cm="1">
        <f t="array" ref="O2009">WordListCount(K2009,keywords!$A$2:$A$31)-WordListCount(K2009,keywords!$B$2:$B$31)</f>
        <v>0</v>
      </c>
      <c r="P2009" s="25">
        <f t="shared" si="63"/>
        <v>0.76871527777777782</v>
      </c>
      <c r="Q2009" s="23">
        <f>SUM($O$2:O2009)</f>
        <v>51</v>
      </c>
      <c r="Y2009" s="14"/>
      <c r="Z2009" s="13"/>
      <c r="AA2009"/>
    </row>
    <row r="2010" spans="1:27" x14ac:dyDescent="0.2">
      <c r="A2010" s="12" t="s">
        <v>6148</v>
      </c>
      <c r="B2010" t="s">
        <v>4526</v>
      </c>
      <c r="C2010" t="s">
        <v>6149</v>
      </c>
      <c r="D2010" t="s">
        <v>6150</v>
      </c>
      <c r="E2010" t="s">
        <v>13</v>
      </c>
      <c r="F2010">
        <v>1056</v>
      </c>
      <c r="G2010">
        <v>1</v>
      </c>
      <c r="H2010" s="5" t="s">
        <v>22</v>
      </c>
      <c r="I2010" s="5">
        <v>0</v>
      </c>
      <c r="J2010" s="5">
        <v>0</v>
      </c>
      <c r="K2010" t="s">
        <v>9456</v>
      </c>
      <c r="L2010" cm="1">
        <f t="array" ref="L2010">wordCount(K2010)</f>
        <v>16</v>
      </c>
      <c r="M2010">
        <f t="shared" si="62"/>
        <v>86</v>
      </c>
      <c r="N2010">
        <v>0.94117647058823528</v>
      </c>
      <c r="O2010" s="23" cm="1">
        <f t="array" ref="O2010">WordListCount(K2010,keywords!$A$2:$A$31)-WordListCount(K2010,keywords!$B$2:$B$31)</f>
        <v>0</v>
      </c>
      <c r="P2010" s="25">
        <f t="shared" si="63"/>
        <v>0.76872685185185186</v>
      </c>
      <c r="Q2010" s="23">
        <f>SUM($O$2:O2010)</f>
        <v>51</v>
      </c>
      <c r="Y2010" s="14"/>
      <c r="Z2010" s="13"/>
      <c r="AA2010"/>
    </row>
    <row r="2011" spans="1:27" x14ac:dyDescent="0.2">
      <c r="A2011" s="12" t="s">
        <v>6151</v>
      </c>
      <c r="B2011" t="s">
        <v>6152</v>
      </c>
      <c r="C2011" t="s">
        <v>6153</v>
      </c>
      <c r="D2011" t="s">
        <v>12</v>
      </c>
      <c r="E2011" t="s">
        <v>13</v>
      </c>
      <c r="F2011">
        <v>12</v>
      </c>
      <c r="G2011">
        <v>161</v>
      </c>
      <c r="H2011" s="5" t="s">
        <v>59</v>
      </c>
      <c r="I2011" s="5">
        <v>0</v>
      </c>
      <c r="J2011" s="5">
        <v>0</v>
      </c>
      <c r="K2011" t="s">
        <v>9614</v>
      </c>
      <c r="L2011" cm="1">
        <f t="array" ref="L2011">wordCount(K2011)</f>
        <v>3</v>
      </c>
      <c r="M2011">
        <f t="shared" si="62"/>
        <v>15</v>
      </c>
      <c r="N2011">
        <v>0.5</v>
      </c>
      <c r="O2011" s="23" cm="1">
        <f t="array" ref="O2011">WordListCount(K2011,keywords!$A$2:$A$31)-WordListCount(K2011,keywords!$B$2:$B$31)</f>
        <v>0</v>
      </c>
      <c r="P2011" s="25">
        <f t="shared" si="63"/>
        <v>0.76893518518518522</v>
      </c>
      <c r="Q2011" s="23">
        <f>SUM($O$2:O2011)</f>
        <v>51</v>
      </c>
      <c r="Y2011" s="14"/>
      <c r="Z2011" s="13"/>
      <c r="AA2011"/>
    </row>
    <row r="2012" spans="1:27" x14ac:dyDescent="0.2">
      <c r="A2012" s="12" t="s">
        <v>6154</v>
      </c>
      <c r="B2012" t="s">
        <v>6155</v>
      </c>
      <c r="C2012" t="s">
        <v>6156</v>
      </c>
      <c r="D2012" t="s">
        <v>12</v>
      </c>
      <c r="E2012" t="s">
        <v>13</v>
      </c>
      <c r="F2012">
        <v>741</v>
      </c>
      <c r="G2012">
        <v>848</v>
      </c>
      <c r="H2012" s="5" t="s">
        <v>22</v>
      </c>
      <c r="I2012" s="5">
        <v>0</v>
      </c>
      <c r="J2012" s="5">
        <v>0</v>
      </c>
      <c r="K2012" t="s">
        <v>9615</v>
      </c>
      <c r="L2012" cm="1">
        <f t="array" ref="L2012">wordCount(K2012)</f>
        <v>6</v>
      </c>
      <c r="M2012">
        <f t="shared" si="62"/>
        <v>28</v>
      </c>
      <c r="N2012">
        <v>0.5714285714285714</v>
      </c>
      <c r="O2012" s="23" cm="1">
        <f t="array" ref="O2012">WordListCount(K2012,keywords!$A$2:$A$31)-WordListCount(K2012,keywords!$B$2:$B$31)</f>
        <v>0</v>
      </c>
      <c r="P2012" s="25">
        <f t="shared" si="63"/>
        <v>0.76949074074074064</v>
      </c>
      <c r="Q2012" s="23">
        <f>SUM($O$2:O2012)</f>
        <v>51</v>
      </c>
      <c r="Y2012" s="14"/>
      <c r="Z2012" s="13"/>
      <c r="AA2012"/>
    </row>
    <row r="2013" spans="1:27" x14ac:dyDescent="0.2">
      <c r="A2013" s="12" t="s">
        <v>6157</v>
      </c>
      <c r="B2013" t="s">
        <v>6158</v>
      </c>
      <c r="C2013" t="s">
        <v>6159</v>
      </c>
      <c r="D2013" t="s">
        <v>186</v>
      </c>
      <c r="E2013" t="s">
        <v>13</v>
      </c>
      <c r="F2013">
        <v>27</v>
      </c>
      <c r="G2013">
        <v>84</v>
      </c>
      <c r="H2013" s="5" t="s">
        <v>22</v>
      </c>
      <c r="I2013" s="5">
        <v>0</v>
      </c>
      <c r="J2013" s="5">
        <v>0</v>
      </c>
      <c r="K2013" t="s">
        <v>11183</v>
      </c>
      <c r="L2013" cm="1">
        <f t="array" ref="L2013">wordCount(K2013)</f>
        <v>11</v>
      </c>
      <c r="M2013">
        <f t="shared" si="62"/>
        <v>64</v>
      </c>
      <c r="N2013">
        <v>0.5714285714285714</v>
      </c>
      <c r="O2013" s="23" cm="1">
        <f t="array" ref="O2013">WordListCount(K2013,keywords!$A$2:$A$31)-WordListCount(K2013,keywords!$B$2:$B$31)</f>
        <v>-1</v>
      </c>
      <c r="P2013" s="25">
        <f t="shared" si="63"/>
        <v>0.76961805555555562</v>
      </c>
      <c r="Q2013" s="23">
        <f>SUM($O$2:O2013)</f>
        <v>50</v>
      </c>
      <c r="Y2013" s="14"/>
      <c r="Z2013" s="13"/>
      <c r="AA2013"/>
    </row>
    <row r="2014" spans="1:27" x14ac:dyDescent="0.2">
      <c r="A2014" s="12" t="s">
        <v>6160</v>
      </c>
      <c r="B2014" t="s">
        <v>6161</v>
      </c>
      <c r="C2014" t="s">
        <v>5591</v>
      </c>
      <c r="D2014" t="s">
        <v>5592</v>
      </c>
      <c r="E2014" t="s">
        <v>13</v>
      </c>
      <c r="F2014">
        <v>90</v>
      </c>
      <c r="G2014">
        <v>446</v>
      </c>
      <c r="H2014" s="5" t="s">
        <v>22</v>
      </c>
      <c r="I2014" s="5">
        <v>0</v>
      </c>
      <c r="J2014" s="5">
        <v>0</v>
      </c>
      <c r="K2014" t="s">
        <v>11184</v>
      </c>
      <c r="L2014" cm="1">
        <f t="array" ref="L2014">wordCount(K2014)</f>
        <v>15</v>
      </c>
      <c r="M2014">
        <f t="shared" si="62"/>
        <v>80</v>
      </c>
      <c r="N2014">
        <v>0.42857142857142855</v>
      </c>
      <c r="O2014" s="23" cm="1">
        <f t="array" ref="O2014">WordListCount(K2014,keywords!$A$2:$A$31)-WordListCount(K2014,keywords!$B$2:$B$31)</f>
        <v>0</v>
      </c>
      <c r="P2014" s="25">
        <f t="shared" si="63"/>
        <v>0.76968749999999997</v>
      </c>
      <c r="Q2014" s="23">
        <f>SUM($O$2:O2014)</f>
        <v>50</v>
      </c>
      <c r="Y2014" s="14"/>
      <c r="Z2014" s="13"/>
      <c r="AA2014"/>
    </row>
    <row r="2015" spans="1:27" x14ac:dyDescent="0.2">
      <c r="A2015" s="12" t="s">
        <v>6162</v>
      </c>
      <c r="B2015" t="s">
        <v>6163</v>
      </c>
      <c r="C2015" t="s">
        <v>6164</v>
      </c>
      <c r="D2015" t="s">
        <v>6165</v>
      </c>
      <c r="E2015" t="s">
        <v>13</v>
      </c>
      <c r="F2015">
        <v>159</v>
      </c>
      <c r="G2015">
        <v>152</v>
      </c>
      <c r="H2015" s="5" t="s">
        <v>6166</v>
      </c>
      <c r="I2015" s="5">
        <v>0</v>
      </c>
      <c r="J2015" s="5">
        <v>0</v>
      </c>
      <c r="K2015" t="s">
        <v>9616</v>
      </c>
      <c r="L2015" cm="1">
        <f t="array" ref="L2015">wordCount(K2015)</f>
        <v>11</v>
      </c>
      <c r="M2015">
        <f t="shared" si="62"/>
        <v>61</v>
      </c>
      <c r="N2015">
        <v>0.60869565217391308</v>
      </c>
      <c r="O2015" s="23" cm="1">
        <f t="array" ref="O2015">WordListCount(K2015,keywords!$A$2:$A$31)-WordListCount(K2015,keywords!$B$2:$B$31)</f>
        <v>0</v>
      </c>
      <c r="P2015" s="25">
        <f t="shared" si="63"/>
        <v>0.77032407407407411</v>
      </c>
      <c r="Q2015" s="23">
        <f>SUM($O$2:O2015)</f>
        <v>50</v>
      </c>
      <c r="Y2015" s="14"/>
      <c r="Z2015" s="13"/>
      <c r="AA2015"/>
    </row>
    <row r="2016" spans="1:27" x14ac:dyDescent="0.2">
      <c r="A2016" s="12" t="s">
        <v>6167</v>
      </c>
      <c r="B2016" t="s">
        <v>6168</v>
      </c>
      <c r="C2016" t="s">
        <v>6169</v>
      </c>
      <c r="D2016" t="s">
        <v>6170</v>
      </c>
      <c r="E2016" t="s">
        <v>13</v>
      </c>
      <c r="F2016">
        <v>312</v>
      </c>
      <c r="G2016">
        <v>86</v>
      </c>
      <c r="H2016" s="5" t="s">
        <v>22</v>
      </c>
      <c r="I2016" s="5">
        <v>0</v>
      </c>
      <c r="J2016" s="5">
        <v>0</v>
      </c>
      <c r="K2016" t="s">
        <v>9617</v>
      </c>
      <c r="L2016" cm="1">
        <f t="array" ref="L2016">wordCount(K2016)</f>
        <v>16</v>
      </c>
      <c r="M2016">
        <f t="shared" si="62"/>
        <v>68</v>
      </c>
      <c r="N2016">
        <v>0.5</v>
      </c>
      <c r="O2016" s="23" cm="1">
        <f t="array" ref="O2016">WordListCount(K2016,keywords!$A$2:$A$31)-WordListCount(K2016,keywords!$B$2:$B$31)</f>
        <v>0</v>
      </c>
      <c r="P2016" s="25">
        <f t="shared" si="63"/>
        <v>0.77053240740740747</v>
      </c>
      <c r="Q2016" s="23">
        <f>SUM($O$2:O2016)</f>
        <v>50</v>
      </c>
      <c r="Y2016" s="14"/>
      <c r="Z2016" s="13"/>
      <c r="AA2016"/>
    </row>
    <row r="2017" spans="1:27" x14ac:dyDescent="0.2">
      <c r="A2017" s="12" t="s">
        <v>6171</v>
      </c>
      <c r="B2017" t="s">
        <v>6172</v>
      </c>
      <c r="C2017" t="s">
        <v>6173</v>
      </c>
      <c r="D2017" t="s">
        <v>6174</v>
      </c>
      <c r="E2017" t="s">
        <v>13</v>
      </c>
      <c r="F2017">
        <v>1443</v>
      </c>
      <c r="G2017">
        <v>1514</v>
      </c>
      <c r="H2017" s="5" t="s">
        <v>22</v>
      </c>
      <c r="I2017" s="5">
        <v>0</v>
      </c>
      <c r="J2017" s="5">
        <v>0</v>
      </c>
      <c r="K2017" t="s">
        <v>11185</v>
      </c>
      <c r="L2017" cm="1">
        <f t="array" ref="L2017">wordCount(K2017)</f>
        <v>7</v>
      </c>
      <c r="M2017">
        <f t="shared" si="62"/>
        <v>46</v>
      </c>
      <c r="N2017">
        <v>0.63157894736842102</v>
      </c>
      <c r="O2017" s="23" cm="1">
        <f t="array" ref="O2017">WordListCount(K2017,keywords!$A$2:$A$31)-WordListCount(K2017,keywords!$B$2:$B$31)</f>
        <v>0</v>
      </c>
      <c r="P2017" s="25">
        <f t="shared" si="63"/>
        <v>0.77059027777777767</v>
      </c>
      <c r="Q2017" s="23">
        <f>SUM($O$2:O2017)</f>
        <v>50</v>
      </c>
      <c r="Y2017" s="14"/>
      <c r="Z2017" s="13"/>
      <c r="AA2017"/>
    </row>
    <row r="2018" spans="1:27" x14ac:dyDescent="0.2">
      <c r="A2018" s="12" t="s">
        <v>6175</v>
      </c>
      <c r="B2018" t="s">
        <v>6176</v>
      </c>
      <c r="C2018" t="s">
        <v>6177</v>
      </c>
      <c r="D2018" t="s">
        <v>597</v>
      </c>
      <c r="E2018" t="s">
        <v>13</v>
      </c>
      <c r="F2018">
        <v>249</v>
      </c>
      <c r="G2018">
        <v>547</v>
      </c>
      <c r="H2018" s="5" t="s">
        <v>22</v>
      </c>
      <c r="I2018" s="5">
        <v>0</v>
      </c>
      <c r="J2018" s="5">
        <v>0</v>
      </c>
      <c r="K2018" t="s">
        <v>9618</v>
      </c>
      <c r="L2018" cm="1">
        <f t="array" ref="L2018">wordCount(K2018)</f>
        <v>11</v>
      </c>
      <c r="M2018">
        <f t="shared" si="62"/>
        <v>52</v>
      </c>
      <c r="N2018">
        <v>0.4</v>
      </c>
      <c r="O2018" s="23" cm="1">
        <f t="array" ref="O2018">WordListCount(K2018,keywords!$A$2:$A$31)-WordListCount(K2018,keywords!$B$2:$B$31)</f>
        <v>0</v>
      </c>
      <c r="P2018" s="25">
        <f t="shared" si="63"/>
        <v>0.77083333333333337</v>
      </c>
      <c r="Q2018" s="23">
        <f>SUM($O$2:O2018)</f>
        <v>50</v>
      </c>
      <c r="Y2018" s="14"/>
      <c r="Z2018" s="13"/>
      <c r="AA2018"/>
    </row>
    <row r="2019" spans="1:27" x14ac:dyDescent="0.2">
      <c r="A2019" s="12" t="s">
        <v>6178</v>
      </c>
      <c r="B2019" t="s">
        <v>6179</v>
      </c>
      <c r="C2019" t="s">
        <v>306</v>
      </c>
      <c r="D2019" t="s">
        <v>307</v>
      </c>
      <c r="E2019" t="s">
        <v>13</v>
      </c>
      <c r="F2019">
        <v>227</v>
      </c>
      <c r="G2019">
        <v>1</v>
      </c>
      <c r="H2019" s="5" t="s">
        <v>22</v>
      </c>
      <c r="I2019" s="5">
        <v>0</v>
      </c>
      <c r="J2019" s="5">
        <v>0</v>
      </c>
      <c r="K2019" t="s">
        <v>9619</v>
      </c>
      <c r="L2019" cm="1">
        <f t="array" ref="L2019">wordCount(K2019)</f>
        <v>7</v>
      </c>
      <c r="M2019">
        <f t="shared" si="62"/>
        <v>105</v>
      </c>
      <c r="N2019">
        <v>0.53846153846153844</v>
      </c>
      <c r="O2019" s="23" cm="1">
        <f t="array" ref="O2019">WordListCount(K2019,keywords!$A$2:$A$31)-WordListCount(K2019,keywords!$B$2:$B$31)</f>
        <v>0</v>
      </c>
      <c r="P2019" s="25">
        <f t="shared" si="63"/>
        <v>0.77085648148148145</v>
      </c>
      <c r="Q2019" s="23">
        <f>SUM($O$2:O2019)</f>
        <v>50</v>
      </c>
      <c r="Y2019" s="14"/>
      <c r="Z2019" s="13"/>
      <c r="AA2019"/>
    </row>
    <row r="2020" spans="1:27" x14ac:dyDescent="0.2">
      <c r="A2020" s="12" t="s">
        <v>6180</v>
      </c>
      <c r="B2020" t="s">
        <v>6181</v>
      </c>
      <c r="C2020" t="s">
        <v>6182</v>
      </c>
      <c r="D2020" t="s">
        <v>12</v>
      </c>
      <c r="E2020" t="s">
        <v>13</v>
      </c>
      <c r="F2020">
        <v>12352</v>
      </c>
      <c r="G2020">
        <v>539</v>
      </c>
      <c r="H2020" s="5" t="s">
        <v>22</v>
      </c>
      <c r="I2020" s="5">
        <v>0</v>
      </c>
      <c r="J2020" s="5">
        <v>0</v>
      </c>
      <c r="K2020" t="s">
        <v>11186</v>
      </c>
      <c r="L2020" cm="1">
        <f t="array" ref="L2020">wordCount(K2020)</f>
        <v>12</v>
      </c>
      <c r="M2020">
        <f t="shared" si="62"/>
        <v>72</v>
      </c>
      <c r="N2020">
        <v>0.56000000000000005</v>
      </c>
      <c r="O2020" s="23" cm="1">
        <f t="array" ref="O2020">WordListCount(K2020,keywords!$A$2:$A$31)-WordListCount(K2020,keywords!$B$2:$B$31)</f>
        <v>0</v>
      </c>
      <c r="P2020" s="25">
        <f t="shared" si="63"/>
        <v>0.77086805555555549</v>
      </c>
      <c r="Q2020" s="23">
        <f>SUM($O$2:O2020)</f>
        <v>50</v>
      </c>
      <c r="Y2020" s="14"/>
      <c r="Z2020" s="13"/>
      <c r="AA2020"/>
    </row>
    <row r="2021" spans="1:27" x14ac:dyDescent="0.2">
      <c r="A2021" s="12" t="s">
        <v>6183</v>
      </c>
      <c r="B2021" t="s">
        <v>6184</v>
      </c>
      <c r="C2021" t="s">
        <v>1149</v>
      </c>
      <c r="D2021" t="s">
        <v>597</v>
      </c>
      <c r="E2021" t="s">
        <v>13</v>
      </c>
      <c r="F2021">
        <v>299</v>
      </c>
      <c r="G2021">
        <v>310</v>
      </c>
      <c r="H2021" s="5" t="s">
        <v>22</v>
      </c>
      <c r="I2021" s="5">
        <v>0</v>
      </c>
      <c r="J2021" s="5">
        <v>0</v>
      </c>
      <c r="K2021" t="s">
        <v>9620</v>
      </c>
      <c r="L2021" cm="1">
        <f t="array" ref="L2021">wordCount(K2021)</f>
        <v>18</v>
      </c>
      <c r="M2021">
        <f t="shared" si="62"/>
        <v>104</v>
      </c>
      <c r="N2021">
        <v>1</v>
      </c>
      <c r="O2021" s="23" cm="1">
        <f t="array" ref="O2021">WordListCount(K2021,keywords!$A$2:$A$31)-WordListCount(K2021,keywords!$B$2:$B$31)</f>
        <v>0</v>
      </c>
      <c r="P2021" s="25">
        <f t="shared" si="63"/>
        <v>0.77104166666666663</v>
      </c>
      <c r="Q2021" s="23">
        <f>SUM($O$2:O2021)</f>
        <v>50</v>
      </c>
      <c r="Y2021" s="14"/>
      <c r="Z2021" s="13"/>
      <c r="AA2021"/>
    </row>
    <row r="2022" spans="1:27" x14ac:dyDescent="0.2">
      <c r="A2022" s="12" t="s">
        <v>6185</v>
      </c>
      <c r="B2022" t="s">
        <v>6186</v>
      </c>
      <c r="C2022" t="s">
        <v>6187</v>
      </c>
      <c r="D2022" t="s">
        <v>12</v>
      </c>
      <c r="E2022" t="s">
        <v>13</v>
      </c>
      <c r="F2022">
        <v>173</v>
      </c>
      <c r="G2022">
        <v>1661</v>
      </c>
      <c r="H2022" s="5" t="s">
        <v>22</v>
      </c>
      <c r="I2022" s="5">
        <v>0</v>
      </c>
      <c r="J2022" s="5">
        <v>0</v>
      </c>
      <c r="K2022" t="s">
        <v>11187</v>
      </c>
      <c r="L2022" cm="1">
        <f t="array" ref="L2022">wordCount(K2022)</f>
        <v>14</v>
      </c>
      <c r="M2022">
        <f t="shared" si="62"/>
        <v>61</v>
      </c>
      <c r="N2022">
        <v>0.71875</v>
      </c>
      <c r="O2022" s="23" cm="1">
        <f t="array" ref="O2022">WordListCount(K2022,keywords!$A$2:$A$31)-WordListCount(K2022,keywords!$B$2:$B$31)</f>
        <v>0</v>
      </c>
      <c r="P2022" s="25">
        <f t="shared" si="63"/>
        <v>0.77116898148148139</v>
      </c>
      <c r="Q2022" s="23">
        <f>SUM($O$2:O2022)</f>
        <v>50</v>
      </c>
      <c r="Y2022" s="14"/>
      <c r="Z2022" s="13"/>
      <c r="AA2022"/>
    </row>
    <row r="2023" spans="1:27" x14ac:dyDescent="0.2">
      <c r="A2023" s="12" t="s">
        <v>6188</v>
      </c>
      <c r="B2023" t="s">
        <v>5606</v>
      </c>
      <c r="C2023" t="s">
        <v>6189</v>
      </c>
      <c r="D2023" t="s">
        <v>3303</v>
      </c>
      <c r="E2023" t="s">
        <v>13</v>
      </c>
      <c r="F2023">
        <v>487</v>
      </c>
      <c r="G2023">
        <v>1191</v>
      </c>
      <c r="H2023" s="5" t="s">
        <v>22</v>
      </c>
      <c r="I2023" s="5">
        <v>0</v>
      </c>
      <c r="J2023" s="5">
        <v>0</v>
      </c>
      <c r="K2023" t="s">
        <v>11076</v>
      </c>
      <c r="L2023" cm="1">
        <f t="array" ref="L2023">wordCount(K2023)</f>
        <v>21</v>
      </c>
      <c r="M2023">
        <f t="shared" si="62"/>
        <v>107</v>
      </c>
      <c r="N2023">
        <v>1</v>
      </c>
      <c r="O2023" s="23" cm="1">
        <f t="array" ref="O2023">WordListCount(K2023,keywords!$A$2:$A$31)-WordListCount(K2023,keywords!$B$2:$B$31)</f>
        <v>-1</v>
      </c>
      <c r="P2023" s="25">
        <f t="shared" si="63"/>
        <v>0.77118055555555554</v>
      </c>
      <c r="Q2023" s="23">
        <f>SUM($O$2:O2023)</f>
        <v>49</v>
      </c>
      <c r="Y2023" s="14"/>
      <c r="Z2023" s="13"/>
      <c r="AA2023"/>
    </row>
    <row r="2024" spans="1:27" x14ac:dyDescent="0.2">
      <c r="A2024" s="12" t="s">
        <v>6190</v>
      </c>
      <c r="B2024" t="s">
        <v>6191</v>
      </c>
      <c r="C2024" t="s">
        <v>6192</v>
      </c>
      <c r="D2024" t="s">
        <v>6193</v>
      </c>
      <c r="E2024" t="s">
        <v>13</v>
      </c>
      <c r="F2024">
        <v>323</v>
      </c>
      <c r="G2024">
        <v>526</v>
      </c>
      <c r="H2024" s="5" t="s">
        <v>22</v>
      </c>
      <c r="I2024" s="5">
        <v>0</v>
      </c>
      <c r="J2024" s="5">
        <v>0</v>
      </c>
      <c r="K2024" t="s">
        <v>9621</v>
      </c>
      <c r="L2024" cm="1">
        <f t="array" ref="L2024">wordCount(K2024)</f>
        <v>6</v>
      </c>
      <c r="M2024">
        <f t="shared" si="62"/>
        <v>27</v>
      </c>
      <c r="N2024">
        <v>0.8</v>
      </c>
      <c r="O2024" s="23" cm="1">
        <f t="array" ref="O2024">WordListCount(K2024,keywords!$A$2:$A$31)-WordListCount(K2024,keywords!$B$2:$B$31)</f>
        <v>0</v>
      </c>
      <c r="P2024" s="25">
        <f t="shared" si="63"/>
        <v>0.77129629629629637</v>
      </c>
      <c r="Q2024" s="23">
        <f>SUM($O$2:O2024)</f>
        <v>49</v>
      </c>
      <c r="Y2024" s="14"/>
      <c r="Z2024" s="13"/>
      <c r="AA2024"/>
    </row>
    <row r="2025" spans="1:27" x14ac:dyDescent="0.2">
      <c r="A2025" s="12" t="s">
        <v>6194</v>
      </c>
      <c r="B2025" t="s">
        <v>6195</v>
      </c>
      <c r="C2025" t="s">
        <v>6196</v>
      </c>
      <c r="D2025" t="s">
        <v>6197</v>
      </c>
      <c r="E2025" t="s">
        <v>13</v>
      </c>
      <c r="F2025">
        <v>8530</v>
      </c>
      <c r="G2025">
        <v>3284</v>
      </c>
      <c r="H2025" s="5" t="s">
        <v>22</v>
      </c>
      <c r="I2025" s="5">
        <v>0</v>
      </c>
      <c r="J2025" s="5">
        <v>0</v>
      </c>
      <c r="K2025" t="s">
        <v>11188</v>
      </c>
      <c r="L2025" cm="1">
        <f t="array" ref="L2025">wordCount(K2025)</f>
        <v>10</v>
      </c>
      <c r="M2025">
        <f t="shared" si="62"/>
        <v>47</v>
      </c>
      <c r="N2025">
        <v>0.59090909090909094</v>
      </c>
      <c r="O2025" s="23" cm="1">
        <f t="array" ref="O2025">WordListCount(K2025,keywords!$A$2:$A$31)-WordListCount(K2025,keywords!$B$2:$B$31)</f>
        <v>0</v>
      </c>
      <c r="P2025" s="25">
        <f t="shared" si="63"/>
        <v>0.77131944444444445</v>
      </c>
      <c r="Q2025" s="23">
        <f>SUM($O$2:O2025)</f>
        <v>49</v>
      </c>
      <c r="Y2025" s="14"/>
      <c r="Z2025" s="13"/>
      <c r="AA2025"/>
    </row>
    <row r="2026" spans="1:27" x14ac:dyDescent="0.2">
      <c r="A2026" s="12" t="s">
        <v>6198</v>
      </c>
      <c r="B2026" t="s">
        <v>6199</v>
      </c>
      <c r="C2026" t="s">
        <v>6200</v>
      </c>
      <c r="D2026" t="s">
        <v>12</v>
      </c>
      <c r="E2026" t="s">
        <v>13</v>
      </c>
      <c r="F2026">
        <v>6</v>
      </c>
      <c r="G2026">
        <v>51</v>
      </c>
      <c r="H2026" s="5" t="s">
        <v>22</v>
      </c>
      <c r="I2026" s="5">
        <v>0</v>
      </c>
      <c r="J2026" s="5">
        <v>0</v>
      </c>
      <c r="K2026" t="s">
        <v>11189</v>
      </c>
      <c r="L2026" cm="1">
        <f t="array" ref="L2026">wordCount(K2026)</f>
        <v>3</v>
      </c>
      <c r="M2026">
        <f t="shared" si="62"/>
        <v>12</v>
      </c>
      <c r="N2026">
        <v>0.76923076923076927</v>
      </c>
      <c r="O2026" s="23" cm="1">
        <f t="array" ref="O2026">WordListCount(K2026,keywords!$A$2:$A$31)-WordListCount(K2026,keywords!$B$2:$B$31)</f>
        <v>0</v>
      </c>
      <c r="P2026" s="25">
        <f t="shared" si="63"/>
        <v>0.77137731481481486</v>
      </c>
      <c r="Q2026" s="23">
        <f>SUM($O$2:O2026)</f>
        <v>49</v>
      </c>
      <c r="Y2026" s="14"/>
      <c r="Z2026" s="13"/>
      <c r="AA2026"/>
    </row>
    <row r="2027" spans="1:27" x14ac:dyDescent="0.2">
      <c r="A2027" s="12" t="s">
        <v>6201</v>
      </c>
      <c r="B2027" t="s">
        <v>6202</v>
      </c>
      <c r="C2027" t="s">
        <v>3672</v>
      </c>
      <c r="D2027" t="s">
        <v>12</v>
      </c>
      <c r="E2027" t="s">
        <v>13</v>
      </c>
      <c r="F2027">
        <v>13</v>
      </c>
      <c r="G2027">
        <v>126</v>
      </c>
      <c r="H2027" s="5" t="s">
        <v>22</v>
      </c>
      <c r="I2027" s="5">
        <v>0</v>
      </c>
      <c r="J2027" s="5">
        <v>0</v>
      </c>
      <c r="K2027" t="s">
        <v>11190</v>
      </c>
      <c r="L2027" cm="1">
        <f t="array" ref="L2027">wordCount(K2027)</f>
        <v>19</v>
      </c>
      <c r="M2027">
        <f t="shared" si="62"/>
        <v>88</v>
      </c>
      <c r="N2027">
        <v>0.53846153846153844</v>
      </c>
      <c r="O2027" s="23" cm="1">
        <f t="array" ref="O2027">WordListCount(K2027,keywords!$A$2:$A$31)-WordListCount(K2027,keywords!$B$2:$B$31)</f>
        <v>0</v>
      </c>
      <c r="P2027" s="25">
        <f t="shared" si="63"/>
        <v>0.7715277777777777</v>
      </c>
      <c r="Q2027" s="23">
        <f>SUM($O$2:O2027)</f>
        <v>49</v>
      </c>
      <c r="Y2027" s="14"/>
      <c r="Z2027" s="13"/>
      <c r="AA2027"/>
    </row>
    <row r="2028" spans="1:27" x14ac:dyDescent="0.2">
      <c r="A2028" s="12" t="s">
        <v>6203</v>
      </c>
      <c r="B2028" t="s">
        <v>6204</v>
      </c>
      <c r="C2028" t="s">
        <v>318</v>
      </c>
      <c r="D2028" t="s">
        <v>319</v>
      </c>
      <c r="E2028" t="s">
        <v>13</v>
      </c>
      <c r="F2028">
        <v>51</v>
      </c>
      <c r="G2028">
        <v>62</v>
      </c>
      <c r="H2028" s="5" t="s">
        <v>22</v>
      </c>
      <c r="I2028" s="5">
        <v>0</v>
      </c>
      <c r="J2028" s="5">
        <v>0</v>
      </c>
      <c r="K2028" t="s">
        <v>11191</v>
      </c>
      <c r="L2028" cm="1">
        <f t="array" ref="L2028">wordCount(K2028)</f>
        <v>14</v>
      </c>
      <c r="M2028">
        <f t="shared" si="62"/>
        <v>75</v>
      </c>
      <c r="N2028">
        <v>0.82352941176470584</v>
      </c>
      <c r="O2028" s="23" cm="1">
        <f t="array" ref="O2028">WordListCount(K2028,keywords!$A$2:$A$31)-WordListCount(K2028,keywords!$B$2:$B$31)</f>
        <v>0</v>
      </c>
      <c r="P2028" s="25">
        <f t="shared" si="63"/>
        <v>0.77166666666666661</v>
      </c>
      <c r="Q2028" s="23">
        <f>SUM($O$2:O2028)</f>
        <v>49</v>
      </c>
      <c r="Y2028" s="14"/>
      <c r="Z2028" s="13"/>
      <c r="AA2028"/>
    </row>
    <row r="2029" spans="1:27" x14ac:dyDescent="0.2">
      <c r="A2029" s="12" t="s">
        <v>6205</v>
      </c>
      <c r="B2029" t="s">
        <v>6206</v>
      </c>
      <c r="C2029" t="s">
        <v>6207</v>
      </c>
      <c r="D2029" t="s">
        <v>6208</v>
      </c>
      <c r="E2029" t="s">
        <v>13</v>
      </c>
      <c r="F2029">
        <v>99</v>
      </c>
      <c r="G2029">
        <v>141</v>
      </c>
      <c r="H2029" s="5" t="s">
        <v>22</v>
      </c>
      <c r="I2029" s="5">
        <v>0</v>
      </c>
      <c r="J2029" s="5">
        <v>0</v>
      </c>
      <c r="K2029" t="s">
        <v>9622</v>
      </c>
      <c r="L2029" cm="1">
        <f t="array" ref="L2029">wordCount(K2029)</f>
        <v>11</v>
      </c>
      <c r="M2029">
        <f t="shared" si="62"/>
        <v>46</v>
      </c>
      <c r="N2029">
        <v>0.72</v>
      </c>
      <c r="O2029" s="23" cm="1">
        <f t="array" ref="O2029">WordListCount(K2029,keywords!$A$2:$A$31)-WordListCount(K2029,keywords!$B$2:$B$31)</f>
        <v>0</v>
      </c>
      <c r="P2029" s="25">
        <f t="shared" si="63"/>
        <v>0.77190972222222232</v>
      </c>
      <c r="Q2029" s="23">
        <f>SUM($O$2:O2029)</f>
        <v>49</v>
      </c>
      <c r="Y2029" s="14"/>
      <c r="Z2029" s="13"/>
      <c r="AA2029"/>
    </row>
    <row r="2030" spans="1:27" x14ac:dyDescent="0.2">
      <c r="A2030" s="12" t="s">
        <v>6209</v>
      </c>
      <c r="B2030" t="s">
        <v>6210</v>
      </c>
      <c r="C2030" t="s">
        <v>6211</v>
      </c>
      <c r="D2030" t="s">
        <v>6212</v>
      </c>
      <c r="E2030" t="s">
        <v>13</v>
      </c>
      <c r="F2030">
        <v>374</v>
      </c>
      <c r="G2030">
        <v>410</v>
      </c>
      <c r="H2030" s="5" t="s">
        <v>22</v>
      </c>
      <c r="I2030" s="5">
        <v>0</v>
      </c>
      <c r="J2030" s="5">
        <v>0</v>
      </c>
      <c r="K2030" t="s">
        <v>11192</v>
      </c>
      <c r="L2030" cm="1">
        <f t="array" ref="L2030">wordCount(K2030)</f>
        <v>10</v>
      </c>
      <c r="M2030">
        <f t="shared" si="62"/>
        <v>58</v>
      </c>
      <c r="N2030">
        <v>0.41176470588235292</v>
      </c>
      <c r="O2030" s="23" cm="1">
        <f t="array" ref="O2030">WordListCount(K2030,keywords!$A$2:$A$31)-WordListCount(K2030,keywords!$B$2:$B$31)</f>
        <v>0</v>
      </c>
      <c r="P2030" s="25">
        <f t="shared" si="63"/>
        <v>0.77204861111111101</v>
      </c>
      <c r="Q2030" s="23">
        <f>SUM($O$2:O2030)</f>
        <v>49</v>
      </c>
      <c r="Y2030" s="14"/>
      <c r="Z2030" s="13"/>
      <c r="AA2030"/>
    </row>
    <row r="2031" spans="1:27" x14ac:dyDescent="0.2">
      <c r="A2031" s="12" t="s">
        <v>6213</v>
      </c>
      <c r="B2031" t="s">
        <v>6214</v>
      </c>
      <c r="C2031" t="s">
        <v>496</v>
      </c>
      <c r="D2031" t="s">
        <v>497</v>
      </c>
      <c r="E2031" t="s">
        <v>13</v>
      </c>
      <c r="F2031">
        <v>366</v>
      </c>
      <c r="G2031">
        <v>225</v>
      </c>
      <c r="H2031" s="5" t="s">
        <v>22</v>
      </c>
      <c r="I2031" s="5">
        <v>0</v>
      </c>
      <c r="J2031" s="5">
        <v>0</v>
      </c>
      <c r="K2031" t="s">
        <v>11193</v>
      </c>
      <c r="L2031" cm="1">
        <f t="array" ref="L2031">wordCount(K2031)</f>
        <v>24</v>
      </c>
      <c r="M2031">
        <f t="shared" si="62"/>
        <v>102</v>
      </c>
      <c r="N2031">
        <v>0.13636363636363635</v>
      </c>
      <c r="O2031" s="23" cm="1">
        <f t="array" ref="O2031">WordListCount(K2031,keywords!$A$2:$A$31)-WordListCount(K2031,keywords!$B$2:$B$31)</f>
        <v>0</v>
      </c>
      <c r="P2031" s="25">
        <f t="shared" si="63"/>
        <v>0.77208333333333334</v>
      </c>
      <c r="Q2031" s="23">
        <f>SUM($O$2:O2031)</f>
        <v>49</v>
      </c>
      <c r="Y2031" s="14"/>
      <c r="Z2031" s="13"/>
      <c r="AA2031"/>
    </row>
    <row r="2032" spans="1:27" x14ac:dyDescent="0.2">
      <c r="A2032" s="12" t="s">
        <v>6215</v>
      </c>
      <c r="B2032" t="s">
        <v>6216</v>
      </c>
      <c r="C2032" t="s">
        <v>6217</v>
      </c>
      <c r="D2032" t="s">
        <v>6218</v>
      </c>
      <c r="E2032" t="s">
        <v>13</v>
      </c>
      <c r="F2032">
        <v>6469</v>
      </c>
      <c r="G2032">
        <v>6318</v>
      </c>
      <c r="H2032" s="5" t="s">
        <v>22</v>
      </c>
      <c r="I2032" s="5">
        <v>0</v>
      </c>
      <c r="J2032" s="5">
        <v>0</v>
      </c>
      <c r="K2032" t="s">
        <v>11194</v>
      </c>
      <c r="L2032" cm="1">
        <f t="array" ref="L2032">wordCount(K2032)</f>
        <v>18</v>
      </c>
      <c r="M2032">
        <f t="shared" si="62"/>
        <v>86</v>
      </c>
      <c r="N2032">
        <v>0.66666666666666663</v>
      </c>
      <c r="O2032" s="23" cm="1">
        <f t="array" ref="O2032">WordListCount(K2032,keywords!$A$2:$A$31)-WordListCount(K2032,keywords!$B$2:$B$31)</f>
        <v>2</v>
      </c>
      <c r="P2032" s="25">
        <f t="shared" si="63"/>
        <v>0.77230324074074075</v>
      </c>
      <c r="Q2032" s="23">
        <f>SUM($O$2:O2032)</f>
        <v>51</v>
      </c>
      <c r="Y2032" s="14"/>
      <c r="Z2032" s="13"/>
      <c r="AA2032"/>
    </row>
    <row r="2033" spans="1:27" x14ac:dyDescent="0.2">
      <c r="A2033" s="12" t="s">
        <v>6219</v>
      </c>
      <c r="B2033" t="s">
        <v>6220</v>
      </c>
      <c r="C2033" t="s">
        <v>6221</v>
      </c>
      <c r="D2033" t="s">
        <v>12</v>
      </c>
      <c r="E2033" t="s">
        <v>13</v>
      </c>
      <c r="F2033">
        <v>42</v>
      </c>
      <c r="G2033">
        <v>82</v>
      </c>
      <c r="H2033" s="5" t="s">
        <v>86</v>
      </c>
      <c r="I2033" s="5">
        <v>0</v>
      </c>
      <c r="J2033" s="5">
        <v>0</v>
      </c>
      <c r="K2033" t="s">
        <v>11195</v>
      </c>
      <c r="L2033" cm="1">
        <f t="array" ref="L2033">wordCount(K2033)</f>
        <v>30</v>
      </c>
      <c r="M2033">
        <f t="shared" si="62"/>
        <v>124</v>
      </c>
      <c r="N2033">
        <v>0.5</v>
      </c>
      <c r="O2033" s="23" cm="1">
        <f t="array" ref="O2033">WordListCount(K2033,keywords!$A$2:$A$31)-WordListCount(K2033,keywords!$B$2:$B$31)</f>
        <v>0</v>
      </c>
      <c r="P2033" s="25">
        <f t="shared" si="63"/>
        <v>0.77238425925925924</v>
      </c>
      <c r="Q2033" s="23">
        <f>SUM($O$2:O2033)</f>
        <v>51</v>
      </c>
      <c r="Y2033" s="14"/>
      <c r="Z2033" s="13"/>
      <c r="AA2033"/>
    </row>
    <row r="2034" spans="1:27" x14ac:dyDescent="0.2">
      <c r="A2034" s="12" t="s">
        <v>6222</v>
      </c>
      <c r="B2034" t="s">
        <v>6223</v>
      </c>
      <c r="C2034" t="s">
        <v>6224</v>
      </c>
      <c r="D2034" t="s">
        <v>2002</v>
      </c>
      <c r="E2034" t="s">
        <v>13</v>
      </c>
      <c r="F2034">
        <v>239</v>
      </c>
      <c r="G2034">
        <v>226</v>
      </c>
      <c r="H2034" s="5" t="s">
        <v>22</v>
      </c>
      <c r="I2034" s="5">
        <v>0</v>
      </c>
      <c r="J2034" s="5">
        <v>0</v>
      </c>
      <c r="K2034" t="s">
        <v>11196</v>
      </c>
      <c r="L2034" cm="1">
        <f t="array" ref="L2034">wordCount(K2034)</f>
        <v>16</v>
      </c>
      <c r="M2034">
        <f t="shared" si="62"/>
        <v>73</v>
      </c>
      <c r="N2034">
        <v>0.36842105263157893</v>
      </c>
      <c r="O2034" s="23" cm="1">
        <f t="array" ref="O2034">WordListCount(K2034,keywords!$A$2:$A$31)-WordListCount(K2034,keywords!$B$2:$B$31)</f>
        <v>0</v>
      </c>
      <c r="P2034" s="25">
        <f t="shared" si="63"/>
        <v>0.77252314814814815</v>
      </c>
      <c r="Q2034" s="23">
        <f>SUM($O$2:O2034)</f>
        <v>51</v>
      </c>
      <c r="Y2034" s="14"/>
      <c r="Z2034" s="13"/>
      <c r="AA2034"/>
    </row>
    <row r="2035" spans="1:27" x14ac:dyDescent="0.2">
      <c r="A2035" s="12" t="s">
        <v>6225</v>
      </c>
      <c r="B2035" t="s">
        <v>6226</v>
      </c>
      <c r="C2035" t="s">
        <v>6227</v>
      </c>
      <c r="D2035" t="s">
        <v>743</v>
      </c>
      <c r="E2035" t="s">
        <v>13</v>
      </c>
      <c r="F2035">
        <v>4</v>
      </c>
      <c r="G2035">
        <v>23</v>
      </c>
      <c r="H2035" s="5" t="s">
        <v>22</v>
      </c>
      <c r="I2035" s="5">
        <v>0</v>
      </c>
      <c r="J2035" s="5">
        <v>0</v>
      </c>
      <c r="K2035" t="s">
        <v>11197</v>
      </c>
      <c r="L2035" cm="1">
        <f t="array" ref="L2035">wordCount(K2035)</f>
        <v>22</v>
      </c>
      <c r="M2035">
        <f t="shared" si="62"/>
        <v>114</v>
      </c>
      <c r="N2035">
        <v>0.21739130434782608</v>
      </c>
      <c r="O2035" s="23" cm="1">
        <f t="array" ref="O2035">WordListCount(K2035,keywords!$A$2:$A$31)-WordListCount(K2035,keywords!$B$2:$B$31)</f>
        <v>0</v>
      </c>
      <c r="P2035" s="25">
        <f t="shared" si="63"/>
        <v>0.7726736111111111</v>
      </c>
      <c r="Q2035" s="23">
        <f>SUM($O$2:O2035)</f>
        <v>51</v>
      </c>
      <c r="Y2035" s="14"/>
      <c r="Z2035" s="13"/>
      <c r="AA2035"/>
    </row>
    <row r="2036" spans="1:27" x14ac:dyDescent="0.2">
      <c r="A2036" s="12" t="s">
        <v>6228</v>
      </c>
      <c r="B2036" t="s">
        <v>6229</v>
      </c>
      <c r="C2036" t="s">
        <v>6227</v>
      </c>
      <c r="D2036" t="s">
        <v>743</v>
      </c>
      <c r="E2036" t="s">
        <v>13</v>
      </c>
      <c r="F2036">
        <v>4</v>
      </c>
      <c r="G2036">
        <v>23</v>
      </c>
      <c r="H2036" s="5" t="s">
        <v>22</v>
      </c>
      <c r="I2036" s="5">
        <v>0</v>
      </c>
      <c r="J2036" s="5">
        <v>0</v>
      </c>
      <c r="K2036" t="s">
        <v>11197</v>
      </c>
      <c r="L2036" cm="1">
        <f t="array" ref="L2036">wordCount(K2036)</f>
        <v>22</v>
      </c>
      <c r="M2036">
        <f t="shared" si="62"/>
        <v>114</v>
      </c>
      <c r="N2036">
        <v>0.95</v>
      </c>
      <c r="O2036" s="23" cm="1">
        <f t="array" ref="O2036">WordListCount(K2036,keywords!$A$2:$A$31)-WordListCount(K2036,keywords!$B$2:$B$31)</f>
        <v>0</v>
      </c>
      <c r="P2036" s="25">
        <f t="shared" si="63"/>
        <v>0.77306712962962953</v>
      </c>
      <c r="Q2036" s="23">
        <f>SUM($O$2:O2036)</f>
        <v>51</v>
      </c>
      <c r="Y2036" s="14"/>
      <c r="Z2036" s="13"/>
      <c r="AA2036"/>
    </row>
    <row r="2037" spans="1:27" x14ac:dyDescent="0.2">
      <c r="A2037" s="12" t="s">
        <v>6230</v>
      </c>
      <c r="B2037" t="s">
        <v>6231</v>
      </c>
      <c r="C2037" t="s">
        <v>6232</v>
      </c>
      <c r="D2037" t="s">
        <v>12</v>
      </c>
      <c r="E2037" t="s">
        <v>13</v>
      </c>
      <c r="F2037">
        <v>517</v>
      </c>
      <c r="G2037">
        <v>411</v>
      </c>
      <c r="H2037" s="5" t="s">
        <v>22</v>
      </c>
      <c r="I2037" s="5">
        <v>0</v>
      </c>
      <c r="J2037" s="5">
        <v>0</v>
      </c>
      <c r="K2037" t="s">
        <v>9623</v>
      </c>
      <c r="L2037" cm="1">
        <f t="array" ref="L2037">wordCount(K2037)</f>
        <v>14</v>
      </c>
      <c r="M2037">
        <f t="shared" si="62"/>
        <v>78</v>
      </c>
      <c r="N2037">
        <v>0.40909090909090912</v>
      </c>
      <c r="O2037" s="23" cm="1">
        <f t="array" ref="O2037">WordListCount(K2037,keywords!$A$2:$A$31)-WordListCount(K2037,keywords!$B$2:$B$31)</f>
        <v>0</v>
      </c>
      <c r="P2037" s="25">
        <f t="shared" si="63"/>
        <v>0.7731365740740741</v>
      </c>
      <c r="Q2037" s="23">
        <f>SUM($O$2:O2037)</f>
        <v>51</v>
      </c>
      <c r="Y2037" s="14"/>
      <c r="Z2037" s="13"/>
      <c r="AA2037"/>
    </row>
    <row r="2038" spans="1:27" x14ac:dyDescent="0.2">
      <c r="A2038" s="12" t="s">
        <v>6233</v>
      </c>
      <c r="B2038" t="s">
        <v>6234</v>
      </c>
      <c r="C2038" t="s">
        <v>6235</v>
      </c>
      <c r="D2038" t="s">
        <v>12</v>
      </c>
      <c r="E2038" t="s">
        <v>13</v>
      </c>
      <c r="F2038">
        <v>3691</v>
      </c>
      <c r="G2038">
        <v>600</v>
      </c>
      <c r="H2038" s="5" t="s">
        <v>14</v>
      </c>
      <c r="I2038" s="5">
        <v>0</v>
      </c>
      <c r="J2038" s="5">
        <v>0</v>
      </c>
      <c r="K2038" t="s">
        <v>11198</v>
      </c>
      <c r="L2038" cm="1">
        <f t="array" ref="L2038">wordCount(K2038)</f>
        <v>17</v>
      </c>
      <c r="M2038">
        <f t="shared" si="62"/>
        <v>82</v>
      </c>
      <c r="N2038">
        <v>0.5</v>
      </c>
      <c r="O2038" s="23" cm="1">
        <f t="array" ref="O2038">WordListCount(K2038,keywords!$A$2:$A$31)-WordListCount(K2038,keywords!$B$2:$B$31)</f>
        <v>0</v>
      </c>
      <c r="P2038" s="25">
        <f t="shared" si="63"/>
        <v>0.77317129629629633</v>
      </c>
      <c r="Q2038" s="23">
        <f>SUM($O$2:O2038)</f>
        <v>51</v>
      </c>
      <c r="Y2038" s="14"/>
      <c r="Z2038" s="13"/>
      <c r="AA2038"/>
    </row>
    <row r="2039" spans="1:27" x14ac:dyDescent="0.2">
      <c r="A2039" s="12" t="s">
        <v>6236</v>
      </c>
      <c r="B2039" t="s">
        <v>6237</v>
      </c>
      <c r="C2039" t="s">
        <v>6238</v>
      </c>
      <c r="D2039" t="s">
        <v>12</v>
      </c>
      <c r="E2039" t="s">
        <v>13</v>
      </c>
      <c r="F2039">
        <v>403</v>
      </c>
      <c r="G2039">
        <v>746</v>
      </c>
      <c r="H2039" s="5" t="s">
        <v>22</v>
      </c>
      <c r="I2039" s="5">
        <v>0</v>
      </c>
      <c r="J2039" s="5">
        <v>0</v>
      </c>
      <c r="K2039" t="s">
        <v>9624</v>
      </c>
      <c r="L2039" cm="1">
        <f t="array" ref="L2039">wordCount(K2039)</f>
        <v>12</v>
      </c>
      <c r="M2039">
        <f t="shared" si="62"/>
        <v>64</v>
      </c>
      <c r="N2039">
        <v>0.63636363636363635</v>
      </c>
      <c r="O2039" s="23" cm="1">
        <f t="array" ref="O2039">WordListCount(K2039,keywords!$A$2:$A$31)-WordListCount(K2039,keywords!$B$2:$B$31)</f>
        <v>0</v>
      </c>
      <c r="P2039" s="25">
        <f t="shared" si="63"/>
        <v>0.77336805555555566</v>
      </c>
      <c r="Q2039" s="23">
        <f>SUM($O$2:O2039)</f>
        <v>51</v>
      </c>
      <c r="Y2039" s="14"/>
      <c r="Z2039" s="13"/>
      <c r="AA2039"/>
    </row>
    <row r="2040" spans="1:27" x14ac:dyDescent="0.2">
      <c r="A2040" s="12" t="s">
        <v>6239</v>
      </c>
      <c r="B2040" t="s">
        <v>6240</v>
      </c>
      <c r="C2040" t="s">
        <v>6241</v>
      </c>
      <c r="D2040" t="s">
        <v>12</v>
      </c>
      <c r="E2040" t="s">
        <v>13</v>
      </c>
      <c r="F2040">
        <v>103</v>
      </c>
      <c r="G2040">
        <v>581</v>
      </c>
      <c r="H2040" s="5" t="s">
        <v>22</v>
      </c>
      <c r="I2040" s="5">
        <v>0</v>
      </c>
      <c r="J2040" s="5">
        <v>0</v>
      </c>
      <c r="K2040" t="s">
        <v>11199</v>
      </c>
      <c r="L2040" cm="1">
        <f t="array" ref="L2040">wordCount(K2040)</f>
        <v>14</v>
      </c>
      <c r="M2040">
        <f t="shared" si="62"/>
        <v>76</v>
      </c>
      <c r="N2040">
        <v>0.63636363636363635</v>
      </c>
      <c r="O2040" s="23" cm="1">
        <f t="array" ref="O2040">WordListCount(K2040,keywords!$A$2:$A$31)-WordListCount(K2040,keywords!$B$2:$B$31)</f>
        <v>2</v>
      </c>
      <c r="P2040" s="25">
        <f t="shared" si="63"/>
        <v>0.77348379629629627</v>
      </c>
      <c r="Q2040" s="23">
        <f>SUM($O$2:O2040)</f>
        <v>53</v>
      </c>
      <c r="Y2040" s="14"/>
      <c r="Z2040" s="13"/>
      <c r="AA2040"/>
    </row>
    <row r="2041" spans="1:27" x14ac:dyDescent="0.2">
      <c r="A2041" s="12" t="s">
        <v>6242</v>
      </c>
      <c r="B2041" t="s">
        <v>6243</v>
      </c>
      <c r="C2041" t="s">
        <v>6244</v>
      </c>
      <c r="D2041" t="s">
        <v>6245</v>
      </c>
      <c r="E2041" t="s">
        <v>13</v>
      </c>
      <c r="F2041">
        <v>377</v>
      </c>
      <c r="G2041">
        <v>1119</v>
      </c>
      <c r="H2041" s="5" t="s">
        <v>22</v>
      </c>
      <c r="I2041" s="5">
        <v>0</v>
      </c>
      <c r="J2041" s="5">
        <v>0</v>
      </c>
      <c r="K2041" t="s">
        <v>9625</v>
      </c>
      <c r="L2041" cm="1">
        <f t="array" ref="L2041">wordCount(K2041)</f>
        <v>8</v>
      </c>
      <c r="M2041">
        <f t="shared" si="62"/>
        <v>45</v>
      </c>
      <c r="N2041">
        <v>0.7</v>
      </c>
      <c r="O2041" s="23" cm="1">
        <f t="array" ref="O2041">WordListCount(K2041,keywords!$A$2:$A$31)-WordListCount(K2041,keywords!$B$2:$B$31)</f>
        <v>0</v>
      </c>
      <c r="P2041" s="25">
        <f t="shared" si="63"/>
        <v>0.77350694444444434</v>
      </c>
      <c r="Q2041" s="23">
        <f>SUM($O$2:O2041)</f>
        <v>53</v>
      </c>
      <c r="Y2041" s="14"/>
      <c r="Z2041" s="13"/>
      <c r="AA2041"/>
    </row>
    <row r="2042" spans="1:27" x14ac:dyDescent="0.2">
      <c r="A2042" s="12" t="s">
        <v>6246</v>
      </c>
      <c r="B2042" t="s">
        <v>6247</v>
      </c>
      <c r="C2042" t="s">
        <v>6248</v>
      </c>
      <c r="D2042" t="s">
        <v>990</v>
      </c>
      <c r="E2042" t="s">
        <v>13</v>
      </c>
      <c r="F2042">
        <v>167</v>
      </c>
      <c r="G2042">
        <v>62</v>
      </c>
      <c r="H2042" s="5" t="s">
        <v>22</v>
      </c>
      <c r="I2042" s="5">
        <v>0</v>
      </c>
      <c r="J2042" s="5">
        <v>0</v>
      </c>
      <c r="K2042" t="s">
        <v>9626</v>
      </c>
      <c r="L2042" cm="1">
        <f t="array" ref="L2042">wordCount(K2042)</f>
        <v>8</v>
      </c>
      <c r="M2042">
        <f t="shared" si="62"/>
        <v>43</v>
      </c>
      <c r="N2042">
        <v>0.69230769230769229</v>
      </c>
      <c r="O2042" s="23" cm="1">
        <f t="array" ref="O2042">WordListCount(K2042,keywords!$A$2:$A$31)-WordListCount(K2042,keywords!$B$2:$B$31)</f>
        <v>0</v>
      </c>
      <c r="P2042" s="25">
        <f t="shared" si="63"/>
        <v>0.7736574074074074</v>
      </c>
      <c r="Q2042" s="23">
        <f>SUM($O$2:O2042)</f>
        <v>53</v>
      </c>
      <c r="Y2042" s="14"/>
      <c r="Z2042" s="13"/>
      <c r="AA2042"/>
    </row>
    <row r="2043" spans="1:27" x14ac:dyDescent="0.2">
      <c r="A2043" s="12" t="s">
        <v>6249</v>
      </c>
      <c r="B2043" t="s">
        <v>6250</v>
      </c>
      <c r="C2043" t="s">
        <v>6251</v>
      </c>
      <c r="D2043" t="s">
        <v>12</v>
      </c>
      <c r="E2043" t="s">
        <v>13</v>
      </c>
      <c r="F2043">
        <v>474</v>
      </c>
      <c r="G2043">
        <v>913</v>
      </c>
      <c r="H2043" s="5" t="s">
        <v>22</v>
      </c>
      <c r="I2043" s="5">
        <v>0</v>
      </c>
      <c r="J2043" s="5">
        <v>0</v>
      </c>
      <c r="K2043" t="s">
        <v>11200</v>
      </c>
      <c r="L2043" cm="1">
        <f t="array" ref="L2043">wordCount(K2043)</f>
        <v>20</v>
      </c>
      <c r="M2043">
        <f t="shared" si="62"/>
        <v>96</v>
      </c>
      <c r="N2043">
        <v>0.43478260869565216</v>
      </c>
      <c r="O2043" s="23" cm="1">
        <f t="array" ref="O2043">WordListCount(K2043,keywords!$A$2:$A$31)-WordListCount(K2043,keywords!$B$2:$B$31)</f>
        <v>0</v>
      </c>
      <c r="P2043" s="25">
        <f t="shared" si="63"/>
        <v>0.77375000000000005</v>
      </c>
      <c r="Q2043" s="23">
        <f>SUM($O$2:O2043)</f>
        <v>53</v>
      </c>
      <c r="Y2043" s="14"/>
      <c r="Z2043" s="13"/>
      <c r="AA2043"/>
    </row>
    <row r="2044" spans="1:27" x14ac:dyDescent="0.2">
      <c r="A2044" s="12" t="s">
        <v>6252</v>
      </c>
      <c r="B2044" t="s">
        <v>6253</v>
      </c>
      <c r="C2044" t="s">
        <v>6254</v>
      </c>
      <c r="D2044" t="s">
        <v>12</v>
      </c>
      <c r="E2044" t="s">
        <v>13</v>
      </c>
      <c r="F2044">
        <v>36</v>
      </c>
      <c r="G2044">
        <v>131</v>
      </c>
      <c r="H2044" s="5" t="s">
        <v>22</v>
      </c>
      <c r="I2044" s="5">
        <v>0</v>
      </c>
      <c r="J2044" s="5">
        <v>0</v>
      </c>
      <c r="K2044" t="s">
        <v>9627</v>
      </c>
      <c r="L2044" cm="1">
        <f t="array" ref="L2044">wordCount(K2044)</f>
        <v>15</v>
      </c>
      <c r="M2044">
        <f t="shared" si="62"/>
        <v>98</v>
      </c>
      <c r="N2044">
        <v>0.125</v>
      </c>
      <c r="O2044" s="23" cm="1">
        <f t="array" ref="O2044">WordListCount(K2044,keywords!$A$2:$A$31)-WordListCount(K2044,keywords!$B$2:$B$31)</f>
        <v>0</v>
      </c>
      <c r="P2044" s="25">
        <f t="shared" si="63"/>
        <v>0.77399305555555553</v>
      </c>
      <c r="Q2044" s="23">
        <f>SUM($O$2:O2044)</f>
        <v>53</v>
      </c>
      <c r="Y2044" s="14"/>
      <c r="Z2044" s="13"/>
      <c r="AA2044"/>
    </row>
    <row r="2045" spans="1:27" x14ac:dyDescent="0.2">
      <c r="A2045" s="12" t="s">
        <v>6255</v>
      </c>
      <c r="B2045" t="s">
        <v>6256</v>
      </c>
      <c r="C2045" t="s">
        <v>6257</v>
      </c>
      <c r="D2045" t="s">
        <v>2994</v>
      </c>
      <c r="E2045" t="s">
        <v>13</v>
      </c>
      <c r="F2045">
        <v>5788</v>
      </c>
      <c r="G2045">
        <v>6216</v>
      </c>
      <c r="H2045" s="5" t="s">
        <v>22</v>
      </c>
      <c r="I2045" s="5">
        <v>0</v>
      </c>
      <c r="J2045" s="5">
        <v>0</v>
      </c>
      <c r="K2045" t="s">
        <v>9628</v>
      </c>
      <c r="L2045" cm="1">
        <f t="array" ref="L2045">wordCount(K2045)</f>
        <v>10</v>
      </c>
      <c r="M2045">
        <f t="shared" si="62"/>
        <v>56</v>
      </c>
      <c r="N2045">
        <v>0.58823529411764708</v>
      </c>
      <c r="O2045" s="23" cm="1">
        <f t="array" ref="O2045">WordListCount(K2045,keywords!$A$2:$A$31)-WordListCount(K2045,keywords!$B$2:$B$31)</f>
        <v>0</v>
      </c>
      <c r="P2045" s="25">
        <f t="shared" si="63"/>
        <v>0.7745023148148148</v>
      </c>
      <c r="Q2045" s="23">
        <f>SUM($O$2:O2045)</f>
        <v>53</v>
      </c>
      <c r="Y2045" s="14"/>
      <c r="Z2045" s="13"/>
      <c r="AA2045"/>
    </row>
    <row r="2046" spans="1:27" x14ac:dyDescent="0.2">
      <c r="A2046" s="12" t="s">
        <v>6258</v>
      </c>
      <c r="B2046" t="s">
        <v>6259</v>
      </c>
      <c r="C2046" t="s">
        <v>6260</v>
      </c>
      <c r="D2046" t="s">
        <v>6261</v>
      </c>
      <c r="E2046" t="s">
        <v>13</v>
      </c>
      <c r="F2046">
        <v>72</v>
      </c>
      <c r="G2046">
        <v>366</v>
      </c>
      <c r="H2046" s="5" t="s">
        <v>22</v>
      </c>
      <c r="I2046" s="5">
        <v>0</v>
      </c>
      <c r="J2046" s="5">
        <v>0</v>
      </c>
      <c r="K2046" t="s">
        <v>11201</v>
      </c>
      <c r="L2046" cm="1">
        <f t="array" ref="L2046">wordCount(K2046)</f>
        <v>9</v>
      </c>
      <c r="M2046">
        <f t="shared" si="62"/>
        <v>44</v>
      </c>
      <c r="N2046">
        <v>0.4</v>
      </c>
      <c r="O2046" s="23" cm="1">
        <f t="array" ref="O2046">WordListCount(K2046,keywords!$A$2:$A$31)-WordListCount(K2046,keywords!$B$2:$B$31)</f>
        <v>0</v>
      </c>
      <c r="P2046" s="25">
        <f t="shared" si="63"/>
        <v>0.77460648148148137</v>
      </c>
      <c r="Q2046" s="23">
        <f>SUM($O$2:O2046)</f>
        <v>53</v>
      </c>
      <c r="Y2046" s="14"/>
      <c r="Z2046" s="13"/>
      <c r="AA2046"/>
    </row>
    <row r="2047" spans="1:27" x14ac:dyDescent="0.2">
      <c r="A2047" s="12" t="s">
        <v>6262</v>
      </c>
      <c r="B2047" t="s">
        <v>6263</v>
      </c>
      <c r="C2047" t="s">
        <v>6264</v>
      </c>
      <c r="D2047" t="s">
        <v>6265</v>
      </c>
      <c r="E2047" t="s">
        <v>13</v>
      </c>
      <c r="F2047">
        <v>8592</v>
      </c>
      <c r="G2047">
        <v>124</v>
      </c>
      <c r="H2047" s="5" t="s">
        <v>22</v>
      </c>
      <c r="I2047" s="5">
        <v>0</v>
      </c>
      <c r="J2047" s="5">
        <v>0</v>
      </c>
      <c r="K2047" t="s">
        <v>9629</v>
      </c>
      <c r="L2047" cm="1">
        <f t="array" ref="L2047">wordCount(K2047)</f>
        <v>6</v>
      </c>
      <c r="M2047">
        <f t="shared" si="62"/>
        <v>35</v>
      </c>
      <c r="N2047">
        <v>0.375</v>
      </c>
      <c r="O2047" s="23" cm="1">
        <f t="array" ref="O2047">WordListCount(K2047,keywords!$A$2:$A$31)-WordListCount(K2047,keywords!$B$2:$B$31)</f>
        <v>1</v>
      </c>
      <c r="P2047" s="25">
        <f t="shared" si="63"/>
        <v>0.77462962962962967</v>
      </c>
      <c r="Q2047" s="23">
        <f>SUM($O$2:O2047)</f>
        <v>54</v>
      </c>
      <c r="Y2047" s="14"/>
      <c r="Z2047" s="13"/>
      <c r="AA2047"/>
    </row>
    <row r="2048" spans="1:27" x14ac:dyDescent="0.2">
      <c r="A2048" s="12" t="s">
        <v>6266</v>
      </c>
      <c r="B2048" t="s">
        <v>6267</v>
      </c>
      <c r="C2048" t="s">
        <v>5233</v>
      </c>
      <c r="D2048" t="s">
        <v>12</v>
      </c>
      <c r="E2048" t="s">
        <v>13</v>
      </c>
      <c r="F2048">
        <v>49</v>
      </c>
      <c r="G2048">
        <v>146</v>
      </c>
      <c r="H2048" s="5" t="s">
        <v>22</v>
      </c>
      <c r="I2048" s="5">
        <v>0</v>
      </c>
      <c r="J2048" s="5">
        <v>0</v>
      </c>
      <c r="K2048" t="s">
        <v>9630</v>
      </c>
      <c r="L2048" cm="1">
        <f t="array" ref="L2048">wordCount(K2048)</f>
        <v>15</v>
      </c>
      <c r="M2048">
        <f t="shared" si="62"/>
        <v>73</v>
      </c>
      <c r="N2048">
        <v>0.52380952380952384</v>
      </c>
      <c r="O2048" s="23" cm="1">
        <f t="array" ref="O2048">WordListCount(K2048,keywords!$A$2:$A$31)-WordListCount(K2048,keywords!$B$2:$B$31)</f>
        <v>0</v>
      </c>
      <c r="P2048" s="25">
        <f t="shared" si="63"/>
        <v>0.77481481481481485</v>
      </c>
      <c r="Q2048" s="23">
        <f>SUM($O$2:O2048)</f>
        <v>54</v>
      </c>
      <c r="Y2048" s="14"/>
      <c r="Z2048" s="13"/>
      <c r="AA2048"/>
    </row>
    <row r="2049" spans="1:27" x14ac:dyDescent="0.2">
      <c r="A2049" s="12" t="s">
        <v>6268</v>
      </c>
      <c r="B2049" t="s">
        <v>6269</v>
      </c>
      <c r="C2049" t="s">
        <v>4505</v>
      </c>
      <c r="D2049" t="s">
        <v>124</v>
      </c>
      <c r="E2049" t="s">
        <v>13</v>
      </c>
      <c r="F2049">
        <v>71</v>
      </c>
      <c r="G2049">
        <v>179</v>
      </c>
      <c r="H2049" s="5" t="s">
        <v>22</v>
      </c>
      <c r="I2049" s="5">
        <v>0</v>
      </c>
      <c r="J2049" s="5">
        <v>0</v>
      </c>
      <c r="K2049" t="s">
        <v>9631</v>
      </c>
      <c r="L2049" cm="1">
        <f t="array" ref="L2049">wordCount(K2049)</f>
        <v>17</v>
      </c>
      <c r="M2049">
        <f t="shared" si="62"/>
        <v>103</v>
      </c>
      <c r="N2049">
        <v>0.16666666666666666</v>
      </c>
      <c r="O2049" s="23" cm="1">
        <f t="array" ref="O2049">WordListCount(K2049,keywords!$A$2:$A$31)-WordListCount(K2049,keywords!$B$2:$B$31)</f>
        <v>0</v>
      </c>
      <c r="P2049" s="25">
        <f t="shared" si="63"/>
        <v>0.77498842592592598</v>
      </c>
      <c r="Q2049" s="23">
        <f>SUM($O$2:O2049)</f>
        <v>54</v>
      </c>
      <c r="Y2049" s="14"/>
      <c r="Z2049" s="13"/>
      <c r="AA2049"/>
    </row>
    <row r="2050" spans="1:27" x14ac:dyDescent="0.2">
      <c r="A2050" s="12" t="s">
        <v>6270</v>
      </c>
      <c r="B2050" t="s">
        <v>6271</v>
      </c>
      <c r="C2050" t="s">
        <v>6272</v>
      </c>
      <c r="D2050" t="s">
        <v>6273</v>
      </c>
      <c r="E2050" t="s">
        <v>13</v>
      </c>
      <c r="F2050">
        <v>159</v>
      </c>
      <c r="G2050">
        <v>416</v>
      </c>
      <c r="H2050" s="5" t="s">
        <v>22</v>
      </c>
      <c r="I2050" s="5">
        <v>0</v>
      </c>
      <c r="J2050" s="5">
        <v>0</v>
      </c>
      <c r="K2050" t="s">
        <v>9632</v>
      </c>
      <c r="L2050" cm="1">
        <f t="array" ref="L2050">wordCount(K2050)</f>
        <v>5</v>
      </c>
      <c r="M2050">
        <f t="shared" ref="M2050:M2113" si="64">LEN(K2050)</f>
        <v>21</v>
      </c>
      <c r="N2050">
        <v>0.82352941176470584</v>
      </c>
      <c r="O2050" s="23" cm="1">
        <f t="array" ref="O2050">WordListCount(K2050,keywords!$A$2:$A$31)-WordListCount(K2050,keywords!$B$2:$B$31)</f>
        <v>0</v>
      </c>
      <c r="P2050" s="25">
        <f t="shared" ref="P2050:P2113" si="65">TIMEVALUE(RIGHT(A2050,8))</f>
        <v>0.77511574074074074</v>
      </c>
      <c r="Q2050" s="23">
        <f>SUM($O$2:O2050)</f>
        <v>54</v>
      </c>
      <c r="Y2050" s="14"/>
      <c r="Z2050" s="13"/>
      <c r="AA2050"/>
    </row>
    <row r="2051" spans="1:27" x14ac:dyDescent="0.2">
      <c r="A2051" s="12" t="s">
        <v>6274</v>
      </c>
      <c r="B2051" t="s">
        <v>6275</v>
      </c>
      <c r="C2051" t="s">
        <v>6276</v>
      </c>
      <c r="D2051" t="s">
        <v>12</v>
      </c>
      <c r="E2051" t="s">
        <v>13</v>
      </c>
      <c r="F2051">
        <v>128</v>
      </c>
      <c r="G2051">
        <v>427</v>
      </c>
      <c r="H2051" s="5" t="s">
        <v>22</v>
      </c>
      <c r="I2051" s="5">
        <v>0</v>
      </c>
      <c r="J2051" s="5">
        <v>0</v>
      </c>
      <c r="K2051" t="s">
        <v>9633</v>
      </c>
      <c r="L2051" cm="1">
        <f t="array" ref="L2051">wordCount(K2051)</f>
        <v>5</v>
      </c>
      <c r="M2051">
        <f t="shared" si="64"/>
        <v>19</v>
      </c>
      <c r="N2051">
        <v>0.8</v>
      </c>
      <c r="O2051" s="23" cm="1">
        <f t="array" ref="O2051">WordListCount(K2051,keywords!$A$2:$A$31)-WordListCount(K2051,keywords!$B$2:$B$31)</f>
        <v>1</v>
      </c>
      <c r="P2051" s="25">
        <f t="shared" si="65"/>
        <v>0.77520833333333339</v>
      </c>
      <c r="Q2051" s="23">
        <f>SUM($O$2:O2051)</f>
        <v>55</v>
      </c>
      <c r="Y2051" s="14"/>
      <c r="Z2051" s="13"/>
      <c r="AA2051"/>
    </row>
    <row r="2052" spans="1:27" x14ac:dyDescent="0.2">
      <c r="A2052" s="12" t="s">
        <v>6274</v>
      </c>
      <c r="B2052" t="s">
        <v>6277</v>
      </c>
      <c r="C2052" t="s">
        <v>6278</v>
      </c>
      <c r="D2052" t="s">
        <v>6279</v>
      </c>
      <c r="E2052" t="s">
        <v>13</v>
      </c>
      <c r="F2052">
        <v>2282</v>
      </c>
      <c r="G2052">
        <v>4648</v>
      </c>
      <c r="H2052" s="5" t="s">
        <v>22</v>
      </c>
      <c r="I2052" s="5">
        <v>0</v>
      </c>
      <c r="J2052" s="5">
        <v>0</v>
      </c>
      <c r="K2052" t="s">
        <v>11202</v>
      </c>
      <c r="L2052" cm="1">
        <f t="array" ref="L2052">wordCount(K2052)</f>
        <v>12</v>
      </c>
      <c r="M2052">
        <f t="shared" si="64"/>
        <v>53</v>
      </c>
      <c r="N2052">
        <v>0.64</v>
      </c>
      <c r="O2052" s="23" cm="1">
        <f t="array" ref="O2052">WordListCount(K2052,keywords!$A$2:$A$31)-WordListCount(K2052,keywords!$B$2:$B$31)</f>
        <v>0</v>
      </c>
      <c r="P2052" s="25">
        <f t="shared" si="65"/>
        <v>0.77520833333333339</v>
      </c>
      <c r="Q2052" s="23">
        <f>SUM($O$2:O2052)</f>
        <v>55</v>
      </c>
      <c r="Y2052" s="14"/>
      <c r="Z2052" s="13"/>
      <c r="AA2052"/>
    </row>
    <row r="2053" spans="1:27" x14ac:dyDescent="0.2">
      <c r="A2053" s="12" t="s">
        <v>6280</v>
      </c>
      <c r="B2053" t="s">
        <v>6281</v>
      </c>
      <c r="C2053" t="s">
        <v>6282</v>
      </c>
      <c r="D2053" t="s">
        <v>6283</v>
      </c>
      <c r="E2053" t="s">
        <v>13</v>
      </c>
      <c r="F2053">
        <v>6248</v>
      </c>
      <c r="G2053">
        <v>516</v>
      </c>
      <c r="H2053" s="5" t="s">
        <v>22</v>
      </c>
      <c r="I2053" s="5">
        <v>0</v>
      </c>
      <c r="J2053" s="5">
        <v>0</v>
      </c>
      <c r="K2053" t="s">
        <v>11203</v>
      </c>
      <c r="L2053" cm="1">
        <f t="array" ref="L2053">wordCount(K2053)</f>
        <v>12</v>
      </c>
      <c r="M2053">
        <f t="shared" si="64"/>
        <v>86</v>
      </c>
      <c r="N2053">
        <v>0.68</v>
      </c>
      <c r="O2053" s="23" cm="1">
        <f t="array" ref="O2053">WordListCount(K2053,keywords!$A$2:$A$31)-WordListCount(K2053,keywords!$B$2:$B$31)</f>
        <v>0</v>
      </c>
      <c r="P2053" s="25">
        <f t="shared" si="65"/>
        <v>0.77598379629629621</v>
      </c>
      <c r="Q2053" s="23">
        <f>SUM($O$2:O2053)</f>
        <v>55</v>
      </c>
      <c r="Y2053" s="14"/>
      <c r="Z2053" s="13"/>
      <c r="AA2053"/>
    </row>
    <row r="2054" spans="1:27" x14ac:dyDescent="0.2">
      <c r="A2054" s="12" t="s">
        <v>6284</v>
      </c>
      <c r="B2054" t="s">
        <v>6285</v>
      </c>
      <c r="C2054" t="s">
        <v>6286</v>
      </c>
      <c r="D2054" t="s">
        <v>5197</v>
      </c>
      <c r="E2054" t="s">
        <v>13</v>
      </c>
      <c r="F2054">
        <v>13</v>
      </c>
      <c r="G2054">
        <v>58</v>
      </c>
      <c r="H2054" s="5" t="s">
        <v>22</v>
      </c>
      <c r="I2054" s="5">
        <v>0</v>
      </c>
      <c r="J2054" s="5">
        <v>0</v>
      </c>
      <c r="K2054" t="s">
        <v>9634</v>
      </c>
      <c r="L2054" cm="1">
        <f t="array" ref="L2054">wordCount(K2054)</f>
        <v>13</v>
      </c>
      <c r="M2054">
        <f t="shared" si="64"/>
        <v>69</v>
      </c>
      <c r="N2054">
        <v>0.6071428571428571</v>
      </c>
      <c r="O2054" s="23" cm="1">
        <f t="array" ref="O2054">WordListCount(K2054,keywords!$A$2:$A$31)-WordListCount(K2054,keywords!$B$2:$B$31)</f>
        <v>0</v>
      </c>
      <c r="P2054" s="25">
        <f t="shared" si="65"/>
        <v>0.77601851851851855</v>
      </c>
      <c r="Q2054" s="23">
        <f>SUM($O$2:O2054)</f>
        <v>55</v>
      </c>
      <c r="Y2054" s="14"/>
      <c r="Z2054" s="13"/>
      <c r="AA2054"/>
    </row>
    <row r="2055" spans="1:27" x14ac:dyDescent="0.2">
      <c r="A2055" s="12" t="s">
        <v>6287</v>
      </c>
      <c r="B2055" t="s">
        <v>6288</v>
      </c>
      <c r="C2055" t="s">
        <v>6289</v>
      </c>
      <c r="D2055" t="s">
        <v>594</v>
      </c>
      <c r="E2055" t="s">
        <v>13</v>
      </c>
      <c r="F2055">
        <v>2</v>
      </c>
      <c r="G2055">
        <v>9</v>
      </c>
      <c r="H2055" s="5" t="s">
        <v>382</v>
      </c>
      <c r="I2055" s="5">
        <v>0</v>
      </c>
      <c r="J2055" s="5">
        <v>0</v>
      </c>
      <c r="K2055" t="s">
        <v>11204</v>
      </c>
      <c r="L2055" cm="1">
        <f t="array" ref="L2055">wordCount(K2055)</f>
        <v>7</v>
      </c>
      <c r="M2055">
        <f t="shared" si="64"/>
        <v>35</v>
      </c>
      <c r="N2055">
        <v>0.8571428571428571</v>
      </c>
      <c r="O2055" s="23" cm="1">
        <f t="array" ref="O2055">WordListCount(K2055,keywords!$A$2:$A$31)-WordListCount(K2055,keywords!$B$2:$B$31)</f>
        <v>0</v>
      </c>
      <c r="P2055" s="25">
        <f t="shared" si="65"/>
        <v>0.77604166666666663</v>
      </c>
      <c r="Q2055" s="23">
        <f>SUM($O$2:O2055)</f>
        <v>55</v>
      </c>
      <c r="Y2055" s="14"/>
      <c r="Z2055" s="13"/>
      <c r="AA2055"/>
    </row>
    <row r="2056" spans="1:27" x14ac:dyDescent="0.2">
      <c r="A2056" s="12" t="s">
        <v>6290</v>
      </c>
      <c r="B2056" t="s">
        <v>6291</v>
      </c>
      <c r="C2056" t="s">
        <v>6292</v>
      </c>
      <c r="D2056" t="s">
        <v>6293</v>
      </c>
      <c r="E2056" t="s">
        <v>13</v>
      </c>
      <c r="F2056">
        <v>67685</v>
      </c>
      <c r="G2056">
        <v>200</v>
      </c>
      <c r="H2056" s="5" t="s">
        <v>22</v>
      </c>
      <c r="I2056" s="5">
        <v>0</v>
      </c>
      <c r="J2056" s="5">
        <v>0</v>
      </c>
      <c r="K2056" t="s">
        <v>11205</v>
      </c>
      <c r="L2056" cm="1">
        <f t="array" ref="L2056">wordCount(K2056)</f>
        <v>14</v>
      </c>
      <c r="M2056">
        <f t="shared" si="64"/>
        <v>50</v>
      </c>
      <c r="N2056">
        <v>0.38461538461538464</v>
      </c>
      <c r="O2056" s="23" cm="1">
        <f t="array" ref="O2056">WordListCount(K2056,keywords!$A$2:$A$31)-WordListCount(K2056,keywords!$B$2:$B$31)</f>
        <v>0</v>
      </c>
      <c r="P2056" s="25">
        <f t="shared" si="65"/>
        <v>0.77634259259259253</v>
      </c>
      <c r="Q2056" s="23">
        <f>SUM($O$2:O2056)</f>
        <v>55</v>
      </c>
      <c r="Y2056" s="14"/>
      <c r="Z2056" s="13"/>
      <c r="AA2056"/>
    </row>
    <row r="2057" spans="1:27" x14ac:dyDescent="0.2">
      <c r="A2057" s="12" t="s">
        <v>6294</v>
      </c>
      <c r="B2057" t="s">
        <v>6295</v>
      </c>
      <c r="C2057" t="s">
        <v>6296</v>
      </c>
      <c r="D2057" t="s">
        <v>12</v>
      </c>
      <c r="E2057" t="s">
        <v>13</v>
      </c>
      <c r="F2057">
        <v>200</v>
      </c>
      <c r="G2057">
        <v>906</v>
      </c>
      <c r="H2057" s="5" t="s">
        <v>393</v>
      </c>
      <c r="I2057" s="5">
        <v>0</v>
      </c>
      <c r="J2057" s="5">
        <v>0</v>
      </c>
      <c r="K2057" t="s">
        <v>11206</v>
      </c>
      <c r="L2057" cm="1">
        <f t="array" ref="L2057">wordCount(K2057)</f>
        <v>21</v>
      </c>
      <c r="M2057">
        <f t="shared" si="64"/>
        <v>86</v>
      </c>
      <c r="N2057">
        <v>0.51851851851851849</v>
      </c>
      <c r="O2057" s="23" cm="1">
        <f t="array" ref="O2057">WordListCount(K2057,keywords!$A$2:$A$31)-WordListCount(K2057,keywords!$B$2:$B$31)</f>
        <v>0</v>
      </c>
      <c r="P2057" s="25">
        <f t="shared" si="65"/>
        <v>0.77649305555555559</v>
      </c>
      <c r="Q2057" s="23">
        <f>SUM($O$2:O2057)</f>
        <v>55</v>
      </c>
      <c r="Y2057" s="14"/>
      <c r="Z2057" s="13"/>
      <c r="AA2057"/>
    </row>
    <row r="2058" spans="1:27" x14ac:dyDescent="0.2">
      <c r="A2058" s="12" t="s">
        <v>6297</v>
      </c>
      <c r="B2058" t="s">
        <v>6298</v>
      </c>
      <c r="C2058" t="s">
        <v>103</v>
      </c>
      <c r="D2058" t="s">
        <v>104</v>
      </c>
      <c r="E2058" t="s">
        <v>13</v>
      </c>
      <c r="F2058">
        <v>136</v>
      </c>
      <c r="G2058">
        <v>11</v>
      </c>
      <c r="H2058" s="5" t="s">
        <v>22</v>
      </c>
      <c r="I2058" s="5">
        <v>0</v>
      </c>
      <c r="J2058" s="5">
        <v>0</v>
      </c>
      <c r="K2058" t="s">
        <v>11207</v>
      </c>
      <c r="L2058" cm="1">
        <f t="array" ref="L2058">wordCount(K2058)</f>
        <v>11</v>
      </c>
      <c r="M2058">
        <f t="shared" si="64"/>
        <v>57</v>
      </c>
      <c r="N2058">
        <v>0.66666666666666663</v>
      </c>
      <c r="O2058" s="23" cm="1">
        <f t="array" ref="O2058">WordListCount(K2058,keywords!$A$2:$A$31)-WordListCount(K2058,keywords!$B$2:$B$31)</f>
        <v>2</v>
      </c>
      <c r="P2058" s="25">
        <f t="shared" si="65"/>
        <v>0.77671296296296299</v>
      </c>
      <c r="Q2058" s="23">
        <f>SUM($O$2:O2058)</f>
        <v>57</v>
      </c>
      <c r="Y2058" s="14"/>
      <c r="Z2058" s="13"/>
      <c r="AA2058"/>
    </row>
    <row r="2059" spans="1:27" x14ac:dyDescent="0.2">
      <c r="A2059" s="12" t="s">
        <v>6299</v>
      </c>
      <c r="B2059" t="s">
        <v>6300</v>
      </c>
      <c r="C2059" t="s">
        <v>6301</v>
      </c>
      <c r="D2059" t="s">
        <v>6302</v>
      </c>
      <c r="E2059" t="s">
        <v>13</v>
      </c>
      <c r="F2059">
        <v>4248</v>
      </c>
      <c r="G2059">
        <v>1721</v>
      </c>
      <c r="H2059" s="5" t="s">
        <v>22</v>
      </c>
      <c r="I2059" s="5">
        <v>0</v>
      </c>
      <c r="J2059" s="5">
        <v>0</v>
      </c>
      <c r="K2059" t="s">
        <v>9635</v>
      </c>
      <c r="L2059" cm="1">
        <f t="array" ref="L2059">wordCount(K2059)</f>
        <v>10</v>
      </c>
      <c r="M2059">
        <f t="shared" si="64"/>
        <v>45</v>
      </c>
      <c r="N2059">
        <v>0.53846153846153844</v>
      </c>
      <c r="O2059" s="23" cm="1">
        <f t="array" ref="O2059">WordListCount(K2059,keywords!$A$2:$A$31)-WordListCount(K2059,keywords!$B$2:$B$31)</f>
        <v>1</v>
      </c>
      <c r="P2059" s="25">
        <f t="shared" si="65"/>
        <v>0.77675925925925926</v>
      </c>
      <c r="Q2059" s="23">
        <f>SUM($O$2:O2059)</f>
        <v>58</v>
      </c>
      <c r="Y2059" s="14"/>
      <c r="Z2059" s="13"/>
      <c r="AA2059"/>
    </row>
    <row r="2060" spans="1:27" x14ac:dyDescent="0.2">
      <c r="A2060" s="12" t="s">
        <v>6303</v>
      </c>
      <c r="B2060" t="s">
        <v>6304</v>
      </c>
      <c r="C2060" t="s">
        <v>3777</v>
      </c>
      <c r="D2060" t="s">
        <v>3778</v>
      </c>
      <c r="E2060" t="s">
        <v>13</v>
      </c>
      <c r="F2060">
        <v>43</v>
      </c>
      <c r="G2060">
        <v>38</v>
      </c>
      <c r="H2060" s="5" t="s">
        <v>22</v>
      </c>
      <c r="I2060" s="5">
        <v>0</v>
      </c>
      <c r="J2060" s="5">
        <v>0</v>
      </c>
      <c r="K2060" t="s">
        <v>11208</v>
      </c>
      <c r="L2060" cm="1">
        <f t="array" ref="L2060">wordCount(K2060)</f>
        <v>15</v>
      </c>
      <c r="M2060">
        <f t="shared" si="64"/>
        <v>93</v>
      </c>
      <c r="N2060">
        <v>0.36363636363636365</v>
      </c>
      <c r="O2060" s="23" cm="1">
        <f t="array" ref="O2060">WordListCount(K2060,keywords!$A$2:$A$31)-WordListCount(K2060,keywords!$B$2:$B$31)</f>
        <v>-2</v>
      </c>
      <c r="P2060" s="25">
        <f t="shared" si="65"/>
        <v>0.77710648148148154</v>
      </c>
      <c r="Q2060" s="23">
        <f>SUM($O$2:O2060)</f>
        <v>56</v>
      </c>
      <c r="Y2060" s="14"/>
      <c r="Z2060" s="13"/>
      <c r="AA2060"/>
    </row>
    <row r="2061" spans="1:27" x14ac:dyDescent="0.2">
      <c r="A2061" s="12" t="s">
        <v>6305</v>
      </c>
      <c r="B2061" t="s">
        <v>6306</v>
      </c>
      <c r="C2061" t="s">
        <v>6307</v>
      </c>
      <c r="D2061" t="s">
        <v>6308</v>
      </c>
      <c r="E2061" t="s">
        <v>13</v>
      </c>
      <c r="F2061">
        <v>37</v>
      </c>
      <c r="G2061">
        <v>347</v>
      </c>
      <c r="H2061" s="5" t="s">
        <v>677</v>
      </c>
      <c r="I2061" s="5">
        <v>0</v>
      </c>
      <c r="J2061" s="5">
        <v>0</v>
      </c>
      <c r="K2061" t="s">
        <v>11209</v>
      </c>
      <c r="L2061" cm="1">
        <f t="array" ref="L2061">wordCount(K2061)</f>
        <v>22</v>
      </c>
      <c r="M2061">
        <f t="shared" si="64"/>
        <v>114</v>
      </c>
      <c r="N2061">
        <v>0.31034482758620691</v>
      </c>
      <c r="O2061" s="23" cm="1">
        <f t="array" ref="O2061">WordListCount(K2061,keywords!$A$2:$A$31)-WordListCount(K2061,keywords!$B$2:$B$31)</f>
        <v>0</v>
      </c>
      <c r="P2061" s="25">
        <f t="shared" si="65"/>
        <v>0.77716435185185195</v>
      </c>
      <c r="Q2061" s="23">
        <f>SUM($O$2:O2061)</f>
        <v>56</v>
      </c>
      <c r="Y2061" s="14"/>
      <c r="Z2061" s="13"/>
      <c r="AA2061"/>
    </row>
    <row r="2062" spans="1:27" x14ac:dyDescent="0.2">
      <c r="A2062" s="12" t="s">
        <v>6309</v>
      </c>
      <c r="B2062" t="s">
        <v>6310</v>
      </c>
      <c r="C2062" t="s">
        <v>6311</v>
      </c>
      <c r="D2062" t="s">
        <v>426</v>
      </c>
      <c r="E2062" t="s">
        <v>13</v>
      </c>
      <c r="F2062">
        <v>35815</v>
      </c>
      <c r="G2062">
        <v>1551</v>
      </c>
      <c r="H2062" s="5" t="s">
        <v>22</v>
      </c>
      <c r="I2062" s="5">
        <v>0</v>
      </c>
      <c r="J2062" s="5">
        <v>0</v>
      </c>
      <c r="K2062" t="s">
        <v>11210</v>
      </c>
      <c r="L2062" cm="1">
        <f t="array" ref="L2062">wordCount(K2062)</f>
        <v>22</v>
      </c>
      <c r="M2062">
        <f t="shared" si="64"/>
        <v>95</v>
      </c>
      <c r="N2062">
        <v>0.61538461538461542</v>
      </c>
      <c r="O2062" s="23" cm="1">
        <f t="array" ref="O2062">WordListCount(K2062,keywords!$A$2:$A$31)-WordListCount(K2062,keywords!$B$2:$B$31)</f>
        <v>1</v>
      </c>
      <c r="P2062" s="25">
        <f t="shared" si="65"/>
        <v>0.77726851851851853</v>
      </c>
      <c r="Q2062" s="23">
        <f>SUM($O$2:O2062)</f>
        <v>57</v>
      </c>
      <c r="Y2062" s="14"/>
      <c r="Z2062" s="13"/>
      <c r="AA2062"/>
    </row>
    <row r="2063" spans="1:27" x14ac:dyDescent="0.2">
      <c r="A2063" s="12" t="s">
        <v>6312</v>
      </c>
      <c r="B2063" t="s">
        <v>6313</v>
      </c>
      <c r="C2063" t="s">
        <v>6314</v>
      </c>
      <c r="D2063" t="s">
        <v>12</v>
      </c>
      <c r="E2063" t="s">
        <v>13</v>
      </c>
      <c r="F2063">
        <v>147</v>
      </c>
      <c r="G2063">
        <v>231</v>
      </c>
      <c r="H2063" s="5" t="s">
        <v>22</v>
      </c>
      <c r="I2063" s="5">
        <v>0</v>
      </c>
      <c r="J2063" s="5">
        <v>0</v>
      </c>
      <c r="K2063" t="s">
        <v>11211</v>
      </c>
      <c r="L2063" cm="1">
        <f t="array" ref="L2063">wordCount(K2063)</f>
        <v>9</v>
      </c>
      <c r="M2063">
        <f t="shared" si="64"/>
        <v>36</v>
      </c>
      <c r="N2063">
        <v>0.76470588235294112</v>
      </c>
      <c r="O2063" s="23" cm="1">
        <f t="array" ref="O2063">WordListCount(K2063,keywords!$A$2:$A$31)-WordListCount(K2063,keywords!$B$2:$B$31)</f>
        <v>0</v>
      </c>
      <c r="P2063" s="25">
        <f t="shared" si="65"/>
        <v>0.77738425925925936</v>
      </c>
      <c r="Q2063" s="23">
        <f>SUM($O$2:O2063)</f>
        <v>57</v>
      </c>
      <c r="Y2063" s="14"/>
      <c r="Z2063" s="13"/>
      <c r="AA2063"/>
    </row>
    <row r="2064" spans="1:27" x14ac:dyDescent="0.2">
      <c r="A2064" s="12" t="s">
        <v>6315</v>
      </c>
      <c r="B2064" t="s">
        <v>6316</v>
      </c>
      <c r="C2064" t="s">
        <v>205</v>
      </c>
      <c r="D2064" t="s">
        <v>12</v>
      </c>
      <c r="E2064" t="s">
        <v>13</v>
      </c>
      <c r="F2064">
        <v>2868</v>
      </c>
      <c r="G2064">
        <v>6</v>
      </c>
      <c r="H2064" s="5" t="s">
        <v>22</v>
      </c>
      <c r="I2064" s="5">
        <v>0</v>
      </c>
      <c r="J2064" s="5">
        <v>0</v>
      </c>
      <c r="K2064" t="s">
        <v>9636</v>
      </c>
      <c r="L2064" cm="1">
        <f t="array" ref="L2064">wordCount(K2064)</f>
        <v>8</v>
      </c>
      <c r="M2064">
        <f t="shared" si="64"/>
        <v>55</v>
      </c>
      <c r="N2064">
        <v>0.77777777777777779</v>
      </c>
      <c r="O2064" s="23" cm="1">
        <f t="array" ref="O2064">WordListCount(K2064,keywords!$A$2:$A$31)-WordListCount(K2064,keywords!$B$2:$B$31)</f>
        <v>0</v>
      </c>
      <c r="P2064" s="25">
        <f t="shared" si="65"/>
        <v>0.77777777777777779</v>
      </c>
      <c r="Q2064" s="23">
        <f>SUM($O$2:O2064)</f>
        <v>57</v>
      </c>
      <c r="Y2064" s="14"/>
      <c r="Z2064" s="13"/>
      <c r="AA2064"/>
    </row>
    <row r="2065" spans="1:27" x14ac:dyDescent="0.2">
      <c r="A2065" s="12" t="s">
        <v>6317</v>
      </c>
      <c r="B2065" t="s">
        <v>6318</v>
      </c>
      <c r="C2065" t="s">
        <v>6319</v>
      </c>
      <c r="D2065" t="s">
        <v>12</v>
      </c>
      <c r="E2065" t="s">
        <v>13</v>
      </c>
      <c r="F2065">
        <v>329</v>
      </c>
      <c r="G2065">
        <v>307</v>
      </c>
      <c r="H2065" s="5" t="s">
        <v>22</v>
      </c>
      <c r="I2065" s="5">
        <v>0</v>
      </c>
      <c r="J2065" s="5">
        <v>0</v>
      </c>
      <c r="K2065" t="s">
        <v>9637</v>
      </c>
      <c r="L2065" cm="1">
        <f t="array" ref="L2065">wordCount(K2065)</f>
        <v>4</v>
      </c>
      <c r="M2065">
        <f t="shared" si="64"/>
        <v>22</v>
      </c>
      <c r="N2065">
        <v>0.8571428571428571</v>
      </c>
      <c r="O2065" s="23" cm="1">
        <f t="array" ref="O2065">WordListCount(K2065,keywords!$A$2:$A$31)-WordListCount(K2065,keywords!$B$2:$B$31)</f>
        <v>0</v>
      </c>
      <c r="P2065" s="25">
        <f t="shared" si="65"/>
        <v>0.7779166666666667</v>
      </c>
      <c r="Q2065" s="23">
        <f>SUM($O$2:O2065)</f>
        <v>57</v>
      </c>
      <c r="Y2065" s="14"/>
      <c r="Z2065" s="13"/>
      <c r="AA2065"/>
    </row>
    <row r="2066" spans="1:27" x14ac:dyDescent="0.2">
      <c r="A2066" s="12" t="s">
        <v>6320</v>
      </c>
      <c r="B2066" t="s">
        <v>6321</v>
      </c>
      <c r="C2066" t="s">
        <v>130</v>
      </c>
      <c r="D2066" t="s">
        <v>131</v>
      </c>
      <c r="E2066" t="s">
        <v>13</v>
      </c>
      <c r="F2066">
        <v>95</v>
      </c>
      <c r="G2066">
        <v>202</v>
      </c>
      <c r="H2066" s="5" t="s">
        <v>22</v>
      </c>
      <c r="I2066" s="5">
        <v>0</v>
      </c>
      <c r="J2066" s="5">
        <v>0</v>
      </c>
      <c r="K2066" t="s">
        <v>11212</v>
      </c>
      <c r="L2066" cm="1">
        <f t="array" ref="L2066">wordCount(K2066)</f>
        <v>23</v>
      </c>
      <c r="M2066">
        <f t="shared" si="64"/>
        <v>108</v>
      </c>
      <c r="N2066">
        <v>0.95454545454545459</v>
      </c>
      <c r="O2066" s="23" cm="1">
        <f t="array" ref="O2066">WordListCount(K2066,keywords!$A$2:$A$31)-WordListCount(K2066,keywords!$B$2:$B$31)</f>
        <v>0</v>
      </c>
      <c r="P2066" s="25">
        <f t="shared" si="65"/>
        <v>0.77796296296296286</v>
      </c>
      <c r="Q2066" s="23">
        <f>SUM($O$2:O2066)</f>
        <v>57</v>
      </c>
      <c r="Y2066" s="14"/>
      <c r="Z2066" s="13"/>
      <c r="AA2066"/>
    </row>
    <row r="2067" spans="1:27" x14ac:dyDescent="0.2">
      <c r="A2067" s="12" t="s">
        <v>6322</v>
      </c>
      <c r="B2067" t="s">
        <v>6323</v>
      </c>
      <c r="C2067" t="s">
        <v>610</v>
      </c>
      <c r="D2067" t="s">
        <v>611</v>
      </c>
      <c r="E2067" t="s">
        <v>13</v>
      </c>
      <c r="F2067">
        <v>11599</v>
      </c>
      <c r="G2067">
        <v>1534</v>
      </c>
      <c r="H2067" s="5" t="s">
        <v>59</v>
      </c>
      <c r="I2067" s="5">
        <v>0</v>
      </c>
      <c r="J2067" s="5">
        <v>0</v>
      </c>
      <c r="K2067" t="s">
        <v>9638</v>
      </c>
      <c r="L2067" cm="1">
        <f t="array" ref="L2067">wordCount(K2067)</f>
        <v>5</v>
      </c>
      <c r="M2067">
        <f t="shared" si="64"/>
        <v>26</v>
      </c>
      <c r="N2067">
        <v>0.7142857142857143</v>
      </c>
      <c r="O2067" s="23" cm="1">
        <f t="array" ref="O2067">WordListCount(K2067,keywords!$A$2:$A$31)-WordListCount(K2067,keywords!$B$2:$B$31)</f>
        <v>0</v>
      </c>
      <c r="P2067" s="25">
        <f t="shared" si="65"/>
        <v>0.77803240740740742</v>
      </c>
      <c r="Q2067" s="23">
        <f>SUM($O$2:O2067)</f>
        <v>57</v>
      </c>
      <c r="Y2067" s="14"/>
      <c r="Z2067" s="13"/>
      <c r="AA2067"/>
    </row>
    <row r="2068" spans="1:27" x14ac:dyDescent="0.2">
      <c r="A2068" s="12" t="s">
        <v>6324</v>
      </c>
      <c r="B2068" t="s">
        <v>6325</v>
      </c>
      <c r="C2068" t="s">
        <v>6227</v>
      </c>
      <c r="D2068" t="s">
        <v>743</v>
      </c>
      <c r="E2068" t="s">
        <v>13</v>
      </c>
      <c r="F2068">
        <v>4</v>
      </c>
      <c r="G2068">
        <v>25</v>
      </c>
      <c r="H2068" s="5" t="s">
        <v>22</v>
      </c>
      <c r="I2068" s="5">
        <v>0</v>
      </c>
      <c r="J2068" s="5">
        <v>0</v>
      </c>
      <c r="K2068" t="s">
        <v>11197</v>
      </c>
      <c r="L2068" cm="1">
        <f t="array" ref="L2068">wordCount(K2068)</f>
        <v>22</v>
      </c>
      <c r="M2068">
        <f t="shared" si="64"/>
        <v>114</v>
      </c>
      <c r="N2068">
        <v>0.95</v>
      </c>
      <c r="O2068" s="23" cm="1">
        <f t="array" ref="O2068">WordListCount(K2068,keywords!$A$2:$A$31)-WordListCount(K2068,keywords!$B$2:$B$31)</f>
        <v>0</v>
      </c>
      <c r="P2068" s="25">
        <f t="shared" si="65"/>
        <v>0.77806712962962965</v>
      </c>
      <c r="Q2068" s="23">
        <f>SUM($O$2:O2068)</f>
        <v>57</v>
      </c>
      <c r="Y2068" s="14"/>
      <c r="Z2068" s="13"/>
      <c r="AA2068"/>
    </row>
    <row r="2069" spans="1:27" x14ac:dyDescent="0.2">
      <c r="A2069" s="12" t="s">
        <v>6324</v>
      </c>
      <c r="B2069" t="s">
        <v>6326</v>
      </c>
      <c r="C2069" t="s">
        <v>6327</v>
      </c>
      <c r="D2069" t="s">
        <v>6328</v>
      </c>
      <c r="E2069" t="s">
        <v>13</v>
      </c>
      <c r="F2069">
        <v>551</v>
      </c>
      <c r="G2069">
        <v>351</v>
      </c>
      <c r="H2069" s="5" t="s">
        <v>22</v>
      </c>
      <c r="I2069" s="5">
        <v>0</v>
      </c>
      <c r="J2069" s="5">
        <v>0</v>
      </c>
      <c r="K2069" t="s">
        <v>11213</v>
      </c>
      <c r="L2069" cm="1">
        <f t="array" ref="L2069">wordCount(K2069)</f>
        <v>21</v>
      </c>
      <c r="M2069">
        <f t="shared" si="64"/>
        <v>107</v>
      </c>
      <c r="N2069">
        <v>0.42424242424242425</v>
      </c>
      <c r="O2069" s="23" cm="1">
        <f t="array" ref="O2069">WordListCount(K2069,keywords!$A$2:$A$31)-WordListCount(K2069,keywords!$B$2:$B$31)</f>
        <v>0</v>
      </c>
      <c r="P2069" s="25">
        <f t="shared" si="65"/>
        <v>0.77806712962962965</v>
      </c>
      <c r="Q2069" s="23">
        <f>SUM($O$2:O2069)</f>
        <v>57</v>
      </c>
      <c r="Y2069" s="14"/>
      <c r="Z2069" s="13"/>
      <c r="AA2069"/>
    </row>
    <row r="2070" spans="1:27" x14ac:dyDescent="0.2">
      <c r="A2070" s="12" t="s">
        <v>6329</v>
      </c>
      <c r="B2070" t="s">
        <v>6330</v>
      </c>
      <c r="C2070" t="s">
        <v>2585</v>
      </c>
      <c r="D2070" t="s">
        <v>1045</v>
      </c>
      <c r="E2070" t="s">
        <v>13</v>
      </c>
      <c r="F2070">
        <v>940</v>
      </c>
      <c r="G2070">
        <v>718</v>
      </c>
      <c r="H2070" s="5" t="s">
        <v>22</v>
      </c>
      <c r="I2070" s="5">
        <v>0</v>
      </c>
      <c r="J2070" s="5">
        <v>0</v>
      </c>
      <c r="K2070" t="s">
        <v>11214</v>
      </c>
      <c r="L2070" cm="1">
        <f t="array" ref="L2070">wordCount(K2070)</f>
        <v>24</v>
      </c>
      <c r="M2070">
        <f t="shared" si="64"/>
        <v>115</v>
      </c>
      <c r="N2070">
        <v>0.5</v>
      </c>
      <c r="O2070" s="23" cm="1">
        <f t="array" ref="O2070">WordListCount(K2070,keywords!$A$2:$A$31)-WordListCount(K2070,keywords!$B$2:$B$31)</f>
        <v>0</v>
      </c>
      <c r="P2070" s="25">
        <f t="shared" si="65"/>
        <v>0.77809027777777784</v>
      </c>
      <c r="Q2070" s="23">
        <f>SUM($O$2:O2070)</f>
        <v>57</v>
      </c>
      <c r="Y2070" s="14"/>
      <c r="Z2070" s="13"/>
      <c r="AA2070"/>
    </row>
    <row r="2071" spans="1:27" x14ac:dyDescent="0.2">
      <c r="A2071" s="12" t="s">
        <v>6331</v>
      </c>
      <c r="B2071" t="s">
        <v>6332</v>
      </c>
      <c r="C2071" t="s">
        <v>6333</v>
      </c>
      <c r="D2071" t="s">
        <v>12</v>
      </c>
      <c r="E2071" t="s">
        <v>13</v>
      </c>
      <c r="F2071">
        <v>44</v>
      </c>
      <c r="G2071">
        <v>204</v>
      </c>
      <c r="H2071" s="5" t="s">
        <v>22</v>
      </c>
      <c r="I2071" s="5">
        <v>0</v>
      </c>
      <c r="J2071" s="5">
        <v>0</v>
      </c>
      <c r="K2071" t="s">
        <v>11215</v>
      </c>
      <c r="L2071" cm="1">
        <f t="array" ref="L2071">wordCount(K2071)</f>
        <v>22</v>
      </c>
      <c r="M2071">
        <f t="shared" si="64"/>
        <v>110</v>
      </c>
      <c r="N2071">
        <v>0.54838709677419351</v>
      </c>
      <c r="O2071" s="23" cm="1">
        <f t="array" ref="O2071">WordListCount(K2071,keywords!$A$2:$A$31)-WordListCount(K2071,keywords!$B$2:$B$31)</f>
        <v>0</v>
      </c>
      <c r="P2071" s="25">
        <f t="shared" si="65"/>
        <v>0.77819444444444441</v>
      </c>
      <c r="Q2071" s="23">
        <f>SUM($O$2:O2071)</f>
        <v>57</v>
      </c>
      <c r="Y2071" s="14"/>
      <c r="Z2071" s="13"/>
      <c r="AA2071"/>
    </row>
    <row r="2072" spans="1:27" x14ac:dyDescent="0.2">
      <c r="A2072" s="12" t="s">
        <v>6334</v>
      </c>
      <c r="B2072" t="s">
        <v>6325</v>
      </c>
      <c r="C2072" t="s">
        <v>6227</v>
      </c>
      <c r="D2072" t="s">
        <v>743</v>
      </c>
      <c r="E2072" t="s">
        <v>13</v>
      </c>
      <c r="F2072">
        <v>4</v>
      </c>
      <c r="G2072">
        <v>25</v>
      </c>
      <c r="H2072" s="5" t="s">
        <v>22</v>
      </c>
      <c r="I2072" s="5">
        <v>0</v>
      </c>
      <c r="J2072" s="5">
        <v>0</v>
      </c>
      <c r="K2072" t="s">
        <v>11197</v>
      </c>
      <c r="L2072" cm="1">
        <f t="array" ref="L2072">wordCount(K2072)</f>
        <v>22</v>
      </c>
      <c r="M2072">
        <f t="shared" si="64"/>
        <v>114</v>
      </c>
      <c r="N2072">
        <v>0.95</v>
      </c>
      <c r="O2072" s="23" cm="1">
        <f t="array" ref="O2072">WordListCount(K2072,keywords!$A$2:$A$31)-WordListCount(K2072,keywords!$B$2:$B$31)</f>
        <v>0</v>
      </c>
      <c r="P2072" s="25">
        <f t="shared" si="65"/>
        <v>0.77826388888888898</v>
      </c>
      <c r="Q2072" s="23">
        <f>SUM($O$2:O2072)</f>
        <v>57</v>
      </c>
      <c r="Y2072" s="14"/>
      <c r="Z2072" s="13"/>
      <c r="AA2072"/>
    </row>
    <row r="2073" spans="1:27" x14ac:dyDescent="0.2">
      <c r="A2073" s="12" t="s">
        <v>6335</v>
      </c>
      <c r="B2073" t="s">
        <v>6336</v>
      </c>
      <c r="C2073" t="s">
        <v>6337</v>
      </c>
      <c r="D2073" t="s">
        <v>6338</v>
      </c>
      <c r="E2073" t="s">
        <v>13</v>
      </c>
      <c r="F2073">
        <v>192</v>
      </c>
      <c r="G2073">
        <v>198</v>
      </c>
      <c r="H2073" s="5" t="s">
        <v>22</v>
      </c>
      <c r="I2073" s="5">
        <v>0</v>
      </c>
      <c r="J2073" s="5">
        <v>0</v>
      </c>
      <c r="K2073" t="s">
        <v>11216</v>
      </c>
      <c r="L2073" cm="1">
        <f t="array" ref="L2073">wordCount(K2073)</f>
        <v>5</v>
      </c>
      <c r="M2073">
        <f t="shared" si="64"/>
        <v>20</v>
      </c>
      <c r="N2073">
        <v>0.73333333333333328</v>
      </c>
      <c r="O2073" s="23" cm="1">
        <f t="array" ref="O2073">WordListCount(K2073,keywords!$A$2:$A$31)-WordListCount(K2073,keywords!$B$2:$B$31)</f>
        <v>0</v>
      </c>
      <c r="P2073" s="25">
        <f t="shared" si="65"/>
        <v>0.77827546296296291</v>
      </c>
      <c r="Q2073" s="23">
        <f>SUM($O$2:O2073)</f>
        <v>57</v>
      </c>
      <c r="Y2073" s="14"/>
      <c r="Z2073" s="13"/>
      <c r="AA2073"/>
    </row>
    <row r="2074" spans="1:27" x14ac:dyDescent="0.2">
      <c r="A2074" s="12" t="s">
        <v>6339</v>
      </c>
      <c r="B2074" t="s">
        <v>6340</v>
      </c>
      <c r="C2074" t="s">
        <v>6341</v>
      </c>
      <c r="D2074" t="s">
        <v>12</v>
      </c>
      <c r="E2074" t="s">
        <v>13</v>
      </c>
      <c r="F2074">
        <v>8</v>
      </c>
      <c r="G2074">
        <v>79</v>
      </c>
      <c r="H2074" s="5" t="s">
        <v>22</v>
      </c>
      <c r="I2074" s="5">
        <v>0</v>
      </c>
      <c r="J2074" s="5">
        <v>0</v>
      </c>
      <c r="K2074" t="s">
        <v>11217</v>
      </c>
      <c r="L2074" cm="1">
        <f t="array" ref="L2074">wordCount(K2074)</f>
        <v>3</v>
      </c>
      <c r="M2074">
        <f t="shared" si="64"/>
        <v>21</v>
      </c>
      <c r="N2074">
        <v>0.77777777777777779</v>
      </c>
      <c r="O2074" s="23" cm="1">
        <f t="array" ref="O2074">WordListCount(K2074,keywords!$A$2:$A$31)-WordListCount(K2074,keywords!$B$2:$B$31)</f>
        <v>0</v>
      </c>
      <c r="P2074" s="25">
        <f t="shared" si="65"/>
        <v>0.77840277777777767</v>
      </c>
      <c r="Q2074" s="23">
        <f>SUM($O$2:O2074)</f>
        <v>57</v>
      </c>
      <c r="Y2074" s="14"/>
      <c r="Z2074" s="13"/>
      <c r="AA2074"/>
    </row>
    <row r="2075" spans="1:27" x14ac:dyDescent="0.2">
      <c r="A2075" s="12" t="s">
        <v>6342</v>
      </c>
      <c r="B2075" t="s">
        <v>6343</v>
      </c>
      <c r="C2075" t="s">
        <v>6344</v>
      </c>
      <c r="D2075" t="s">
        <v>6345</v>
      </c>
      <c r="E2075" t="s">
        <v>13</v>
      </c>
      <c r="F2075">
        <v>8588</v>
      </c>
      <c r="G2075">
        <v>1223</v>
      </c>
      <c r="H2075" s="5" t="s">
        <v>22</v>
      </c>
      <c r="I2075" s="5">
        <v>0</v>
      </c>
      <c r="J2075" s="5">
        <v>0</v>
      </c>
      <c r="K2075" t="s">
        <v>9639</v>
      </c>
      <c r="L2075" cm="1">
        <f t="array" ref="L2075">wordCount(K2075)</f>
        <v>11</v>
      </c>
      <c r="M2075">
        <f t="shared" si="64"/>
        <v>66</v>
      </c>
      <c r="N2075">
        <v>0.66666666666666663</v>
      </c>
      <c r="O2075" s="23" cm="1">
        <f t="array" ref="O2075">WordListCount(K2075,keywords!$A$2:$A$31)-WordListCount(K2075,keywords!$B$2:$B$31)</f>
        <v>0</v>
      </c>
      <c r="P2075" s="25">
        <f t="shared" si="65"/>
        <v>0.77917824074074071</v>
      </c>
      <c r="Q2075" s="23">
        <f>SUM($O$2:O2075)</f>
        <v>57</v>
      </c>
      <c r="Y2075" s="14"/>
      <c r="Z2075" s="13"/>
      <c r="AA2075"/>
    </row>
    <row r="2076" spans="1:27" x14ac:dyDescent="0.2">
      <c r="A2076" s="12" t="s">
        <v>6346</v>
      </c>
      <c r="B2076" t="s">
        <v>6226</v>
      </c>
      <c r="C2076" t="s">
        <v>6227</v>
      </c>
      <c r="D2076" t="s">
        <v>743</v>
      </c>
      <c r="E2076" t="s">
        <v>13</v>
      </c>
      <c r="F2076">
        <v>4</v>
      </c>
      <c r="G2076">
        <v>26</v>
      </c>
      <c r="H2076" s="5" t="s">
        <v>22</v>
      </c>
      <c r="I2076" s="5">
        <v>0</v>
      </c>
      <c r="J2076" s="5">
        <v>0</v>
      </c>
      <c r="K2076" t="s">
        <v>11197</v>
      </c>
      <c r="L2076" cm="1">
        <f t="array" ref="L2076">wordCount(K2076)</f>
        <v>22</v>
      </c>
      <c r="M2076">
        <f t="shared" si="64"/>
        <v>114</v>
      </c>
      <c r="N2076">
        <v>0.95</v>
      </c>
      <c r="O2076" s="23" cm="1">
        <f t="array" ref="O2076">WordListCount(K2076,keywords!$A$2:$A$31)-WordListCount(K2076,keywords!$B$2:$B$31)</f>
        <v>0</v>
      </c>
      <c r="P2076" s="25">
        <f t="shared" si="65"/>
        <v>0.77939814814814812</v>
      </c>
      <c r="Q2076" s="23">
        <f>SUM($O$2:O2076)</f>
        <v>57</v>
      </c>
      <c r="Y2076" s="14"/>
      <c r="Z2076" s="13"/>
      <c r="AA2076"/>
    </row>
    <row r="2077" spans="1:27" x14ac:dyDescent="0.2">
      <c r="A2077" s="12" t="s">
        <v>6347</v>
      </c>
      <c r="B2077" t="s">
        <v>6348</v>
      </c>
      <c r="C2077" t="s">
        <v>6349</v>
      </c>
      <c r="D2077" t="s">
        <v>112</v>
      </c>
      <c r="E2077" t="s">
        <v>13</v>
      </c>
      <c r="F2077">
        <v>5744</v>
      </c>
      <c r="G2077">
        <v>6127</v>
      </c>
      <c r="H2077" s="5" t="s">
        <v>14</v>
      </c>
      <c r="I2077" s="5">
        <v>0</v>
      </c>
      <c r="J2077" s="5">
        <v>0</v>
      </c>
      <c r="K2077" t="s">
        <v>9640</v>
      </c>
      <c r="L2077" cm="1">
        <f t="array" ref="L2077">wordCount(K2077)</f>
        <v>6</v>
      </c>
      <c r="M2077">
        <f t="shared" si="64"/>
        <v>39</v>
      </c>
      <c r="N2077">
        <v>0.9285714285714286</v>
      </c>
      <c r="O2077" s="23" cm="1">
        <f t="array" ref="O2077">WordListCount(K2077,keywords!$A$2:$A$31)-WordListCount(K2077,keywords!$B$2:$B$31)</f>
        <v>0</v>
      </c>
      <c r="P2077" s="25">
        <f t="shared" si="65"/>
        <v>0.77940972222222227</v>
      </c>
      <c r="Q2077" s="23">
        <f>SUM($O$2:O2077)</f>
        <v>57</v>
      </c>
      <c r="Y2077" s="14"/>
      <c r="Z2077" s="13"/>
      <c r="AA2077"/>
    </row>
    <row r="2078" spans="1:27" x14ac:dyDescent="0.2">
      <c r="A2078" s="12" t="s">
        <v>6350</v>
      </c>
      <c r="B2078" t="s">
        <v>6351</v>
      </c>
      <c r="C2078" t="s">
        <v>6352</v>
      </c>
      <c r="D2078" t="s">
        <v>12</v>
      </c>
      <c r="E2078" t="s">
        <v>13</v>
      </c>
      <c r="F2078">
        <v>641</v>
      </c>
      <c r="G2078">
        <v>0</v>
      </c>
      <c r="H2078" s="5" t="s">
        <v>22</v>
      </c>
      <c r="I2078" s="5">
        <v>0</v>
      </c>
      <c r="J2078" s="5">
        <v>0</v>
      </c>
      <c r="K2078" t="s">
        <v>9641</v>
      </c>
      <c r="L2078" cm="1">
        <f t="array" ref="L2078">wordCount(K2078)</f>
        <v>8</v>
      </c>
      <c r="M2078">
        <f t="shared" si="64"/>
        <v>47</v>
      </c>
      <c r="N2078">
        <v>0.6428571428571429</v>
      </c>
      <c r="O2078" s="23" cm="1">
        <f t="array" ref="O2078">WordListCount(K2078,keywords!$A$2:$A$31)-WordListCount(K2078,keywords!$B$2:$B$31)</f>
        <v>0</v>
      </c>
      <c r="P2078" s="25">
        <f t="shared" si="65"/>
        <v>0.77947916666666661</v>
      </c>
      <c r="Q2078" s="23">
        <f>SUM($O$2:O2078)</f>
        <v>57</v>
      </c>
      <c r="Y2078" s="14"/>
      <c r="Z2078" s="13"/>
      <c r="AA2078"/>
    </row>
    <row r="2079" spans="1:27" x14ac:dyDescent="0.2">
      <c r="A2079" s="12" t="s">
        <v>6353</v>
      </c>
      <c r="B2079" t="s">
        <v>6354</v>
      </c>
      <c r="C2079" t="s">
        <v>6355</v>
      </c>
      <c r="D2079" t="s">
        <v>12</v>
      </c>
      <c r="E2079" t="s">
        <v>13</v>
      </c>
      <c r="F2079">
        <v>223</v>
      </c>
      <c r="G2079">
        <v>292</v>
      </c>
      <c r="H2079" s="5" t="s">
        <v>677</v>
      </c>
      <c r="I2079" s="5">
        <v>0</v>
      </c>
      <c r="J2079" s="5">
        <v>0</v>
      </c>
      <c r="K2079" t="s">
        <v>11218</v>
      </c>
      <c r="L2079" cm="1">
        <f t="array" ref="L2079">wordCount(K2079)</f>
        <v>20</v>
      </c>
      <c r="M2079">
        <f t="shared" si="64"/>
        <v>74</v>
      </c>
      <c r="N2079">
        <v>0.375</v>
      </c>
      <c r="O2079" s="23" cm="1">
        <f t="array" ref="O2079">WordListCount(K2079,keywords!$A$2:$A$31)-WordListCount(K2079,keywords!$B$2:$B$31)</f>
        <v>0</v>
      </c>
      <c r="P2079" s="25">
        <f t="shared" si="65"/>
        <v>0.77949074074074076</v>
      </c>
      <c r="Q2079" s="23">
        <f>SUM($O$2:O2079)</f>
        <v>57</v>
      </c>
      <c r="Y2079" s="14"/>
      <c r="Z2079" s="13"/>
      <c r="AA2079"/>
    </row>
    <row r="2080" spans="1:27" x14ac:dyDescent="0.2">
      <c r="A2080" s="12" t="s">
        <v>6356</v>
      </c>
      <c r="B2080" t="s">
        <v>6357</v>
      </c>
      <c r="C2080" t="s">
        <v>6227</v>
      </c>
      <c r="D2080" t="s">
        <v>743</v>
      </c>
      <c r="E2080" t="s">
        <v>13</v>
      </c>
      <c r="F2080">
        <v>4</v>
      </c>
      <c r="G2080">
        <v>26</v>
      </c>
      <c r="H2080" s="5" t="s">
        <v>22</v>
      </c>
      <c r="I2080" s="5">
        <v>0</v>
      </c>
      <c r="J2080" s="5">
        <v>0</v>
      </c>
      <c r="K2080" t="s">
        <v>11197</v>
      </c>
      <c r="L2080" cm="1">
        <f t="array" ref="L2080">wordCount(K2080)</f>
        <v>22</v>
      </c>
      <c r="M2080">
        <f t="shared" si="64"/>
        <v>114</v>
      </c>
      <c r="N2080">
        <v>0.95</v>
      </c>
      <c r="O2080" s="23" cm="1">
        <f t="array" ref="O2080">WordListCount(K2080,keywords!$A$2:$A$31)-WordListCount(K2080,keywords!$B$2:$B$31)</f>
        <v>0</v>
      </c>
      <c r="P2080" s="25">
        <f t="shared" si="65"/>
        <v>0.77960648148148148</v>
      </c>
      <c r="Q2080" s="23">
        <f>SUM($O$2:O2080)</f>
        <v>57</v>
      </c>
      <c r="Y2080" s="14"/>
      <c r="Z2080" s="13"/>
      <c r="AA2080"/>
    </row>
    <row r="2081" spans="1:27" x14ac:dyDescent="0.2">
      <c r="A2081" s="12" t="s">
        <v>6358</v>
      </c>
      <c r="B2081" t="s">
        <v>6359</v>
      </c>
      <c r="C2081" t="s">
        <v>6360</v>
      </c>
      <c r="D2081" t="s">
        <v>6361</v>
      </c>
      <c r="E2081" t="s">
        <v>13</v>
      </c>
      <c r="F2081">
        <v>134</v>
      </c>
      <c r="G2081">
        <v>205</v>
      </c>
      <c r="H2081" s="5" t="s">
        <v>22</v>
      </c>
      <c r="I2081" s="5">
        <v>0</v>
      </c>
      <c r="J2081" s="5">
        <v>0</v>
      </c>
      <c r="K2081" t="s">
        <v>9642</v>
      </c>
      <c r="L2081" cm="1">
        <f t="array" ref="L2081">wordCount(K2081)</f>
        <v>6</v>
      </c>
      <c r="M2081">
        <f t="shared" si="64"/>
        <v>17</v>
      </c>
      <c r="N2081">
        <v>0.88888888888888884</v>
      </c>
      <c r="O2081" s="23" cm="1">
        <f t="array" ref="O2081">WordListCount(K2081,keywords!$A$2:$A$31)-WordListCount(K2081,keywords!$B$2:$B$31)</f>
        <v>0</v>
      </c>
      <c r="P2081" s="25">
        <f t="shared" si="65"/>
        <v>0.77961805555555552</v>
      </c>
      <c r="Q2081" s="23">
        <f>SUM($O$2:O2081)</f>
        <v>57</v>
      </c>
      <c r="Y2081" s="14"/>
      <c r="Z2081" s="13"/>
      <c r="AA2081"/>
    </row>
    <row r="2082" spans="1:27" x14ac:dyDescent="0.2">
      <c r="A2082" s="12" t="s">
        <v>6362</v>
      </c>
      <c r="B2082" t="s">
        <v>6357</v>
      </c>
      <c r="C2082" t="s">
        <v>6227</v>
      </c>
      <c r="D2082" t="s">
        <v>743</v>
      </c>
      <c r="E2082" t="s">
        <v>13</v>
      </c>
      <c r="F2082">
        <v>4</v>
      </c>
      <c r="G2082">
        <v>26</v>
      </c>
      <c r="H2082" s="5" t="s">
        <v>22</v>
      </c>
      <c r="I2082" s="5">
        <v>0</v>
      </c>
      <c r="J2082" s="5">
        <v>0</v>
      </c>
      <c r="K2082" t="s">
        <v>11197</v>
      </c>
      <c r="L2082" cm="1">
        <f t="array" ref="L2082">wordCount(K2082)</f>
        <v>22</v>
      </c>
      <c r="M2082">
        <f t="shared" si="64"/>
        <v>114</v>
      </c>
      <c r="N2082">
        <v>0.95</v>
      </c>
      <c r="O2082" s="23" cm="1">
        <f t="array" ref="O2082">WordListCount(K2082,keywords!$A$2:$A$31)-WordListCount(K2082,keywords!$B$2:$B$31)</f>
        <v>0</v>
      </c>
      <c r="P2082" s="25">
        <f t="shared" si="65"/>
        <v>0.77973379629629624</v>
      </c>
      <c r="Q2082" s="23">
        <f>SUM($O$2:O2082)</f>
        <v>57</v>
      </c>
      <c r="Y2082" s="14"/>
      <c r="Z2082" s="13"/>
      <c r="AA2082"/>
    </row>
    <row r="2083" spans="1:27" x14ac:dyDescent="0.2">
      <c r="A2083" s="12" t="s">
        <v>6363</v>
      </c>
      <c r="B2083" t="s">
        <v>6364</v>
      </c>
      <c r="C2083" t="s">
        <v>6365</v>
      </c>
      <c r="D2083" t="s">
        <v>3517</v>
      </c>
      <c r="E2083" t="s">
        <v>13</v>
      </c>
      <c r="F2083">
        <v>525</v>
      </c>
      <c r="G2083">
        <v>189</v>
      </c>
      <c r="H2083" s="5" t="s">
        <v>22</v>
      </c>
      <c r="I2083" s="5">
        <v>0</v>
      </c>
      <c r="J2083" s="5">
        <v>0</v>
      </c>
      <c r="K2083" t="s">
        <v>11219</v>
      </c>
      <c r="L2083" cm="1">
        <f t="array" ref="L2083">wordCount(K2083)</f>
        <v>20</v>
      </c>
      <c r="M2083">
        <f t="shared" si="64"/>
        <v>93</v>
      </c>
      <c r="N2083">
        <v>0.41666666666666669</v>
      </c>
      <c r="O2083" s="23" cm="1">
        <f t="array" ref="O2083">WordListCount(K2083,keywords!$A$2:$A$31)-WordListCount(K2083,keywords!$B$2:$B$31)</f>
        <v>0</v>
      </c>
      <c r="P2083" s="25">
        <f t="shared" si="65"/>
        <v>0.77989583333333334</v>
      </c>
      <c r="Q2083" s="23">
        <f>SUM($O$2:O2083)</f>
        <v>57</v>
      </c>
      <c r="Y2083" s="14"/>
      <c r="Z2083" s="13"/>
      <c r="AA2083"/>
    </row>
    <row r="2084" spans="1:27" x14ac:dyDescent="0.2">
      <c r="A2084" s="12" t="s">
        <v>6366</v>
      </c>
      <c r="B2084" t="s">
        <v>6367</v>
      </c>
      <c r="C2084" t="s">
        <v>6314</v>
      </c>
      <c r="D2084" t="s">
        <v>12</v>
      </c>
      <c r="E2084" t="s">
        <v>13</v>
      </c>
      <c r="F2084">
        <v>147</v>
      </c>
      <c r="G2084">
        <v>231</v>
      </c>
      <c r="H2084" s="5" t="s">
        <v>22</v>
      </c>
      <c r="I2084" s="5">
        <v>0</v>
      </c>
      <c r="J2084" s="5">
        <v>0</v>
      </c>
      <c r="K2084" t="s">
        <v>11220</v>
      </c>
      <c r="L2084" cm="1">
        <f t="array" ref="L2084">wordCount(K2084)</f>
        <v>18</v>
      </c>
      <c r="M2084">
        <f t="shared" si="64"/>
        <v>74</v>
      </c>
      <c r="N2084">
        <v>0.42857142857142855</v>
      </c>
      <c r="O2084" s="23" cm="1">
        <f t="array" ref="O2084">WordListCount(K2084,keywords!$A$2:$A$31)-WordListCount(K2084,keywords!$B$2:$B$31)</f>
        <v>0</v>
      </c>
      <c r="P2084" s="25">
        <f t="shared" si="65"/>
        <v>0.77999999999999992</v>
      </c>
      <c r="Q2084" s="23">
        <f>SUM($O$2:O2084)</f>
        <v>57</v>
      </c>
      <c r="Y2084" s="14"/>
      <c r="Z2084" s="13"/>
      <c r="AA2084"/>
    </row>
    <row r="2085" spans="1:27" x14ac:dyDescent="0.2">
      <c r="A2085" s="12" t="s">
        <v>6368</v>
      </c>
      <c r="B2085" t="s">
        <v>6369</v>
      </c>
      <c r="C2085" t="s">
        <v>6370</v>
      </c>
      <c r="D2085" t="s">
        <v>6371</v>
      </c>
      <c r="E2085" t="s">
        <v>13</v>
      </c>
      <c r="F2085">
        <v>103</v>
      </c>
      <c r="G2085">
        <v>252</v>
      </c>
      <c r="H2085" s="5" t="s">
        <v>22</v>
      </c>
      <c r="I2085" s="5">
        <v>0</v>
      </c>
      <c r="J2085" s="5">
        <v>0</v>
      </c>
      <c r="K2085" t="s">
        <v>11221</v>
      </c>
      <c r="L2085" cm="1">
        <f t="array" ref="L2085">wordCount(K2085)</f>
        <v>10</v>
      </c>
      <c r="M2085">
        <f t="shared" si="64"/>
        <v>68</v>
      </c>
      <c r="N2085">
        <v>0.5</v>
      </c>
      <c r="O2085" s="23" cm="1">
        <f t="array" ref="O2085">WordListCount(K2085,keywords!$A$2:$A$31)-WordListCount(K2085,keywords!$B$2:$B$31)</f>
        <v>0</v>
      </c>
      <c r="P2085" s="25">
        <f t="shared" si="65"/>
        <v>0.78016203703703713</v>
      </c>
      <c r="Q2085" s="23">
        <f>SUM($O$2:O2085)</f>
        <v>57</v>
      </c>
      <c r="Y2085" s="14"/>
      <c r="Z2085" s="13"/>
      <c r="AA2085"/>
    </row>
    <row r="2086" spans="1:27" x14ac:dyDescent="0.2">
      <c r="A2086" s="12" t="s">
        <v>6372</v>
      </c>
      <c r="B2086" t="s">
        <v>6373</v>
      </c>
      <c r="C2086" t="s">
        <v>6374</v>
      </c>
      <c r="D2086" t="s">
        <v>12</v>
      </c>
      <c r="E2086" t="s">
        <v>13</v>
      </c>
      <c r="F2086">
        <v>5</v>
      </c>
      <c r="G2086">
        <v>22</v>
      </c>
      <c r="H2086" s="5" t="s">
        <v>22</v>
      </c>
      <c r="I2086" s="5">
        <v>0</v>
      </c>
      <c r="J2086" s="5">
        <v>0</v>
      </c>
      <c r="K2086" t="s">
        <v>9255</v>
      </c>
      <c r="L2086" cm="1">
        <f t="array" ref="L2086">wordCount(K2086)</f>
        <v>1</v>
      </c>
      <c r="M2086">
        <f t="shared" si="64"/>
        <v>7</v>
      </c>
      <c r="N2086">
        <v>0.5</v>
      </c>
      <c r="O2086" s="23" cm="1">
        <f t="array" ref="O2086">WordListCount(K2086,keywords!$A$2:$A$31)-WordListCount(K2086,keywords!$B$2:$B$31)</f>
        <v>0</v>
      </c>
      <c r="P2086" s="25">
        <f t="shared" si="65"/>
        <v>0.78031249999999996</v>
      </c>
      <c r="Q2086" s="23">
        <f>SUM($O$2:O2086)</f>
        <v>57</v>
      </c>
      <c r="Y2086" s="14"/>
      <c r="Z2086" s="13"/>
      <c r="AA2086"/>
    </row>
    <row r="2087" spans="1:27" x14ac:dyDescent="0.2">
      <c r="A2087" s="12" t="s">
        <v>6375</v>
      </c>
      <c r="B2087" t="s">
        <v>6376</v>
      </c>
      <c r="C2087" t="s">
        <v>6377</v>
      </c>
      <c r="D2087" t="s">
        <v>12</v>
      </c>
      <c r="E2087" t="s">
        <v>13</v>
      </c>
      <c r="F2087">
        <v>25</v>
      </c>
      <c r="G2087">
        <v>115</v>
      </c>
      <c r="H2087" s="5" t="s">
        <v>22</v>
      </c>
      <c r="I2087" s="5">
        <v>0</v>
      </c>
      <c r="J2087" s="5">
        <v>0</v>
      </c>
      <c r="K2087" t="s">
        <v>11222</v>
      </c>
      <c r="L2087" cm="1">
        <f t="array" ref="L2087">wordCount(K2087)</f>
        <v>6</v>
      </c>
      <c r="M2087">
        <f t="shared" si="64"/>
        <v>41</v>
      </c>
      <c r="N2087">
        <v>0.68421052631578949</v>
      </c>
      <c r="O2087" s="23" cm="1">
        <f t="array" ref="O2087">WordListCount(K2087,keywords!$A$2:$A$31)-WordListCount(K2087,keywords!$B$2:$B$31)</f>
        <v>0</v>
      </c>
      <c r="P2087" s="25">
        <f t="shared" si="65"/>
        <v>0.78034722222222219</v>
      </c>
      <c r="Q2087" s="23">
        <f>SUM($O$2:O2087)</f>
        <v>57</v>
      </c>
      <c r="Y2087" s="14"/>
      <c r="Z2087" s="13"/>
      <c r="AA2087"/>
    </row>
    <row r="2088" spans="1:27" x14ac:dyDescent="0.2">
      <c r="A2088" s="12" t="s">
        <v>6378</v>
      </c>
      <c r="B2088" t="s">
        <v>6379</v>
      </c>
      <c r="C2088" t="s">
        <v>2874</v>
      </c>
      <c r="D2088" t="s">
        <v>12</v>
      </c>
      <c r="E2088" t="s">
        <v>13</v>
      </c>
      <c r="F2088">
        <v>7</v>
      </c>
      <c r="G2088">
        <v>7</v>
      </c>
      <c r="H2088" s="5" t="s">
        <v>382</v>
      </c>
      <c r="I2088" s="5">
        <v>0</v>
      </c>
      <c r="J2088" s="5">
        <v>0</v>
      </c>
      <c r="K2088" t="s">
        <v>11223</v>
      </c>
      <c r="L2088" cm="1">
        <f t="array" ref="L2088">wordCount(K2088)</f>
        <v>17</v>
      </c>
      <c r="M2088">
        <f t="shared" si="64"/>
        <v>103</v>
      </c>
      <c r="N2088">
        <v>0.48</v>
      </c>
      <c r="O2088" s="23" cm="1">
        <f t="array" ref="O2088">WordListCount(K2088,keywords!$A$2:$A$31)-WordListCount(K2088,keywords!$B$2:$B$31)</f>
        <v>0</v>
      </c>
      <c r="P2088" s="25">
        <f t="shared" si="65"/>
        <v>0.78085648148148146</v>
      </c>
      <c r="Q2088" s="23">
        <f>SUM($O$2:O2088)</f>
        <v>57</v>
      </c>
      <c r="Y2088" s="14"/>
      <c r="Z2088" s="13"/>
      <c r="AA2088"/>
    </row>
    <row r="2089" spans="1:27" x14ac:dyDescent="0.2">
      <c r="A2089" s="12" t="s">
        <v>6380</v>
      </c>
      <c r="B2089" t="s">
        <v>6381</v>
      </c>
      <c r="C2089" t="s">
        <v>429</v>
      </c>
      <c r="D2089" t="s">
        <v>430</v>
      </c>
      <c r="E2089" t="s">
        <v>13</v>
      </c>
      <c r="F2089">
        <v>1662</v>
      </c>
      <c r="G2089">
        <v>1478</v>
      </c>
      <c r="H2089" s="5" t="s">
        <v>22</v>
      </c>
      <c r="I2089" s="5">
        <v>0</v>
      </c>
      <c r="J2089" s="5">
        <v>0</v>
      </c>
      <c r="K2089" t="s">
        <v>11224</v>
      </c>
      <c r="L2089" cm="1">
        <f t="array" ref="L2089">wordCount(K2089)</f>
        <v>9</v>
      </c>
      <c r="M2089">
        <f t="shared" si="64"/>
        <v>64</v>
      </c>
      <c r="N2089">
        <v>0.8</v>
      </c>
      <c r="O2089" s="23" cm="1">
        <f t="array" ref="O2089">WordListCount(K2089,keywords!$A$2:$A$31)-WordListCount(K2089,keywords!$B$2:$B$31)</f>
        <v>0</v>
      </c>
      <c r="P2089" s="25">
        <f t="shared" si="65"/>
        <v>0.78127314814814808</v>
      </c>
      <c r="Q2089" s="23">
        <f>SUM($O$2:O2089)</f>
        <v>57</v>
      </c>
      <c r="Y2089" s="14"/>
      <c r="Z2089" s="13"/>
      <c r="AA2089"/>
    </row>
    <row r="2090" spans="1:27" x14ac:dyDescent="0.2">
      <c r="A2090" s="12" t="s">
        <v>6382</v>
      </c>
      <c r="B2090" t="s">
        <v>6383</v>
      </c>
      <c r="C2090" t="s">
        <v>6384</v>
      </c>
      <c r="D2090" t="s">
        <v>4826</v>
      </c>
      <c r="E2090" t="s">
        <v>13</v>
      </c>
      <c r="F2090">
        <v>207</v>
      </c>
      <c r="G2090">
        <v>699</v>
      </c>
      <c r="H2090" s="5" t="s">
        <v>22</v>
      </c>
      <c r="I2090" s="5">
        <v>0</v>
      </c>
      <c r="J2090" s="5">
        <v>0</v>
      </c>
      <c r="K2090" t="s">
        <v>11225</v>
      </c>
      <c r="L2090" cm="1">
        <f t="array" ref="L2090">wordCount(K2090)</f>
        <v>12</v>
      </c>
      <c r="M2090">
        <f t="shared" si="64"/>
        <v>43</v>
      </c>
      <c r="N2090">
        <v>0.61538461538461542</v>
      </c>
      <c r="O2090" s="23" cm="1">
        <f t="array" ref="O2090">WordListCount(K2090,keywords!$A$2:$A$31)-WordListCount(K2090,keywords!$B$2:$B$31)</f>
        <v>0</v>
      </c>
      <c r="P2090" s="25">
        <f t="shared" si="65"/>
        <v>0.78194444444444444</v>
      </c>
      <c r="Q2090" s="23">
        <f>SUM($O$2:O2090)</f>
        <v>57</v>
      </c>
      <c r="Y2090" s="14"/>
      <c r="Z2090" s="13"/>
      <c r="AA2090"/>
    </row>
    <row r="2091" spans="1:27" x14ac:dyDescent="0.2">
      <c r="A2091" s="12" t="s">
        <v>6385</v>
      </c>
      <c r="B2091" t="s">
        <v>6386</v>
      </c>
      <c r="C2091" t="s">
        <v>6387</v>
      </c>
      <c r="D2091" t="s">
        <v>6388</v>
      </c>
      <c r="E2091" t="s">
        <v>47</v>
      </c>
      <c r="F2091">
        <v>16662</v>
      </c>
      <c r="G2091">
        <v>1315</v>
      </c>
      <c r="H2091" s="5" t="s">
        <v>22</v>
      </c>
      <c r="I2091" s="5">
        <v>0</v>
      </c>
      <c r="J2091" s="5">
        <v>0</v>
      </c>
      <c r="K2091" t="s">
        <v>11226</v>
      </c>
      <c r="L2091" cm="1">
        <f t="array" ref="L2091">wordCount(K2091)</f>
        <v>17</v>
      </c>
      <c r="M2091">
        <f t="shared" si="64"/>
        <v>90</v>
      </c>
      <c r="N2091">
        <v>0.31578947368421051</v>
      </c>
      <c r="O2091" s="23" cm="1">
        <f t="array" ref="O2091">WordListCount(K2091,keywords!$A$2:$A$31)-WordListCount(K2091,keywords!$B$2:$B$31)</f>
        <v>0</v>
      </c>
      <c r="P2091" s="25">
        <f t="shared" si="65"/>
        <v>0.78203703703703698</v>
      </c>
      <c r="Q2091" s="23">
        <f>SUM($O$2:O2091)</f>
        <v>57</v>
      </c>
      <c r="Y2091" s="14"/>
      <c r="Z2091" s="13"/>
      <c r="AA2091"/>
    </row>
    <row r="2092" spans="1:27" x14ac:dyDescent="0.2">
      <c r="A2092" s="12" t="s">
        <v>6389</v>
      </c>
      <c r="B2092" t="s">
        <v>6390</v>
      </c>
      <c r="C2092" t="s">
        <v>6391</v>
      </c>
      <c r="D2092" t="s">
        <v>6392</v>
      </c>
      <c r="E2092" t="s">
        <v>13</v>
      </c>
      <c r="F2092">
        <v>18</v>
      </c>
      <c r="G2092">
        <v>187</v>
      </c>
      <c r="H2092" s="5" t="s">
        <v>22</v>
      </c>
      <c r="I2092" s="5">
        <v>0</v>
      </c>
      <c r="J2092" s="5">
        <v>0</v>
      </c>
      <c r="K2092" t="s">
        <v>11227</v>
      </c>
      <c r="L2092" cm="1">
        <f t="array" ref="L2092">wordCount(K2092)</f>
        <v>22</v>
      </c>
      <c r="M2092">
        <f t="shared" si="64"/>
        <v>118</v>
      </c>
      <c r="N2092">
        <v>0.22222222222222221</v>
      </c>
      <c r="O2092" s="23" cm="1">
        <f t="array" ref="O2092">WordListCount(K2092,keywords!$A$2:$A$31)-WordListCount(K2092,keywords!$B$2:$B$31)</f>
        <v>0</v>
      </c>
      <c r="P2092" s="25">
        <f t="shared" si="65"/>
        <v>0.7822337962962963</v>
      </c>
      <c r="Q2092" s="23">
        <f>SUM($O$2:O2092)</f>
        <v>57</v>
      </c>
      <c r="Y2092" s="14"/>
      <c r="Z2092" s="13"/>
      <c r="AA2092"/>
    </row>
    <row r="2093" spans="1:27" x14ac:dyDescent="0.2">
      <c r="A2093" s="12" t="s">
        <v>6393</v>
      </c>
      <c r="B2093" t="s">
        <v>6394</v>
      </c>
      <c r="C2093" t="s">
        <v>6395</v>
      </c>
      <c r="D2093" t="s">
        <v>108</v>
      </c>
      <c r="E2093" t="s">
        <v>13</v>
      </c>
      <c r="F2093">
        <v>145</v>
      </c>
      <c r="G2093">
        <v>124</v>
      </c>
      <c r="H2093" s="5" t="s">
        <v>22</v>
      </c>
      <c r="I2093" s="5">
        <v>0</v>
      </c>
      <c r="J2093" s="5">
        <v>0</v>
      </c>
      <c r="K2093" t="s">
        <v>11228</v>
      </c>
      <c r="L2093" cm="1">
        <f t="array" ref="L2093">wordCount(K2093)</f>
        <v>11</v>
      </c>
      <c r="M2093">
        <f t="shared" si="64"/>
        <v>48</v>
      </c>
      <c r="N2093">
        <v>0.5625</v>
      </c>
      <c r="O2093" s="23" cm="1">
        <f t="array" ref="O2093">WordListCount(K2093,keywords!$A$2:$A$31)-WordListCount(K2093,keywords!$B$2:$B$31)</f>
        <v>0</v>
      </c>
      <c r="P2093" s="25">
        <f t="shared" si="65"/>
        <v>0.78234953703703702</v>
      </c>
      <c r="Q2093" s="23">
        <f>SUM($O$2:O2093)</f>
        <v>57</v>
      </c>
      <c r="Y2093" s="14"/>
      <c r="Z2093" s="13"/>
      <c r="AA2093"/>
    </row>
    <row r="2094" spans="1:27" x14ac:dyDescent="0.2">
      <c r="A2094" s="12" t="s">
        <v>6396</v>
      </c>
      <c r="B2094" t="s">
        <v>6397</v>
      </c>
      <c r="C2094" t="s">
        <v>6398</v>
      </c>
      <c r="D2094" t="s">
        <v>6399</v>
      </c>
      <c r="E2094" t="s">
        <v>13</v>
      </c>
      <c r="F2094">
        <v>257</v>
      </c>
      <c r="G2094">
        <v>396</v>
      </c>
      <c r="H2094" s="5" t="s">
        <v>22</v>
      </c>
      <c r="I2094" s="5">
        <v>0</v>
      </c>
      <c r="J2094" s="5">
        <v>0</v>
      </c>
      <c r="K2094" t="s">
        <v>11229</v>
      </c>
      <c r="L2094" cm="1">
        <f t="array" ref="L2094">wordCount(K2094)</f>
        <v>13</v>
      </c>
      <c r="M2094">
        <f t="shared" si="64"/>
        <v>35</v>
      </c>
      <c r="N2094">
        <v>0.5</v>
      </c>
      <c r="O2094" s="23" cm="1">
        <f t="array" ref="O2094">WordListCount(K2094,keywords!$A$2:$A$31)-WordListCount(K2094,keywords!$B$2:$B$31)</f>
        <v>0</v>
      </c>
      <c r="P2094" s="25">
        <f t="shared" si="65"/>
        <v>0.78271990740740749</v>
      </c>
      <c r="Q2094" s="23">
        <f>SUM($O$2:O2094)</f>
        <v>57</v>
      </c>
      <c r="Y2094" s="14"/>
      <c r="Z2094" s="13"/>
      <c r="AA2094"/>
    </row>
    <row r="2095" spans="1:27" x14ac:dyDescent="0.2">
      <c r="A2095" s="12" t="s">
        <v>6400</v>
      </c>
      <c r="B2095" t="s">
        <v>6401</v>
      </c>
      <c r="C2095" t="s">
        <v>6402</v>
      </c>
      <c r="D2095" t="s">
        <v>74</v>
      </c>
      <c r="E2095" t="s">
        <v>13</v>
      </c>
      <c r="F2095">
        <v>26</v>
      </c>
      <c r="G2095">
        <v>285</v>
      </c>
      <c r="H2095" s="5" t="s">
        <v>22</v>
      </c>
      <c r="I2095" s="5">
        <v>0</v>
      </c>
      <c r="J2095" s="5">
        <v>0</v>
      </c>
      <c r="K2095" t="s">
        <v>11230</v>
      </c>
      <c r="L2095" cm="1">
        <f t="array" ref="L2095">wordCount(K2095)</f>
        <v>13</v>
      </c>
      <c r="M2095">
        <f t="shared" si="64"/>
        <v>59</v>
      </c>
      <c r="N2095">
        <v>0.5</v>
      </c>
      <c r="O2095" s="23" cm="1">
        <f t="array" ref="O2095">WordListCount(K2095,keywords!$A$2:$A$31)-WordListCount(K2095,keywords!$B$2:$B$31)</f>
        <v>-1</v>
      </c>
      <c r="P2095" s="25">
        <f t="shared" si="65"/>
        <v>0.7828356481481481</v>
      </c>
      <c r="Q2095" s="23">
        <f>SUM($O$2:O2095)</f>
        <v>56</v>
      </c>
      <c r="Y2095" s="14"/>
      <c r="Z2095" s="13"/>
      <c r="AA2095"/>
    </row>
    <row r="2096" spans="1:27" x14ac:dyDescent="0.2">
      <c r="A2096" s="12" t="s">
        <v>6403</v>
      </c>
      <c r="B2096" t="s">
        <v>6404</v>
      </c>
      <c r="C2096" t="s">
        <v>6405</v>
      </c>
      <c r="D2096" t="s">
        <v>12</v>
      </c>
      <c r="E2096" t="s">
        <v>13</v>
      </c>
      <c r="F2096">
        <v>7</v>
      </c>
      <c r="G2096">
        <v>56</v>
      </c>
      <c r="H2096" s="5" t="s">
        <v>22</v>
      </c>
      <c r="I2096" s="5">
        <v>0</v>
      </c>
      <c r="J2096" s="5">
        <v>0</v>
      </c>
      <c r="K2096" t="s">
        <v>11231</v>
      </c>
      <c r="L2096" cm="1">
        <f t="array" ref="L2096">wordCount(K2096)</f>
        <v>22</v>
      </c>
      <c r="M2096">
        <f t="shared" si="64"/>
        <v>112</v>
      </c>
      <c r="N2096">
        <v>0.23076923076923078</v>
      </c>
      <c r="O2096" s="23" cm="1">
        <f t="array" ref="O2096">WordListCount(K2096,keywords!$A$2:$A$31)-WordListCount(K2096,keywords!$B$2:$B$31)</f>
        <v>0</v>
      </c>
      <c r="P2096" s="25">
        <f t="shared" si="65"/>
        <v>0.78287037037037033</v>
      </c>
      <c r="Q2096" s="23">
        <f>SUM($O$2:O2096)</f>
        <v>56</v>
      </c>
      <c r="Y2096" s="14"/>
      <c r="Z2096" s="13"/>
      <c r="AA2096"/>
    </row>
    <row r="2097" spans="1:27" x14ac:dyDescent="0.2">
      <c r="A2097" s="12" t="s">
        <v>6406</v>
      </c>
      <c r="B2097" t="s">
        <v>6407</v>
      </c>
      <c r="C2097" t="s">
        <v>6408</v>
      </c>
      <c r="D2097" t="s">
        <v>12</v>
      </c>
      <c r="E2097" t="s">
        <v>13</v>
      </c>
      <c r="F2097">
        <v>117</v>
      </c>
      <c r="G2097">
        <v>328</v>
      </c>
      <c r="H2097" s="5" t="s">
        <v>677</v>
      </c>
      <c r="I2097" s="5">
        <v>0</v>
      </c>
      <c r="J2097" s="5">
        <v>0</v>
      </c>
      <c r="K2097" t="s">
        <v>11232</v>
      </c>
      <c r="L2097" cm="1">
        <f t="array" ref="L2097">wordCount(K2097)</f>
        <v>18</v>
      </c>
      <c r="M2097">
        <f t="shared" si="64"/>
        <v>90</v>
      </c>
      <c r="N2097">
        <v>0.54545454545454541</v>
      </c>
      <c r="O2097" s="23" cm="1">
        <f t="array" ref="O2097">WordListCount(K2097,keywords!$A$2:$A$31)-WordListCount(K2097,keywords!$B$2:$B$31)</f>
        <v>0</v>
      </c>
      <c r="P2097" s="25">
        <f t="shared" si="65"/>
        <v>0.78291666666666659</v>
      </c>
      <c r="Q2097" s="23">
        <f>SUM($O$2:O2097)</f>
        <v>56</v>
      </c>
      <c r="Y2097" s="14"/>
      <c r="Z2097" s="13"/>
      <c r="AA2097"/>
    </row>
    <row r="2098" spans="1:27" x14ac:dyDescent="0.2">
      <c r="A2098" s="12" t="s">
        <v>6409</v>
      </c>
      <c r="B2098" t="s">
        <v>6410</v>
      </c>
      <c r="C2098" t="s">
        <v>6411</v>
      </c>
      <c r="D2098" t="s">
        <v>6412</v>
      </c>
      <c r="E2098" t="s">
        <v>13</v>
      </c>
      <c r="F2098">
        <v>1803</v>
      </c>
      <c r="G2098">
        <v>996</v>
      </c>
      <c r="H2098" s="5" t="s">
        <v>22</v>
      </c>
      <c r="I2098" s="5">
        <v>0</v>
      </c>
      <c r="J2098" s="5">
        <v>0</v>
      </c>
      <c r="K2098" t="s">
        <v>9643</v>
      </c>
      <c r="L2098" cm="1">
        <f t="array" ref="L2098">wordCount(K2098)</f>
        <v>4</v>
      </c>
      <c r="M2098">
        <f t="shared" si="64"/>
        <v>15</v>
      </c>
      <c r="N2098">
        <v>0.94444444444444442</v>
      </c>
      <c r="O2098" s="23" cm="1">
        <f t="array" ref="O2098">WordListCount(K2098,keywords!$A$2:$A$31)-WordListCount(K2098,keywords!$B$2:$B$31)</f>
        <v>0</v>
      </c>
      <c r="P2098" s="25">
        <f t="shared" si="65"/>
        <v>0.78324074074074079</v>
      </c>
      <c r="Q2098" s="23">
        <f>SUM($O$2:O2098)</f>
        <v>56</v>
      </c>
      <c r="Y2098" s="14"/>
      <c r="Z2098" s="13"/>
      <c r="AA2098"/>
    </row>
    <row r="2099" spans="1:27" x14ac:dyDescent="0.2">
      <c r="A2099" s="12" t="s">
        <v>6413</v>
      </c>
      <c r="B2099" t="s">
        <v>6414</v>
      </c>
      <c r="C2099" t="s">
        <v>6415</v>
      </c>
      <c r="D2099" t="s">
        <v>6416</v>
      </c>
      <c r="E2099" t="s">
        <v>13</v>
      </c>
      <c r="F2099">
        <v>88</v>
      </c>
      <c r="G2099">
        <v>94</v>
      </c>
      <c r="H2099" s="5" t="s">
        <v>22</v>
      </c>
      <c r="I2099" s="5">
        <v>0</v>
      </c>
      <c r="J2099" s="5">
        <v>0</v>
      </c>
      <c r="K2099" t="s">
        <v>11233</v>
      </c>
      <c r="L2099" cm="1">
        <f t="array" ref="L2099">wordCount(K2099)</f>
        <v>7</v>
      </c>
      <c r="M2099">
        <f t="shared" si="64"/>
        <v>49</v>
      </c>
      <c r="N2099">
        <v>0.55555555555555558</v>
      </c>
      <c r="O2099" s="23" cm="1">
        <f t="array" ref="O2099">WordListCount(K2099,keywords!$A$2:$A$31)-WordListCount(K2099,keywords!$B$2:$B$31)</f>
        <v>0</v>
      </c>
      <c r="P2099" s="25">
        <f t="shared" si="65"/>
        <v>0.7833796296296297</v>
      </c>
      <c r="Q2099" s="23">
        <f>SUM($O$2:O2099)</f>
        <v>56</v>
      </c>
      <c r="Y2099" s="14"/>
      <c r="Z2099" s="13"/>
      <c r="AA2099"/>
    </row>
    <row r="2100" spans="1:27" x14ac:dyDescent="0.2">
      <c r="A2100" s="12" t="s">
        <v>6417</v>
      </c>
      <c r="B2100" t="s">
        <v>6418</v>
      </c>
      <c r="C2100" t="s">
        <v>6419</v>
      </c>
      <c r="D2100" t="s">
        <v>6420</v>
      </c>
      <c r="E2100" t="s">
        <v>13</v>
      </c>
      <c r="F2100">
        <v>1214</v>
      </c>
      <c r="G2100">
        <v>2257</v>
      </c>
      <c r="H2100" s="5" t="s">
        <v>22</v>
      </c>
      <c r="I2100" s="5">
        <v>0</v>
      </c>
      <c r="J2100" s="5">
        <v>0</v>
      </c>
      <c r="K2100" t="s">
        <v>11234</v>
      </c>
      <c r="L2100" cm="1">
        <f t="array" ref="L2100">wordCount(K2100)</f>
        <v>10</v>
      </c>
      <c r="M2100">
        <f t="shared" si="64"/>
        <v>60</v>
      </c>
      <c r="N2100">
        <v>0.65217391304347827</v>
      </c>
      <c r="O2100" s="23" cm="1">
        <f t="array" ref="O2100">WordListCount(K2100,keywords!$A$2:$A$31)-WordListCount(K2100,keywords!$B$2:$B$31)</f>
        <v>0</v>
      </c>
      <c r="P2100" s="25">
        <f t="shared" si="65"/>
        <v>0.78340277777777778</v>
      </c>
      <c r="Q2100" s="23">
        <f>SUM($O$2:O2100)</f>
        <v>56</v>
      </c>
      <c r="Y2100" s="14"/>
      <c r="Z2100" s="13"/>
      <c r="AA2100"/>
    </row>
    <row r="2101" spans="1:27" x14ac:dyDescent="0.2">
      <c r="A2101" s="12" t="s">
        <v>6421</v>
      </c>
      <c r="B2101" t="s">
        <v>6422</v>
      </c>
      <c r="C2101" t="s">
        <v>6423</v>
      </c>
      <c r="D2101" t="s">
        <v>12</v>
      </c>
      <c r="E2101" t="s">
        <v>13</v>
      </c>
      <c r="F2101">
        <v>7322</v>
      </c>
      <c r="G2101">
        <v>497</v>
      </c>
      <c r="H2101" s="5" t="s">
        <v>22</v>
      </c>
      <c r="I2101" s="5">
        <v>0</v>
      </c>
      <c r="J2101" s="5">
        <v>0</v>
      </c>
      <c r="K2101" t="s">
        <v>11235</v>
      </c>
      <c r="L2101" cm="1">
        <f t="array" ref="L2101">wordCount(K2101)</f>
        <v>27</v>
      </c>
      <c r="M2101">
        <f t="shared" si="64"/>
        <v>108</v>
      </c>
      <c r="N2101">
        <v>0.25</v>
      </c>
      <c r="O2101" s="23" cm="1">
        <f t="array" ref="O2101">WordListCount(K2101,keywords!$A$2:$A$31)-WordListCount(K2101,keywords!$B$2:$B$31)</f>
        <v>0</v>
      </c>
      <c r="P2101" s="25">
        <f t="shared" si="65"/>
        <v>0.78347222222222224</v>
      </c>
      <c r="Q2101" s="23">
        <f>SUM($O$2:O2101)</f>
        <v>56</v>
      </c>
      <c r="Y2101" s="14"/>
      <c r="Z2101" s="13"/>
      <c r="AA2101"/>
    </row>
    <row r="2102" spans="1:27" x14ac:dyDescent="0.2">
      <c r="A2102" s="12" t="s">
        <v>6424</v>
      </c>
      <c r="B2102" t="s">
        <v>6425</v>
      </c>
      <c r="C2102" t="s">
        <v>6426</v>
      </c>
      <c r="D2102" t="s">
        <v>776</v>
      </c>
      <c r="E2102" t="s">
        <v>13</v>
      </c>
      <c r="F2102">
        <v>160</v>
      </c>
      <c r="G2102">
        <v>176</v>
      </c>
      <c r="H2102" s="5" t="s">
        <v>22</v>
      </c>
      <c r="I2102" s="5">
        <v>0</v>
      </c>
      <c r="J2102" s="5">
        <v>0</v>
      </c>
      <c r="K2102" t="s">
        <v>9644</v>
      </c>
      <c r="L2102" cm="1">
        <f t="array" ref="L2102">wordCount(K2102)</f>
        <v>24</v>
      </c>
      <c r="M2102">
        <f t="shared" si="64"/>
        <v>124</v>
      </c>
      <c r="N2102">
        <v>0.35294117647058826</v>
      </c>
      <c r="O2102" s="23" cm="1">
        <f t="array" ref="O2102">WordListCount(K2102,keywords!$A$2:$A$31)-WordListCount(K2102,keywords!$B$2:$B$31)</f>
        <v>0</v>
      </c>
      <c r="P2102" s="25">
        <f t="shared" si="65"/>
        <v>0.78399305555555554</v>
      </c>
      <c r="Q2102" s="23">
        <f>SUM($O$2:O2102)</f>
        <v>56</v>
      </c>
      <c r="Y2102" s="14"/>
      <c r="Z2102" s="13"/>
      <c r="AA2102"/>
    </row>
    <row r="2103" spans="1:27" x14ac:dyDescent="0.2">
      <c r="A2103" s="12" t="s">
        <v>6427</v>
      </c>
      <c r="B2103" t="s">
        <v>6429</v>
      </c>
      <c r="C2103" t="s">
        <v>6430</v>
      </c>
      <c r="D2103" t="s">
        <v>12</v>
      </c>
      <c r="E2103" t="s">
        <v>13</v>
      </c>
      <c r="F2103">
        <v>409</v>
      </c>
      <c r="G2103">
        <v>131</v>
      </c>
      <c r="H2103" s="5" t="s">
        <v>22</v>
      </c>
      <c r="I2103" s="5">
        <v>0</v>
      </c>
      <c r="J2103" s="5">
        <v>0</v>
      </c>
      <c r="K2103" t="s">
        <v>9646</v>
      </c>
      <c r="L2103" cm="1">
        <f t="array" ref="L2103">wordCount(K2103)</f>
        <v>13</v>
      </c>
      <c r="M2103">
        <f t="shared" si="64"/>
        <v>68</v>
      </c>
      <c r="N2103">
        <v>0.45454545454545453</v>
      </c>
      <c r="O2103" s="23" cm="1">
        <f t="array" ref="O2103">WordListCount(K2103,keywords!$A$2:$A$31)-WordListCount(K2103,keywords!$B$2:$B$31)</f>
        <v>0</v>
      </c>
      <c r="P2103" s="25">
        <f t="shared" si="65"/>
        <v>0.78447916666666673</v>
      </c>
      <c r="Q2103" s="23">
        <f>SUM($O$2:O2103)</f>
        <v>56</v>
      </c>
      <c r="Y2103" s="14"/>
      <c r="Z2103" s="13"/>
      <c r="AA2103"/>
    </row>
    <row r="2104" spans="1:27" x14ac:dyDescent="0.2">
      <c r="A2104" s="12" t="s">
        <v>6427</v>
      </c>
      <c r="B2104" t="s">
        <v>6428</v>
      </c>
      <c r="C2104" t="s">
        <v>459</v>
      </c>
      <c r="D2104" t="s">
        <v>12</v>
      </c>
      <c r="E2104" t="s">
        <v>13</v>
      </c>
      <c r="F2104">
        <v>12</v>
      </c>
      <c r="G2104">
        <v>1</v>
      </c>
      <c r="H2104" s="5" t="s">
        <v>22</v>
      </c>
      <c r="I2104" s="5">
        <v>0</v>
      </c>
      <c r="J2104" s="5">
        <v>0</v>
      </c>
      <c r="K2104" t="s">
        <v>9645</v>
      </c>
      <c r="L2104" cm="1">
        <f t="array" ref="L2104">wordCount(K2104)</f>
        <v>15</v>
      </c>
      <c r="M2104">
        <f t="shared" si="64"/>
        <v>103</v>
      </c>
      <c r="N2104">
        <v>0.8125</v>
      </c>
      <c r="O2104" s="23" cm="1">
        <f t="array" ref="O2104">WordListCount(K2104,keywords!$A$2:$A$31)-WordListCount(K2104,keywords!$B$2:$B$31)</f>
        <v>0</v>
      </c>
      <c r="P2104" s="25">
        <f t="shared" si="65"/>
        <v>0.78447916666666673</v>
      </c>
      <c r="Q2104" s="23">
        <f>SUM($O$2:O2104)</f>
        <v>56</v>
      </c>
      <c r="Y2104" s="14"/>
      <c r="Z2104" s="13"/>
      <c r="AA2104"/>
    </row>
    <row r="2105" spans="1:27" x14ac:dyDescent="0.2">
      <c r="A2105" s="12" t="s">
        <v>6431</v>
      </c>
      <c r="B2105" t="s">
        <v>6432</v>
      </c>
      <c r="C2105" t="s">
        <v>6433</v>
      </c>
      <c r="D2105" t="s">
        <v>12</v>
      </c>
      <c r="E2105" t="s">
        <v>13</v>
      </c>
      <c r="F2105">
        <v>3194</v>
      </c>
      <c r="G2105">
        <v>3136</v>
      </c>
      <c r="H2105" s="5" t="s">
        <v>14</v>
      </c>
      <c r="I2105" s="5">
        <v>0</v>
      </c>
      <c r="J2105" s="5">
        <v>0</v>
      </c>
      <c r="K2105" t="s">
        <v>11236</v>
      </c>
      <c r="L2105" cm="1">
        <f t="array" ref="L2105">wordCount(K2105)</f>
        <v>13</v>
      </c>
      <c r="M2105">
        <f t="shared" si="64"/>
        <v>65</v>
      </c>
      <c r="N2105">
        <v>0.62962962962962965</v>
      </c>
      <c r="O2105" s="23" cm="1">
        <f t="array" ref="O2105">WordListCount(K2105,keywords!$A$2:$A$31)-WordListCount(K2105,keywords!$B$2:$B$31)</f>
        <v>0</v>
      </c>
      <c r="P2105" s="25">
        <f t="shared" si="65"/>
        <v>0.78457175925925926</v>
      </c>
      <c r="Q2105" s="23">
        <f>SUM($O$2:O2105)</f>
        <v>56</v>
      </c>
      <c r="Y2105" s="14"/>
      <c r="Z2105" s="13"/>
      <c r="AA2105"/>
    </row>
    <row r="2106" spans="1:27" x14ac:dyDescent="0.2">
      <c r="A2106" s="12" t="s">
        <v>6434</v>
      </c>
      <c r="B2106" t="s">
        <v>6435</v>
      </c>
      <c r="C2106" t="s">
        <v>6436</v>
      </c>
      <c r="D2106" t="s">
        <v>6437</v>
      </c>
      <c r="E2106" t="s">
        <v>13</v>
      </c>
      <c r="F2106">
        <v>109</v>
      </c>
      <c r="G2106">
        <v>584</v>
      </c>
      <c r="H2106" s="5" t="s">
        <v>22</v>
      </c>
      <c r="I2106" s="5">
        <v>0</v>
      </c>
      <c r="J2106" s="5">
        <v>0</v>
      </c>
      <c r="K2106" t="s">
        <v>11237</v>
      </c>
      <c r="L2106" cm="1">
        <f t="array" ref="L2106">wordCount(K2106)</f>
        <v>16</v>
      </c>
      <c r="M2106">
        <f t="shared" si="64"/>
        <v>79</v>
      </c>
      <c r="N2106">
        <v>0.5714285714285714</v>
      </c>
      <c r="O2106" s="23" cm="1">
        <f t="array" ref="O2106">WordListCount(K2106,keywords!$A$2:$A$31)-WordListCount(K2106,keywords!$B$2:$B$31)</f>
        <v>0</v>
      </c>
      <c r="P2106" s="25">
        <f t="shared" si="65"/>
        <v>0.78462962962962957</v>
      </c>
      <c r="Q2106" s="23">
        <f>SUM($O$2:O2106)</f>
        <v>56</v>
      </c>
      <c r="Y2106" s="14"/>
      <c r="Z2106" s="13"/>
      <c r="AA2106"/>
    </row>
    <row r="2107" spans="1:27" x14ac:dyDescent="0.2">
      <c r="A2107" s="12" t="s">
        <v>6438</v>
      </c>
      <c r="B2107" t="s">
        <v>6439</v>
      </c>
      <c r="C2107" t="s">
        <v>862</v>
      </c>
      <c r="D2107" t="s">
        <v>597</v>
      </c>
      <c r="E2107" t="s">
        <v>13</v>
      </c>
      <c r="F2107">
        <v>1032</v>
      </c>
      <c r="G2107">
        <v>189</v>
      </c>
      <c r="H2107" s="5" t="s">
        <v>22</v>
      </c>
      <c r="I2107" s="5">
        <v>0</v>
      </c>
      <c r="J2107" s="5">
        <v>0</v>
      </c>
      <c r="K2107" t="s">
        <v>9647</v>
      </c>
      <c r="L2107" cm="1">
        <f t="array" ref="L2107">wordCount(K2107)</f>
        <v>8</v>
      </c>
      <c r="M2107">
        <f t="shared" si="64"/>
        <v>53</v>
      </c>
      <c r="N2107">
        <v>0.63636363636363635</v>
      </c>
      <c r="O2107" s="23" cm="1">
        <f t="array" ref="O2107">WordListCount(K2107,keywords!$A$2:$A$31)-WordListCount(K2107,keywords!$B$2:$B$31)</f>
        <v>0</v>
      </c>
      <c r="P2107" s="25">
        <f t="shared" si="65"/>
        <v>0.78473379629629625</v>
      </c>
      <c r="Q2107" s="23">
        <f>SUM($O$2:O2107)</f>
        <v>56</v>
      </c>
      <c r="Y2107" s="14"/>
      <c r="Z2107" s="13"/>
      <c r="AA2107"/>
    </row>
    <row r="2108" spans="1:27" x14ac:dyDescent="0.2">
      <c r="A2108" s="12" t="s">
        <v>6440</v>
      </c>
      <c r="B2108" t="s">
        <v>6441</v>
      </c>
      <c r="C2108" t="s">
        <v>6442</v>
      </c>
      <c r="D2108" t="s">
        <v>6443</v>
      </c>
      <c r="E2108" t="s">
        <v>13</v>
      </c>
      <c r="F2108">
        <v>137</v>
      </c>
      <c r="G2108">
        <v>404</v>
      </c>
      <c r="H2108" s="5" t="s">
        <v>22</v>
      </c>
      <c r="I2108" s="5">
        <v>0</v>
      </c>
      <c r="J2108" s="5">
        <v>0</v>
      </c>
      <c r="K2108" t="s">
        <v>11238</v>
      </c>
      <c r="L2108" cm="1">
        <f t="array" ref="L2108">wordCount(K2108)</f>
        <v>8</v>
      </c>
      <c r="M2108">
        <f t="shared" si="64"/>
        <v>36</v>
      </c>
      <c r="N2108">
        <v>0.375</v>
      </c>
      <c r="O2108" s="23" cm="1">
        <f t="array" ref="O2108">WordListCount(K2108,keywords!$A$2:$A$31)-WordListCount(K2108,keywords!$B$2:$B$31)</f>
        <v>1</v>
      </c>
      <c r="P2108" s="25">
        <f t="shared" si="65"/>
        <v>0.78486111111111112</v>
      </c>
      <c r="Q2108" s="23">
        <f>SUM($O$2:O2108)</f>
        <v>57</v>
      </c>
      <c r="Y2108" s="14"/>
      <c r="Z2108" s="13"/>
      <c r="AA2108"/>
    </row>
    <row r="2109" spans="1:27" x14ac:dyDescent="0.2">
      <c r="A2109" s="12" t="s">
        <v>6444</v>
      </c>
      <c r="B2109" t="s">
        <v>6445</v>
      </c>
      <c r="C2109" t="s">
        <v>6446</v>
      </c>
      <c r="D2109" t="s">
        <v>12</v>
      </c>
      <c r="E2109" t="s">
        <v>13</v>
      </c>
      <c r="F2109">
        <v>56</v>
      </c>
      <c r="G2109">
        <v>110</v>
      </c>
      <c r="H2109" s="5" t="s">
        <v>22</v>
      </c>
      <c r="I2109" s="5">
        <v>0</v>
      </c>
      <c r="J2109" s="5">
        <v>0</v>
      </c>
      <c r="K2109" t="s">
        <v>9047</v>
      </c>
      <c r="L2109" cm="1">
        <f t="array" ref="L2109">wordCount(K2109)</f>
        <v>1</v>
      </c>
      <c r="M2109">
        <f t="shared" si="64"/>
        <v>7</v>
      </c>
      <c r="N2109">
        <v>0.5</v>
      </c>
      <c r="O2109" s="23" cm="1">
        <f t="array" ref="O2109">WordListCount(K2109,keywords!$A$2:$A$31)-WordListCount(K2109,keywords!$B$2:$B$31)</f>
        <v>0</v>
      </c>
      <c r="P2109" s="25">
        <f t="shared" si="65"/>
        <v>0.78516203703703702</v>
      </c>
      <c r="Q2109" s="23">
        <f>SUM($O$2:O2109)</f>
        <v>57</v>
      </c>
      <c r="Y2109" s="14"/>
      <c r="Z2109" s="13"/>
      <c r="AA2109"/>
    </row>
    <row r="2110" spans="1:27" x14ac:dyDescent="0.2">
      <c r="A2110" s="12" t="s">
        <v>6447</v>
      </c>
      <c r="B2110" t="s">
        <v>6448</v>
      </c>
      <c r="C2110" t="s">
        <v>6449</v>
      </c>
      <c r="D2110" t="s">
        <v>12</v>
      </c>
      <c r="E2110" t="s">
        <v>13</v>
      </c>
      <c r="F2110">
        <v>3518</v>
      </c>
      <c r="G2110">
        <v>990</v>
      </c>
      <c r="H2110" s="5" t="s">
        <v>22</v>
      </c>
      <c r="I2110" s="5">
        <v>0</v>
      </c>
      <c r="J2110" s="5">
        <v>0</v>
      </c>
      <c r="K2110" t="s">
        <v>9648</v>
      </c>
      <c r="L2110" cm="1">
        <f t="array" ref="L2110">wordCount(K2110)</f>
        <v>7</v>
      </c>
      <c r="M2110">
        <f t="shared" si="64"/>
        <v>33</v>
      </c>
      <c r="N2110">
        <v>0.5</v>
      </c>
      <c r="O2110" s="23" cm="1">
        <f t="array" ref="O2110">WordListCount(K2110,keywords!$A$2:$A$31)-WordListCount(K2110,keywords!$B$2:$B$31)</f>
        <v>0</v>
      </c>
      <c r="P2110" s="25">
        <f t="shared" si="65"/>
        <v>0.78525462962962955</v>
      </c>
      <c r="Q2110" s="23">
        <f>SUM($O$2:O2110)</f>
        <v>57</v>
      </c>
      <c r="Y2110" s="14"/>
      <c r="Z2110" s="13"/>
      <c r="AA2110"/>
    </row>
    <row r="2111" spans="1:27" x14ac:dyDescent="0.2">
      <c r="A2111" s="12" t="s">
        <v>6450</v>
      </c>
      <c r="B2111" t="s">
        <v>6451</v>
      </c>
      <c r="C2111" t="s">
        <v>6452</v>
      </c>
      <c r="D2111" t="s">
        <v>12</v>
      </c>
      <c r="E2111" t="s">
        <v>13</v>
      </c>
      <c r="F2111">
        <v>12423</v>
      </c>
      <c r="G2111">
        <v>537</v>
      </c>
      <c r="H2111" s="5" t="s">
        <v>22</v>
      </c>
      <c r="I2111" s="5">
        <v>0</v>
      </c>
      <c r="J2111" s="5">
        <v>0</v>
      </c>
      <c r="K2111" t="s">
        <v>11239</v>
      </c>
      <c r="L2111" cm="1">
        <f t="array" ref="L2111">wordCount(K2111)</f>
        <v>16</v>
      </c>
      <c r="M2111">
        <f t="shared" si="64"/>
        <v>85</v>
      </c>
      <c r="N2111">
        <v>0.39130434782608697</v>
      </c>
      <c r="O2111" s="23" cm="1">
        <f t="array" ref="O2111">WordListCount(K2111,keywords!$A$2:$A$31)-WordListCount(K2111,keywords!$B$2:$B$31)</f>
        <v>0</v>
      </c>
      <c r="P2111" s="25">
        <f t="shared" si="65"/>
        <v>0.78583333333333327</v>
      </c>
      <c r="Q2111" s="23">
        <f>SUM($O$2:O2111)</f>
        <v>57</v>
      </c>
      <c r="Y2111" s="14"/>
      <c r="Z2111" s="13"/>
      <c r="AA2111"/>
    </row>
    <row r="2112" spans="1:27" x14ac:dyDescent="0.2">
      <c r="A2112" s="12" t="s">
        <v>6453</v>
      </c>
      <c r="B2112" t="s">
        <v>6454</v>
      </c>
      <c r="C2112" t="s">
        <v>6455</v>
      </c>
      <c r="D2112" t="s">
        <v>6456</v>
      </c>
      <c r="E2112" t="s">
        <v>13</v>
      </c>
      <c r="F2112">
        <v>336</v>
      </c>
      <c r="G2112">
        <v>809</v>
      </c>
      <c r="H2112" s="5" t="s">
        <v>22</v>
      </c>
      <c r="I2112" s="5">
        <v>0</v>
      </c>
      <c r="J2112" s="5">
        <v>0</v>
      </c>
      <c r="K2112" t="s">
        <v>11240</v>
      </c>
      <c r="L2112" cm="1">
        <f t="array" ref="L2112">wordCount(K2112)</f>
        <v>27</v>
      </c>
      <c r="M2112">
        <f t="shared" si="64"/>
        <v>138</v>
      </c>
      <c r="N2112">
        <v>0.41025641025641024</v>
      </c>
      <c r="O2112" s="23" cm="1">
        <f t="array" ref="O2112">WordListCount(K2112,keywords!$A$2:$A$31)-WordListCount(K2112,keywords!$B$2:$B$31)</f>
        <v>1</v>
      </c>
      <c r="P2112" s="25">
        <f t="shared" si="65"/>
        <v>0.78600694444444441</v>
      </c>
      <c r="Q2112" s="23">
        <f>SUM($O$2:O2112)</f>
        <v>58</v>
      </c>
      <c r="Y2112" s="14"/>
      <c r="Z2112" s="13"/>
      <c r="AA2112"/>
    </row>
    <row r="2113" spans="1:27" x14ac:dyDescent="0.2">
      <c r="A2113" s="12" t="s">
        <v>6457</v>
      </c>
      <c r="B2113" t="s">
        <v>6458</v>
      </c>
      <c r="C2113" t="s">
        <v>6459</v>
      </c>
      <c r="D2113" t="s">
        <v>6460</v>
      </c>
      <c r="E2113" t="s">
        <v>13</v>
      </c>
      <c r="F2113">
        <v>177</v>
      </c>
      <c r="G2113">
        <v>284</v>
      </c>
      <c r="H2113" s="5" t="s">
        <v>22</v>
      </c>
      <c r="I2113" s="5">
        <v>0</v>
      </c>
      <c r="J2113" s="5">
        <v>0</v>
      </c>
      <c r="K2113" t="s">
        <v>11241</v>
      </c>
      <c r="L2113" cm="1">
        <f t="array" ref="L2113">wordCount(K2113)</f>
        <v>8</v>
      </c>
      <c r="M2113">
        <f t="shared" si="64"/>
        <v>36</v>
      </c>
      <c r="N2113">
        <v>0.78260869565217395</v>
      </c>
      <c r="O2113" s="23" cm="1">
        <f t="array" ref="O2113">WordListCount(K2113,keywords!$A$2:$A$31)-WordListCount(K2113,keywords!$B$2:$B$31)</f>
        <v>0</v>
      </c>
      <c r="P2113" s="25">
        <f t="shared" si="65"/>
        <v>0.78712962962962962</v>
      </c>
      <c r="Q2113" s="23">
        <f>SUM($O$2:O2113)</f>
        <v>58</v>
      </c>
      <c r="Y2113" s="14"/>
      <c r="Z2113" s="13"/>
      <c r="AA2113"/>
    </row>
    <row r="2114" spans="1:27" x14ac:dyDescent="0.2">
      <c r="A2114" s="12" t="s">
        <v>6461</v>
      </c>
      <c r="B2114" t="s">
        <v>6462</v>
      </c>
      <c r="C2114" t="s">
        <v>6463</v>
      </c>
      <c r="D2114" t="s">
        <v>12</v>
      </c>
      <c r="E2114" t="s">
        <v>13</v>
      </c>
      <c r="F2114">
        <v>34534</v>
      </c>
      <c r="G2114">
        <v>4</v>
      </c>
      <c r="H2114" s="5" t="s">
        <v>22</v>
      </c>
      <c r="I2114" s="5">
        <v>0</v>
      </c>
      <c r="J2114" s="5">
        <v>0</v>
      </c>
      <c r="K2114" t="s">
        <v>11242</v>
      </c>
      <c r="L2114" cm="1">
        <f t="array" ref="L2114">wordCount(K2114)</f>
        <v>12</v>
      </c>
      <c r="M2114">
        <f t="shared" ref="M2114:M2177" si="66">LEN(K2114)</f>
        <v>45</v>
      </c>
      <c r="N2114">
        <v>0.35714285714285715</v>
      </c>
      <c r="O2114" s="23" cm="1">
        <f t="array" ref="O2114">WordListCount(K2114,keywords!$A$2:$A$31)-WordListCount(K2114,keywords!$B$2:$B$31)</f>
        <v>0</v>
      </c>
      <c r="P2114" s="25">
        <f t="shared" ref="P2114:P2177" si="67">TIMEVALUE(RIGHT(A2114,8))</f>
        <v>0.78775462962962972</v>
      </c>
      <c r="Q2114" s="23">
        <f>SUM($O$2:O2114)</f>
        <v>58</v>
      </c>
      <c r="Y2114" s="14"/>
      <c r="Z2114" s="13"/>
      <c r="AA2114"/>
    </row>
    <row r="2115" spans="1:27" x14ac:dyDescent="0.2">
      <c r="A2115" s="12" t="s">
        <v>6464</v>
      </c>
      <c r="B2115" t="s">
        <v>6465</v>
      </c>
      <c r="C2115" t="s">
        <v>5704</v>
      </c>
      <c r="D2115" t="s">
        <v>12</v>
      </c>
      <c r="E2115" t="s">
        <v>13</v>
      </c>
      <c r="F2115">
        <v>4</v>
      </c>
      <c r="G2115">
        <v>0</v>
      </c>
      <c r="H2115" s="5" t="s">
        <v>22</v>
      </c>
      <c r="I2115" s="5">
        <v>0</v>
      </c>
      <c r="J2115" s="5">
        <v>0</v>
      </c>
      <c r="K2115" t="s">
        <v>11243</v>
      </c>
      <c r="L2115" cm="1">
        <f t="array" ref="L2115">wordCount(K2115)</f>
        <v>9</v>
      </c>
      <c r="M2115">
        <f t="shared" si="66"/>
        <v>31</v>
      </c>
      <c r="N2115">
        <v>0.82352941176470584</v>
      </c>
      <c r="O2115" s="23" cm="1">
        <f t="array" ref="O2115">WordListCount(K2115,keywords!$A$2:$A$31)-WordListCount(K2115,keywords!$B$2:$B$31)</f>
        <v>0</v>
      </c>
      <c r="P2115" s="25">
        <f t="shared" si="67"/>
        <v>0.78778935185185184</v>
      </c>
      <c r="Q2115" s="23">
        <f>SUM($O$2:O2115)</f>
        <v>58</v>
      </c>
      <c r="Y2115" s="14"/>
      <c r="Z2115" s="13"/>
      <c r="AA2115"/>
    </row>
    <row r="2116" spans="1:27" x14ac:dyDescent="0.2">
      <c r="A2116" s="12" t="s">
        <v>6466</v>
      </c>
      <c r="B2116" t="s">
        <v>6467</v>
      </c>
      <c r="C2116" t="s">
        <v>6468</v>
      </c>
      <c r="D2116" t="s">
        <v>12</v>
      </c>
      <c r="E2116" t="s">
        <v>13</v>
      </c>
      <c r="F2116">
        <v>155</v>
      </c>
      <c r="G2116">
        <v>570</v>
      </c>
      <c r="H2116" s="5" t="s">
        <v>22</v>
      </c>
      <c r="I2116" s="5">
        <v>0</v>
      </c>
      <c r="J2116" s="5">
        <v>0</v>
      </c>
      <c r="K2116" t="s">
        <v>11244</v>
      </c>
      <c r="L2116" cm="1">
        <f t="array" ref="L2116">wordCount(K2116)</f>
        <v>17</v>
      </c>
      <c r="M2116">
        <f t="shared" si="66"/>
        <v>71</v>
      </c>
      <c r="N2116">
        <v>0.45454545454545453</v>
      </c>
      <c r="O2116" s="23" cm="1">
        <f t="array" ref="O2116">WordListCount(K2116,keywords!$A$2:$A$31)-WordListCount(K2116,keywords!$B$2:$B$31)</f>
        <v>0</v>
      </c>
      <c r="P2116" s="25">
        <f t="shared" si="67"/>
        <v>0.78783564814814822</v>
      </c>
      <c r="Q2116" s="23">
        <f>SUM($O$2:O2116)</f>
        <v>58</v>
      </c>
      <c r="Y2116" s="14"/>
      <c r="Z2116" s="13"/>
      <c r="AA2116"/>
    </row>
    <row r="2117" spans="1:27" x14ac:dyDescent="0.2">
      <c r="A2117" s="12" t="s">
        <v>6469</v>
      </c>
      <c r="B2117" t="s">
        <v>6470</v>
      </c>
      <c r="C2117" t="s">
        <v>6471</v>
      </c>
      <c r="D2117" t="s">
        <v>12</v>
      </c>
      <c r="E2117" t="s">
        <v>13</v>
      </c>
      <c r="F2117">
        <v>49</v>
      </c>
      <c r="G2117">
        <v>161</v>
      </c>
      <c r="H2117" s="5" t="s">
        <v>22</v>
      </c>
      <c r="I2117" s="5">
        <v>0</v>
      </c>
      <c r="J2117" s="5">
        <v>0</v>
      </c>
      <c r="K2117" t="s">
        <v>9649</v>
      </c>
      <c r="L2117" cm="1">
        <f t="array" ref="L2117">wordCount(K2117)</f>
        <v>2</v>
      </c>
      <c r="M2117">
        <f t="shared" si="66"/>
        <v>11</v>
      </c>
      <c r="N2117">
        <v>0.92307692307692313</v>
      </c>
      <c r="O2117" s="23" cm="1">
        <f t="array" ref="O2117">WordListCount(K2117,keywords!$A$2:$A$31)-WordListCount(K2117,keywords!$B$2:$B$31)</f>
        <v>0</v>
      </c>
      <c r="P2117" s="25">
        <f t="shared" si="67"/>
        <v>0.78785879629629629</v>
      </c>
      <c r="Q2117" s="23">
        <f>SUM($O$2:O2117)</f>
        <v>58</v>
      </c>
      <c r="Y2117" s="14"/>
      <c r="Z2117" s="13"/>
      <c r="AA2117"/>
    </row>
    <row r="2118" spans="1:27" x14ac:dyDescent="0.2">
      <c r="A2118" s="12" t="s">
        <v>6472</v>
      </c>
      <c r="B2118" t="s">
        <v>6473</v>
      </c>
      <c r="C2118" t="s">
        <v>2248</v>
      </c>
      <c r="D2118" t="s">
        <v>2249</v>
      </c>
      <c r="E2118" t="s">
        <v>13</v>
      </c>
      <c r="F2118">
        <v>9756</v>
      </c>
      <c r="G2118">
        <v>399</v>
      </c>
      <c r="H2118" s="5" t="s">
        <v>22</v>
      </c>
      <c r="I2118" s="5">
        <v>0</v>
      </c>
      <c r="J2118" s="5">
        <v>0</v>
      </c>
      <c r="K2118" t="s">
        <v>11245</v>
      </c>
      <c r="L2118" cm="1">
        <f t="array" ref="L2118">wordCount(K2118)</f>
        <v>10</v>
      </c>
      <c r="M2118">
        <f t="shared" si="66"/>
        <v>48</v>
      </c>
      <c r="N2118">
        <v>0.65217391304347827</v>
      </c>
      <c r="O2118" s="23" cm="1">
        <f t="array" ref="O2118">WordListCount(K2118,keywords!$A$2:$A$31)-WordListCount(K2118,keywords!$B$2:$B$31)</f>
        <v>0</v>
      </c>
      <c r="P2118" s="25">
        <f t="shared" si="67"/>
        <v>0.78810185185185189</v>
      </c>
      <c r="Q2118" s="23">
        <f>SUM($O$2:O2118)</f>
        <v>58</v>
      </c>
      <c r="Y2118" s="14"/>
      <c r="Z2118" s="13"/>
      <c r="AA2118"/>
    </row>
    <row r="2119" spans="1:27" x14ac:dyDescent="0.2">
      <c r="A2119" s="12" t="s">
        <v>6474</v>
      </c>
      <c r="B2119" t="s">
        <v>6475</v>
      </c>
      <c r="C2119" t="s">
        <v>6476</v>
      </c>
      <c r="D2119" t="s">
        <v>12</v>
      </c>
      <c r="E2119" t="s">
        <v>13</v>
      </c>
      <c r="F2119">
        <v>339</v>
      </c>
      <c r="G2119">
        <v>324</v>
      </c>
      <c r="H2119" s="5" t="s">
        <v>22</v>
      </c>
      <c r="I2119" s="5">
        <v>0</v>
      </c>
      <c r="J2119" s="5">
        <v>0</v>
      </c>
      <c r="K2119" t="s">
        <v>9650</v>
      </c>
      <c r="L2119" cm="1">
        <f t="array" ref="L2119">wordCount(K2119)</f>
        <v>13</v>
      </c>
      <c r="M2119">
        <f t="shared" si="66"/>
        <v>53</v>
      </c>
      <c r="N2119">
        <v>0.66666666666666663</v>
      </c>
      <c r="O2119" s="23" cm="1">
        <f t="array" ref="O2119">WordListCount(K2119,keywords!$A$2:$A$31)-WordListCount(K2119,keywords!$B$2:$B$31)</f>
        <v>0</v>
      </c>
      <c r="P2119" s="25">
        <f t="shared" si="67"/>
        <v>0.78841435185185194</v>
      </c>
      <c r="Q2119" s="23">
        <f>SUM($O$2:O2119)</f>
        <v>58</v>
      </c>
      <c r="Y2119" s="14"/>
      <c r="Z2119" s="13"/>
      <c r="AA2119"/>
    </row>
    <row r="2120" spans="1:27" x14ac:dyDescent="0.2">
      <c r="A2120" s="12" t="s">
        <v>6477</v>
      </c>
      <c r="B2120" t="s">
        <v>6478</v>
      </c>
      <c r="C2120" t="s">
        <v>492</v>
      </c>
      <c r="D2120" t="s">
        <v>493</v>
      </c>
      <c r="E2120" t="s">
        <v>13</v>
      </c>
      <c r="F2120">
        <v>5</v>
      </c>
      <c r="G2120">
        <v>13</v>
      </c>
      <c r="H2120" s="5" t="s">
        <v>22</v>
      </c>
      <c r="I2120" s="5">
        <v>0</v>
      </c>
      <c r="J2120" s="5">
        <v>0</v>
      </c>
      <c r="K2120" t="s">
        <v>11246</v>
      </c>
      <c r="L2120" cm="1">
        <f t="array" ref="L2120">wordCount(K2120)</f>
        <v>14</v>
      </c>
      <c r="M2120">
        <f t="shared" si="66"/>
        <v>58</v>
      </c>
      <c r="N2120">
        <v>0.60869565217391308</v>
      </c>
      <c r="O2120" s="23" cm="1">
        <f t="array" ref="O2120">WordListCount(K2120,keywords!$A$2:$A$31)-WordListCount(K2120,keywords!$B$2:$B$31)</f>
        <v>0</v>
      </c>
      <c r="P2120" s="25">
        <f t="shared" si="67"/>
        <v>0.78847222222222213</v>
      </c>
      <c r="Q2120" s="23">
        <f>SUM($O$2:O2120)</f>
        <v>58</v>
      </c>
      <c r="Y2120" s="14"/>
      <c r="Z2120" s="13"/>
      <c r="AA2120"/>
    </row>
    <row r="2121" spans="1:27" x14ac:dyDescent="0.2">
      <c r="A2121" s="12" t="s">
        <v>6479</v>
      </c>
      <c r="B2121" t="s">
        <v>6480</v>
      </c>
      <c r="C2121" t="s">
        <v>6481</v>
      </c>
      <c r="D2121" t="s">
        <v>6482</v>
      </c>
      <c r="E2121" t="s">
        <v>13</v>
      </c>
      <c r="F2121">
        <v>117</v>
      </c>
      <c r="G2121">
        <v>455</v>
      </c>
      <c r="H2121" s="5" t="s">
        <v>22</v>
      </c>
      <c r="I2121" s="5">
        <v>0</v>
      </c>
      <c r="J2121" s="5">
        <v>0</v>
      </c>
      <c r="K2121" t="s">
        <v>9651</v>
      </c>
      <c r="L2121" cm="1">
        <f t="array" ref="L2121">wordCount(K2121)</f>
        <v>6</v>
      </c>
      <c r="M2121">
        <f t="shared" si="66"/>
        <v>31</v>
      </c>
      <c r="N2121">
        <v>0.6875</v>
      </c>
      <c r="O2121" s="23" cm="1">
        <f t="array" ref="O2121">WordListCount(K2121,keywords!$A$2:$A$31)-WordListCount(K2121,keywords!$B$2:$B$31)</f>
        <v>0</v>
      </c>
      <c r="P2121" s="25">
        <f t="shared" si="67"/>
        <v>0.78866898148148146</v>
      </c>
      <c r="Q2121" s="23">
        <f>SUM($O$2:O2121)</f>
        <v>58</v>
      </c>
      <c r="Y2121" s="14"/>
      <c r="Z2121" s="13"/>
      <c r="AA2121"/>
    </row>
    <row r="2122" spans="1:27" x14ac:dyDescent="0.2">
      <c r="A2122" s="12" t="s">
        <v>6483</v>
      </c>
      <c r="B2122" t="s">
        <v>6484</v>
      </c>
      <c r="C2122" t="s">
        <v>6485</v>
      </c>
      <c r="D2122" t="s">
        <v>1913</v>
      </c>
      <c r="E2122" t="s">
        <v>13</v>
      </c>
      <c r="F2122">
        <v>97</v>
      </c>
      <c r="G2122">
        <v>183</v>
      </c>
      <c r="H2122" s="5" t="s">
        <v>22</v>
      </c>
      <c r="I2122" s="5">
        <v>0</v>
      </c>
      <c r="J2122" s="5">
        <v>0</v>
      </c>
      <c r="K2122" t="s">
        <v>9652</v>
      </c>
      <c r="L2122" cm="1">
        <f t="array" ref="L2122">wordCount(K2122)</f>
        <v>19</v>
      </c>
      <c r="M2122">
        <f t="shared" si="66"/>
        <v>91</v>
      </c>
      <c r="N2122">
        <v>0.31818181818181818</v>
      </c>
      <c r="O2122" s="23" cm="1">
        <f t="array" ref="O2122">WordListCount(K2122,keywords!$A$2:$A$31)-WordListCount(K2122,keywords!$B$2:$B$31)</f>
        <v>0</v>
      </c>
      <c r="P2122" s="25">
        <f t="shared" si="67"/>
        <v>0.78892361111111109</v>
      </c>
      <c r="Q2122" s="23">
        <f>SUM($O$2:O2122)</f>
        <v>58</v>
      </c>
      <c r="Y2122" s="14"/>
      <c r="Z2122" s="13"/>
      <c r="AA2122"/>
    </row>
    <row r="2123" spans="1:27" x14ac:dyDescent="0.2">
      <c r="A2123" s="12" t="s">
        <v>6486</v>
      </c>
      <c r="B2123" t="s">
        <v>6487</v>
      </c>
      <c r="C2123" t="s">
        <v>241</v>
      </c>
      <c r="D2123" t="s">
        <v>242</v>
      </c>
      <c r="E2123" t="s">
        <v>13</v>
      </c>
      <c r="F2123">
        <v>9231</v>
      </c>
      <c r="G2123">
        <v>7170</v>
      </c>
      <c r="H2123" s="5" t="s">
        <v>22</v>
      </c>
      <c r="I2123" s="5">
        <v>0</v>
      </c>
      <c r="J2123" s="5">
        <v>0</v>
      </c>
      <c r="K2123" t="s">
        <v>11247</v>
      </c>
      <c r="L2123" cm="1">
        <f t="array" ref="L2123">wordCount(K2123)</f>
        <v>14</v>
      </c>
      <c r="M2123">
        <f t="shared" si="66"/>
        <v>67</v>
      </c>
      <c r="N2123">
        <v>0.55000000000000004</v>
      </c>
      <c r="O2123" s="23" cm="1">
        <f t="array" ref="O2123">WordListCount(K2123,keywords!$A$2:$A$31)-WordListCount(K2123,keywords!$B$2:$B$31)</f>
        <v>0</v>
      </c>
      <c r="P2123" s="25">
        <f t="shared" si="67"/>
        <v>0.78922453703703699</v>
      </c>
      <c r="Q2123" s="23">
        <f>SUM($O$2:O2123)</f>
        <v>58</v>
      </c>
      <c r="Y2123" s="14"/>
      <c r="Z2123" s="13"/>
      <c r="AA2123"/>
    </row>
    <row r="2124" spans="1:27" x14ac:dyDescent="0.2">
      <c r="A2124" s="12" t="s">
        <v>6488</v>
      </c>
      <c r="B2124" t="s">
        <v>6489</v>
      </c>
      <c r="C2124" t="s">
        <v>6490</v>
      </c>
      <c r="D2124" t="s">
        <v>621</v>
      </c>
      <c r="E2124" t="s">
        <v>13</v>
      </c>
      <c r="F2124">
        <v>3454</v>
      </c>
      <c r="G2124">
        <v>2616</v>
      </c>
      <c r="H2124" s="5" t="s">
        <v>22</v>
      </c>
      <c r="I2124" s="5">
        <v>0</v>
      </c>
      <c r="J2124" s="5">
        <v>0</v>
      </c>
      <c r="K2124" t="s">
        <v>11248</v>
      </c>
      <c r="L2124" cm="1">
        <f t="array" ref="L2124">wordCount(K2124)</f>
        <v>9</v>
      </c>
      <c r="M2124">
        <f t="shared" si="66"/>
        <v>45</v>
      </c>
      <c r="N2124">
        <v>0.46153846153846156</v>
      </c>
      <c r="O2124" s="23" cm="1">
        <f t="array" ref="O2124">WordListCount(K2124,keywords!$A$2:$A$31)-WordListCount(K2124,keywords!$B$2:$B$31)</f>
        <v>0</v>
      </c>
      <c r="P2124" s="25">
        <f t="shared" si="67"/>
        <v>0.78932870370370367</v>
      </c>
      <c r="Q2124" s="23">
        <f>SUM($O$2:O2124)</f>
        <v>58</v>
      </c>
      <c r="Y2124" s="14"/>
      <c r="Z2124" s="13"/>
      <c r="AA2124"/>
    </row>
    <row r="2125" spans="1:27" x14ac:dyDescent="0.2">
      <c r="A2125" s="12" t="s">
        <v>6491</v>
      </c>
      <c r="B2125" t="s">
        <v>6492</v>
      </c>
      <c r="C2125" t="s">
        <v>6493</v>
      </c>
      <c r="D2125" t="s">
        <v>6494</v>
      </c>
      <c r="E2125" t="s">
        <v>13</v>
      </c>
      <c r="F2125">
        <v>517</v>
      </c>
      <c r="G2125">
        <v>850</v>
      </c>
      <c r="H2125" s="5" t="s">
        <v>22</v>
      </c>
      <c r="I2125" s="5">
        <v>0</v>
      </c>
      <c r="J2125" s="5">
        <v>0</v>
      </c>
      <c r="K2125" t="s">
        <v>11249</v>
      </c>
      <c r="L2125" cm="1">
        <f t="array" ref="L2125">wordCount(K2125)</f>
        <v>6</v>
      </c>
      <c r="M2125">
        <f t="shared" si="66"/>
        <v>29</v>
      </c>
      <c r="N2125">
        <v>0.6470588235294118</v>
      </c>
      <c r="O2125" s="23" cm="1">
        <f t="array" ref="O2125">WordListCount(K2125,keywords!$A$2:$A$31)-WordListCount(K2125,keywords!$B$2:$B$31)</f>
        <v>0</v>
      </c>
      <c r="P2125" s="25">
        <f t="shared" si="67"/>
        <v>0.78965277777777787</v>
      </c>
      <c r="Q2125" s="23">
        <f>SUM($O$2:O2125)</f>
        <v>58</v>
      </c>
      <c r="Y2125" s="14"/>
      <c r="Z2125" s="13"/>
      <c r="AA2125"/>
    </row>
    <row r="2126" spans="1:27" x14ac:dyDescent="0.2">
      <c r="A2126" s="12" t="s">
        <v>6495</v>
      </c>
      <c r="B2126" t="s">
        <v>6496</v>
      </c>
      <c r="C2126" t="s">
        <v>6497</v>
      </c>
      <c r="D2126" t="s">
        <v>6498</v>
      </c>
      <c r="E2126" t="s">
        <v>13</v>
      </c>
      <c r="F2126">
        <v>187</v>
      </c>
      <c r="G2126">
        <v>624</v>
      </c>
      <c r="H2126" s="5" t="s">
        <v>22</v>
      </c>
      <c r="I2126" s="5">
        <v>0</v>
      </c>
      <c r="J2126" s="5">
        <v>0</v>
      </c>
      <c r="K2126" t="s">
        <v>11250</v>
      </c>
      <c r="L2126" cm="1">
        <f t="array" ref="L2126">wordCount(K2126)</f>
        <v>16</v>
      </c>
      <c r="M2126">
        <f t="shared" si="66"/>
        <v>102</v>
      </c>
      <c r="N2126">
        <v>0.31578947368421051</v>
      </c>
      <c r="O2126" s="23" cm="1">
        <f t="array" ref="O2126">WordListCount(K2126,keywords!$A$2:$A$31)-WordListCount(K2126,keywords!$B$2:$B$31)</f>
        <v>0</v>
      </c>
      <c r="P2126" s="25">
        <f t="shared" si="67"/>
        <v>0.78969907407407414</v>
      </c>
      <c r="Q2126" s="23">
        <f>SUM($O$2:O2126)</f>
        <v>58</v>
      </c>
      <c r="Y2126" s="14"/>
      <c r="Z2126" s="13"/>
      <c r="AA2126"/>
    </row>
    <row r="2127" spans="1:27" x14ac:dyDescent="0.2">
      <c r="A2127" s="12" t="s">
        <v>6499</v>
      </c>
      <c r="B2127" t="s">
        <v>6500</v>
      </c>
      <c r="C2127" t="s">
        <v>6490</v>
      </c>
      <c r="D2127" t="s">
        <v>621</v>
      </c>
      <c r="E2127" t="s">
        <v>13</v>
      </c>
      <c r="F2127">
        <v>3454</v>
      </c>
      <c r="G2127">
        <v>2616</v>
      </c>
      <c r="H2127" s="5" t="s">
        <v>22</v>
      </c>
      <c r="I2127" s="5">
        <v>0</v>
      </c>
      <c r="J2127" s="5">
        <v>0</v>
      </c>
      <c r="K2127" t="s">
        <v>11251</v>
      </c>
      <c r="L2127" cm="1">
        <f t="array" ref="L2127">wordCount(K2127)</f>
        <v>13</v>
      </c>
      <c r="M2127">
        <f t="shared" si="66"/>
        <v>66</v>
      </c>
      <c r="N2127">
        <v>0.56521739130434778</v>
      </c>
      <c r="O2127" s="23" cm="1">
        <f t="array" ref="O2127">WordListCount(K2127,keywords!$A$2:$A$31)-WordListCount(K2127,keywords!$B$2:$B$31)</f>
        <v>0</v>
      </c>
      <c r="P2127" s="25">
        <f t="shared" si="67"/>
        <v>0.79011574074074076</v>
      </c>
      <c r="Q2127" s="23">
        <f>SUM($O$2:O2127)</f>
        <v>58</v>
      </c>
      <c r="Y2127" s="14"/>
      <c r="Z2127" s="13"/>
      <c r="AA2127"/>
    </row>
    <row r="2128" spans="1:27" x14ac:dyDescent="0.2">
      <c r="A2128" s="12" t="s">
        <v>6501</v>
      </c>
      <c r="B2128" t="s">
        <v>6502</v>
      </c>
      <c r="C2128" t="s">
        <v>6503</v>
      </c>
      <c r="D2128" t="s">
        <v>6504</v>
      </c>
      <c r="E2128" t="s">
        <v>13</v>
      </c>
      <c r="F2128">
        <v>589</v>
      </c>
      <c r="G2128">
        <v>1289</v>
      </c>
      <c r="H2128" s="5" t="s">
        <v>22</v>
      </c>
      <c r="I2128" s="5">
        <v>0</v>
      </c>
      <c r="J2128" s="5">
        <v>0</v>
      </c>
      <c r="K2128" t="s">
        <v>11252</v>
      </c>
      <c r="L2128" cm="1">
        <f t="array" ref="L2128">wordCount(K2128)</f>
        <v>20</v>
      </c>
      <c r="M2128">
        <f t="shared" si="66"/>
        <v>103</v>
      </c>
      <c r="N2128">
        <v>0.46153846153846156</v>
      </c>
      <c r="O2128" s="23" cm="1">
        <f t="array" ref="O2128">WordListCount(K2128,keywords!$A$2:$A$31)-WordListCount(K2128,keywords!$B$2:$B$31)</f>
        <v>0</v>
      </c>
      <c r="P2128" s="25">
        <f t="shared" si="67"/>
        <v>0.79013888888888895</v>
      </c>
      <c r="Q2128" s="23">
        <f>SUM($O$2:O2128)</f>
        <v>58</v>
      </c>
      <c r="Y2128" s="14"/>
      <c r="Z2128" s="13"/>
      <c r="AA2128"/>
    </row>
    <row r="2129" spans="1:27" x14ac:dyDescent="0.2">
      <c r="A2129" s="12" t="s">
        <v>6505</v>
      </c>
      <c r="B2129" t="s">
        <v>6506</v>
      </c>
      <c r="C2129" t="s">
        <v>469</v>
      </c>
      <c r="D2129" t="s">
        <v>470</v>
      </c>
      <c r="E2129" t="s">
        <v>13</v>
      </c>
      <c r="F2129">
        <v>6124</v>
      </c>
      <c r="G2129">
        <v>384</v>
      </c>
      <c r="H2129" s="5" t="s">
        <v>22</v>
      </c>
      <c r="I2129" s="5">
        <v>0</v>
      </c>
      <c r="J2129" s="5">
        <v>0</v>
      </c>
      <c r="K2129" t="s">
        <v>11253</v>
      </c>
      <c r="L2129" cm="1">
        <f t="array" ref="L2129">wordCount(K2129)</f>
        <v>11</v>
      </c>
      <c r="M2129">
        <f t="shared" si="66"/>
        <v>47</v>
      </c>
      <c r="N2129">
        <v>0.65</v>
      </c>
      <c r="O2129" s="23" cm="1">
        <f t="array" ref="O2129">WordListCount(K2129,keywords!$A$2:$A$31)-WordListCount(K2129,keywords!$B$2:$B$31)</f>
        <v>0</v>
      </c>
      <c r="P2129" s="25">
        <f t="shared" si="67"/>
        <v>0.79018518518518521</v>
      </c>
      <c r="Q2129" s="23">
        <f>SUM($O$2:O2129)</f>
        <v>58</v>
      </c>
      <c r="Y2129" s="14"/>
      <c r="Z2129" s="13"/>
      <c r="AA2129"/>
    </row>
    <row r="2130" spans="1:27" x14ac:dyDescent="0.2">
      <c r="A2130" s="12" t="s">
        <v>6507</v>
      </c>
      <c r="B2130" t="s">
        <v>6508</v>
      </c>
      <c r="C2130" t="s">
        <v>6509</v>
      </c>
      <c r="D2130" t="s">
        <v>6510</v>
      </c>
      <c r="E2130" t="s">
        <v>13</v>
      </c>
      <c r="F2130">
        <v>1650</v>
      </c>
      <c r="G2130">
        <v>1570</v>
      </c>
      <c r="H2130" s="5" t="s">
        <v>22</v>
      </c>
      <c r="I2130" s="5">
        <v>0</v>
      </c>
      <c r="J2130" s="5">
        <v>0</v>
      </c>
      <c r="K2130" t="s">
        <v>11254</v>
      </c>
      <c r="L2130" cm="1">
        <f t="array" ref="L2130">wordCount(K2130)</f>
        <v>13</v>
      </c>
      <c r="M2130">
        <f t="shared" si="66"/>
        <v>55</v>
      </c>
      <c r="N2130">
        <v>0.26666666666666666</v>
      </c>
      <c r="O2130" s="23" cm="1">
        <f t="array" ref="O2130">WordListCount(K2130,keywords!$A$2:$A$31)-WordListCount(K2130,keywords!$B$2:$B$31)</f>
        <v>0</v>
      </c>
      <c r="P2130" s="25">
        <f t="shared" si="67"/>
        <v>0.79031250000000008</v>
      </c>
      <c r="Q2130" s="23">
        <f>SUM($O$2:O2130)</f>
        <v>58</v>
      </c>
      <c r="Y2130" s="14"/>
      <c r="Z2130" s="13"/>
      <c r="AA2130"/>
    </row>
    <row r="2131" spans="1:27" x14ac:dyDescent="0.2">
      <c r="A2131" s="12" t="s">
        <v>6511</v>
      </c>
      <c r="B2131" t="s">
        <v>6512</v>
      </c>
      <c r="C2131" t="s">
        <v>6513</v>
      </c>
      <c r="D2131" t="s">
        <v>743</v>
      </c>
      <c r="E2131" t="s">
        <v>13</v>
      </c>
      <c r="F2131">
        <v>24</v>
      </c>
      <c r="G2131">
        <v>74</v>
      </c>
      <c r="H2131" s="5" t="s">
        <v>22</v>
      </c>
      <c r="I2131" s="5">
        <v>0</v>
      </c>
      <c r="J2131" s="5">
        <v>0</v>
      </c>
      <c r="K2131" t="s">
        <v>11255</v>
      </c>
      <c r="L2131" cm="1">
        <f t="array" ref="L2131">wordCount(K2131)</f>
        <v>5</v>
      </c>
      <c r="M2131">
        <f t="shared" si="66"/>
        <v>29</v>
      </c>
      <c r="N2131">
        <v>0.42857142857142855</v>
      </c>
      <c r="O2131" s="23" cm="1">
        <f t="array" ref="O2131">WordListCount(K2131,keywords!$A$2:$A$31)-WordListCount(K2131,keywords!$B$2:$B$31)</f>
        <v>0</v>
      </c>
      <c r="P2131" s="25">
        <f t="shared" si="67"/>
        <v>0.79060185185185183</v>
      </c>
      <c r="Q2131" s="23">
        <f>SUM($O$2:O2131)</f>
        <v>58</v>
      </c>
      <c r="Y2131" s="14"/>
      <c r="Z2131" s="13"/>
      <c r="AA2131"/>
    </row>
    <row r="2132" spans="1:27" x14ac:dyDescent="0.2">
      <c r="A2132" s="12" t="s">
        <v>6514</v>
      </c>
      <c r="B2132" t="s">
        <v>6515</v>
      </c>
      <c r="C2132" t="s">
        <v>6516</v>
      </c>
      <c r="D2132" t="s">
        <v>12</v>
      </c>
      <c r="E2132" t="s">
        <v>13</v>
      </c>
      <c r="F2132">
        <v>127</v>
      </c>
      <c r="G2132">
        <v>271</v>
      </c>
      <c r="H2132" s="5" t="s">
        <v>22</v>
      </c>
      <c r="I2132" s="5">
        <v>0</v>
      </c>
      <c r="J2132" s="5">
        <v>0</v>
      </c>
      <c r="K2132" t="s">
        <v>11256</v>
      </c>
      <c r="L2132" cm="1">
        <f t="array" ref="L2132">wordCount(K2132)</f>
        <v>15</v>
      </c>
      <c r="M2132">
        <f t="shared" si="66"/>
        <v>83</v>
      </c>
      <c r="N2132">
        <v>0.56000000000000005</v>
      </c>
      <c r="O2132" s="23" cm="1">
        <f t="array" ref="O2132">WordListCount(K2132,keywords!$A$2:$A$31)-WordListCount(K2132,keywords!$B$2:$B$31)</f>
        <v>0</v>
      </c>
      <c r="P2132" s="25">
        <f t="shared" si="67"/>
        <v>0.79068287037037033</v>
      </c>
      <c r="Q2132" s="23">
        <f>SUM($O$2:O2132)</f>
        <v>58</v>
      </c>
      <c r="Y2132" s="14"/>
      <c r="Z2132" s="13"/>
      <c r="AA2132"/>
    </row>
    <row r="2133" spans="1:27" x14ac:dyDescent="0.2">
      <c r="A2133" s="12" t="s">
        <v>6517</v>
      </c>
      <c r="B2133" t="s">
        <v>6518</v>
      </c>
      <c r="C2133" t="s">
        <v>6519</v>
      </c>
      <c r="D2133" t="s">
        <v>12</v>
      </c>
      <c r="E2133" t="s">
        <v>13</v>
      </c>
      <c r="F2133">
        <v>40</v>
      </c>
      <c r="G2133">
        <v>201</v>
      </c>
      <c r="H2133" s="5" t="s">
        <v>22</v>
      </c>
      <c r="I2133" s="5">
        <v>0</v>
      </c>
      <c r="J2133" s="5">
        <v>0</v>
      </c>
      <c r="K2133" t="s">
        <v>11257</v>
      </c>
      <c r="L2133" cm="1">
        <f t="array" ref="L2133">wordCount(K2133)</f>
        <v>25</v>
      </c>
      <c r="M2133">
        <f t="shared" si="66"/>
        <v>126</v>
      </c>
      <c r="N2133">
        <v>0.35714285714285715</v>
      </c>
      <c r="O2133" s="23" cm="1">
        <f t="array" ref="O2133">WordListCount(K2133,keywords!$A$2:$A$31)-WordListCount(K2133,keywords!$B$2:$B$31)</f>
        <v>0</v>
      </c>
      <c r="P2133" s="25">
        <f t="shared" si="67"/>
        <v>0.79071759259259267</v>
      </c>
      <c r="Q2133" s="23">
        <f>SUM($O$2:O2133)</f>
        <v>58</v>
      </c>
      <c r="Y2133" s="14"/>
      <c r="Z2133" s="13"/>
      <c r="AA2133"/>
    </row>
    <row r="2134" spans="1:27" x14ac:dyDescent="0.2">
      <c r="A2134" s="12" t="s">
        <v>6520</v>
      </c>
      <c r="B2134" t="s">
        <v>6521</v>
      </c>
      <c r="C2134" t="s">
        <v>511</v>
      </c>
      <c r="D2134" t="s">
        <v>512</v>
      </c>
      <c r="E2134" t="s">
        <v>13</v>
      </c>
      <c r="F2134">
        <v>1898</v>
      </c>
      <c r="G2134">
        <v>540</v>
      </c>
      <c r="H2134" s="5" t="s">
        <v>22</v>
      </c>
      <c r="I2134" s="5">
        <v>0</v>
      </c>
      <c r="J2134" s="5">
        <v>0</v>
      </c>
      <c r="K2134" t="s">
        <v>9653</v>
      </c>
      <c r="L2134" cm="1">
        <f t="array" ref="L2134">wordCount(K2134)</f>
        <v>11</v>
      </c>
      <c r="M2134">
        <f t="shared" si="66"/>
        <v>55</v>
      </c>
      <c r="N2134">
        <v>0.90909090909090906</v>
      </c>
      <c r="O2134" s="23" cm="1">
        <f t="array" ref="O2134">WordListCount(K2134,keywords!$A$2:$A$31)-WordListCount(K2134,keywords!$B$2:$B$31)</f>
        <v>0</v>
      </c>
      <c r="P2134" s="25">
        <f t="shared" si="67"/>
        <v>0.79103009259259249</v>
      </c>
      <c r="Q2134" s="23">
        <f>SUM($O$2:O2134)</f>
        <v>58</v>
      </c>
      <c r="Y2134" s="14"/>
      <c r="Z2134" s="13"/>
      <c r="AA2134"/>
    </row>
    <row r="2135" spans="1:27" x14ac:dyDescent="0.2">
      <c r="A2135" s="12" t="s">
        <v>6522</v>
      </c>
      <c r="B2135" t="s">
        <v>6523</v>
      </c>
      <c r="C2135" t="s">
        <v>703</v>
      </c>
      <c r="D2135" t="s">
        <v>704</v>
      </c>
      <c r="E2135" t="s">
        <v>47</v>
      </c>
      <c r="F2135">
        <v>46484</v>
      </c>
      <c r="G2135">
        <v>2125</v>
      </c>
      <c r="H2135" s="5" t="s">
        <v>22</v>
      </c>
      <c r="I2135" s="5">
        <v>0</v>
      </c>
      <c r="J2135" s="5">
        <v>0</v>
      </c>
      <c r="K2135" t="s">
        <v>11258</v>
      </c>
      <c r="L2135" cm="1">
        <f t="array" ref="L2135">wordCount(K2135)</f>
        <v>21</v>
      </c>
      <c r="M2135">
        <f t="shared" si="66"/>
        <v>117</v>
      </c>
      <c r="N2135">
        <v>0.5</v>
      </c>
      <c r="O2135" s="23" cm="1">
        <f t="array" ref="O2135">WordListCount(K2135,keywords!$A$2:$A$31)-WordListCount(K2135,keywords!$B$2:$B$31)</f>
        <v>0</v>
      </c>
      <c r="P2135" s="25">
        <f t="shared" si="67"/>
        <v>0.79126157407407405</v>
      </c>
      <c r="Q2135" s="23">
        <f>SUM($O$2:O2135)</f>
        <v>58</v>
      </c>
      <c r="Y2135" s="14"/>
      <c r="Z2135" s="13"/>
      <c r="AA2135"/>
    </row>
    <row r="2136" spans="1:27" x14ac:dyDescent="0.2">
      <c r="A2136" s="12" t="s">
        <v>6524</v>
      </c>
      <c r="B2136" t="s">
        <v>6525</v>
      </c>
      <c r="C2136" t="s">
        <v>6526</v>
      </c>
      <c r="D2136" t="s">
        <v>12</v>
      </c>
      <c r="E2136" t="s">
        <v>13</v>
      </c>
      <c r="F2136">
        <v>11</v>
      </c>
      <c r="G2136">
        <v>39</v>
      </c>
      <c r="H2136" s="5" t="s">
        <v>22</v>
      </c>
      <c r="I2136" s="5">
        <v>0</v>
      </c>
      <c r="J2136" s="5">
        <v>0</v>
      </c>
      <c r="K2136" t="s">
        <v>11259</v>
      </c>
      <c r="L2136" cm="1">
        <f t="array" ref="L2136">wordCount(K2136)</f>
        <v>9</v>
      </c>
      <c r="M2136">
        <f t="shared" si="66"/>
        <v>42</v>
      </c>
      <c r="N2136">
        <v>0.44444444444444442</v>
      </c>
      <c r="O2136" s="23" cm="1">
        <f t="array" ref="O2136">WordListCount(K2136,keywords!$A$2:$A$31)-WordListCount(K2136,keywords!$B$2:$B$31)</f>
        <v>0</v>
      </c>
      <c r="P2136" s="25">
        <f t="shared" si="67"/>
        <v>0.79137731481481488</v>
      </c>
      <c r="Q2136" s="23">
        <f>SUM($O$2:O2136)</f>
        <v>58</v>
      </c>
      <c r="Y2136" s="14"/>
      <c r="Z2136" s="13"/>
      <c r="AA2136"/>
    </row>
    <row r="2137" spans="1:27" x14ac:dyDescent="0.2">
      <c r="A2137" s="12" t="s">
        <v>6527</v>
      </c>
      <c r="B2137" t="s">
        <v>6528</v>
      </c>
      <c r="C2137" t="s">
        <v>6529</v>
      </c>
      <c r="D2137" t="s">
        <v>6530</v>
      </c>
      <c r="E2137" t="s">
        <v>13</v>
      </c>
      <c r="F2137">
        <v>37541</v>
      </c>
      <c r="G2137">
        <v>734</v>
      </c>
      <c r="H2137" s="5" t="s">
        <v>22</v>
      </c>
      <c r="I2137" s="5">
        <v>0</v>
      </c>
      <c r="J2137" s="5">
        <v>0</v>
      </c>
      <c r="K2137" t="s">
        <v>11260</v>
      </c>
      <c r="L2137" cm="1">
        <f t="array" ref="L2137">wordCount(K2137)</f>
        <v>16</v>
      </c>
      <c r="M2137">
        <f t="shared" si="66"/>
        <v>70</v>
      </c>
      <c r="N2137">
        <v>0.26666666666666666</v>
      </c>
      <c r="O2137" s="23" cm="1">
        <f t="array" ref="O2137">WordListCount(K2137,keywords!$A$2:$A$31)-WordListCount(K2137,keywords!$B$2:$B$31)</f>
        <v>0</v>
      </c>
      <c r="P2137" s="25">
        <f t="shared" si="67"/>
        <v>0.79151620370370368</v>
      </c>
      <c r="Q2137" s="23">
        <f>SUM($O$2:O2137)</f>
        <v>58</v>
      </c>
      <c r="Y2137" s="14"/>
      <c r="Z2137" s="13"/>
      <c r="AA2137"/>
    </row>
    <row r="2138" spans="1:27" x14ac:dyDescent="0.2">
      <c r="A2138" s="12" t="s">
        <v>6531</v>
      </c>
      <c r="B2138" t="s">
        <v>6532</v>
      </c>
      <c r="C2138" t="s">
        <v>586</v>
      </c>
      <c r="D2138" t="s">
        <v>12</v>
      </c>
      <c r="E2138" t="s">
        <v>13</v>
      </c>
      <c r="F2138">
        <v>236</v>
      </c>
      <c r="G2138">
        <v>2</v>
      </c>
      <c r="H2138" s="5" t="s">
        <v>22</v>
      </c>
      <c r="I2138" s="5">
        <v>0</v>
      </c>
      <c r="J2138" s="5">
        <v>0</v>
      </c>
      <c r="K2138" t="s">
        <v>11261</v>
      </c>
      <c r="L2138" cm="1">
        <f t="array" ref="L2138">wordCount(K2138)</f>
        <v>19</v>
      </c>
      <c r="M2138">
        <f t="shared" si="66"/>
        <v>107</v>
      </c>
      <c r="N2138">
        <v>0.76190476190476186</v>
      </c>
      <c r="O2138" s="23" cm="1">
        <f t="array" ref="O2138">WordListCount(K2138,keywords!$A$2:$A$31)-WordListCount(K2138,keywords!$B$2:$B$31)</f>
        <v>0</v>
      </c>
      <c r="P2138" s="25">
        <f t="shared" si="67"/>
        <v>0.79166666666666663</v>
      </c>
      <c r="Q2138" s="23">
        <f>SUM($O$2:O2138)</f>
        <v>58</v>
      </c>
      <c r="Y2138" s="14"/>
      <c r="Z2138" s="13"/>
      <c r="AA2138"/>
    </row>
    <row r="2139" spans="1:27" x14ac:dyDescent="0.2">
      <c r="A2139" s="12" t="s">
        <v>6533</v>
      </c>
      <c r="B2139" t="s">
        <v>6535</v>
      </c>
      <c r="C2139" t="s">
        <v>589</v>
      </c>
      <c r="D2139" t="s">
        <v>590</v>
      </c>
      <c r="E2139" t="s">
        <v>13</v>
      </c>
      <c r="F2139">
        <v>385</v>
      </c>
      <c r="G2139">
        <v>72</v>
      </c>
      <c r="H2139" s="5" t="s">
        <v>22</v>
      </c>
      <c r="I2139" s="5">
        <v>0</v>
      </c>
      <c r="J2139" s="5">
        <v>0</v>
      </c>
      <c r="K2139" t="s">
        <v>11262</v>
      </c>
      <c r="L2139" cm="1">
        <f t="array" ref="L2139">wordCount(K2139)</f>
        <v>9</v>
      </c>
      <c r="M2139">
        <f t="shared" si="66"/>
        <v>56</v>
      </c>
      <c r="N2139">
        <v>0.81818181818181823</v>
      </c>
      <c r="O2139" s="23" cm="1">
        <f t="array" ref="O2139">WordListCount(K2139,keywords!$A$2:$A$31)-WordListCount(K2139,keywords!$B$2:$B$31)</f>
        <v>0</v>
      </c>
      <c r="P2139" s="25">
        <f t="shared" si="67"/>
        <v>0.79167824074074078</v>
      </c>
      <c r="Q2139" s="23">
        <f>SUM($O$2:O2139)</f>
        <v>58</v>
      </c>
      <c r="Y2139" s="14"/>
      <c r="Z2139" s="13"/>
      <c r="AA2139"/>
    </row>
    <row r="2140" spans="1:27" x14ac:dyDescent="0.2">
      <c r="A2140" s="12" t="s">
        <v>6533</v>
      </c>
      <c r="B2140" t="s">
        <v>6534</v>
      </c>
      <c r="C2140" t="s">
        <v>205</v>
      </c>
      <c r="D2140" t="s">
        <v>12</v>
      </c>
      <c r="E2140" t="s">
        <v>13</v>
      </c>
      <c r="F2140">
        <v>2868</v>
      </c>
      <c r="G2140">
        <v>6</v>
      </c>
      <c r="H2140" s="5" t="s">
        <v>22</v>
      </c>
      <c r="I2140" s="5">
        <v>0</v>
      </c>
      <c r="J2140" s="5">
        <v>0</v>
      </c>
      <c r="K2140" t="s">
        <v>9654</v>
      </c>
      <c r="L2140" cm="1">
        <f t="array" ref="L2140">wordCount(K2140)</f>
        <v>8</v>
      </c>
      <c r="M2140">
        <f t="shared" si="66"/>
        <v>55</v>
      </c>
      <c r="N2140">
        <v>0.875</v>
      </c>
      <c r="O2140" s="23" cm="1">
        <f t="array" ref="O2140">WordListCount(K2140,keywords!$A$2:$A$31)-WordListCount(K2140,keywords!$B$2:$B$31)</f>
        <v>0</v>
      </c>
      <c r="P2140" s="25">
        <f t="shared" si="67"/>
        <v>0.79167824074074078</v>
      </c>
      <c r="Q2140" s="23">
        <f>SUM($O$2:O2140)</f>
        <v>58</v>
      </c>
      <c r="Y2140" s="14"/>
      <c r="Z2140" s="13"/>
      <c r="AA2140"/>
    </row>
    <row r="2141" spans="1:27" x14ac:dyDescent="0.2">
      <c r="A2141" s="12" t="s">
        <v>6536</v>
      </c>
      <c r="B2141" t="s">
        <v>6540</v>
      </c>
      <c r="C2141" t="s">
        <v>6541</v>
      </c>
      <c r="D2141" t="s">
        <v>6542</v>
      </c>
      <c r="E2141" t="s">
        <v>13</v>
      </c>
      <c r="F2141">
        <v>758</v>
      </c>
      <c r="G2141">
        <v>2205</v>
      </c>
      <c r="H2141" s="5" t="s">
        <v>22</v>
      </c>
      <c r="I2141" s="5">
        <v>0</v>
      </c>
      <c r="J2141" s="5">
        <v>0</v>
      </c>
      <c r="K2141" t="s">
        <v>11264</v>
      </c>
      <c r="L2141" cm="1">
        <f t="array" ref="L2141">wordCount(K2141)</f>
        <v>15</v>
      </c>
      <c r="M2141">
        <f t="shared" si="66"/>
        <v>78</v>
      </c>
      <c r="N2141">
        <v>0.40909090909090912</v>
      </c>
      <c r="O2141" s="23" cm="1">
        <f t="array" ref="O2141">WordListCount(K2141,keywords!$A$2:$A$31)-WordListCount(K2141,keywords!$B$2:$B$31)</f>
        <v>0</v>
      </c>
      <c r="P2141" s="25">
        <f t="shared" si="67"/>
        <v>0.79168981481481471</v>
      </c>
      <c r="Q2141" s="23">
        <f>SUM($O$2:O2141)</f>
        <v>58</v>
      </c>
      <c r="Y2141" s="14"/>
      <c r="Z2141" s="13"/>
      <c r="AA2141"/>
    </row>
    <row r="2142" spans="1:27" x14ac:dyDescent="0.2">
      <c r="A2142" s="12" t="s">
        <v>6536</v>
      </c>
      <c r="B2142" t="s">
        <v>6539</v>
      </c>
      <c r="C2142" t="s">
        <v>599</v>
      </c>
      <c r="D2142" t="s">
        <v>74</v>
      </c>
      <c r="E2142" t="s">
        <v>13</v>
      </c>
      <c r="F2142">
        <v>580</v>
      </c>
      <c r="G2142">
        <v>0</v>
      </c>
      <c r="H2142" s="5" t="s">
        <v>22</v>
      </c>
      <c r="I2142" s="5">
        <v>0</v>
      </c>
      <c r="J2142" s="5">
        <v>0</v>
      </c>
      <c r="K2142" t="s">
        <v>11263</v>
      </c>
      <c r="L2142" cm="1">
        <f t="array" ref="L2142">wordCount(K2142)</f>
        <v>11</v>
      </c>
      <c r="M2142">
        <f t="shared" si="66"/>
        <v>64</v>
      </c>
      <c r="N2142">
        <v>0.84615384615384615</v>
      </c>
      <c r="O2142" s="23" cm="1">
        <f t="array" ref="O2142">WordListCount(K2142,keywords!$A$2:$A$31)-WordListCount(K2142,keywords!$B$2:$B$31)</f>
        <v>0</v>
      </c>
      <c r="P2142" s="25">
        <f t="shared" si="67"/>
        <v>0.79168981481481471</v>
      </c>
      <c r="Q2142" s="23">
        <f>SUM($O$2:O2142)</f>
        <v>58</v>
      </c>
      <c r="Y2142" s="14"/>
      <c r="Z2142" s="13"/>
      <c r="AA2142"/>
    </row>
    <row r="2143" spans="1:27" x14ac:dyDescent="0.2">
      <c r="A2143" s="12" t="s">
        <v>6536</v>
      </c>
      <c r="B2143" t="s">
        <v>6538</v>
      </c>
      <c r="C2143" t="s">
        <v>596</v>
      </c>
      <c r="D2143" t="s">
        <v>597</v>
      </c>
      <c r="E2143" t="s">
        <v>13</v>
      </c>
      <c r="F2143">
        <v>997</v>
      </c>
      <c r="G2143">
        <v>1</v>
      </c>
      <c r="H2143" s="5" t="s">
        <v>382</v>
      </c>
      <c r="I2143" s="5">
        <v>0</v>
      </c>
      <c r="J2143" s="5">
        <v>0</v>
      </c>
      <c r="K2143" t="s">
        <v>9656</v>
      </c>
      <c r="L2143" cm="1">
        <f t="array" ref="L2143">wordCount(K2143)</f>
        <v>5</v>
      </c>
      <c r="M2143">
        <f t="shared" si="66"/>
        <v>30</v>
      </c>
      <c r="N2143">
        <v>0.8</v>
      </c>
      <c r="O2143" s="23" cm="1">
        <f t="array" ref="O2143">WordListCount(K2143,keywords!$A$2:$A$31)-WordListCount(K2143,keywords!$B$2:$B$31)</f>
        <v>0</v>
      </c>
      <c r="P2143" s="25">
        <f t="shared" si="67"/>
        <v>0.79168981481481471</v>
      </c>
      <c r="Q2143" s="23">
        <f>SUM($O$2:O2143)</f>
        <v>58</v>
      </c>
      <c r="Y2143" s="14"/>
      <c r="Z2143" s="13"/>
      <c r="AA2143"/>
    </row>
    <row r="2144" spans="1:27" x14ac:dyDescent="0.2">
      <c r="A2144" s="12" t="s">
        <v>6536</v>
      </c>
      <c r="B2144" t="s">
        <v>6537</v>
      </c>
      <c r="C2144" t="s">
        <v>306</v>
      </c>
      <c r="D2144" t="s">
        <v>307</v>
      </c>
      <c r="E2144" t="s">
        <v>13</v>
      </c>
      <c r="F2144">
        <v>227</v>
      </c>
      <c r="G2144">
        <v>1</v>
      </c>
      <c r="H2144" s="5" t="s">
        <v>22</v>
      </c>
      <c r="I2144" s="5">
        <v>0</v>
      </c>
      <c r="J2144" s="5">
        <v>0</v>
      </c>
      <c r="K2144" t="s">
        <v>9655</v>
      </c>
      <c r="L2144" cm="1">
        <f t="array" ref="L2144">wordCount(K2144)</f>
        <v>7</v>
      </c>
      <c r="M2144">
        <f t="shared" si="66"/>
        <v>103</v>
      </c>
      <c r="N2144">
        <v>0.53846153846153844</v>
      </c>
      <c r="O2144" s="23" cm="1">
        <f t="array" ref="O2144">WordListCount(K2144,keywords!$A$2:$A$31)-WordListCount(K2144,keywords!$B$2:$B$31)</f>
        <v>0</v>
      </c>
      <c r="P2144" s="25">
        <f t="shared" si="67"/>
        <v>0.79168981481481471</v>
      </c>
      <c r="Q2144" s="23">
        <f>SUM($O$2:O2144)</f>
        <v>58</v>
      </c>
      <c r="Y2144" s="14"/>
      <c r="Z2144" s="13"/>
      <c r="AA2144"/>
    </row>
    <row r="2145" spans="1:27" x14ac:dyDescent="0.2">
      <c r="A2145" s="12" t="s">
        <v>6543</v>
      </c>
      <c r="B2145" t="s">
        <v>6544</v>
      </c>
      <c r="C2145" t="s">
        <v>6545</v>
      </c>
      <c r="D2145" t="s">
        <v>12</v>
      </c>
      <c r="E2145" t="s">
        <v>13</v>
      </c>
      <c r="F2145">
        <v>204</v>
      </c>
      <c r="G2145">
        <v>137</v>
      </c>
      <c r="H2145" s="5" t="s">
        <v>22</v>
      </c>
      <c r="I2145" s="5">
        <v>0</v>
      </c>
      <c r="J2145" s="5">
        <v>0</v>
      </c>
      <c r="K2145" t="s">
        <v>9657</v>
      </c>
      <c r="L2145" cm="1">
        <f t="array" ref="L2145">wordCount(K2145)</f>
        <v>13</v>
      </c>
      <c r="M2145">
        <f t="shared" si="66"/>
        <v>75</v>
      </c>
      <c r="N2145">
        <v>0.5</v>
      </c>
      <c r="O2145" s="23" cm="1">
        <f t="array" ref="O2145">WordListCount(K2145,keywords!$A$2:$A$31)-WordListCount(K2145,keywords!$B$2:$B$31)</f>
        <v>0</v>
      </c>
      <c r="P2145" s="25">
        <f t="shared" si="67"/>
        <v>0.79171296296296301</v>
      </c>
      <c r="Q2145" s="23">
        <f>SUM($O$2:O2145)</f>
        <v>58</v>
      </c>
      <c r="Y2145" s="14"/>
      <c r="Z2145" s="13"/>
      <c r="AA2145"/>
    </row>
    <row r="2146" spans="1:27" x14ac:dyDescent="0.2">
      <c r="A2146" s="12" t="s">
        <v>6546</v>
      </c>
      <c r="B2146" t="s">
        <v>6547</v>
      </c>
      <c r="C2146" t="s">
        <v>5725</v>
      </c>
      <c r="D2146" t="s">
        <v>12</v>
      </c>
      <c r="E2146" t="s">
        <v>13</v>
      </c>
      <c r="F2146">
        <v>14</v>
      </c>
      <c r="G2146">
        <v>15</v>
      </c>
      <c r="H2146" s="5" t="s">
        <v>22</v>
      </c>
      <c r="I2146" s="5">
        <v>0</v>
      </c>
      <c r="J2146" s="5">
        <v>0</v>
      </c>
      <c r="K2146" t="s">
        <v>9658</v>
      </c>
      <c r="L2146" cm="1">
        <f t="array" ref="L2146">wordCount(K2146)</f>
        <v>7</v>
      </c>
      <c r="M2146">
        <f t="shared" si="66"/>
        <v>47</v>
      </c>
      <c r="N2146">
        <v>0.7</v>
      </c>
      <c r="O2146" s="23" cm="1">
        <f t="array" ref="O2146">WordListCount(K2146,keywords!$A$2:$A$31)-WordListCount(K2146,keywords!$B$2:$B$31)</f>
        <v>0</v>
      </c>
      <c r="P2146" s="25">
        <f t="shared" si="67"/>
        <v>0.79172453703703705</v>
      </c>
      <c r="Q2146" s="23">
        <f>SUM($O$2:O2146)</f>
        <v>58</v>
      </c>
      <c r="Y2146" s="14"/>
      <c r="Z2146" s="13"/>
      <c r="AA2146"/>
    </row>
    <row r="2147" spans="1:27" x14ac:dyDescent="0.2">
      <c r="A2147" s="12" t="s">
        <v>6548</v>
      </c>
      <c r="B2147" t="s">
        <v>6549</v>
      </c>
      <c r="C2147" t="s">
        <v>604</v>
      </c>
      <c r="D2147" t="s">
        <v>605</v>
      </c>
      <c r="E2147" t="s">
        <v>13</v>
      </c>
      <c r="F2147">
        <v>168</v>
      </c>
      <c r="G2147">
        <v>115</v>
      </c>
      <c r="H2147" s="5" t="s">
        <v>22</v>
      </c>
      <c r="I2147" s="5">
        <v>0</v>
      </c>
      <c r="J2147" s="5">
        <v>0</v>
      </c>
      <c r="K2147" t="s">
        <v>11265</v>
      </c>
      <c r="L2147" cm="1">
        <f t="array" ref="L2147">wordCount(K2147)</f>
        <v>13</v>
      </c>
      <c r="M2147">
        <f t="shared" si="66"/>
        <v>68</v>
      </c>
      <c r="N2147">
        <v>0.75</v>
      </c>
      <c r="O2147" s="23" cm="1">
        <f t="array" ref="O2147">WordListCount(K2147,keywords!$A$2:$A$31)-WordListCount(K2147,keywords!$B$2:$B$31)</f>
        <v>0</v>
      </c>
      <c r="P2147" s="25">
        <f t="shared" si="67"/>
        <v>0.7917939814814815</v>
      </c>
      <c r="Q2147" s="23">
        <f>SUM($O$2:O2147)</f>
        <v>58</v>
      </c>
      <c r="Y2147" s="14"/>
      <c r="Z2147" s="13"/>
      <c r="AA2147"/>
    </row>
    <row r="2148" spans="1:27" x14ac:dyDescent="0.2">
      <c r="A2148" s="12" t="s">
        <v>6550</v>
      </c>
      <c r="B2148" t="s">
        <v>6551</v>
      </c>
      <c r="C2148" t="s">
        <v>617</v>
      </c>
      <c r="D2148" t="s">
        <v>12</v>
      </c>
      <c r="E2148" t="s">
        <v>13</v>
      </c>
      <c r="F2148">
        <v>8724</v>
      </c>
      <c r="G2148">
        <v>268</v>
      </c>
      <c r="H2148" s="5" t="s">
        <v>22</v>
      </c>
      <c r="I2148" s="5">
        <v>0</v>
      </c>
      <c r="J2148" s="5">
        <v>0</v>
      </c>
      <c r="K2148" t="s">
        <v>11266</v>
      </c>
      <c r="L2148" cm="1">
        <f t="array" ref="L2148">wordCount(K2148)</f>
        <v>14</v>
      </c>
      <c r="M2148">
        <f t="shared" si="66"/>
        <v>101</v>
      </c>
      <c r="N2148">
        <v>0.8571428571428571</v>
      </c>
      <c r="O2148" s="23" cm="1">
        <f t="array" ref="O2148">WordListCount(K2148,keywords!$A$2:$A$31)-WordListCount(K2148,keywords!$B$2:$B$31)</f>
        <v>0</v>
      </c>
      <c r="P2148" s="25">
        <f t="shared" si="67"/>
        <v>0.79182870370370362</v>
      </c>
      <c r="Q2148" s="23">
        <f>SUM($O$2:O2148)</f>
        <v>58</v>
      </c>
      <c r="Y2148" s="14"/>
      <c r="Z2148" s="13"/>
      <c r="AA2148"/>
    </row>
    <row r="2149" spans="1:27" x14ac:dyDescent="0.2">
      <c r="A2149" s="12" t="s">
        <v>6552</v>
      </c>
      <c r="B2149" t="s">
        <v>6553</v>
      </c>
      <c r="C2149" t="s">
        <v>631</v>
      </c>
      <c r="D2149" t="s">
        <v>12</v>
      </c>
      <c r="E2149" t="s">
        <v>13</v>
      </c>
      <c r="F2149">
        <v>93</v>
      </c>
      <c r="G2149">
        <v>2</v>
      </c>
      <c r="H2149" s="5" t="s">
        <v>86</v>
      </c>
      <c r="I2149" s="5">
        <v>0</v>
      </c>
      <c r="J2149" s="5">
        <v>0</v>
      </c>
      <c r="K2149" t="s">
        <v>9659</v>
      </c>
      <c r="L2149" cm="1">
        <f t="array" ref="L2149">wordCount(K2149)</f>
        <v>8</v>
      </c>
      <c r="M2149">
        <f t="shared" si="66"/>
        <v>43</v>
      </c>
      <c r="N2149">
        <v>0.77777777777777779</v>
      </c>
      <c r="O2149" s="23" cm="1">
        <f t="array" ref="O2149">WordListCount(K2149,keywords!$A$2:$A$31)-WordListCount(K2149,keywords!$B$2:$B$31)</f>
        <v>0</v>
      </c>
      <c r="P2149" s="25">
        <f t="shared" si="67"/>
        <v>0.79201388888888891</v>
      </c>
      <c r="Q2149" s="23">
        <f>SUM($O$2:O2149)</f>
        <v>58</v>
      </c>
      <c r="Y2149" s="14"/>
      <c r="Z2149" s="13"/>
      <c r="AA2149"/>
    </row>
    <row r="2150" spans="1:27" x14ac:dyDescent="0.2">
      <c r="A2150" s="12" t="s">
        <v>6554</v>
      </c>
      <c r="B2150" t="s">
        <v>6555</v>
      </c>
      <c r="C2150" t="s">
        <v>6556</v>
      </c>
      <c r="D2150" t="s">
        <v>12</v>
      </c>
      <c r="E2150" t="s">
        <v>13</v>
      </c>
      <c r="F2150">
        <v>192</v>
      </c>
      <c r="G2150">
        <v>552</v>
      </c>
      <c r="H2150" s="5" t="s">
        <v>22</v>
      </c>
      <c r="I2150" s="5">
        <v>0</v>
      </c>
      <c r="J2150" s="5">
        <v>0</v>
      </c>
      <c r="K2150" t="s">
        <v>11267</v>
      </c>
      <c r="L2150" cm="1">
        <f t="array" ref="L2150">wordCount(K2150)</f>
        <v>15</v>
      </c>
      <c r="M2150">
        <f t="shared" si="66"/>
        <v>68</v>
      </c>
      <c r="N2150">
        <v>0.36842105263157893</v>
      </c>
      <c r="O2150" s="23" cm="1">
        <f t="array" ref="O2150">WordListCount(K2150,keywords!$A$2:$A$31)-WordListCount(K2150,keywords!$B$2:$B$31)</f>
        <v>0</v>
      </c>
      <c r="P2150" s="25">
        <f t="shared" si="67"/>
        <v>0.79203703703703709</v>
      </c>
      <c r="Q2150" s="23">
        <f>SUM($O$2:O2150)</f>
        <v>58</v>
      </c>
      <c r="Y2150" s="14"/>
      <c r="Z2150" s="13"/>
      <c r="AA2150"/>
    </row>
    <row r="2151" spans="1:27" x14ac:dyDescent="0.2">
      <c r="A2151" s="12" t="s">
        <v>6557</v>
      </c>
      <c r="B2151" t="s">
        <v>5732</v>
      </c>
      <c r="C2151" t="s">
        <v>6558</v>
      </c>
      <c r="D2151" t="s">
        <v>6559</v>
      </c>
      <c r="E2151" t="s">
        <v>13</v>
      </c>
      <c r="F2151">
        <v>995</v>
      </c>
      <c r="G2151">
        <v>4984</v>
      </c>
      <c r="H2151" s="5" t="s">
        <v>22</v>
      </c>
      <c r="I2151" s="5">
        <v>0</v>
      </c>
      <c r="J2151" s="5">
        <v>0</v>
      </c>
      <c r="K2151" t="s">
        <v>11104</v>
      </c>
      <c r="L2151" cm="1">
        <f t="array" ref="L2151">wordCount(K2151)</f>
        <v>29</v>
      </c>
      <c r="M2151">
        <f t="shared" si="66"/>
        <v>130</v>
      </c>
      <c r="N2151">
        <v>1</v>
      </c>
      <c r="O2151" s="23" cm="1">
        <f t="array" ref="O2151">WordListCount(K2151,keywords!$A$2:$A$31)-WordListCount(K2151,keywords!$B$2:$B$31)</f>
        <v>0</v>
      </c>
      <c r="P2151" s="25">
        <f t="shared" si="67"/>
        <v>0.7920949074074074</v>
      </c>
      <c r="Q2151" s="23">
        <f>SUM($O$2:O2151)</f>
        <v>58</v>
      </c>
      <c r="Y2151" s="14"/>
      <c r="Z2151" s="13"/>
      <c r="AA2151"/>
    </row>
    <row r="2152" spans="1:27" x14ac:dyDescent="0.2">
      <c r="A2152" s="12" t="s">
        <v>6560</v>
      </c>
      <c r="B2152" t="s">
        <v>5732</v>
      </c>
      <c r="C2152" t="s">
        <v>6561</v>
      </c>
      <c r="D2152" t="s">
        <v>231</v>
      </c>
      <c r="E2152" t="s">
        <v>13</v>
      </c>
      <c r="F2152">
        <v>100</v>
      </c>
      <c r="G2152">
        <v>152</v>
      </c>
      <c r="H2152" s="5" t="s">
        <v>22</v>
      </c>
      <c r="I2152" s="5">
        <v>0</v>
      </c>
      <c r="J2152" s="5">
        <v>0</v>
      </c>
      <c r="K2152" t="s">
        <v>11104</v>
      </c>
      <c r="L2152" cm="1">
        <f t="array" ref="L2152">wordCount(K2152)</f>
        <v>29</v>
      </c>
      <c r="M2152">
        <f t="shared" si="66"/>
        <v>130</v>
      </c>
      <c r="N2152">
        <v>1</v>
      </c>
      <c r="O2152" s="23" cm="1">
        <f t="array" ref="O2152">WordListCount(K2152,keywords!$A$2:$A$31)-WordListCount(K2152,keywords!$B$2:$B$31)</f>
        <v>0</v>
      </c>
      <c r="P2152" s="25">
        <f t="shared" si="67"/>
        <v>0.79211805555555559</v>
      </c>
      <c r="Q2152" s="23">
        <f>SUM($O$2:O2152)</f>
        <v>58</v>
      </c>
      <c r="Y2152" s="14"/>
      <c r="Z2152" s="13"/>
      <c r="AA2152"/>
    </row>
    <row r="2153" spans="1:27" x14ac:dyDescent="0.2">
      <c r="A2153" s="12" t="s">
        <v>6562</v>
      </c>
      <c r="B2153" t="s">
        <v>6563</v>
      </c>
      <c r="C2153" t="s">
        <v>6564</v>
      </c>
      <c r="D2153" t="s">
        <v>6565</v>
      </c>
      <c r="E2153" t="s">
        <v>13</v>
      </c>
      <c r="F2153">
        <v>110</v>
      </c>
      <c r="G2153">
        <v>170</v>
      </c>
      <c r="H2153" s="5" t="s">
        <v>22</v>
      </c>
      <c r="I2153" s="5">
        <v>0</v>
      </c>
      <c r="J2153" s="5">
        <v>0</v>
      </c>
      <c r="K2153" t="s">
        <v>9660</v>
      </c>
      <c r="L2153" cm="1">
        <f t="array" ref="L2153">wordCount(K2153)</f>
        <v>10</v>
      </c>
      <c r="M2153">
        <f t="shared" si="66"/>
        <v>49</v>
      </c>
      <c r="N2153">
        <v>0.78260869565217395</v>
      </c>
      <c r="O2153" s="23" cm="1">
        <f t="array" ref="O2153">WordListCount(K2153,keywords!$A$2:$A$31)-WordListCount(K2153,keywords!$B$2:$B$31)</f>
        <v>0</v>
      </c>
      <c r="P2153" s="25">
        <f t="shared" si="67"/>
        <v>0.79217592592592589</v>
      </c>
      <c r="Q2153" s="23">
        <f>SUM($O$2:O2153)</f>
        <v>58</v>
      </c>
      <c r="Y2153" s="14"/>
      <c r="Z2153" s="13"/>
      <c r="AA2153"/>
    </row>
    <row r="2154" spans="1:27" x14ac:dyDescent="0.2">
      <c r="A2154" s="12" t="s">
        <v>6566</v>
      </c>
      <c r="B2154" t="s">
        <v>6567</v>
      </c>
      <c r="C2154" t="s">
        <v>6568</v>
      </c>
      <c r="D2154" t="s">
        <v>6569</v>
      </c>
      <c r="E2154" t="s">
        <v>13</v>
      </c>
      <c r="F2154">
        <v>877</v>
      </c>
      <c r="G2154">
        <v>249</v>
      </c>
      <c r="H2154" s="5" t="s">
        <v>22</v>
      </c>
      <c r="I2154" s="5">
        <v>0</v>
      </c>
      <c r="J2154" s="5">
        <v>0</v>
      </c>
      <c r="K2154" t="s">
        <v>11268</v>
      </c>
      <c r="L2154" cm="1">
        <f t="array" ref="L2154">wordCount(K2154)</f>
        <v>3</v>
      </c>
      <c r="M2154">
        <f t="shared" si="66"/>
        <v>19</v>
      </c>
      <c r="N2154">
        <v>0.88888888888888884</v>
      </c>
      <c r="O2154" s="23" cm="1">
        <f t="array" ref="O2154">WordListCount(K2154,keywords!$A$2:$A$31)-WordListCount(K2154,keywords!$B$2:$B$31)</f>
        <v>0</v>
      </c>
      <c r="P2154" s="25">
        <f t="shared" si="67"/>
        <v>0.79218749999999993</v>
      </c>
      <c r="Q2154" s="23">
        <f>SUM($O$2:O2154)</f>
        <v>58</v>
      </c>
      <c r="Y2154" s="14"/>
      <c r="Z2154" s="13"/>
      <c r="AA2154"/>
    </row>
    <row r="2155" spans="1:27" x14ac:dyDescent="0.2">
      <c r="A2155" s="12" t="s">
        <v>6570</v>
      </c>
      <c r="B2155" t="s">
        <v>6571</v>
      </c>
      <c r="C2155" t="s">
        <v>713</v>
      </c>
      <c r="D2155" t="s">
        <v>714</v>
      </c>
      <c r="E2155" t="s">
        <v>13</v>
      </c>
      <c r="F2155">
        <v>4757</v>
      </c>
      <c r="G2155">
        <v>3442</v>
      </c>
      <c r="H2155" s="5" t="s">
        <v>22</v>
      </c>
      <c r="I2155" s="5">
        <v>0</v>
      </c>
      <c r="J2155" s="5">
        <v>0</v>
      </c>
      <c r="K2155" t="s">
        <v>9665</v>
      </c>
      <c r="L2155" cm="1">
        <f t="array" ref="L2155">wordCount(K2155)</f>
        <v>6</v>
      </c>
      <c r="M2155">
        <f t="shared" si="66"/>
        <v>36</v>
      </c>
      <c r="N2155">
        <v>0.88888888888888884</v>
      </c>
      <c r="O2155" s="23" cm="1">
        <f t="array" ref="O2155">WordListCount(K2155,keywords!$A$2:$A$31)-WordListCount(K2155,keywords!$B$2:$B$31)</f>
        <v>0</v>
      </c>
      <c r="P2155" s="25">
        <f t="shared" si="67"/>
        <v>0.79226851851851843</v>
      </c>
      <c r="Q2155" s="23">
        <f>SUM($O$2:O2155)</f>
        <v>58</v>
      </c>
      <c r="Y2155" s="14"/>
      <c r="Z2155" s="13"/>
      <c r="AA2155"/>
    </row>
    <row r="2156" spans="1:27" x14ac:dyDescent="0.2">
      <c r="A2156" s="12" t="s">
        <v>6572</v>
      </c>
      <c r="B2156" t="s">
        <v>6573</v>
      </c>
      <c r="C2156" t="s">
        <v>6574</v>
      </c>
      <c r="D2156" t="s">
        <v>6575</v>
      </c>
      <c r="E2156" t="s">
        <v>13</v>
      </c>
      <c r="F2156">
        <v>75</v>
      </c>
      <c r="G2156">
        <v>512</v>
      </c>
      <c r="H2156" s="5" t="s">
        <v>59</v>
      </c>
      <c r="I2156" s="5">
        <v>0</v>
      </c>
      <c r="J2156" s="5">
        <v>0</v>
      </c>
      <c r="K2156" t="s">
        <v>9661</v>
      </c>
      <c r="L2156" cm="1">
        <f t="array" ref="L2156">wordCount(K2156)</f>
        <v>2</v>
      </c>
      <c r="M2156">
        <f t="shared" si="66"/>
        <v>10</v>
      </c>
      <c r="N2156">
        <v>0.7142857142857143</v>
      </c>
      <c r="O2156" s="23" cm="1">
        <f t="array" ref="O2156">WordListCount(K2156,keywords!$A$2:$A$31)-WordListCount(K2156,keywords!$B$2:$B$31)</f>
        <v>0</v>
      </c>
      <c r="P2156" s="25">
        <f t="shared" si="67"/>
        <v>0.79237268518518522</v>
      </c>
      <c r="Q2156" s="23">
        <f>SUM($O$2:O2156)</f>
        <v>58</v>
      </c>
      <c r="Y2156" s="14"/>
      <c r="Z2156" s="13"/>
      <c r="AA2156"/>
    </row>
    <row r="2157" spans="1:27" x14ac:dyDescent="0.2">
      <c r="A2157" s="12" t="s">
        <v>6576</v>
      </c>
      <c r="B2157" t="s">
        <v>6577</v>
      </c>
      <c r="C2157" t="s">
        <v>6578</v>
      </c>
      <c r="D2157" t="s">
        <v>12</v>
      </c>
      <c r="E2157" t="s">
        <v>13</v>
      </c>
      <c r="F2157">
        <v>281</v>
      </c>
      <c r="G2157">
        <v>414</v>
      </c>
      <c r="H2157" s="5" t="s">
        <v>22</v>
      </c>
      <c r="I2157" s="5">
        <v>0</v>
      </c>
      <c r="J2157" s="5">
        <v>0</v>
      </c>
      <c r="K2157" t="s">
        <v>11269</v>
      </c>
      <c r="L2157" cm="1">
        <f t="array" ref="L2157">wordCount(K2157)</f>
        <v>12</v>
      </c>
      <c r="M2157">
        <f t="shared" si="66"/>
        <v>60</v>
      </c>
      <c r="N2157">
        <v>0.56521739130434778</v>
      </c>
      <c r="O2157" s="23" cm="1">
        <f t="array" ref="O2157">WordListCount(K2157,keywords!$A$2:$A$31)-WordListCount(K2157,keywords!$B$2:$B$31)</f>
        <v>0</v>
      </c>
      <c r="P2157" s="25">
        <f t="shared" si="67"/>
        <v>0.7923958333333333</v>
      </c>
      <c r="Q2157" s="23">
        <f>SUM($O$2:O2157)</f>
        <v>58</v>
      </c>
      <c r="Y2157" s="14"/>
      <c r="Z2157" s="13"/>
      <c r="AA2157"/>
    </row>
    <row r="2158" spans="1:27" x14ac:dyDescent="0.2">
      <c r="A2158" s="12" t="s">
        <v>6579</v>
      </c>
      <c r="B2158" t="s">
        <v>6580</v>
      </c>
      <c r="C2158" t="s">
        <v>6581</v>
      </c>
      <c r="D2158" t="s">
        <v>12</v>
      </c>
      <c r="E2158" t="s">
        <v>13</v>
      </c>
      <c r="F2158">
        <v>75</v>
      </c>
      <c r="G2158">
        <v>335</v>
      </c>
      <c r="H2158" s="5" t="s">
        <v>22</v>
      </c>
      <c r="I2158" s="5">
        <v>0</v>
      </c>
      <c r="J2158" s="5">
        <v>0</v>
      </c>
      <c r="K2158" t="s">
        <v>11270</v>
      </c>
      <c r="L2158" cm="1">
        <f t="array" ref="L2158">wordCount(K2158)</f>
        <v>14</v>
      </c>
      <c r="M2158">
        <f t="shared" si="66"/>
        <v>64</v>
      </c>
      <c r="N2158">
        <v>0.21428571428571427</v>
      </c>
      <c r="O2158" s="23" cm="1">
        <f t="array" ref="O2158">WordListCount(K2158,keywords!$A$2:$A$31)-WordListCount(K2158,keywords!$B$2:$B$31)</f>
        <v>0</v>
      </c>
      <c r="P2158" s="25">
        <f t="shared" si="67"/>
        <v>0.79260416666666667</v>
      </c>
      <c r="Q2158" s="23">
        <f>SUM($O$2:O2158)</f>
        <v>58</v>
      </c>
      <c r="Y2158" s="14"/>
      <c r="Z2158" s="13"/>
      <c r="AA2158"/>
    </row>
    <row r="2159" spans="1:27" x14ac:dyDescent="0.2">
      <c r="A2159" s="12" t="s">
        <v>6582</v>
      </c>
      <c r="B2159" t="s">
        <v>6583</v>
      </c>
      <c r="C2159" t="s">
        <v>6584</v>
      </c>
      <c r="D2159" t="s">
        <v>6293</v>
      </c>
      <c r="E2159" t="s">
        <v>13</v>
      </c>
      <c r="F2159">
        <v>1494</v>
      </c>
      <c r="G2159">
        <v>2307</v>
      </c>
      <c r="H2159" s="5" t="s">
        <v>22</v>
      </c>
      <c r="I2159" s="5">
        <v>0</v>
      </c>
      <c r="J2159" s="5">
        <v>0</v>
      </c>
      <c r="K2159" t="s">
        <v>9662</v>
      </c>
      <c r="L2159" cm="1">
        <f t="array" ref="L2159">wordCount(K2159)</f>
        <v>7</v>
      </c>
      <c r="M2159">
        <f t="shared" si="66"/>
        <v>32</v>
      </c>
      <c r="N2159">
        <v>0.63636363636363635</v>
      </c>
      <c r="O2159" s="23" cm="1">
        <f t="array" ref="O2159">WordListCount(K2159,keywords!$A$2:$A$31)-WordListCount(K2159,keywords!$B$2:$B$31)</f>
        <v>-1</v>
      </c>
      <c r="P2159" s="25">
        <f t="shared" si="67"/>
        <v>0.79262731481481474</v>
      </c>
      <c r="Q2159" s="23">
        <f>SUM($O$2:O2159)</f>
        <v>57</v>
      </c>
      <c r="Y2159" s="14"/>
      <c r="Z2159" s="13"/>
      <c r="AA2159"/>
    </row>
    <row r="2160" spans="1:27" x14ac:dyDescent="0.2">
      <c r="A2160" s="12" t="s">
        <v>6585</v>
      </c>
      <c r="B2160" t="s">
        <v>6586</v>
      </c>
      <c r="C2160" t="s">
        <v>3964</v>
      </c>
      <c r="D2160" t="s">
        <v>1552</v>
      </c>
      <c r="E2160" t="s">
        <v>13</v>
      </c>
      <c r="F2160">
        <v>32</v>
      </c>
      <c r="G2160">
        <v>141</v>
      </c>
      <c r="H2160" s="5" t="s">
        <v>22</v>
      </c>
      <c r="I2160" s="5">
        <v>0</v>
      </c>
      <c r="J2160" s="5">
        <v>0</v>
      </c>
      <c r="K2160" t="s">
        <v>9663</v>
      </c>
      <c r="L2160" cm="1">
        <f t="array" ref="L2160">wordCount(K2160)</f>
        <v>7</v>
      </c>
      <c r="M2160">
        <f t="shared" si="66"/>
        <v>37</v>
      </c>
      <c r="N2160">
        <v>1</v>
      </c>
      <c r="O2160" s="23" cm="1">
        <f t="array" ref="O2160">WordListCount(K2160,keywords!$A$2:$A$31)-WordListCount(K2160,keywords!$B$2:$B$31)</f>
        <v>0</v>
      </c>
      <c r="P2160" s="25">
        <f t="shared" si="67"/>
        <v>0.79263888888888889</v>
      </c>
      <c r="Q2160" s="23">
        <f>SUM($O$2:O2160)</f>
        <v>57</v>
      </c>
      <c r="Y2160" s="14"/>
      <c r="Z2160" s="13"/>
      <c r="AA2160"/>
    </row>
    <row r="2161" spans="1:27" x14ac:dyDescent="0.2">
      <c r="A2161" s="12" t="s">
        <v>6587</v>
      </c>
      <c r="B2161" t="s">
        <v>6589</v>
      </c>
      <c r="C2161" t="s">
        <v>1316</v>
      </c>
      <c r="D2161" t="s">
        <v>1317</v>
      </c>
      <c r="E2161" t="s">
        <v>13</v>
      </c>
      <c r="F2161">
        <v>427</v>
      </c>
      <c r="G2161">
        <v>768</v>
      </c>
      <c r="H2161" s="5" t="s">
        <v>22</v>
      </c>
      <c r="I2161" s="5">
        <v>0</v>
      </c>
      <c r="J2161" s="5">
        <v>0</v>
      </c>
      <c r="K2161" t="s">
        <v>11272</v>
      </c>
      <c r="L2161" cm="1">
        <f t="array" ref="L2161">wordCount(K2161)</f>
        <v>12</v>
      </c>
      <c r="M2161">
        <f t="shared" si="66"/>
        <v>65</v>
      </c>
      <c r="N2161">
        <v>0.46666666666666667</v>
      </c>
      <c r="O2161" s="23" cm="1">
        <f t="array" ref="O2161">WordListCount(K2161,keywords!$A$2:$A$31)-WordListCount(K2161,keywords!$B$2:$B$31)</f>
        <v>1</v>
      </c>
      <c r="P2161" s="25">
        <f t="shared" si="67"/>
        <v>0.79293981481481479</v>
      </c>
      <c r="Q2161" s="23">
        <f>SUM($O$2:O2161)</f>
        <v>58</v>
      </c>
      <c r="Y2161" s="14"/>
      <c r="Z2161" s="13"/>
      <c r="AA2161"/>
    </row>
    <row r="2162" spans="1:27" x14ac:dyDescent="0.2">
      <c r="A2162" s="12" t="s">
        <v>6587</v>
      </c>
      <c r="B2162" t="s">
        <v>6588</v>
      </c>
      <c r="C2162" t="s">
        <v>1316</v>
      </c>
      <c r="D2162" t="s">
        <v>1317</v>
      </c>
      <c r="E2162" t="s">
        <v>13</v>
      </c>
      <c r="F2162">
        <v>427</v>
      </c>
      <c r="G2162">
        <v>768</v>
      </c>
      <c r="H2162" s="5" t="s">
        <v>22</v>
      </c>
      <c r="I2162" s="5">
        <v>0</v>
      </c>
      <c r="J2162" s="5">
        <v>0</v>
      </c>
      <c r="K2162" t="s">
        <v>11271</v>
      </c>
      <c r="L2162" cm="1">
        <f t="array" ref="L2162">wordCount(K2162)</f>
        <v>15</v>
      </c>
      <c r="M2162">
        <f t="shared" si="66"/>
        <v>81</v>
      </c>
      <c r="N2162">
        <v>0.61290322580645162</v>
      </c>
      <c r="O2162" s="23" cm="1">
        <f t="array" ref="O2162">WordListCount(K2162,keywords!$A$2:$A$31)-WordListCount(K2162,keywords!$B$2:$B$31)</f>
        <v>0</v>
      </c>
      <c r="P2162" s="25">
        <f t="shared" si="67"/>
        <v>0.79293981481481479</v>
      </c>
      <c r="Q2162" s="23">
        <f>SUM($O$2:O2162)</f>
        <v>58</v>
      </c>
      <c r="Y2162" s="14"/>
      <c r="Z2162" s="13"/>
      <c r="AA2162"/>
    </row>
    <row r="2163" spans="1:27" x14ac:dyDescent="0.2">
      <c r="A2163" s="12" t="s">
        <v>6590</v>
      </c>
      <c r="B2163" t="s">
        <v>6592</v>
      </c>
      <c r="C2163" t="s">
        <v>1316</v>
      </c>
      <c r="D2163" t="s">
        <v>1317</v>
      </c>
      <c r="E2163" t="s">
        <v>13</v>
      </c>
      <c r="F2163">
        <v>427</v>
      </c>
      <c r="G2163">
        <v>768</v>
      </c>
      <c r="H2163" s="5" t="s">
        <v>22</v>
      </c>
      <c r="I2163" s="5">
        <v>0</v>
      </c>
      <c r="J2163" s="5">
        <v>0</v>
      </c>
      <c r="K2163" t="s">
        <v>9664</v>
      </c>
      <c r="L2163" cm="1">
        <f t="array" ref="L2163">wordCount(K2163)</f>
        <v>9</v>
      </c>
      <c r="M2163">
        <f t="shared" si="66"/>
        <v>54</v>
      </c>
      <c r="N2163">
        <v>0.69230769230769229</v>
      </c>
      <c r="O2163" s="23" cm="1">
        <f t="array" ref="O2163">WordListCount(K2163,keywords!$A$2:$A$31)-WordListCount(K2163,keywords!$B$2:$B$31)</f>
        <v>0</v>
      </c>
      <c r="P2163" s="25">
        <f t="shared" si="67"/>
        <v>0.79295138888888894</v>
      </c>
      <c r="Q2163" s="23">
        <f>SUM($O$2:O2163)</f>
        <v>58</v>
      </c>
      <c r="Y2163" s="14"/>
      <c r="Z2163" s="13"/>
      <c r="AA2163"/>
    </row>
    <row r="2164" spans="1:27" x14ac:dyDescent="0.2">
      <c r="A2164" s="12" t="s">
        <v>6590</v>
      </c>
      <c r="B2164" t="s">
        <v>6591</v>
      </c>
      <c r="C2164" t="s">
        <v>1316</v>
      </c>
      <c r="D2164" t="s">
        <v>1317</v>
      </c>
      <c r="E2164" t="s">
        <v>13</v>
      </c>
      <c r="F2164">
        <v>427</v>
      </c>
      <c r="G2164">
        <v>768</v>
      </c>
      <c r="H2164" s="5" t="s">
        <v>22</v>
      </c>
      <c r="I2164" s="5">
        <v>0</v>
      </c>
      <c r="J2164" s="5">
        <v>0</v>
      </c>
      <c r="K2164" t="s">
        <v>11273</v>
      </c>
      <c r="L2164" cm="1">
        <f t="array" ref="L2164">wordCount(K2164)</f>
        <v>12</v>
      </c>
      <c r="M2164">
        <f t="shared" si="66"/>
        <v>61</v>
      </c>
      <c r="N2164">
        <v>0.58333333333333337</v>
      </c>
      <c r="O2164" s="23" cm="1">
        <f t="array" ref="O2164">WordListCount(K2164,keywords!$A$2:$A$31)-WordListCount(K2164,keywords!$B$2:$B$31)</f>
        <v>0</v>
      </c>
      <c r="P2164" s="25">
        <f t="shared" si="67"/>
        <v>0.79295138888888894</v>
      </c>
      <c r="Q2164" s="23">
        <f>SUM($O$2:O2164)</f>
        <v>58</v>
      </c>
      <c r="Y2164" s="14"/>
      <c r="Z2164" s="13"/>
      <c r="AA2164"/>
    </row>
    <row r="2165" spans="1:27" x14ac:dyDescent="0.2">
      <c r="A2165" s="12" t="s">
        <v>6593</v>
      </c>
      <c r="B2165" t="s">
        <v>6594</v>
      </c>
      <c r="C2165" t="s">
        <v>651</v>
      </c>
      <c r="D2165" t="s">
        <v>652</v>
      </c>
      <c r="E2165" t="s">
        <v>13</v>
      </c>
      <c r="F2165">
        <v>13398</v>
      </c>
      <c r="G2165">
        <v>13241</v>
      </c>
      <c r="H2165" s="5" t="s">
        <v>22</v>
      </c>
      <c r="I2165" s="5">
        <v>0</v>
      </c>
      <c r="J2165" s="5">
        <v>0</v>
      </c>
      <c r="K2165" t="s">
        <v>9665</v>
      </c>
      <c r="L2165" cm="1">
        <f t="array" ref="L2165">wordCount(K2165)</f>
        <v>6</v>
      </c>
      <c r="M2165">
        <f t="shared" si="66"/>
        <v>36</v>
      </c>
      <c r="N2165">
        <v>0.8571428571428571</v>
      </c>
      <c r="O2165" s="23" cm="1">
        <f t="array" ref="O2165">WordListCount(K2165,keywords!$A$2:$A$31)-WordListCount(K2165,keywords!$B$2:$B$31)</f>
        <v>0</v>
      </c>
      <c r="P2165" s="25">
        <f t="shared" si="67"/>
        <v>0.7931597222222222</v>
      </c>
      <c r="Q2165" s="23">
        <f>SUM($O$2:O2165)</f>
        <v>58</v>
      </c>
      <c r="Y2165" s="14"/>
      <c r="Z2165" s="13"/>
      <c r="AA2165"/>
    </row>
    <row r="2166" spans="1:27" x14ac:dyDescent="0.2">
      <c r="A2166" s="12" t="s">
        <v>6593</v>
      </c>
      <c r="B2166" t="s">
        <v>2598</v>
      </c>
      <c r="C2166" t="s">
        <v>77</v>
      </c>
      <c r="D2166" t="s">
        <v>12</v>
      </c>
      <c r="E2166" t="s">
        <v>13</v>
      </c>
      <c r="F2166">
        <v>37</v>
      </c>
      <c r="G2166">
        <v>7</v>
      </c>
      <c r="H2166" s="5" t="s">
        <v>42</v>
      </c>
      <c r="I2166" s="5">
        <v>0</v>
      </c>
      <c r="J2166" s="5">
        <v>0</v>
      </c>
      <c r="K2166" t="s">
        <v>9906</v>
      </c>
      <c r="L2166" cm="1">
        <f t="array" ref="L2166">wordCount(K2166)</f>
        <v>12</v>
      </c>
      <c r="M2166">
        <f t="shared" si="66"/>
        <v>74</v>
      </c>
      <c r="N2166">
        <v>0.92307692307692313</v>
      </c>
      <c r="O2166" s="23" cm="1">
        <f t="array" ref="O2166">WordListCount(K2166,keywords!$A$2:$A$31)-WordListCount(K2166,keywords!$B$2:$B$31)</f>
        <v>0</v>
      </c>
      <c r="P2166" s="25">
        <f t="shared" si="67"/>
        <v>0.7931597222222222</v>
      </c>
      <c r="Q2166" s="23">
        <f>SUM($O$2:O2166)</f>
        <v>58</v>
      </c>
      <c r="Y2166" s="14"/>
      <c r="Z2166" s="13"/>
      <c r="AA2166"/>
    </row>
    <row r="2167" spans="1:27" x14ac:dyDescent="0.2">
      <c r="A2167" s="12" t="s">
        <v>6595</v>
      </c>
      <c r="B2167" t="s">
        <v>6596</v>
      </c>
      <c r="C2167" t="s">
        <v>21</v>
      </c>
      <c r="D2167" t="s">
        <v>12</v>
      </c>
      <c r="E2167" t="s">
        <v>13</v>
      </c>
      <c r="F2167">
        <v>44</v>
      </c>
      <c r="G2167">
        <v>9</v>
      </c>
      <c r="H2167" s="5" t="s">
        <v>22</v>
      </c>
      <c r="I2167" s="5">
        <v>0</v>
      </c>
      <c r="J2167" s="5">
        <v>0</v>
      </c>
      <c r="K2167" t="s">
        <v>9666</v>
      </c>
      <c r="L2167" cm="1">
        <f t="array" ref="L2167">wordCount(K2167)</f>
        <v>5</v>
      </c>
      <c r="M2167">
        <f t="shared" si="66"/>
        <v>28</v>
      </c>
      <c r="N2167">
        <v>0.875</v>
      </c>
      <c r="O2167" s="23" cm="1">
        <f t="array" ref="O2167">WordListCount(K2167,keywords!$A$2:$A$31)-WordListCount(K2167,keywords!$B$2:$B$31)</f>
        <v>0</v>
      </c>
      <c r="P2167" s="25">
        <f t="shared" si="67"/>
        <v>0.79324074074074069</v>
      </c>
      <c r="Q2167" s="23">
        <f>SUM($O$2:O2167)</f>
        <v>58</v>
      </c>
      <c r="Y2167" s="14"/>
      <c r="Z2167" s="13"/>
      <c r="AA2167"/>
    </row>
    <row r="2168" spans="1:27" x14ac:dyDescent="0.2">
      <c r="A2168" s="12" t="s">
        <v>6597</v>
      </c>
      <c r="B2168" t="s">
        <v>6598</v>
      </c>
      <c r="C2168" t="s">
        <v>6599</v>
      </c>
      <c r="D2168" t="s">
        <v>4711</v>
      </c>
      <c r="E2168" t="s">
        <v>13</v>
      </c>
      <c r="F2168">
        <v>354</v>
      </c>
      <c r="G2168">
        <v>291</v>
      </c>
      <c r="H2168" s="5" t="s">
        <v>22</v>
      </c>
      <c r="I2168" s="5">
        <v>0</v>
      </c>
      <c r="J2168" s="5">
        <v>0</v>
      </c>
      <c r="K2168" t="s">
        <v>11274</v>
      </c>
      <c r="L2168" cm="1">
        <f t="array" ref="L2168">wordCount(K2168)</f>
        <v>26</v>
      </c>
      <c r="M2168">
        <f t="shared" si="66"/>
        <v>127</v>
      </c>
      <c r="N2168">
        <v>0.4642857142857143</v>
      </c>
      <c r="O2168" s="23" cm="1">
        <f t="array" ref="O2168">WordListCount(K2168,keywords!$A$2:$A$31)-WordListCount(K2168,keywords!$B$2:$B$31)</f>
        <v>0</v>
      </c>
      <c r="P2168" s="25">
        <f t="shared" si="67"/>
        <v>0.79325231481481484</v>
      </c>
      <c r="Q2168" s="23">
        <f>SUM($O$2:O2168)</f>
        <v>58</v>
      </c>
      <c r="Y2168" s="14"/>
      <c r="Z2168" s="13"/>
      <c r="AA2168"/>
    </row>
    <row r="2169" spans="1:27" x14ac:dyDescent="0.2">
      <c r="A2169" s="12" t="s">
        <v>6600</v>
      </c>
      <c r="B2169" t="s">
        <v>6601</v>
      </c>
      <c r="C2169" t="s">
        <v>6602</v>
      </c>
      <c r="D2169" t="s">
        <v>12</v>
      </c>
      <c r="E2169" t="s">
        <v>13</v>
      </c>
      <c r="F2169">
        <v>49</v>
      </c>
      <c r="G2169">
        <v>53</v>
      </c>
      <c r="H2169" s="5" t="s">
        <v>22</v>
      </c>
      <c r="I2169" s="5">
        <v>0</v>
      </c>
      <c r="J2169" s="5">
        <v>0</v>
      </c>
      <c r="K2169" t="s">
        <v>9667</v>
      </c>
      <c r="L2169" cm="1">
        <f t="array" ref="L2169">wordCount(K2169)</f>
        <v>5</v>
      </c>
      <c r="M2169">
        <f t="shared" si="66"/>
        <v>33</v>
      </c>
      <c r="N2169">
        <v>0.33333333333333331</v>
      </c>
      <c r="O2169" s="23" cm="1">
        <f t="array" ref="O2169">WordListCount(K2169,keywords!$A$2:$A$31)-WordListCount(K2169,keywords!$B$2:$B$31)</f>
        <v>0</v>
      </c>
      <c r="P2169" s="25">
        <f t="shared" si="67"/>
        <v>0.79347222222222225</v>
      </c>
      <c r="Q2169" s="23">
        <f>SUM($O$2:O2169)</f>
        <v>58</v>
      </c>
      <c r="Y2169" s="14"/>
      <c r="Z2169" s="13"/>
      <c r="AA2169"/>
    </row>
    <row r="2170" spans="1:27" x14ac:dyDescent="0.2">
      <c r="A2170" s="12" t="s">
        <v>6603</v>
      </c>
      <c r="B2170" t="s">
        <v>6601</v>
      </c>
      <c r="C2170" t="s">
        <v>6604</v>
      </c>
      <c r="D2170" t="s">
        <v>12</v>
      </c>
      <c r="E2170" t="s">
        <v>13</v>
      </c>
      <c r="F2170">
        <v>12</v>
      </c>
      <c r="G2170">
        <v>75</v>
      </c>
      <c r="H2170" s="5" t="s">
        <v>22</v>
      </c>
      <c r="I2170" s="5">
        <v>0</v>
      </c>
      <c r="J2170" s="5">
        <v>0</v>
      </c>
      <c r="K2170" t="s">
        <v>9667</v>
      </c>
      <c r="L2170" cm="1">
        <f t="array" ref="L2170">wordCount(K2170)</f>
        <v>5</v>
      </c>
      <c r="M2170">
        <f t="shared" si="66"/>
        <v>33</v>
      </c>
      <c r="N2170">
        <v>0.83333333333333337</v>
      </c>
      <c r="O2170" s="23" cm="1">
        <f t="array" ref="O2170">WordListCount(K2170,keywords!$A$2:$A$31)-WordListCount(K2170,keywords!$B$2:$B$31)</f>
        <v>0</v>
      </c>
      <c r="P2170" s="25">
        <f t="shared" si="67"/>
        <v>0.79348379629629628</v>
      </c>
      <c r="Q2170" s="23">
        <f>SUM($O$2:O2170)</f>
        <v>58</v>
      </c>
      <c r="Y2170" s="14"/>
      <c r="Z2170" s="13"/>
      <c r="AA2170"/>
    </row>
    <row r="2171" spans="1:27" x14ac:dyDescent="0.2">
      <c r="A2171" s="12" t="s">
        <v>6605</v>
      </c>
      <c r="B2171" t="s">
        <v>6606</v>
      </c>
      <c r="C2171" t="s">
        <v>6607</v>
      </c>
      <c r="D2171" t="s">
        <v>6608</v>
      </c>
      <c r="E2171" t="s">
        <v>47</v>
      </c>
      <c r="F2171">
        <v>7388</v>
      </c>
      <c r="G2171">
        <v>1325</v>
      </c>
      <c r="H2171" s="5" t="s">
        <v>22</v>
      </c>
      <c r="I2171" s="5">
        <v>0</v>
      </c>
      <c r="J2171" s="5">
        <v>0</v>
      </c>
      <c r="K2171" t="s">
        <v>11275</v>
      </c>
      <c r="L2171" cm="1">
        <f t="array" ref="L2171">wordCount(K2171)</f>
        <v>19</v>
      </c>
      <c r="M2171">
        <f t="shared" si="66"/>
        <v>96</v>
      </c>
      <c r="N2171">
        <v>0.42307692307692307</v>
      </c>
      <c r="O2171" s="23" cm="1">
        <f t="array" ref="O2171">WordListCount(K2171,keywords!$A$2:$A$31)-WordListCount(K2171,keywords!$B$2:$B$31)</f>
        <v>1</v>
      </c>
      <c r="P2171" s="25">
        <f t="shared" si="67"/>
        <v>0.79350694444444436</v>
      </c>
      <c r="Q2171" s="23">
        <f>SUM($O$2:O2171)</f>
        <v>59</v>
      </c>
      <c r="Y2171" s="14"/>
      <c r="Z2171" s="13"/>
      <c r="AA2171"/>
    </row>
    <row r="2172" spans="1:27" x14ac:dyDescent="0.2">
      <c r="A2172" s="12" t="s">
        <v>6609</v>
      </c>
      <c r="B2172" t="s">
        <v>6610</v>
      </c>
      <c r="C2172" t="s">
        <v>6611</v>
      </c>
      <c r="D2172" t="s">
        <v>6612</v>
      </c>
      <c r="E2172" t="s">
        <v>13</v>
      </c>
      <c r="F2172">
        <v>6003</v>
      </c>
      <c r="G2172">
        <v>1353</v>
      </c>
      <c r="H2172" s="5" t="s">
        <v>677</v>
      </c>
      <c r="I2172" s="5">
        <v>0</v>
      </c>
      <c r="J2172" s="5">
        <v>0</v>
      </c>
      <c r="K2172" t="s">
        <v>11276</v>
      </c>
      <c r="L2172" cm="1">
        <f t="array" ref="L2172">wordCount(K2172)</f>
        <v>7</v>
      </c>
      <c r="M2172">
        <f t="shared" si="66"/>
        <v>36</v>
      </c>
      <c r="N2172">
        <v>0.72727272727272729</v>
      </c>
      <c r="O2172" s="23" cm="1">
        <f t="array" ref="O2172">WordListCount(K2172,keywords!$A$2:$A$31)-WordListCount(K2172,keywords!$B$2:$B$31)</f>
        <v>0</v>
      </c>
      <c r="P2172" s="25">
        <f t="shared" si="67"/>
        <v>0.79364583333333327</v>
      </c>
      <c r="Q2172" s="23">
        <f>SUM($O$2:O2172)</f>
        <v>59</v>
      </c>
      <c r="Y2172" s="14"/>
      <c r="Z2172" s="13"/>
      <c r="AA2172"/>
    </row>
    <row r="2173" spans="1:27" x14ac:dyDescent="0.2">
      <c r="A2173" s="12" t="s">
        <v>6613</v>
      </c>
      <c r="B2173" t="s">
        <v>79</v>
      </c>
      <c r="C2173" t="s">
        <v>4927</v>
      </c>
      <c r="D2173" t="s">
        <v>12</v>
      </c>
      <c r="E2173" t="s">
        <v>13</v>
      </c>
      <c r="F2173">
        <v>12</v>
      </c>
      <c r="G2173">
        <v>5</v>
      </c>
      <c r="H2173" s="5" t="s">
        <v>42</v>
      </c>
      <c r="I2173" s="5">
        <v>0</v>
      </c>
      <c r="J2173" s="5">
        <v>0</v>
      </c>
      <c r="K2173" t="s">
        <v>9906</v>
      </c>
      <c r="L2173" cm="1">
        <f t="array" ref="L2173">wordCount(K2173)</f>
        <v>12</v>
      </c>
      <c r="M2173">
        <f t="shared" si="66"/>
        <v>74</v>
      </c>
      <c r="N2173">
        <v>0.92307692307692313</v>
      </c>
      <c r="O2173" s="23" cm="1">
        <f t="array" ref="O2173">WordListCount(K2173,keywords!$A$2:$A$31)-WordListCount(K2173,keywords!$B$2:$B$31)</f>
        <v>0</v>
      </c>
      <c r="P2173" s="25">
        <f t="shared" si="67"/>
        <v>0.79379629629629633</v>
      </c>
      <c r="Q2173" s="23">
        <f>SUM($O$2:O2173)</f>
        <v>59</v>
      </c>
      <c r="Y2173" s="14"/>
      <c r="Z2173" s="13"/>
      <c r="AA2173"/>
    </row>
    <row r="2174" spans="1:27" x14ac:dyDescent="0.2">
      <c r="A2174" s="12" t="s">
        <v>6614</v>
      </c>
      <c r="B2174" t="s">
        <v>6615</v>
      </c>
      <c r="C2174" t="s">
        <v>634</v>
      </c>
      <c r="D2174" t="s">
        <v>635</v>
      </c>
      <c r="E2174" t="s">
        <v>13</v>
      </c>
      <c r="F2174">
        <v>2123</v>
      </c>
      <c r="G2174">
        <v>4146</v>
      </c>
      <c r="H2174" s="5" t="s">
        <v>22</v>
      </c>
      <c r="I2174" s="5">
        <v>0</v>
      </c>
      <c r="J2174" s="5">
        <v>0</v>
      </c>
      <c r="K2174" t="s">
        <v>9668</v>
      </c>
      <c r="L2174" cm="1">
        <f t="array" ref="L2174">wordCount(K2174)</f>
        <v>21</v>
      </c>
      <c r="M2174">
        <f t="shared" si="66"/>
        <v>102</v>
      </c>
      <c r="N2174">
        <v>0.4</v>
      </c>
      <c r="O2174" s="23" cm="1">
        <f t="array" ref="O2174">WordListCount(K2174,keywords!$A$2:$A$31)-WordListCount(K2174,keywords!$B$2:$B$31)</f>
        <v>2</v>
      </c>
      <c r="P2174" s="25">
        <f t="shared" si="67"/>
        <v>0.7938425925925926</v>
      </c>
      <c r="Q2174" s="23">
        <f>SUM($O$2:O2174)</f>
        <v>61</v>
      </c>
      <c r="Y2174" s="14"/>
      <c r="Z2174" s="13"/>
      <c r="AA2174"/>
    </row>
    <row r="2175" spans="1:27" x14ac:dyDescent="0.2">
      <c r="A2175" s="12" t="s">
        <v>6616</v>
      </c>
      <c r="B2175" t="s">
        <v>6617</v>
      </c>
      <c r="C2175" t="s">
        <v>6618</v>
      </c>
      <c r="D2175" t="s">
        <v>6619</v>
      </c>
      <c r="E2175" t="s">
        <v>13</v>
      </c>
      <c r="F2175">
        <v>260</v>
      </c>
      <c r="G2175">
        <v>1918</v>
      </c>
      <c r="H2175" s="5" t="s">
        <v>22</v>
      </c>
      <c r="I2175" s="5">
        <v>0</v>
      </c>
      <c r="J2175" s="5">
        <v>0</v>
      </c>
      <c r="K2175" t="s">
        <v>11277</v>
      </c>
      <c r="L2175" cm="1">
        <f t="array" ref="L2175">wordCount(K2175)</f>
        <v>18</v>
      </c>
      <c r="M2175">
        <f t="shared" si="66"/>
        <v>105</v>
      </c>
      <c r="N2175">
        <v>0.58064516129032262</v>
      </c>
      <c r="O2175" s="23" cm="1">
        <f t="array" ref="O2175">WordListCount(K2175,keywords!$A$2:$A$31)-WordListCount(K2175,keywords!$B$2:$B$31)</f>
        <v>0</v>
      </c>
      <c r="P2175" s="25">
        <f t="shared" si="67"/>
        <v>0.79387731481481483</v>
      </c>
      <c r="Q2175" s="23">
        <f>SUM($O$2:O2175)</f>
        <v>61</v>
      </c>
      <c r="Y2175" s="14"/>
      <c r="Z2175" s="13"/>
      <c r="AA2175"/>
    </row>
    <row r="2176" spans="1:27" x14ac:dyDescent="0.2">
      <c r="A2176" s="12" t="s">
        <v>6620</v>
      </c>
      <c r="B2176" t="s">
        <v>6621</v>
      </c>
      <c r="C2176" t="s">
        <v>6622</v>
      </c>
      <c r="D2176" t="s">
        <v>776</v>
      </c>
      <c r="E2176" t="s">
        <v>13</v>
      </c>
      <c r="F2176">
        <v>492</v>
      </c>
      <c r="G2176">
        <v>576</v>
      </c>
      <c r="H2176" s="5" t="s">
        <v>22</v>
      </c>
      <c r="I2176" s="5">
        <v>0</v>
      </c>
      <c r="J2176" s="5">
        <v>0</v>
      </c>
      <c r="K2176" t="s">
        <v>11278</v>
      </c>
      <c r="L2176" cm="1">
        <f t="array" ref="L2176">wordCount(K2176)</f>
        <v>20</v>
      </c>
      <c r="M2176">
        <f t="shared" si="66"/>
        <v>112</v>
      </c>
      <c r="N2176">
        <v>0.58823529411764708</v>
      </c>
      <c r="O2176" s="23" cm="1">
        <f t="array" ref="O2176">WordListCount(K2176,keywords!$A$2:$A$31)-WordListCount(K2176,keywords!$B$2:$B$31)</f>
        <v>0</v>
      </c>
      <c r="P2176" s="25">
        <f t="shared" si="67"/>
        <v>0.79405092592592597</v>
      </c>
      <c r="Q2176" s="23">
        <f>SUM($O$2:O2176)</f>
        <v>61</v>
      </c>
      <c r="Y2176" s="14"/>
      <c r="Z2176" s="13"/>
      <c r="AA2176"/>
    </row>
    <row r="2177" spans="1:27" x14ac:dyDescent="0.2">
      <c r="A2177" s="12" t="s">
        <v>6623</v>
      </c>
      <c r="B2177" t="s">
        <v>6624</v>
      </c>
      <c r="C2177" t="s">
        <v>6625</v>
      </c>
      <c r="D2177" t="s">
        <v>6626</v>
      </c>
      <c r="E2177" t="s">
        <v>13</v>
      </c>
      <c r="F2177">
        <v>921</v>
      </c>
      <c r="G2177">
        <v>355</v>
      </c>
      <c r="H2177" s="5" t="s">
        <v>22</v>
      </c>
      <c r="I2177" s="5">
        <v>0</v>
      </c>
      <c r="J2177" s="5">
        <v>0</v>
      </c>
      <c r="K2177" t="s">
        <v>11279</v>
      </c>
      <c r="L2177" cm="1">
        <f t="array" ref="L2177">wordCount(K2177)</f>
        <v>11</v>
      </c>
      <c r="M2177">
        <f t="shared" si="66"/>
        <v>48</v>
      </c>
      <c r="N2177">
        <v>0.33333333333333331</v>
      </c>
      <c r="O2177" s="23" cm="1">
        <f t="array" ref="O2177">WordListCount(K2177,keywords!$A$2:$A$31)-WordListCount(K2177,keywords!$B$2:$B$31)</f>
        <v>-1</v>
      </c>
      <c r="P2177" s="25">
        <f t="shared" si="67"/>
        <v>0.79418981481481488</v>
      </c>
      <c r="Q2177" s="23">
        <f>SUM($O$2:O2177)</f>
        <v>60</v>
      </c>
      <c r="Y2177" s="14"/>
      <c r="Z2177" s="13"/>
      <c r="AA2177"/>
    </row>
    <row r="2178" spans="1:27" x14ac:dyDescent="0.2">
      <c r="A2178" s="12" t="s">
        <v>6627</v>
      </c>
      <c r="B2178" t="s">
        <v>6628</v>
      </c>
      <c r="C2178" t="s">
        <v>3476</v>
      </c>
      <c r="D2178" t="s">
        <v>505</v>
      </c>
      <c r="E2178" t="s">
        <v>13</v>
      </c>
      <c r="F2178">
        <v>889</v>
      </c>
      <c r="G2178">
        <v>1574</v>
      </c>
      <c r="H2178" s="5" t="s">
        <v>22</v>
      </c>
      <c r="I2178" s="5">
        <v>0</v>
      </c>
      <c r="J2178" s="5">
        <v>0</v>
      </c>
      <c r="K2178" t="s">
        <v>9359</v>
      </c>
      <c r="L2178" cm="1">
        <f t="array" ref="L2178">wordCount(K2178)</f>
        <v>3</v>
      </c>
      <c r="M2178">
        <f t="shared" ref="M2178:M2241" si="68">LEN(K2178)</f>
        <v>16</v>
      </c>
      <c r="N2178">
        <v>0.75</v>
      </c>
      <c r="O2178" s="23" cm="1">
        <f t="array" ref="O2178">WordListCount(K2178,keywords!$A$2:$A$31)-WordListCount(K2178,keywords!$B$2:$B$31)</f>
        <v>0</v>
      </c>
      <c r="P2178" s="25">
        <f t="shared" ref="P2178:P2241" si="69">TIMEVALUE(RIGHT(A2178,8))</f>
        <v>0.79420138888888892</v>
      </c>
      <c r="Q2178" s="23">
        <f>SUM($O$2:O2178)</f>
        <v>60</v>
      </c>
      <c r="Y2178" s="14"/>
      <c r="Z2178" s="13"/>
      <c r="AA2178"/>
    </row>
    <row r="2179" spans="1:27" x14ac:dyDescent="0.2">
      <c r="A2179" s="12" t="s">
        <v>6629</v>
      </c>
      <c r="B2179" t="s">
        <v>6630</v>
      </c>
      <c r="C2179" t="s">
        <v>6631</v>
      </c>
      <c r="D2179" t="s">
        <v>12</v>
      </c>
      <c r="E2179" t="s">
        <v>13</v>
      </c>
      <c r="F2179">
        <v>10</v>
      </c>
      <c r="G2179">
        <v>125</v>
      </c>
      <c r="H2179" s="5" t="s">
        <v>22</v>
      </c>
      <c r="I2179" s="5">
        <v>0</v>
      </c>
      <c r="J2179" s="5">
        <v>0</v>
      </c>
      <c r="K2179" t="s">
        <v>9669</v>
      </c>
      <c r="L2179" cm="1">
        <f t="array" ref="L2179">wordCount(K2179)</f>
        <v>2</v>
      </c>
      <c r="M2179">
        <f t="shared" si="68"/>
        <v>11</v>
      </c>
      <c r="N2179">
        <v>0.66666666666666663</v>
      </c>
      <c r="O2179" s="23" cm="1">
        <f t="array" ref="O2179">WordListCount(K2179,keywords!$A$2:$A$31)-WordListCount(K2179,keywords!$B$2:$B$31)</f>
        <v>0</v>
      </c>
      <c r="P2179" s="25">
        <f t="shared" si="69"/>
        <v>0.79443287037037036</v>
      </c>
      <c r="Q2179" s="23">
        <f>SUM($O$2:O2179)</f>
        <v>60</v>
      </c>
      <c r="Y2179" s="14"/>
      <c r="Z2179" s="13"/>
      <c r="AA2179"/>
    </row>
    <row r="2180" spans="1:27" x14ac:dyDescent="0.2">
      <c r="A2180" s="12" t="s">
        <v>6632</v>
      </c>
      <c r="B2180" t="s">
        <v>6633</v>
      </c>
      <c r="C2180" t="s">
        <v>6395</v>
      </c>
      <c r="D2180" t="s">
        <v>108</v>
      </c>
      <c r="E2180" t="s">
        <v>13</v>
      </c>
      <c r="F2180">
        <v>145</v>
      </c>
      <c r="G2180">
        <v>124</v>
      </c>
      <c r="H2180" s="5" t="s">
        <v>22</v>
      </c>
      <c r="I2180" s="5">
        <v>0</v>
      </c>
      <c r="J2180" s="5">
        <v>0</v>
      </c>
      <c r="K2180" t="s">
        <v>11280</v>
      </c>
      <c r="L2180" cm="1">
        <f t="array" ref="L2180">wordCount(K2180)</f>
        <v>10</v>
      </c>
      <c r="M2180">
        <f t="shared" si="68"/>
        <v>44</v>
      </c>
      <c r="N2180">
        <v>0.72727272727272729</v>
      </c>
      <c r="O2180" s="23" cm="1">
        <f t="array" ref="O2180">WordListCount(K2180,keywords!$A$2:$A$31)-WordListCount(K2180,keywords!$B$2:$B$31)</f>
        <v>-1</v>
      </c>
      <c r="P2180" s="25">
        <f t="shared" si="69"/>
        <v>0.7944675925925927</v>
      </c>
      <c r="Q2180" s="23">
        <f>SUM($O$2:O2180)</f>
        <v>59</v>
      </c>
      <c r="Y2180" s="14"/>
      <c r="Z2180" s="13"/>
      <c r="AA2180"/>
    </row>
    <row r="2181" spans="1:27" x14ac:dyDescent="0.2">
      <c r="A2181" s="12" t="s">
        <v>6634</v>
      </c>
      <c r="B2181" t="s">
        <v>6635</v>
      </c>
      <c r="C2181" t="s">
        <v>657</v>
      </c>
      <c r="D2181" t="s">
        <v>658</v>
      </c>
      <c r="E2181" t="s">
        <v>13</v>
      </c>
      <c r="F2181">
        <v>3563</v>
      </c>
      <c r="G2181">
        <v>88</v>
      </c>
      <c r="H2181" s="5" t="s">
        <v>22</v>
      </c>
      <c r="I2181" s="5">
        <v>0</v>
      </c>
      <c r="J2181" s="5">
        <v>0</v>
      </c>
      <c r="K2181" t="s">
        <v>9670</v>
      </c>
      <c r="L2181" cm="1">
        <f t="array" ref="L2181">wordCount(K2181)</f>
        <v>13</v>
      </c>
      <c r="M2181">
        <f t="shared" si="68"/>
        <v>72</v>
      </c>
      <c r="N2181">
        <v>0.75</v>
      </c>
      <c r="O2181" s="23" cm="1">
        <f t="array" ref="O2181">WordListCount(K2181,keywords!$A$2:$A$31)-WordListCount(K2181,keywords!$B$2:$B$31)</f>
        <v>0</v>
      </c>
      <c r="P2181" s="25">
        <f t="shared" si="69"/>
        <v>0.79447916666666663</v>
      </c>
      <c r="Q2181" s="23">
        <f>SUM($O$2:O2181)</f>
        <v>59</v>
      </c>
      <c r="Y2181" s="14"/>
      <c r="Z2181" s="13"/>
      <c r="AA2181"/>
    </row>
    <row r="2182" spans="1:27" x14ac:dyDescent="0.2">
      <c r="A2182" s="12" t="s">
        <v>6636</v>
      </c>
      <c r="B2182" t="s">
        <v>6637</v>
      </c>
      <c r="C2182" t="s">
        <v>6638</v>
      </c>
      <c r="D2182" t="s">
        <v>12</v>
      </c>
      <c r="E2182" t="s">
        <v>13</v>
      </c>
      <c r="F2182">
        <v>14</v>
      </c>
      <c r="G2182">
        <v>77</v>
      </c>
      <c r="H2182" s="5" t="s">
        <v>22</v>
      </c>
      <c r="I2182" s="5">
        <v>0</v>
      </c>
      <c r="J2182" s="5">
        <v>0</v>
      </c>
      <c r="K2182" t="s">
        <v>11281</v>
      </c>
      <c r="L2182" cm="1">
        <f t="array" ref="L2182">wordCount(K2182)</f>
        <v>15</v>
      </c>
      <c r="M2182">
        <f t="shared" si="68"/>
        <v>73</v>
      </c>
      <c r="N2182">
        <v>0.65517241379310343</v>
      </c>
      <c r="O2182" s="23" cm="1">
        <f t="array" ref="O2182">WordListCount(K2182,keywords!$A$2:$A$31)-WordListCount(K2182,keywords!$B$2:$B$31)</f>
        <v>0</v>
      </c>
      <c r="P2182" s="25">
        <f t="shared" si="69"/>
        <v>0.79456018518518512</v>
      </c>
      <c r="Q2182" s="23">
        <f>SUM($O$2:O2182)</f>
        <v>59</v>
      </c>
      <c r="Y2182" s="14"/>
      <c r="Z2182" s="13"/>
      <c r="AA2182"/>
    </row>
    <row r="2183" spans="1:27" x14ac:dyDescent="0.2">
      <c r="A2183" s="12" t="s">
        <v>6639</v>
      </c>
      <c r="B2183" t="s">
        <v>6640</v>
      </c>
      <c r="C2183" t="s">
        <v>6641</v>
      </c>
      <c r="D2183" t="s">
        <v>1343</v>
      </c>
      <c r="E2183" t="s">
        <v>13</v>
      </c>
      <c r="F2183">
        <v>1189</v>
      </c>
      <c r="G2183">
        <v>1103</v>
      </c>
      <c r="H2183" s="5" t="s">
        <v>22</v>
      </c>
      <c r="I2183" s="5">
        <v>0</v>
      </c>
      <c r="J2183" s="5">
        <v>0</v>
      </c>
      <c r="K2183" t="s">
        <v>11282</v>
      </c>
      <c r="L2183" cm="1">
        <f t="array" ref="L2183">wordCount(K2183)</f>
        <v>11</v>
      </c>
      <c r="M2183">
        <f t="shared" si="68"/>
        <v>59</v>
      </c>
      <c r="N2183">
        <v>0.55555555555555558</v>
      </c>
      <c r="O2183" s="23" cm="1">
        <f t="array" ref="O2183">WordListCount(K2183,keywords!$A$2:$A$31)-WordListCount(K2183,keywords!$B$2:$B$31)</f>
        <v>1</v>
      </c>
      <c r="P2183" s="25">
        <f t="shared" si="69"/>
        <v>0.79459490740740746</v>
      </c>
      <c r="Q2183" s="23">
        <f>SUM($O$2:O2183)</f>
        <v>60</v>
      </c>
      <c r="Y2183" s="14"/>
      <c r="Z2183" s="13"/>
      <c r="AA2183"/>
    </row>
    <row r="2184" spans="1:27" x14ac:dyDescent="0.2">
      <c r="A2184" s="12" t="s">
        <v>6642</v>
      </c>
      <c r="B2184" t="s">
        <v>6643</v>
      </c>
      <c r="C2184" t="s">
        <v>6644</v>
      </c>
      <c r="D2184" t="s">
        <v>12</v>
      </c>
      <c r="E2184" t="s">
        <v>13</v>
      </c>
      <c r="F2184">
        <v>298</v>
      </c>
      <c r="G2184">
        <v>311</v>
      </c>
      <c r="H2184" s="5" t="s">
        <v>22</v>
      </c>
      <c r="I2184" s="5">
        <v>0</v>
      </c>
      <c r="J2184" s="5">
        <v>0</v>
      </c>
      <c r="K2184" t="s">
        <v>11283</v>
      </c>
      <c r="L2184" cm="1">
        <f t="array" ref="L2184">wordCount(K2184)</f>
        <v>20</v>
      </c>
      <c r="M2184">
        <f t="shared" si="68"/>
        <v>110</v>
      </c>
      <c r="N2184">
        <v>0.36</v>
      </c>
      <c r="O2184" s="23" cm="1">
        <f t="array" ref="O2184">WordListCount(K2184,keywords!$A$2:$A$31)-WordListCount(K2184,keywords!$B$2:$B$31)</f>
        <v>-1</v>
      </c>
      <c r="P2184" s="25">
        <f t="shared" si="69"/>
        <v>0.79461805555555554</v>
      </c>
      <c r="Q2184" s="23">
        <f>SUM($O$2:O2184)</f>
        <v>59</v>
      </c>
      <c r="Y2184" s="14"/>
      <c r="Z2184" s="13"/>
      <c r="AA2184"/>
    </row>
    <row r="2185" spans="1:27" x14ac:dyDescent="0.2">
      <c r="A2185" s="12" t="s">
        <v>6645</v>
      </c>
      <c r="B2185" t="s">
        <v>6646</v>
      </c>
      <c r="C2185" t="s">
        <v>6647</v>
      </c>
      <c r="D2185" t="s">
        <v>6648</v>
      </c>
      <c r="E2185" t="s">
        <v>13</v>
      </c>
      <c r="F2185">
        <v>200</v>
      </c>
      <c r="G2185">
        <v>661</v>
      </c>
      <c r="H2185" s="5" t="s">
        <v>22</v>
      </c>
      <c r="I2185" s="5">
        <v>0</v>
      </c>
      <c r="J2185" s="5">
        <v>0</v>
      </c>
      <c r="K2185" t="s">
        <v>9671</v>
      </c>
      <c r="L2185" cm="1">
        <f t="array" ref="L2185">wordCount(K2185)</f>
        <v>9</v>
      </c>
      <c r="M2185">
        <f t="shared" si="68"/>
        <v>47</v>
      </c>
      <c r="N2185">
        <v>0.8666666666666667</v>
      </c>
      <c r="O2185" s="23" cm="1">
        <f t="array" ref="O2185">WordListCount(K2185,keywords!$A$2:$A$31)-WordListCount(K2185,keywords!$B$2:$B$31)</f>
        <v>0</v>
      </c>
      <c r="P2185" s="25">
        <f t="shared" si="69"/>
        <v>0.79473379629629637</v>
      </c>
      <c r="Q2185" s="23">
        <f>SUM($O$2:O2185)</f>
        <v>59</v>
      </c>
      <c r="Y2185" s="14"/>
      <c r="Z2185" s="13"/>
      <c r="AA2185"/>
    </row>
    <row r="2186" spans="1:27" x14ac:dyDescent="0.2">
      <c r="A2186" s="12" t="s">
        <v>6649</v>
      </c>
      <c r="B2186" t="s">
        <v>6650</v>
      </c>
      <c r="C2186" t="s">
        <v>1307</v>
      </c>
      <c r="D2186" t="s">
        <v>1308</v>
      </c>
      <c r="E2186" t="s">
        <v>13</v>
      </c>
      <c r="F2186">
        <v>1133</v>
      </c>
      <c r="G2186">
        <v>1615</v>
      </c>
      <c r="H2186" s="5" t="s">
        <v>22</v>
      </c>
      <c r="I2186" s="5">
        <v>0</v>
      </c>
      <c r="J2186" s="5">
        <v>0</v>
      </c>
      <c r="K2186" t="s">
        <v>9672</v>
      </c>
      <c r="L2186" cm="1">
        <f t="array" ref="L2186">wordCount(K2186)</f>
        <v>8</v>
      </c>
      <c r="M2186">
        <f t="shared" si="68"/>
        <v>39</v>
      </c>
      <c r="N2186">
        <v>0.7142857142857143</v>
      </c>
      <c r="O2186" s="23" cm="1">
        <f t="array" ref="O2186">WordListCount(K2186,keywords!$A$2:$A$31)-WordListCount(K2186,keywords!$B$2:$B$31)</f>
        <v>0</v>
      </c>
      <c r="P2186" s="25">
        <f t="shared" si="69"/>
        <v>0.79475694444444445</v>
      </c>
      <c r="Q2186" s="23">
        <f>SUM($O$2:O2186)</f>
        <v>59</v>
      </c>
      <c r="Y2186" s="14"/>
      <c r="Z2186" s="13"/>
      <c r="AA2186"/>
    </row>
    <row r="2187" spans="1:27" x14ac:dyDescent="0.2">
      <c r="A2187" s="12" t="s">
        <v>6651</v>
      </c>
      <c r="B2187" t="s">
        <v>6652</v>
      </c>
      <c r="C2187" t="s">
        <v>492</v>
      </c>
      <c r="D2187" t="s">
        <v>493</v>
      </c>
      <c r="E2187" t="s">
        <v>13</v>
      </c>
      <c r="F2187">
        <v>5</v>
      </c>
      <c r="G2187">
        <v>13</v>
      </c>
      <c r="H2187" s="5" t="s">
        <v>22</v>
      </c>
      <c r="I2187" s="5">
        <v>0</v>
      </c>
      <c r="J2187" s="5">
        <v>0</v>
      </c>
      <c r="K2187" t="s">
        <v>9673</v>
      </c>
      <c r="L2187" cm="1">
        <f t="array" ref="L2187">wordCount(K2187)</f>
        <v>3</v>
      </c>
      <c r="M2187">
        <f t="shared" si="68"/>
        <v>10</v>
      </c>
      <c r="N2187">
        <v>0.90909090909090906</v>
      </c>
      <c r="O2187" s="23" cm="1">
        <f t="array" ref="O2187">WordListCount(K2187,keywords!$A$2:$A$31)-WordListCount(K2187,keywords!$B$2:$B$31)</f>
        <v>0</v>
      </c>
      <c r="P2187" s="25">
        <f t="shared" si="69"/>
        <v>0.79494212962962962</v>
      </c>
      <c r="Q2187" s="23">
        <f>SUM($O$2:O2187)</f>
        <v>59</v>
      </c>
      <c r="Y2187" s="14"/>
      <c r="Z2187" s="13"/>
      <c r="AA2187"/>
    </row>
    <row r="2188" spans="1:27" x14ac:dyDescent="0.2">
      <c r="A2188" s="12" t="s">
        <v>6653</v>
      </c>
      <c r="B2188" t="s">
        <v>6654</v>
      </c>
      <c r="C2188" t="s">
        <v>6655</v>
      </c>
      <c r="D2188" t="s">
        <v>12</v>
      </c>
      <c r="E2188" t="s">
        <v>13</v>
      </c>
      <c r="F2188">
        <v>17</v>
      </c>
      <c r="G2188">
        <v>148</v>
      </c>
      <c r="H2188" s="5" t="s">
        <v>22</v>
      </c>
      <c r="I2188" s="5">
        <v>0</v>
      </c>
      <c r="J2188" s="5">
        <v>0</v>
      </c>
      <c r="K2188" t="s">
        <v>9674</v>
      </c>
      <c r="L2188" cm="1">
        <f t="array" ref="L2188">wordCount(K2188)</f>
        <v>11</v>
      </c>
      <c r="M2188">
        <f t="shared" si="68"/>
        <v>56</v>
      </c>
      <c r="N2188">
        <v>0.47619047619047616</v>
      </c>
      <c r="O2188" s="23" cm="1">
        <f t="array" ref="O2188">WordListCount(K2188,keywords!$A$2:$A$31)-WordListCount(K2188,keywords!$B$2:$B$31)</f>
        <v>0</v>
      </c>
      <c r="P2188" s="25">
        <f t="shared" si="69"/>
        <v>0.7949652777777777</v>
      </c>
      <c r="Q2188" s="23">
        <f>SUM($O$2:O2188)</f>
        <v>59</v>
      </c>
      <c r="Y2188" s="14"/>
      <c r="Z2188" s="13"/>
      <c r="AA2188"/>
    </row>
    <row r="2189" spans="1:27" x14ac:dyDescent="0.2">
      <c r="A2189" s="12" t="s">
        <v>6656</v>
      </c>
      <c r="B2189" t="s">
        <v>6657</v>
      </c>
      <c r="C2189" t="s">
        <v>6658</v>
      </c>
      <c r="D2189" t="s">
        <v>12</v>
      </c>
      <c r="E2189" t="s">
        <v>13</v>
      </c>
      <c r="F2189">
        <v>30</v>
      </c>
      <c r="G2189">
        <v>71</v>
      </c>
      <c r="H2189" s="5" t="s">
        <v>22</v>
      </c>
      <c r="I2189" s="5">
        <v>0</v>
      </c>
      <c r="J2189" s="5">
        <v>0</v>
      </c>
      <c r="K2189" t="s">
        <v>11284</v>
      </c>
      <c r="L2189" cm="1">
        <f t="array" ref="L2189">wordCount(K2189)</f>
        <v>14</v>
      </c>
      <c r="M2189">
        <f t="shared" si="68"/>
        <v>87</v>
      </c>
      <c r="N2189">
        <v>0.35</v>
      </c>
      <c r="O2189" s="23" cm="1">
        <f t="array" ref="O2189">WordListCount(K2189,keywords!$A$2:$A$31)-WordListCount(K2189,keywords!$B$2:$B$31)</f>
        <v>-1</v>
      </c>
      <c r="P2189" s="25">
        <f t="shared" si="69"/>
        <v>0.7950462962962962</v>
      </c>
      <c r="Q2189" s="23">
        <f>SUM($O$2:O2189)</f>
        <v>58</v>
      </c>
      <c r="Y2189" s="14"/>
      <c r="Z2189" s="13"/>
      <c r="AA2189"/>
    </row>
    <row r="2190" spans="1:27" x14ac:dyDescent="0.2">
      <c r="A2190" s="12" t="s">
        <v>6659</v>
      </c>
      <c r="B2190" t="s">
        <v>6660</v>
      </c>
      <c r="C2190" t="s">
        <v>6661</v>
      </c>
      <c r="D2190" t="s">
        <v>6662</v>
      </c>
      <c r="E2190" t="s">
        <v>13</v>
      </c>
      <c r="F2190">
        <v>48</v>
      </c>
      <c r="G2190">
        <v>122</v>
      </c>
      <c r="H2190" s="5" t="s">
        <v>22</v>
      </c>
      <c r="I2190" s="5">
        <v>0</v>
      </c>
      <c r="J2190" s="5">
        <v>0</v>
      </c>
      <c r="K2190" t="s">
        <v>11285</v>
      </c>
      <c r="L2190" cm="1">
        <f t="array" ref="L2190">wordCount(K2190)</f>
        <v>22</v>
      </c>
      <c r="M2190">
        <f t="shared" si="68"/>
        <v>107</v>
      </c>
      <c r="N2190">
        <v>9.5238095238095233E-2</v>
      </c>
      <c r="O2190" s="23" cm="1">
        <f t="array" ref="O2190">WordListCount(K2190,keywords!$A$2:$A$31)-WordListCount(K2190,keywords!$B$2:$B$31)</f>
        <v>0</v>
      </c>
      <c r="P2190" s="25">
        <f t="shared" si="69"/>
        <v>0.79505787037037035</v>
      </c>
      <c r="Q2190" s="23">
        <f>SUM($O$2:O2190)</f>
        <v>58</v>
      </c>
      <c r="Y2190" s="14"/>
      <c r="Z2190" s="13"/>
      <c r="AA2190"/>
    </row>
    <row r="2191" spans="1:27" x14ac:dyDescent="0.2">
      <c r="A2191" s="12" t="s">
        <v>6663</v>
      </c>
      <c r="B2191" t="s">
        <v>6664</v>
      </c>
      <c r="C2191" t="s">
        <v>687</v>
      </c>
      <c r="D2191" t="s">
        <v>12</v>
      </c>
      <c r="E2191" t="s">
        <v>13</v>
      </c>
      <c r="F2191">
        <v>38</v>
      </c>
      <c r="G2191">
        <v>14</v>
      </c>
      <c r="H2191" s="5" t="s">
        <v>42</v>
      </c>
      <c r="I2191" s="5">
        <v>0</v>
      </c>
      <c r="J2191" s="5">
        <v>0</v>
      </c>
      <c r="K2191" t="s">
        <v>9675</v>
      </c>
      <c r="L2191" cm="1">
        <f t="array" ref="L2191">wordCount(K2191)</f>
        <v>3</v>
      </c>
      <c r="M2191">
        <f t="shared" si="68"/>
        <v>50</v>
      </c>
      <c r="N2191">
        <v>0.83333333333333337</v>
      </c>
      <c r="O2191" s="23" cm="1">
        <f t="array" ref="O2191">WordListCount(K2191,keywords!$A$2:$A$31)-WordListCount(K2191,keywords!$B$2:$B$31)</f>
        <v>0</v>
      </c>
      <c r="P2191" s="25">
        <f t="shared" si="69"/>
        <v>0.79520833333333341</v>
      </c>
      <c r="Q2191" s="23">
        <f>SUM($O$2:O2191)</f>
        <v>58</v>
      </c>
      <c r="Y2191" s="14"/>
      <c r="Z2191" s="13"/>
      <c r="AA2191"/>
    </row>
    <row r="2192" spans="1:27" x14ac:dyDescent="0.2">
      <c r="A2192" s="12" t="s">
        <v>6665</v>
      </c>
      <c r="B2192" t="s">
        <v>6666</v>
      </c>
      <c r="C2192" t="s">
        <v>6667</v>
      </c>
      <c r="D2192" t="s">
        <v>2153</v>
      </c>
      <c r="E2192" t="s">
        <v>13</v>
      </c>
      <c r="F2192">
        <v>186</v>
      </c>
      <c r="G2192">
        <v>211</v>
      </c>
      <c r="H2192" s="5" t="s">
        <v>677</v>
      </c>
      <c r="I2192" s="5">
        <v>0</v>
      </c>
      <c r="J2192" s="5">
        <v>0</v>
      </c>
      <c r="K2192" t="s">
        <v>9676</v>
      </c>
      <c r="L2192" cm="1">
        <f t="array" ref="L2192">wordCount(K2192)</f>
        <v>7</v>
      </c>
      <c r="M2192">
        <f t="shared" si="68"/>
        <v>34</v>
      </c>
      <c r="N2192">
        <v>0.88888888888888884</v>
      </c>
      <c r="O2192" s="23" cm="1">
        <f t="array" ref="O2192">WordListCount(K2192,keywords!$A$2:$A$31)-WordListCount(K2192,keywords!$B$2:$B$31)</f>
        <v>0</v>
      </c>
      <c r="P2192" s="25">
        <f t="shared" si="69"/>
        <v>0.7955902777777778</v>
      </c>
      <c r="Q2192" s="23">
        <f>SUM($O$2:O2192)</f>
        <v>58</v>
      </c>
      <c r="Y2192" s="14"/>
      <c r="Z2192" s="13"/>
      <c r="AA2192"/>
    </row>
    <row r="2193" spans="1:27" x14ac:dyDescent="0.2">
      <c r="A2193" s="12" t="s">
        <v>6668</v>
      </c>
      <c r="B2193" t="s">
        <v>6669</v>
      </c>
      <c r="C2193" t="s">
        <v>6670</v>
      </c>
      <c r="D2193" t="s">
        <v>887</v>
      </c>
      <c r="E2193" t="s">
        <v>13</v>
      </c>
      <c r="F2193">
        <v>7</v>
      </c>
      <c r="G2193">
        <v>21</v>
      </c>
      <c r="H2193" s="5" t="s">
        <v>22</v>
      </c>
      <c r="I2193" s="5">
        <v>0</v>
      </c>
      <c r="J2193" s="5">
        <v>0</v>
      </c>
      <c r="K2193" t="s">
        <v>11286</v>
      </c>
      <c r="L2193" cm="1">
        <f t="array" ref="L2193">wordCount(K2193)</f>
        <v>9</v>
      </c>
      <c r="M2193">
        <f t="shared" si="68"/>
        <v>34</v>
      </c>
      <c r="N2193">
        <v>0.625</v>
      </c>
      <c r="O2193" s="23" cm="1">
        <f t="array" ref="O2193">WordListCount(K2193,keywords!$A$2:$A$31)-WordListCount(K2193,keywords!$B$2:$B$31)</f>
        <v>0</v>
      </c>
      <c r="P2193" s="25">
        <f t="shared" si="69"/>
        <v>0.79562499999999992</v>
      </c>
      <c r="Q2193" s="23">
        <f>SUM($O$2:O2193)</f>
        <v>58</v>
      </c>
      <c r="Y2193" s="14"/>
      <c r="Z2193" s="13"/>
      <c r="AA2193"/>
    </row>
    <row r="2194" spans="1:27" x14ac:dyDescent="0.2">
      <c r="A2194" s="12" t="s">
        <v>6671</v>
      </c>
      <c r="B2194" t="s">
        <v>6672</v>
      </c>
      <c r="C2194" t="s">
        <v>6673</v>
      </c>
      <c r="D2194" t="s">
        <v>6674</v>
      </c>
      <c r="E2194" t="s">
        <v>13</v>
      </c>
      <c r="F2194">
        <v>15348</v>
      </c>
      <c r="G2194">
        <v>70</v>
      </c>
      <c r="H2194" s="5" t="s">
        <v>22</v>
      </c>
      <c r="I2194" s="5">
        <v>0</v>
      </c>
      <c r="J2194" s="5">
        <v>0</v>
      </c>
      <c r="K2194" t="s">
        <v>9677</v>
      </c>
      <c r="L2194" cm="1">
        <f t="array" ref="L2194">wordCount(K2194)</f>
        <v>19</v>
      </c>
      <c r="M2194">
        <f t="shared" si="68"/>
        <v>128</v>
      </c>
      <c r="N2194">
        <v>0.5</v>
      </c>
      <c r="O2194" s="23" cm="1">
        <f t="array" ref="O2194">WordListCount(K2194,keywords!$A$2:$A$31)-WordListCount(K2194,keywords!$B$2:$B$31)</f>
        <v>0</v>
      </c>
      <c r="P2194" s="25">
        <f t="shared" si="69"/>
        <v>0.79565972222222225</v>
      </c>
      <c r="Q2194" s="23">
        <f>SUM($O$2:O2194)</f>
        <v>58</v>
      </c>
      <c r="Y2194" s="14"/>
      <c r="Z2194" s="13"/>
      <c r="AA2194"/>
    </row>
    <row r="2195" spans="1:27" x14ac:dyDescent="0.2">
      <c r="A2195" s="12" t="s">
        <v>6675</v>
      </c>
      <c r="B2195" t="s">
        <v>6676</v>
      </c>
      <c r="C2195" t="s">
        <v>6677</v>
      </c>
      <c r="D2195" t="s">
        <v>12</v>
      </c>
      <c r="E2195" t="s">
        <v>13</v>
      </c>
      <c r="F2195">
        <v>35</v>
      </c>
      <c r="G2195">
        <v>68</v>
      </c>
      <c r="H2195" s="5" t="s">
        <v>22</v>
      </c>
      <c r="I2195" s="5">
        <v>0</v>
      </c>
      <c r="J2195" s="5">
        <v>0</v>
      </c>
      <c r="K2195" t="s">
        <v>11287</v>
      </c>
      <c r="L2195" cm="1">
        <f t="array" ref="L2195">wordCount(K2195)</f>
        <v>8</v>
      </c>
      <c r="M2195">
        <f t="shared" si="68"/>
        <v>42</v>
      </c>
      <c r="N2195">
        <v>0.68421052631578949</v>
      </c>
      <c r="O2195" s="23" cm="1">
        <f t="array" ref="O2195">WordListCount(K2195,keywords!$A$2:$A$31)-WordListCount(K2195,keywords!$B$2:$B$31)</f>
        <v>0</v>
      </c>
      <c r="P2195" s="25">
        <f t="shared" si="69"/>
        <v>0.79567129629629629</v>
      </c>
      <c r="Q2195" s="23">
        <f>SUM($O$2:O2195)</f>
        <v>58</v>
      </c>
      <c r="Y2195" s="14"/>
      <c r="Z2195" s="13"/>
      <c r="AA2195"/>
    </row>
    <row r="2196" spans="1:27" x14ac:dyDescent="0.2">
      <c r="A2196" s="12" t="s">
        <v>6678</v>
      </c>
      <c r="B2196" t="s">
        <v>6679</v>
      </c>
      <c r="C2196" t="s">
        <v>6680</v>
      </c>
      <c r="D2196" t="s">
        <v>51</v>
      </c>
      <c r="E2196" t="s">
        <v>13</v>
      </c>
      <c r="F2196">
        <v>345</v>
      </c>
      <c r="G2196">
        <v>348</v>
      </c>
      <c r="H2196" s="5" t="s">
        <v>22</v>
      </c>
      <c r="I2196" s="5">
        <v>0</v>
      </c>
      <c r="J2196" s="5">
        <v>0</v>
      </c>
      <c r="K2196" t="s">
        <v>11288</v>
      </c>
      <c r="L2196" cm="1">
        <f t="array" ref="L2196">wordCount(K2196)</f>
        <v>17</v>
      </c>
      <c r="M2196">
        <f t="shared" si="68"/>
        <v>86</v>
      </c>
      <c r="N2196">
        <v>0.39130434782608697</v>
      </c>
      <c r="O2196" s="23" cm="1">
        <f t="array" ref="O2196">WordListCount(K2196,keywords!$A$2:$A$31)-WordListCount(K2196,keywords!$B$2:$B$31)</f>
        <v>0</v>
      </c>
      <c r="P2196" s="25">
        <f t="shared" si="69"/>
        <v>0.7958101851851852</v>
      </c>
      <c r="Q2196" s="23">
        <f>SUM($O$2:O2196)</f>
        <v>58</v>
      </c>
      <c r="Y2196" s="14"/>
      <c r="Z2196" s="13"/>
      <c r="AA2196"/>
    </row>
    <row r="2197" spans="1:27" x14ac:dyDescent="0.2">
      <c r="A2197" s="12" t="s">
        <v>6681</v>
      </c>
      <c r="B2197" t="s">
        <v>6682</v>
      </c>
      <c r="C2197" t="s">
        <v>6683</v>
      </c>
      <c r="D2197" t="s">
        <v>426</v>
      </c>
      <c r="E2197" t="s">
        <v>13</v>
      </c>
      <c r="F2197">
        <v>2878</v>
      </c>
      <c r="G2197">
        <v>4986</v>
      </c>
      <c r="H2197" s="5" t="s">
        <v>22</v>
      </c>
      <c r="I2197" s="5">
        <v>0</v>
      </c>
      <c r="J2197" s="5">
        <v>0</v>
      </c>
      <c r="K2197" t="s">
        <v>9678</v>
      </c>
      <c r="L2197" cm="1">
        <f t="array" ref="L2197">wordCount(K2197)</f>
        <v>9</v>
      </c>
      <c r="M2197">
        <f t="shared" si="68"/>
        <v>46</v>
      </c>
      <c r="N2197">
        <v>0.70833333333333337</v>
      </c>
      <c r="O2197" s="23" cm="1">
        <f t="array" ref="O2197">WordListCount(K2197,keywords!$A$2:$A$31)-WordListCount(K2197,keywords!$B$2:$B$31)</f>
        <v>0</v>
      </c>
      <c r="P2197" s="25">
        <f t="shared" si="69"/>
        <v>0.79603009259259261</v>
      </c>
      <c r="Q2197" s="23">
        <f>SUM($O$2:O2197)</f>
        <v>58</v>
      </c>
      <c r="Y2197" s="14"/>
      <c r="Z2197" s="13"/>
      <c r="AA2197"/>
    </row>
    <row r="2198" spans="1:27" x14ac:dyDescent="0.2">
      <c r="A2198" s="12" t="s">
        <v>6684</v>
      </c>
      <c r="B2198" t="s">
        <v>6685</v>
      </c>
      <c r="C2198" t="s">
        <v>6481</v>
      </c>
      <c r="D2198" t="s">
        <v>6482</v>
      </c>
      <c r="E2198" t="s">
        <v>13</v>
      </c>
      <c r="F2198">
        <v>117</v>
      </c>
      <c r="G2198">
        <v>455</v>
      </c>
      <c r="H2198" s="5" t="s">
        <v>22</v>
      </c>
      <c r="I2198" s="5">
        <v>0</v>
      </c>
      <c r="J2198" s="5">
        <v>0</v>
      </c>
      <c r="K2198" t="s">
        <v>11289</v>
      </c>
      <c r="L2198" cm="1">
        <f t="array" ref="L2198">wordCount(K2198)</f>
        <v>17</v>
      </c>
      <c r="M2198">
        <f t="shared" si="68"/>
        <v>86</v>
      </c>
      <c r="N2198">
        <v>0.65789473684210531</v>
      </c>
      <c r="O2198" s="23" cm="1">
        <f t="array" ref="O2198">WordListCount(K2198,keywords!$A$2:$A$31)-WordListCount(K2198,keywords!$B$2:$B$31)</f>
        <v>0</v>
      </c>
      <c r="P2198" s="25">
        <f t="shared" si="69"/>
        <v>0.79616898148148152</v>
      </c>
      <c r="Q2198" s="23">
        <f>SUM($O$2:O2198)</f>
        <v>58</v>
      </c>
      <c r="Y2198" s="14"/>
      <c r="Z2198" s="13"/>
      <c r="AA2198"/>
    </row>
    <row r="2199" spans="1:27" x14ac:dyDescent="0.2">
      <c r="A2199" s="12" t="s">
        <v>6686</v>
      </c>
      <c r="B2199" t="s">
        <v>6687</v>
      </c>
      <c r="C2199" t="s">
        <v>6688</v>
      </c>
      <c r="D2199" t="s">
        <v>516</v>
      </c>
      <c r="E2199" t="s">
        <v>13</v>
      </c>
      <c r="F2199">
        <v>1242</v>
      </c>
      <c r="G2199">
        <v>661</v>
      </c>
      <c r="H2199" s="5" t="s">
        <v>22</v>
      </c>
      <c r="I2199" s="5">
        <v>0</v>
      </c>
      <c r="J2199" s="5">
        <v>0</v>
      </c>
      <c r="K2199" t="s">
        <v>11290</v>
      </c>
      <c r="L2199" cm="1">
        <f t="array" ref="L2199">wordCount(K2199)</f>
        <v>6</v>
      </c>
      <c r="M2199">
        <f t="shared" si="68"/>
        <v>35</v>
      </c>
      <c r="N2199">
        <v>0.63636363636363635</v>
      </c>
      <c r="O2199" s="23" cm="1">
        <f t="array" ref="O2199">WordListCount(K2199,keywords!$A$2:$A$31)-WordListCount(K2199,keywords!$B$2:$B$31)</f>
        <v>0</v>
      </c>
      <c r="P2199" s="25">
        <f t="shared" si="69"/>
        <v>0.79629629629629628</v>
      </c>
      <c r="Q2199" s="23">
        <f>SUM($O$2:O2199)</f>
        <v>58</v>
      </c>
      <c r="Y2199" s="14"/>
      <c r="Z2199" s="13"/>
      <c r="AA2199"/>
    </row>
    <row r="2200" spans="1:27" x14ac:dyDescent="0.2">
      <c r="A2200" s="12" t="s">
        <v>6689</v>
      </c>
      <c r="B2200" t="s">
        <v>6690</v>
      </c>
      <c r="C2200" t="s">
        <v>4995</v>
      </c>
      <c r="D2200" t="s">
        <v>12</v>
      </c>
      <c r="E2200" t="s">
        <v>13</v>
      </c>
      <c r="F2200">
        <v>251</v>
      </c>
      <c r="G2200">
        <v>9</v>
      </c>
      <c r="H2200" s="5" t="s">
        <v>22</v>
      </c>
      <c r="I2200" s="5">
        <v>0</v>
      </c>
      <c r="J2200" s="5">
        <v>0</v>
      </c>
      <c r="K2200" t="s">
        <v>9679</v>
      </c>
      <c r="L2200" cm="1">
        <f t="array" ref="L2200">wordCount(K2200)</f>
        <v>8</v>
      </c>
      <c r="M2200">
        <f t="shared" si="68"/>
        <v>49</v>
      </c>
      <c r="N2200">
        <v>0.61111111111111116</v>
      </c>
      <c r="O2200" s="23" cm="1">
        <f t="array" ref="O2200">WordListCount(K2200,keywords!$A$2:$A$31)-WordListCount(K2200,keywords!$B$2:$B$31)</f>
        <v>0</v>
      </c>
      <c r="P2200" s="25">
        <f t="shared" si="69"/>
        <v>0.79634259259259255</v>
      </c>
      <c r="Q2200" s="23">
        <f>SUM($O$2:O2200)</f>
        <v>58</v>
      </c>
      <c r="Y2200" s="14"/>
      <c r="Z2200" s="13"/>
      <c r="AA2200"/>
    </row>
    <row r="2201" spans="1:27" x14ac:dyDescent="0.2">
      <c r="A2201" s="12" t="s">
        <v>6691</v>
      </c>
      <c r="B2201" t="s">
        <v>6692</v>
      </c>
      <c r="C2201" t="s">
        <v>6693</v>
      </c>
      <c r="D2201" t="s">
        <v>5201</v>
      </c>
      <c r="E2201" t="s">
        <v>13</v>
      </c>
      <c r="F2201">
        <v>1278</v>
      </c>
      <c r="G2201">
        <v>625</v>
      </c>
      <c r="H2201" s="5" t="s">
        <v>22</v>
      </c>
      <c r="I2201" s="5">
        <v>0</v>
      </c>
      <c r="J2201" s="5">
        <v>0</v>
      </c>
      <c r="K2201" t="s">
        <v>9680</v>
      </c>
      <c r="L2201" cm="1">
        <f t="array" ref="L2201">wordCount(K2201)</f>
        <v>10</v>
      </c>
      <c r="M2201">
        <f t="shared" si="68"/>
        <v>48</v>
      </c>
      <c r="N2201">
        <v>0.4375</v>
      </c>
      <c r="O2201" s="23" cm="1">
        <f t="array" ref="O2201">WordListCount(K2201,keywords!$A$2:$A$31)-WordListCount(K2201,keywords!$B$2:$B$31)</f>
        <v>1</v>
      </c>
      <c r="P2201" s="25">
        <f t="shared" si="69"/>
        <v>0.79658564814814825</v>
      </c>
      <c r="Q2201" s="23">
        <f>SUM($O$2:O2201)</f>
        <v>59</v>
      </c>
      <c r="Y2201" s="14"/>
      <c r="Z2201" s="13"/>
      <c r="AA2201"/>
    </row>
    <row r="2202" spans="1:27" x14ac:dyDescent="0.2">
      <c r="A2202" s="12" t="s">
        <v>6694</v>
      </c>
      <c r="B2202" t="s">
        <v>6695</v>
      </c>
      <c r="C2202" t="s">
        <v>6696</v>
      </c>
      <c r="D2202" t="s">
        <v>1045</v>
      </c>
      <c r="E2202" t="s">
        <v>13</v>
      </c>
      <c r="F2202">
        <v>572</v>
      </c>
      <c r="G2202">
        <v>961</v>
      </c>
      <c r="H2202" s="5" t="s">
        <v>22</v>
      </c>
      <c r="I2202" s="5">
        <v>0</v>
      </c>
      <c r="J2202" s="5">
        <v>0</v>
      </c>
      <c r="K2202" t="s">
        <v>11291</v>
      </c>
      <c r="L2202" cm="1">
        <f t="array" ref="L2202">wordCount(K2202)</f>
        <v>24</v>
      </c>
      <c r="M2202">
        <f t="shared" si="68"/>
        <v>94</v>
      </c>
      <c r="N2202">
        <v>0.46153846153846156</v>
      </c>
      <c r="O2202" s="23" cm="1">
        <f t="array" ref="O2202">WordListCount(K2202,keywords!$A$2:$A$31)-WordListCount(K2202,keywords!$B$2:$B$31)</f>
        <v>2</v>
      </c>
      <c r="P2202" s="25">
        <f t="shared" si="69"/>
        <v>0.79663194444444452</v>
      </c>
      <c r="Q2202" s="23">
        <f>SUM($O$2:O2202)</f>
        <v>61</v>
      </c>
      <c r="Y2202" s="14"/>
      <c r="Z2202" s="13"/>
      <c r="AA2202"/>
    </row>
    <row r="2203" spans="1:27" x14ac:dyDescent="0.2">
      <c r="A2203" s="12" t="s">
        <v>6697</v>
      </c>
      <c r="B2203" t="s">
        <v>6698</v>
      </c>
      <c r="C2203" t="s">
        <v>6699</v>
      </c>
      <c r="D2203" t="s">
        <v>6700</v>
      </c>
      <c r="E2203" t="s">
        <v>13</v>
      </c>
      <c r="F2203">
        <v>465</v>
      </c>
      <c r="G2203">
        <v>111</v>
      </c>
      <c r="H2203" s="5" t="s">
        <v>22</v>
      </c>
      <c r="I2203" s="5">
        <v>0</v>
      </c>
      <c r="J2203" s="5">
        <v>0</v>
      </c>
      <c r="K2203" t="s">
        <v>11292</v>
      </c>
      <c r="L2203" cm="1">
        <f t="array" ref="L2203">wordCount(K2203)</f>
        <v>14</v>
      </c>
      <c r="M2203">
        <f t="shared" si="68"/>
        <v>84</v>
      </c>
      <c r="N2203">
        <v>0.5</v>
      </c>
      <c r="O2203" s="23" cm="1">
        <f t="array" ref="O2203">WordListCount(K2203,keywords!$A$2:$A$31)-WordListCount(K2203,keywords!$B$2:$B$31)</f>
        <v>1</v>
      </c>
      <c r="P2203" s="25">
        <f t="shared" si="69"/>
        <v>0.79670138888888886</v>
      </c>
      <c r="Q2203" s="23">
        <f>SUM($O$2:O2203)</f>
        <v>62</v>
      </c>
      <c r="Y2203" s="14"/>
      <c r="Z2203" s="13"/>
      <c r="AA2203"/>
    </row>
    <row r="2204" spans="1:27" x14ac:dyDescent="0.2">
      <c r="A2204" s="12" t="s">
        <v>6701</v>
      </c>
      <c r="B2204" t="s">
        <v>6702</v>
      </c>
      <c r="C2204" t="s">
        <v>6703</v>
      </c>
      <c r="D2204" t="s">
        <v>6704</v>
      </c>
      <c r="E2204" t="s">
        <v>13</v>
      </c>
      <c r="F2204">
        <v>175</v>
      </c>
      <c r="G2204">
        <v>296</v>
      </c>
      <c r="H2204" s="5" t="s">
        <v>22</v>
      </c>
      <c r="I2204" s="5">
        <v>0</v>
      </c>
      <c r="J2204" s="5">
        <v>0</v>
      </c>
      <c r="K2204" t="s">
        <v>9681</v>
      </c>
      <c r="L2204" cm="1">
        <f t="array" ref="L2204">wordCount(K2204)</f>
        <v>20</v>
      </c>
      <c r="M2204">
        <f t="shared" si="68"/>
        <v>110</v>
      </c>
      <c r="N2204">
        <v>0.42857142857142855</v>
      </c>
      <c r="O2204" s="23" cm="1">
        <f t="array" ref="O2204">WordListCount(K2204,keywords!$A$2:$A$31)-WordListCount(K2204,keywords!$B$2:$B$31)</f>
        <v>0</v>
      </c>
      <c r="P2204" s="25">
        <f t="shared" si="69"/>
        <v>0.79672453703703694</v>
      </c>
      <c r="Q2204" s="23">
        <f>SUM($O$2:O2204)</f>
        <v>62</v>
      </c>
      <c r="Y2204" s="14"/>
      <c r="Z2204" s="13"/>
      <c r="AA2204"/>
    </row>
    <row r="2205" spans="1:27" x14ac:dyDescent="0.2">
      <c r="A2205" s="12" t="s">
        <v>6705</v>
      </c>
      <c r="B2205" t="s">
        <v>6706</v>
      </c>
      <c r="C2205" t="s">
        <v>6707</v>
      </c>
      <c r="D2205" t="s">
        <v>12</v>
      </c>
      <c r="E2205" t="s">
        <v>13</v>
      </c>
      <c r="F2205">
        <v>81108</v>
      </c>
      <c r="G2205">
        <v>872</v>
      </c>
      <c r="H2205" s="5" t="s">
        <v>22</v>
      </c>
      <c r="I2205" s="5">
        <v>0</v>
      </c>
      <c r="J2205" s="5">
        <v>0</v>
      </c>
      <c r="K2205" t="s">
        <v>11293</v>
      </c>
      <c r="L2205" cm="1">
        <f t="array" ref="L2205">wordCount(K2205)</f>
        <v>9</v>
      </c>
      <c r="M2205">
        <f t="shared" si="68"/>
        <v>56</v>
      </c>
      <c r="N2205">
        <v>0.58823529411764708</v>
      </c>
      <c r="O2205" s="23" cm="1">
        <f t="array" ref="O2205">WordListCount(K2205,keywords!$A$2:$A$31)-WordListCount(K2205,keywords!$B$2:$B$31)</f>
        <v>0</v>
      </c>
      <c r="P2205" s="25">
        <f t="shared" si="69"/>
        <v>0.79678240740740736</v>
      </c>
      <c r="Q2205" s="23">
        <f>SUM($O$2:O2205)</f>
        <v>62</v>
      </c>
      <c r="Y2205" s="14"/>
      <c r="Z2205" s="13"/>
      <c r="AA2205"/>
    </row>
    <row r="2206" spans="1:27" x14ac:dyDescent="0.2">
      <c r="A2206" s="12" t="s">
        <v>6708</v>
      </c>
      <c r="B2206" t="s">
        <v>6709</v>
      </c>
      <c r="C2206" t="s">
        <v>6710</v>
      </c>
      <c r="D2206" t="s">
        <v>12</v>
      </c>
      <c r="E2206" t="s">
        <v>13</v>
      </c>
      <c r="F2206">
        <v>12</v>
      </c>
      <c r="G2206">
        <v>34</v>
      </c>
      <c r="H2206" s="5" t="s">
        <v>22</v>
      </c>
      <c r="I2206" s="5">
        <v>0</v>
      </c>
      <c r="J2206" s="5">
        <v>0</v>
      </c>
      <c r="K2206" t="s">
        <v>11294</v>
      </c>
      <c r="L2206" cm="1">
        <f t="array" ref="L2206">wordCount(K2206)</f>
        <v>26</v>
      </c>
      <c r="M2206">
        <f t="shared" si="68"/>
        <v>110</v>
      </c>
      <c r="N2206">
        <v>0.63157894736842102</v>
      </c>
      <c r="O2206" s="23" cm="1">
        <f t="array" ref="O2206">WordListCount(K2206,keywords!$A$2:$A$31)-WordListCount(K2206,keywords!$B$2:$B$31)</f>
        <v>0</v>
      </c>
      <c r="P2206" s="25">
        <f t="shared" si="69"/>
        <v>0.79718750000000005</v>
      </c>
      <c r="Q2206" s="23">
        <f>SUM($O$2:O2206)</f>
        <v>62</v>
      </c>
      <c r="Y2206" s="14"/>
      <c r="Z2206" s="13"/>
      <c r="AA2206"/>
    </row>
    <row r="2207" spans="1:27" x14ac:dyDescent="0.2">
      <c r="A2207" s="12" t="s">
        <v>6711</v>
      </c>
      <c r="B2207" t="s">
        <v>6712</v>
      </c>
      <c r="C2207" t="s">
        <v>742</v>
      </c>
      <c r="D2207" t="s">
        <v>743</v>
      </c>
      <c r="E2207" t="s">
        <v>13</v>
      </c>
      <c r="F2207">
        <v>2007</v>
      </c>
      <c r="G2207">
        <v>2635</v>
      </c>
      <c r="H2207" s="5" t="s">
        <v>22</v>
      </c>
      <c r="I2207" s="5">
        <v>0</v>
      </c>
      <c r="J2207" s="5">
        <v>0</v>
      </c>
      <c r="K2207" t="s">
        <v>10029</v>
      </c>
      <c r="L2207" cm="1">
        <f t="array" ref="L2207">wordCount(K2207)</f>
        <v>9</v>
      </c>
      <c r="M2207">
        <f t="shared" si="68"/>
        <v>44</v>
      </c>
      <c r="N2207">
        <v>0.9</v>
      </c>
      <c r="O2207" s="23" cm="1">
        <f t="array" ref="O2207">WordListCount(K2207,keywords!$A$2:$A$31)-WordListCount(K2207,keywords!$B$2:$B$31)</f>
        <v>0</v>
      </c>
      <c r="P2207" s="25">
        <f t="shared" si="69"/>
        <v>0.79734953703703704</v>
      </c>
      <c r="Q2207" s="23">
        <f>SUM($O$2:O2207)</f>
        <v>62</v>
      </c>
      <c r="Y2207" s="14"/>
      <c r="Z2207" s="13"/>
      <c r="AA2207"/>
    </row>
    <row r="2208" spans="1:27" x14ac:dyDescent="0.2">
      <c r="A2208" s="12" t="s">
        <v>6713</v>
      </c>
      <c r="B2208" t="s">
        <v>6714</v>
      </c>
      <c r="C2208" t="s">
        <v>5930</v>
      </c>
      <c r="D2208" t="s">
        <v>12</v>
      </c>
      <c r="E2208" t="s">
        <v>13</v>
      </c>
      <c r="F2208">
        <v>103</v>
      </c>
      <c r="G2208">
        <v>137</v>
      </c>
      <c r="H2208" s="5" t="s">
        <v>22</v>
      </c>
      <c r="I2208" s="5">
        <v>0</v>
      </c>
      <c r="J2208" s="5">
        <v>0</v>
      </c>
      <c r="K2208" t="s">
        <v>11295</v>
      </c>
      <c r="L2208" cm="1">
        <f t="array" ref="L2208">wordCount(K2208)</f>
        <v>16</v>
      </c>
      <c r="M2208">
        <f t="shared" si="68"/>
        <v>90</v>
      </c>
      <c r="N2208">
        <v>0.5714285714285714</v>
      </c>
      <c r="O2208" s="23" cm="1">
        <f t="array" ref="O2208">WordListCount(K2208,keywords!$A$2:$A$31)-WordListCount(K2208,keywords!$B$2:$B$31)</f>
        <v>0</v>
      </c>
      <c r="P2208" s="25">
        <f t="shared" si="69"/>
        <v>0.79770833333333335</v>
      </c>
      <c r="Q2208" s="23">
        <f>SUM($O$2:O2208)</f>
        <v>62</v>
      </c>
      <c r="Y2208" s="14"/>
      <c r="Z2208" s="13"/>
      <c r="AA2208"/>
    </row>
    <row r="2209" spans="1:27" x14ac:dyDescent="0.2">
      <c r="A2209" s="12" t="s">
        <v>6715</v>
      </c>
      <c r="B2209" t="s">
        <v>6716</v>
      </c>
      <c r="C2209" t="s">
        <v>6717</v>
      </c>
      <c r="D2209" t="s">
        <v>6718</v>
      </c>
      <c r="E2209" t="s">
        <v>13</v>
      </c>
      <c r="F2209">
        <v>8300</v>
      </c>
      <c r="G2209">
        <v>126</v>
      </c>
      <c r="H2209" s="5" t="s">
        <v>22</v>
      </c>
      <c r="I2209" s="5">
        <v>0</v>
      </c>
      <c r="J2209" s="5">
        <v>0</v>
      </c>
      <c r="K2209" t="s">
        <v>11296</v>
      </c>
      <c r="L2209" cm="1">
        <f t="array" ref="L2209">wordCount(K2209)</f>
        <v>15</v>
      </c>
      <c r="M2209">
        <f t="shared" si="68"/>
        <v>59</v>
      </c>
      <c r="N2209">
        <v>0.59259259259259256</v>
      </c>
      <c r="O2209" s="23" cm="1">
        <f t="array" ref="O2209">WordListCount(K2209,keywords!$A$2:$A$31)-WordListCount(K2209,keywords!$B$2:$B$31)</f>
        <v>1</v>
      </c>
      <c r="P2209" s="25">
        <f t="shared" si="69"/>
        <v>0.79792824074074076</v>
      </c>
      <c r="Q2209" s="23">
        <f>SUM($O$2:O2209)</f>
        <v>63</v>
      </c>
      <c r="Y2209" s="14"/>
      <c r="Z2209" s="13"/>
      <c r="AA2209"/>
    </row>
    <row r="2210" spans="1:27" x14ac:dyDescent="0.2">
      <c r="A2210" s="12" t="s">
        <v>6719</v>
      </c>
      <c r="B2210" t="s">
        <v>6720</v>
      </c>
      <c r="C2210" t="s">
        <v>6721</v>
      </c>
      <c r="D2210" t="s">
        <v>12</v>
      </c>
      <c r="E2210" t="s">
        <v>13</v>
      </c>
      <c r="F2210">
        <v>1732</v>
      </c>
      <c r="G2210">
        <v>2046</v>
      </c>
      <c r="H2210" s="5" t="s">
        <v>14</v>
      </c>
      <c r="I2210" s="5">
        <v>0</v>
      </c>
      <c r="J2210" s="5">
        <v>0</v>
      </c>
      <c r="K2210" t="s">
        <v>11297</v>
      </c>
      <c r="L2210" cm="1">
        <f t="array" ref="L2210">wordCount(K2210)</f>
        <v>15</v>
      </c>
      <c r="M2210">
        <f t="shared" si="68"/>
        <v>68</v>
      </c>
      <c r="N2210">
        <v>0.65217391304347827</v>
      </c>
      <c r="O2210" s="23" cm="1">
        <f t="array" ref="O2210">WordListCount(K2210,keywords!$A$2:$A$31)-WordListCount(K2210,keywords!$B$2:$B$31)</f>
        <v>0</v>
      </c>
      <c r="P2210" s="25">
        <f t="shared" si="69"/>
        <v>0.79796296296296287</v>
      </c>
      <c r="Q2210" s="23">
        <f>SUM($O$2:O2210)</f>
        <v>63</v>
      </c>
      <c r="Y2210" s="14"/>
      <c r="Z2210" s="13"/>
      <c r="AA2210"/>
    </row>
    <row r="2211" spans="1:27" x14ac:dyDescent="0.2">
      <c r="A2211" s="12" t="s">
        <v>6722</v>
      </c>
      <c r="B2211" t="s">
        <v>6723</v>
      </c>
      <c r="C2211" t="s">
        <v>5024</v>
      </c>
      <c r="D2211" t="s">
        <v>12</v>
      </c>
      <c r="E2211" t="s">
        <v>13</v>
      </c>
      <c r="F2211">
        <v>2515</v>
      </c>
      <c r="G2211">
        <v>3016</v>
      </c>
      <c r="H2211" s="5" t="s">
        <v>42</v>
      </c>
      <c r="I2211" s="5">
        <v>0</v>
      </c>
      <c r="J2211" s="5">
        <v>0</v>
      </c>
      <c r="K2211" t="s">
        <v>9682</v>
      </c>
      <c r="L2211" cm="1">
        <f t="array" ref="L2211">wordCount(K2211)</f>
        <v>7</v>
      </c>
      <c r="M2211">
        <f t="shared" si="68"/>
        <v>50</v>
      </c>
      <c r="N2211">
        <v>0.70588235294117652</v>
      </c>
      <c r="O2211" s="23" cm="1">
        <f t="array" ref="O2211">WordListCount(K2211,keywords!$A$2:$A$31)-WordListCount(K2211,keywords!$B$2:$B$31)</f>
        <v>0</v>
      </c>
      <c r="P2211" s="25">
        <f t="shared" si="69"/>
        <v>0.79811342592592593</v>
      </c>
      <c r="Q2211" s="23">
        <f>SUM($O$2:O2211)</f>
        <v>63</v>
      </c>
      <c r="Y2211" s="14"/>
      <c r="Z2211" s="13"/>
      <c r="AA2211"/>
    </row>
    <row r="2212" spans="1:27" x14ac:dyDescent="0.2">
      <c r="A2212" s="12" t="s">
        <v>6724</v>
      </c>
      <c r="B2212" t="s">
        <v>6725</v>
      </c>
      <c r="C2212" t="s">
        <v>6726</v>
      </c>
      <c r="D2212" t="s">
        <v>6727</v>
      </c>
      <c r="E2212" t="s">
        <v>13</v>
      </c>
      <c r="F2212">
        <v>448</v>
      </c>
      <c r="G2212">
        <v>1336</v>
      </c>
      <c r="H2212" s="5" t="s">
        <v>22</v>
      </c>
      <c r="I2212" s="5">
        <v>0</v>
      </c>
      <c r="J2212" s="5">
        <v>0</v>
      </c>
      <c r="K2212" t="s">
        <v>9683</v>
      </c>
      <c r="L2212" cm="1">
        <f t="array" ref="L2212">wordCount(K2212)</f>
        <v>12</v>
      </c>
      <c r="M2212">
        <f t="shared" si="68"/>
        <v>56</v>
      </c>
      <c r="N2212">
        <v>0.54545454545454541</v>
      </c>
      <c r="O2212" s="23" cm="1">
        <f t="array" ref="O2212">WordListCount(K2212,keywords!$A$2:$A$31)-WordListCount(K2212,keywords!$B$2:$B$31)</f>
        <v>0</v>
      </c>
      <c r="P2212" s="25">
        <f t="shared" si="69"/>
        <v>0.79822916666666666</v>
      </c>
      <c r="Q2212" s="23">
        <f>SUM($O$2:O2212)</f>
        <v>63</v>
      </c>
      <c r="Y2212" s="14"/>
      <c r="Z2212" s="13"/>
      <c r="AA2212"/>
    </row>
    <row r="2213" spans="1:27" x14ac:dyDescent="0.2">
      <c r="A2213" s="12" t="s">
        <v>6728</v>
      </c>
      <c r="B2213" t="s">
        <v>6729</v>
      </c>
      <c r="C2213" t="s">
        <v>5548</v>
      </c>
      <c r="D2213" t="s">
        <v>2814</v>
      </c>
      <c r="E2213" t="s">
        <v>13</v>
      </c>
      <c r="F2213">
        <v>2205</v>
      </c>
      <c r="G2213">
        <v>1080</v>
      </c>
      <c r="H2213" s="5" t="s">
        <v>22</v>
      </c>
      <c r="I2213" s="5">
        <v>0</v>
      </c>
      <c r="J2213" s="5">
        <v>0</v>
      </c>
      <c r="K2213" t="s">
        <v>9684</v>
      </c>
      <c r="L2213" cm="1">
        <f t="array" ref="L2213">wordCount(K2213)</f>
        <v>10</v>
      </c>
      <c r="M2213">
        <f t="shared" si="68"/>
        <v>46</v>
      </c>
      <c r="N2213">
        <v>0.2</v>
      </c>
      <c r="O2213" s="23" cm="1">
        <f t="array" ref="O2213">WordListCount(K2213,keywords!$A$2:$A$31)-WordListCount(K2213,keywords!$B$2:$B$31)</f>
        <v>0</v>
      </c>
      <c r="P2213" s="25">
        <f t="shared" si="69"/>
        <v>0.79825231481481485</v>
      </c>
      <c r="Q2213" s="23">
        <f>SUM($O$2:O2213)</f>
        <v>63</v>
      </c>
      <c r="Y2213" s="14"/>
      <c r="Z2213" s="13"/>
      <c r="AA2213"/>
    </row>
    <row r="2214" spans="1:27" x14ac:dyDescent="0.2">
      <c r="A2214" s="12" t="s">
        <v>6730</v>
      </c>
      <c r="B2214" t="s">
        <v>6731</v>
      </c>
      <c r="C2214" t="s">
        <v>6732</v>
      </c>
      <c r="D2214" t="s">
        <v>5115</v>
      </c>
      <c r="E2214" t="s">
        <v>13</v>
      </c>
      <c r="F2214">
        <v>9528</v>
      </c>
      <c r="G2214">
        <v>304</v>
      </c>
      <c r="H2214" s="5" t="s">
        <v>22</v>
      </c>
      <c r="I2214" s="5">
        <v>0</v>
      </c>
      <c r="J2214" s="5">
        <v>0</v>
      </c>
      <c r="K2214" t="s">
        <v>11298</v>
      </c>
      <c r="L2214" cm="1">
        <f t="array" ref="L2214">wordCount(K2214)</f>
        <v>26</v>
      </c>
      <c r="M2214">
        <f t="shared" si="68"/>
        <v>131</v>
      </c>
      <c r="N2214">
        <v>0.14814814814814814</v>
      </c>
      <c r="O2214" s="23" cm="1">
        <f t="array" ref="O2214">WordListCount(K2214,keywords!$A$2:$A$31)-WordListCount(K2214,keywords!$B$2:$B$31)</f>
        <v>2</v>
      </c>
      <c r="P2214" s="25">
        <f t="shared" si="69"/>
        <v>0.79851851851851852</v>
      </c>
      <c r="Q2214" s="23">
        <f>SUM($O$2:O2214)</f>
        <v>65</v>
      </c>
      <c r="Y2214" s="14"/>
      <c r="Z2214" s="13"/>
      <c r="AA2214"/>
    </row>
    <row r="2215" spans="1:27" x14ac:dyDescent="0.2">
      <c r="A2215" s="12" t="s">
        <v>6733</v>
      </c>
      <c r="B2215" t="s">
        <v>6734</v>
      </c>
      <c r="C2215" t="s">
        <v>862</v>
      </c>
      <c r="D2215" t="s">
        <v>597</v>
      </c>
      <c r="E2215" t="s">
        <v>13</v>
      </c>
      <c r="F2215">
        <v>1032</v>
      </c>
      <c r="G2215">
        <v>189</v>
      </c>
      <c r="H2215" s="5" t="s">
        <v>22</v>
      </c>
      <c r="I2215" s="5">
        <v>0</v>
      </c>
      <c r="J2215" s="5">
        <v>0</v>
      </c>
      <c r="K2215" t="s">
        <v>9685</v>
      </c>
      <c r="L2215" cm="1">
        <f t="array" ref="L2215">wordCount(K2215)</f>
        <v>8</v>
      </c>
      <c r="M2215">
        <f t="shared" si="68"/>
        <v>51</v>
      </c>
      <c r="N2215">
        <v>0.63636363636363635</v>
      </c>
      <c r="O2215" s="23" cm="1">
        <f t="array" ref="O2215">WordListCount(K2215,keywords!$A$2:$A$31)-WordListCount(K2215,keywords!$B$2:$B$31)</f>
        <v>0</v>
      </c>
      <c r="P2215" s="25">
        <f t="shared" si="69"/>
        <v>0.79862268518518509</v>
      </c>
      <c r="Q2215" s="23">
        <f>SUM($O$2:O2215)</f>
        <v>65</v>
      </c>
      <c r="Y2215" s="14"/>
      <c r="Z2215" s="13"/>
      <c r="AA2215"/>
    </row>
    <row r="2216" spans="1:27" x14ac:dyDescent="0.2">
      <c r="A2216" s="12" t="s">
        <v>6735</v>
      </c>
      <c r="B2216" t="s">
        <v>6736</v>
      </c>
      <c r="C2216" t="s">
        <v>119</v>
      </c>
      <c r="D2216" t="s">
        <v>120</v>
      </c>
      <c r="E2216" t="s">
        <v>13</v>
      </c>
      <c r="F2216">
        <v>16</v>
      </c>
      <c r="G2216">
        <v>39</v>
      </c>
      <c r="H2216" s="5" t="s">
        <v>22</v>
      </c>
      <c r="I2216" s="5">
        <v>0</v>
      </c>
      <c r="J2216" s="5">
        <v>0</v>
      </c>
      <c r="K2216" t="s">
        <v>9914</v>
      </c>
      <c r="L2216" cm="1">
        <f t="array" ref="L2216">wordCount(K2216)</f>
        <v>10</v>
      </c>
      <c r="M2216">
        <f t="shared" si="68"/>
        <v>49</v>
      </c>
      <c r="N2216">
        <v>0.9</v>
      </c>
      <c r="O2216" s="23" cm="1">
        <f t="array" ref="O2216">WordListCount(K2216,keywords!$A$2:$A$31)-WordListCount(K2216,keywords!$B$2:$B$31)</f>
        <v>0</v>
      </c>
      <c r="P2216" s="25">
        <f t="shared" si="69"/>
        <v>0.79863425925925924</v>
      </c>
      <c r="Q2216" s="23">
        <f>SUM($O$2:O2216)</f>
        <v>65</v>
      </c>
      <c r="Y2216" s="14"/>
      <c r="Z2216" s="13"/>
      <c r="AA2216"/>
    </row>
    <row r="2217" spans="1:27" x14ac:dyDescent="0.2">
      <c r="A2217" s="33" t="s">
        <v>6737</v>
      </c>
      <c r="B2217" s="34" t="s">
        <v>6738</v>
      </c>
      <c r="C2217" s="34" t="s">
        <v>123</v>
      </c>
      <c r="D2217" s="34" t="s">
        <v>124</v>
      </c>
      <c r="E2217" s="34" t="s">
        <v>13</v>
      </c>
      <c r="F2217" s="34">
        <v>837</v>
      </c>
      <c r="G2217" s="34">
        <v>898</v>
      </c>
      <c r="H2217" s="35" t="s">
        <v>125</v>
      </c>
      <c r="I2217" s="35">
        <v>0</v>
      </c>
      <c r="J2217" s="35">
        <v>0</v>
      </c>
      <c r="K2217" s="34" t="s">
        <v>9686</v>
      </c>
      <c r="L2217" s="34" cm="1">
        <f t="array" ref="L2217">wordCount(K2217)</f>
        <v>20</v>
      </c>
      <c r="M2217" s="34">
        <f t="shared" si="68"/>
        <v>89</v>
      </c>
      <c r="N2217" s="34">
        <v>0.8</v>
      </c>
      <c r="O2217" s="36" cm="1">
        <f t="array" ref="O2217">WordListCount(K2217,keywords!$A$2:$A$31)-WordListCount(K2217,keywords!$B$2:$B$31)</f>
        <v>0</v>
      </c>
      <c r="P2217" s="37">
        <f t="shared" si="69"/>
        <v>0.79866898148148147</v>
      </c>
      <c r="Q2217" s="23">
        <f>SUM($O$2:O2217)</f>
        <v>65</v>
      </c>
    </row>
    <row r="2218" spans="1:27" x14ac:dyDescent="0.2">
      <c r="A2218" s="12" t="s">
        <v>6739</v>
      </c>
      <c r="B2218" t="s">
        <v>6740</v>
      </c>
      <c r="C2218" t="s">
        <v>119</v>
      </c>
      <c r="D2218" t="s">
        <v>120</v>
      </c>
      <c r="E2218" t="s">
        <v>13</v>
      </c>
      <c r="F2218">
        <v>16</v>
      </c>
      <c r="G2218">
        <v>39</v>
      </c>
      <c r="H2218" s="5" t="s">
        <v>22</v>
      </c>
      <c r="I2218" s="5">
        <v>0</v>
      </c>
      <c r="J2218" s="5">
        <v>0</v>
      </c>
      <c r="K2218" t="s">
        <v>9914</v>
      </c>
      <c r="L2218" cm="1">
        <f t="array" ref="L2218">wordCount(K2218)</f>
        <v>10</v>
      </c>
      <c r="M2218">
        <f t="shared" si="68"/>
        <v>49</v>
      </c>
      <c r="N2218">
        <v>0.9</v>
      </c>
      <c r="O2218" s="23" cm="1">
        <f t="array" ref="O2218">WordListCount(K2218,keywords!$A$2:$A$31)-WordListCount(K2218,keywords!$B$2:$B$31)</f>
        <v>0</v>
      </c>
      <c r="P2218" s="25">
        <f t="shared" si="69"/>
        <v>0.7987037037037038</v>
      </c>
      <c r="Q2218" s="23">
        <f>SUM($O$2:O2218)</f>
        <v>65</v>
      </c>
      <c r="Y2218" s="14"/>
      <c r="Z2218" s="13"/>
      <c r="AA2218"/>
    </row>
    <row r="2219" spans="1:27" x14ac:dyDescent="0.2">
      <c r="A2219" s="12" t="s">
        <v>6741</v>
      </c>
      <c r="B2219" t="s">
        <v>6742</v>
      </c>
      <c r="C2219" t="s">
        <v>119</v>
      </c>
      <c r="D2219" t="s">
        <v>120</v>
      </c>
      <c r="E2219" t="s">
        <v>13</v>
      </c>
      <c r="F2219">
        <v>16</v>
      </c>
      <c r="G2219">
        <v>39</v>
      </c>
      <c r="H2219" s="5" t="s">
        <v>22</v>
      </c>
      <c r="I2219" s="5">
        <v>0</v>
      </c>
      <c r="J2219" s="5">
        <v>0</v>
      </c>
      <c r="K2219" t="s">
        <v>9914</v>
      </c>
      <c r="L2219" cm="1">
        <f t="array" ref="L2219">wordCount(K2219)</f>
        <v>10</v>
      </c>
      <c r="M2219">
        <f t="shared" si="68"/>
        <v>49</v>
      </c>
      <c r="N2219">
        <v>0.9</v>
      </c>
      <c r="O2219" s="23" cm="1">
        <f t="array" ref="O2219">WordListCount(K2219,keywords!$A$2:$A$31)-WordListCount(K2219,keywords!$B$2:$B$31)</f>
        <v>0</v>
      </c>
      <c r="P2219" s="25">
        <f t="shared" si="69"/>
        <v>0.798761574074074</v>
      </c>
      <c r="Q2219" s="23">
        <f>SUM($O$2:O2219)</f>
        <v>65</v>
      </c>
      <c r="Y2219" s="14"/>
      <c r="Z2219" s="13"/>
      <c r="AA2219"/>
    </row>
    <row r="2220" spans="1:27" x14ac:dyDescent="0.2">
      <c r="A2220" s="12" t="s">
        <v>6743</v>
      </c>
      <c r="B2220" t="s">
        <v>6744</v>
      </c>
      <c r="C2220" t="s">
        <v>130</v>
      </c>
      <c r="D2220" t="s">
        <v>131</v>
      </c>
      <c r="E2220" t="s">
        <v>13</v>
      </c>
      <c r="F2220">
        <v>95</v>
      </c>
      <c r="G2220">
        <v>202</v>
      </c>
      <c r="H2220" s="5" t="s">
        <v>22</v>
      </c>
      <c r="I2220" s="5">
        <v>0</v>
      </c>
      <c r="J2220" s="5">
        <v>0</v>
      </c>
      <c r="K2220" t="s">
        <v>11299</v>
      </c>
      <c r="L2220" cm="1">
        <f t="array" ref="L2220">wordCount(K2220)</f>
        <v>23</v>
      </c>
      <c r="M2220">
        <f t="shared" si="68"/>
        <v>122</v>
      </c>
      <c r="N2220">
        <v>0.54545454545454541</v>
      </c>
      <c r="O2220" s="23" cm="1">
        <f t="array" ref="O2220">WordListCount(K2220,keywords!$A$2:$A$31)-WordListCount(K2220,keywords!$B$2:$B$31)</f>
        <v>0</v>
      </c>
      <c r="P2220" s="25">
        <f t="shared" si="69"/>
        <v>0.79879629629629623</v>
      </c>
      <c r="Q2220" s="23">
        <f>SUM($O$2:O2220)</f>
        <v>65</v>
      </c>
      <c r="Y2220" s="14"/>
      <c r="Z2220" s="13"/>
      <c r="AA2220"/>
    </row>
    <row r="2221" spans="1:27" x14ac:dyDescent="0.2">
      <c r="A2221" s="12" t="s">
        <v>6745</v>
      </c>
      <c r="B2221" t="s">
        <v>6746</v>
      </c>
      <c r="C2221" t="s">
        <v>6747</v>
      </c>
      <c r="D2221" t="s">
        <v>12</v>
      </c>
      <c r="E2221" t="s">
        <v>13</v>
      </c>
      <c r="F2221">
        <v>41</v>
      </c>
      <c r="G2221">
        <v>59</v>
      </c>
      <c r="H2221" s="5" t="s">
        <v>22</v>
      </c>
      <c r="I2221" s="5">
        <v>0</v>
      </c>
      <c r="J2221" s="5">
        <v>0</v>
      </c>
      <c r="K2221" t="s">
        <v>9687</v>
      </c>
      <c r="L2221" cm="1">
        <f t="array" ref="L2221">wordCount(K2221)</f>
        <v>8</v>
      </c>
      <c r="M2221">
        <f t="shared" si="68"/>
        <v>42</v>
      </c>
      <c r="N2221">
        <v>0.72222222222222221</v>
      </c>
      <c r="O2221" s="23" cm="1">
        <f t="array" ref="O2221">WordListCount(K2221,keywords!$A$2:$A$31)-WordListCount(K2221,keywords!$B$2:$B$31)</f>
        <v>0</v>
      </c>
      <c r="P2221" s="25">
        <f t="shared" si="69"/>
        <v>0.79881944444444442</v>
      </c>
      <c r="Q2221" s="23">
        <f>SUM($O$2:O2221)</f>
        <v>65</v>
      </c>
      <c r="Y2221" s="14"/>
      <c r="Z2221" s="13"/>
      <c r="AA2221"/>
    </row>
    <row r="2222" spans="1:27" x14ac:dyDescent="0.2">
      <c r="A2222" s="12" t="s">
        <v>6748</v>
      </c>
      <c r="B2222" t="s">
        <v>6749</v>
      </c>
      <c r="C2222" t="s">
        <v>119</v>
      </c>
      <c r="D2222" t="s">
        <v>120</v>
      </c>
      <c r="E2222" t="s">
        <v>13</v>
      </c>
      <c r="F2222">
        <v>16</v>
      </c>
      <c r="G2222">
        <v>39</v>
      </c>
      <c r="H2222" s="5" t="s">
        <v>22</v>
      </c>
      <c r="I2222" s="5">
        <v>0</v>
      </c>
      <c r="J2222" s="5">
        <v>0</v>
      </c>
      <c r="K2222" t="s">
        <v>9914</v>
      </c>
      <c r="L2222" cm="1">
        <f t="array" ref="L2222">wordCount(K2222)</f>
        <v>10</v>
      </c>
      <c r="M2222">
        <f t="shared" si="68"/>
        <v>49</v>
      </c>
      <c r="N2222">
        <v>0.9</v>
      </c>
      <c r="O2222" s="23" cm="1">
        <f t="array" ref="O2222">WordListCount(K2222,keywords!$A$2:$A$31)-WordListCount(K2222,keywords!$B$2:$B$31)</f>
        <v>0</v>
      </c>
      <c r="P2222" s="25">
        <f t="shared" si="69"/>
        <v>0.79883101851851857</v>
      </c>
      <c r="Q2222" s="23">
        <f>SUM($O$2:O2222)</f>
        <v>65</v>
      </c>
      <c r="Y2222" s="14"/>
      <c r="Z2222" s="13"/>
      <c r="AA2222"/>
    </row>
    <row r="2223" spans="1:27" x14ac:dyDescent="0.2">
      <c r="A2223" s="12" t="s">
        <v>6750</v>
      </c>
      <c r="B2223" t="s">
        <v>6751</v>
      </c>
      <c r="C2223" t="s">
        <v>119</v>
      </c>
      <c r="D2223" t="s">
        <v>120</v>
      </c>
      <c r="E2223" t="s">
        <v>13</v>
      </c>
      <c r="F2223">
        <v>16</v>
      </c>
      <c r="G2223">
        <v>39</v>
      </c>
      <c r="H2223" s="5" t="s">
        <v>22</v>
      </c>
      <c r="I2223" s="5">
        <v>0</v>
      </c>
      <c r="J2223" s="5">
        <v>0</v>
      </c>
      <c r="K2223" t="s">
        <v>9914</v>
      </c>
      <c r="L2223" cm="1">
        <f t="array" ref="L2223">wordCount(K2223)</f>
        <v>10</v>
      </c>
      <c r="M2223">
        <f t="shared" si="68"/>
        <v>49</v>
      </c>
      <c r="N2223">
        <v>0.9</v>
      </c>
      <c r="O2223" s="23" cm="1">
        <f t="array" ref="O2223">WordListCount(K2223,keywords!$A$2:$A$31)-WordListCount(K2223,keywords!$B$2:$B$31)</f>
        <v>0</v>
      </c>
      <c r="P2223" s="25">
        <f t="shared" si="69"/>
        <v>0.79886574074074079</v>
      </c>
      <c r="Q2223" s="23">
        <f>SUM($O$2:O2223)</f>
        <v>65</v>
      </c>
      <c r="Y2223" s="14"/>
      <c r="Z2223" s="13"/>
      <c r="AA2223"/>
    </row>
    <row r="2224" spans="1:27" x14ac:dyDescent="0.2">
      <c r="A2224" s="12" t="s">
        <v>6752</v>
      </c>
      <c r="B2224" t="s">
        <v>6753</v>
      </c>
      <c r="C2224" t="s">
        <v>6754</v>
      </c>
      <c r="D2224" t="s">
        <v>12</v>
      </c>
      <c r="E2224" t="s">
        <v>13</v>
      </c>
      <c r="F2224">
        <v>113</v>
      </c>
      <c r="G2224">
        <v>317</v>
      </c>
      <c r="H2224" s="5" t="s">
        <v>22</v>
      </c>
      <c r="I2224" s="5">
        <v>0</v>
      </c>
      <c r="J2224" s="5">
        <v>0</v>
      </c>
      <c r="K2224" t="s">
        <v>11300</v>
      </c>
      <c r="L2224" cm="1">
        <f t="array" ref="L2224">wordCount(K2224)</f>
        <v>7</v>
      </c>
      <c r="M2224">
        <f t="shared" si="68"/>
        <v>29</v>
      </c>
      <c r="N2224">
        <v>0.75</v>
      </c>
      <c r="O2224" s="23" cm="1">
        <f t="array" ref="O2224">WordListCount(K2224,keywords!$A$2:$A$31)-WordListCount(K2224,keywords!$B$2:$B$31)</f>
        <v>0</v>
      </c>
      <c r="P2224" s="25">
        <f t="shared" si="69"/>
        <v>0.79934027777777772</v>
      </c>
      <c r="Q2224" s="23">
        <f>SUM($O$2:O2224)</f>
        <v>65</v>
      </c>
      <c r="Y2224" s="14"/>
      <c r="Z2224" s="13"/>
      <c r="AA2224"/>
    </row>
    <row r="2225" spans="1:27" x14ac:dyDescent="0.2">
      <c r="A2225" s="12" t="s">
        <v>6755</v>
      </c>
      <c r="B2225" t="s">
        <v>6756</v>
      </c>
      <c r="C2225" t="s">
        <v>6757</v>
      </c>
      <c r="D2225" t="s">
        <v>1874</v>
      </c>
      <c r="E2225" t="s">
        <v>13</v>
      </c>
      <c r="F2225">
        <v>60</v>
      </c>
      <c r="G2225">
        <v>153</v>
      </c>
      <c r="H2225" s="5" t="s">
        <v>22</v>
      </c>
      <c r="I2225" s="5">
        <v>0</v>
      </c>
      <c r="J2225" s="5">
        <v>0</v>
      </c>
      <c r="K2225" t="s">
        <v>11301</v>
      </c>
      <c r="L2225" cm="1">
        <f t="array" ref="L2225">wordCount(K2225)</f>
        <v>9</v>
      </c>
      <c r="M2225">
        <f t="shared" si="68"/>
        <v>53</v>
      </c>
      <c r="N2225">
        <v>0.4375</v>
      </c>
      <c r="O2225" s="23" cm="1">
        <f t="array" ref="O2225">WordListCount(K2225,keywords!$A$2:$A$31)-WordListCount(K2225,keywords!$B$2:$B$31)</f>
        <v>0</v>
      </c>
      <c r="P2225" s="25">
        <f t="shared" si="69"/>
        <v>0.79936342592592602</v>
      </c>
      <c r="Q2225" s="23">
        <f>SUM($O$2:O2225)</f>
        <v>65</v>
      </c>
      <c r="Y2225" s="14"/>
      <c r="Z2225" s="13"/>
      <c r="AA2225"/>
    </row>
    <row r="2226" spans="1:27" x14ac:dyDescent="0.2">
      <c r="A2226" s="12" t="s">
        <v>6758</v>
      </c>
      <c r="B2226" t="s">
        <v>6759</v>
      </c>
      <c r="C2226" t="s">
        <v>6760</v>
      </c>
      <c r="D2226" t="s">
        <v>6761</v>
      </c>
      <c r="E2226" t="s">
        <v>47</v>
      </c>
      <c r="F2226">
        <v>172963</v>
      </c>
      <c r="G2226">
        <v>217</v>
      </c>
      <c r="H2226" s="5" t="s">
        <v>22</v>
      </c>
      <c r="I2226" s="5">
        <v>0</v>
      </c>
      <c r="J2226" s="5">
        <v>0</v>
      </c>
      <c r="K2226" t="s">
        <v>11302</v>
      </c>
      <c r="L2226" cm="1">
        <f t="array" ref="L2226">wordCount(K2226)</f>
        <v>11</v>
      </c>
      <c r="M2226">
        <f t="shared" si="68"/>
        <v>58</v>
      </c>
      <c r="N2226">
        <v>0.5</v>
      </c>
      <c r="O2226" s="23" cm="1">
        <f t="array" ref="O2226">WordListCount(K2226,keywords!$A$2:$A$31)-WordListCount(K2226,keywords!$B$2:$B$31)</f>
        <v>0</v>
      </c>
      <c r="P2226" s="25">
        <f t="shared" si="69"/>
        <v>0.79957175925925927</v>
      </c>
      <c r="Q2226" s="23">
        <f>SUM($O$2:O2226)</f>
        <v>65</v>
      </c>
      <c r="Y2226" s="14"/>
      <c r="Z2226" s="13"/>
      <c r="AA2226"/>
    </row>
    <row r="2227" spans="1:27" x14ac:dyDescent="0.2">
      <c r="A2227" s="12" t="s">
        <v>6762</v>
      </c>
      <c r="B2227" t="s">
        <v>6763</v>
      </c>
      <c r="C2227" t="s">
        <v>6764</v>
      </c>
      <c r="D2227" t="s">
        <v>12</v>
      </c>
      <c r="E2227" t="s">
        <v>13</v>
      </c>
      <c r="F2227">
        <v>226</v>
      </c>
      <c r="G2227">
        <v>480</v>
      </c>
      <c r="H2227" s="5" t="s">
        <v>22</v>
      </c>
      <c r="I2227" s="5">
        <v>0</v>
      </c>
      <c r="J2227" s="5">
        <v>0</v>
      </c>
      <c r="K2227" t="s">
        <v>9688</v>
      </c>
      <c r="L2227" cm="1">
        <f t="array" ref="L2227">wordCount(K2227)</f>
        <v>3</v>
      </c>
      <c r="M2227">
        <f t="shared" si="68"/>
        <v>18</v>
      </c>
      <c r="N2227">
        <v>0.75</v>
      </c>
      <c r="O2227" s="23" cm="1">
        <f t="array" ref="O2227">WordListCount(K2227,keywords!$A$2:$A$31)-WordListCount(K2227,keywords!$B$2:$B$31)</f>
        <v>0</v>
      </c>
      <c r="P2227" s="25">
        <f t="shared" si="69"/>
        <v>0.79966435185185192</v>
      </c>
      <c r="Q2227" s="23">
        <f>SUM($O$2:O2227)</f>
        <v>65</v>
      </c>
      <c r="Y2227" s="14"/>
      <c r="Z2227" s="13"/>
      <c r="AA2227"/>
    </row>
    <row r="2228" spans="1:27" x14ac:dyDescent="0.2">
      <c r="A2228" s="12" t="s">
        <v>6765</v>
      </c>
      <c r="B2228" t="s">
        <v>6766</v>
      </c>
      <c r="C2228" t="s">
        <v>696</v>
      </c>
      <c r="D2228" t="s">
        <v>697</v>
      </c>
      <c r="E2228" t="s">
        <v>13</v>
      </c>
      <c r="F2228">
        <v>7063</v>
      </c>
      <c r="G2228">
        <v>262</v>
      </c>
      <c r="H2228" s="5" t="s">
        <v>22</v>
      </c>
      <c r="I2228" s="5">
        <v>0</v>
      </c>
      <c r="J2228" s="5">
        <v>0</v>
      </c>
      <c r="K2228" t="s">
        <v>11303</v>
      </c>
      <c r="L2228" cm="1">
        <f t="array" ref="L2228">wordCount(K2228)</f>
        <v>11</v>
      </c>
      <c r="M2228">
        <f t="shared" si="68"/>
        <v>101</v>
      </c>
      <c r="N2228">
        <v>0.5</v>
      </c>
      <c r="O2228" s="23" cm="1">
        <f t="array" ref="O2228">WordListCount(K2228,keywords!$A$2:$A$31)-WordListCount(K2228,keywords!$B$2:$B$31)</f>
        <v>0</v>
      </c>
      <c r="P2228" s="25">
        <f t="shared" si="69"/>
        <v>0.80001157407407408</v>
      </c>
      <c r="Q2228" s="23">
        <f>SUM($O$2:O2228)</f>
        <v>65</v>
      </c>
      <c r="Y2228" s="14"/>
      <c r="Z2228" s="13"/>
      <c r="AA2228"/>
    </row>
    <row r="2229" spans="1:27" x14ac:dyDescent="0.2">
      <c r="A2229" s="12" t="s">
        <v>6767</v>
      </c>
      <c r="B2229" t="s">
        <v>6768</v>
      </c>
      <c r="C2229" t="s">
        <v>6769</v>
      </c>
      <c r="D2229" t="s">
        <v>6770</v>
      </c>
      <c r="E2229" t="s">
        <v>13</v>
      </c>
      <c r="F2229">
        <v>11</v>
      </c>
      <c r="G2229">
        <v>32</v>
      </c>
      <c r="H2229" s="5" t="s">
        <v>22</v>
      </c>
      <c r="I2229" s="5">
        <v>0</v>
      </c>
      <c r="J2229" s="5">
        <v>0</v>
      </c>
      <c r="K2229" t="s">
        <v>11304</v>
      </c>
      <c r="L2229" cm="1">
        <f t="array" ref="L2229">wordCount(K2229)</f>
        <v>24</v>
      </c>
      <c r="M2229">
        <f t="shared" si="68"/>
        <v>118</v>
      </c>
      <c r="N2229">
        <v>0.25</v>
      </c>
      <c r="O2229" s="23" cm="1">
        <f t="array" ref="O2229">WordListCount(K2229,keywords!$A$2:$A$31)-WordListCount(K2229,keywords!$B$2:$B$31)</f>
        <v>1</v>
      </c>
      <c r="P2229" s="25">
        <f t="shared" si="69"/>
        <v>0.80030092592592583</v>
      </c>
      <c r="Q2229" s="23">
        <f>SUM($O$2:O2229)</f>
        <v>66</v>
      </c>
      <c r="Y2229" s="14"/>
      <c r="Z2229" s="13"/>
      <c r="AA2229"/>
    </row>
    <row r="2230" spans="1:27" x14ac:dyDescent="0.2">
      <c r="A2230" s="12" t="s">
        <v>6771</v>
      </c>
      <c r="B2230" t="s">
        <v>6772</v>
      </c>
      <c r="C2230" t="s">
        <v>6773</v>
      </c>
      <c r="D2230" t="s">
        <v>6774</v>
      </c>
      <c r="E2230" t="s">
        <v>13</v>
      </c>
      <c r="F2230">
        <v>2814</v>
      </c>
      <c r="G2230">
        <v>442</v>
      </c>
      <c r="H2230" s="5" t="s">
        <v>22</v>
      </c>
      <c r="I2230" s="5">
        <v>0</v>
      </c>
      <c r="J2230" s="5">
        <v>0</v>
      </c>
      <c r="K2230" t="s">
        <v>11305</v>
      </c>
      <c r="L2230" cm="1">
        <f t="array" ref="L2230">wordCount(K2230)</f>
        <v>9</v>
      </c>
      <c r="M2230">
        <f t="shared" si="68"/>
        <v>47</v>
      </c>
      <c r="N2230">
        <v>0.5</v>
      </c>
      <c r="O2230" s="23" cm="1">
        <f t="array" ref="O2230">WordListCount(K2230,keywords!$A$2:$A$31)-WordListCount(K2230,keywords!$B$2:$B$31)</f>
        <v>0</v>
      </c>
      <c r="P2230" s="25">
        <f t="shared" si="69"/>
        <v>0.80064814814814822</v>
      </c>
      <c r="Q2230" s="23">
        <f>SUM($O$2:O2230)</f>
        <v>66</v>
      </c>
      <c r="Y2230" s="14"/>
      <c r="Z2230" s="13"/>
      <c r="AA2230"/>
    </row>
    <row r="2231" spans="1:27" x14ac:dyDescent="0.2">
      <c r="A2231" s="12" t="s">
        <v>6775</v>
      </c>
      <c r="B2231" t="s">
        <v>6776</v>
      </c>
      <c r="C2231" t="s">
        <v>6777</v>
      </c>
      <c r="D2231" t="s">
        <v>344</v>
      </c>
      <c r="E2231" t="s">
        <v>13</v>
      </c>
      <c r="F2231">
        <v>667</v>
      </c>
      <c r="G2231">
        <v>148</v>
      </c>
      <c r="H2231" s="5" t="s">
        <v>22</v>
      </c>
      <c r="I2231" s="5">
        <v>0</v>
      </c>
      <c r="J2231" s="5">
        <v>0</v>
      </c>
      <c r="K2231" t="s">
        <v>9689</v>
      </c>
      <c r="L2231" cm="1">
        <f t="array" ref="L2231">wordCount(K2231)</f>
        <v>13</v>
      </c>
      <c r="M2231">
        <f t="shared" si="68"/>
        <v>59</v>
      </c>
      <c r="N2231">
        <v>0.52173913043478259</v>
      </c>
      <c r="O2231" s="23" cm="1">
        <f t="array" ref="O2231">WordListCount(K2231,keywords!$A$2:$A$31)-WordListCount(K2231,keywords!$B$2:$B$31)</f>
        <v>0</v>
      </c>
      <c r="P2231" s="25">
        <f t="shared" si="69"/>
        <v>0.80070601851851853</v>
      </c>
      <c r="Q2231" s="23">
        <f>SUM($O$2:O2231)</f>
        <v>66</v>
      </c>
      <c r="Y2231" s="14"/>
      <c r="Z2231" s="13"/>
      <c r="AA2231"/>
    </row>
    <row r="2232" spans="1:27" x14ac:dyDescent="0.2">
      <c r="A2232" s="12" t="s">
        <v>6778</v>
      </c>
      <c r="B2232" t="s">
        <v>6779</v>
      </c>
      <c r="C2232" t="s">
        <v>6780</v>
      </c>
      <c r="D2232" t="s">
        <v>12</v>
      </c>
      <c r="E2232" t="s">
        <v>13</v>
      </c>
      <c r="F2232">
        <v>722</v>
      </c>
      <c r="G2232">
        <v>758</v>
      </c>
      <c r="H2232" s="5" t="s">
        <v>22</v>
      </c>
      <c r="I2232" s="5">
        <v>0</v>
      </c>
      <c r="J2232" s="5">
        <v>0</v>
      </c>
      <c r="K2232" t="s">
        <v>11306</v>
      </c>
      <c r="L2232" cm="1">
        <f t="array" ref="L2232">wordCount(K2232)</f>
        <v>10</v>
      </c>
      <c r="M2232">
        <f t="shared" si="68"/>
        <v>54</v>
      </c>
      <c r="N2232">
        <v>0.44444444444444442</v>
      </c>
      <c r="O2232" s="23" cm="1">
        <f t="array" ref="O2232">WordListCount(K2232,keywords!$A$2:$A$31)-WordListCount(K2232,keywords!$B$2:$B$31)</f>
        <v>0</v>
      </c>
      <c r="P2232" s="25">
        <f t="shared" si="69"/>
        <v>0.80075231481481479</v>
      </c>
      <c r="Q2232" s="23">
        <f>SUM($O$2:O2232)</f>
        <v>66</v>
      </c>
      <c r="Y2232" s="14"/>
      <c r="Z2232" s="13"/>
      <c r="AA2232"/>
    </row>
    <row r="2233" spans="1:27" x14ac:dyDescent="0.2">
      <c r="A2233" s="12" t="s">
        <v>6781</v>
      </c>
      <c r="B2233" t="s">
        <v>6782</v>
      </c>
      <c r="C2233" t="s">
        <v>6783</v>
      </c>
      <c r="D2233" t="s">
        <v>12</v>
      </c>
      <c r="E2233" t="s">
        <v>13</v>
      </c>
      <c r="F2233">
        <v>355</v>
      </c>
      <c r="G2233">
        <v>880</v>
      </c>
      <c r="H2233" s="5" t="s">
        <v>22</v>
      </c>
      <c r="I2233" s="5">
        <v>0</v>
      </c>
      <c r="J2233" s="5">
        <v>0</v>
      </c>
      <c r="K2233" t="s">
        <v>11307</v>
      </c>
      <c r="L2233" cm="1">
        <f t="array" ref="L2233">wordCount(K2233)</f>
        <v>6</v>
      </c>
      <c r="M2233">
        <f t="shared" si="68"/>
        <v>29</v>
      </c>
      <c r="N2233">
        <v>0.72222222222222221</v>
      </c>
      <c r="O2233" s="23" cm="1">
        <f t="array" ref="O2233">WordListCount(K2233,keywords!$A$2:$A$31)-WordListCount(K2233,keywords!$B$2:$B$31)</f>
        <v>0</v>
      </c>
      <c r="P2233" s="25">
        <f t="shared" si="69"/>
        <v>0.80148148148148157</v>
      </c>
      <c r="Q2233" s="23">
        <f>SUM($O$2:O2233)</f>
        <v>66</v>
      </c>
      <c r="Y2233" s="14"/>
      <c r="Z2233" s="13"/>
      <c r="AA2233"/>
    </row>
    <row r="2234" spans="1:27" x14ac:dyDescent="0.2">
      <c r="A2234" s="12" t="s">
        <v>6784</v>
      </c>
      <c r="B2234" t="s">
        <v>6785</v>
      </c>
      <c r="C2234" t="s">
        <v>6786</v>
      </c>
      <c r="D2234" t="s">
        <v>3900</v>
      </c>
      <c r="E2234" t="s">
        <v>13</v>
      </c>
      <c r="F2234">
        <v>4091</v>
      </c>
      <c r="G2234">
        <v>2393</v>
      </c>
      <c r="H2234" s="5" t="s">
        <v>22</v>
      </c>
      <c r="I2234" s="5">
        <v>0</v>
      </c>
      <c r="J2234" s="5">
        <v>0</v>
      </c>
      <c r="K2234" t="s">
        <v>11308</v>
      </c>
      <c r="L2234" cm="1">
        <f t="array" ref="L2234">wordCount(K2234)</f>
        <v>18</v>
      </c>
      <c r="M2234">
        <f t="shared" si="68"/>
        <v>96</v>
      </c>
      <c r="N2234">
        <v>0.33333333333333331</v>
      </c>
      <c r="O2234" s="23" cm="1">
        <f t="array" ref="O2234">WordListCount(K2234,keywords!$A$2:$A$31)-WordListCount(K2234,keywords!$B$2:$B$31)</f>
        <v>0</v>
      </c>
      <c r="P2234" s="25">
        <f t="shared" si="69"/>
        <v>0.80150462962962965</v>
      </c>
      <c r="Q2234" s="23">
        <f>SUM($O$2:O2234)</f>
        <v>66</v>
      </c>
      <c r="Y2234" s="14"/>
      <c r="Z2234" s="13"/>
      <c r="AA2234"/>
    </row>
    <row r="2235" spans="1:27" x14ac:dyDescent="0.2">
      <c r="A2235" s="12" t="s">
        <v>6787</v>
      </c>
      <c r="B2235" t="s">
        <v>6788</v>
      </c>
      <c r="C2235" t="s">
        <v>6789</v>
      </c>
      <c r="D2235" t="s">
        <v>12</v>
      </c>
      <c r="E2235" t="s">
        <v>13</v>
      </c>
      <c r="F2235">
        <v>2295</v>
      </c>
      <c r="G2235">
        <v>1650</v>
      </c>
      <c r="H2235" s="5" t="s">
        <v>22</v>
      </c>
      <c r="I2235" s="5">
        <v>0</v>
      </c>
      <c r="J2235" s="5">
        <v>0</v>
      </c>
      <c r="K2235" t="s">
        <v>11309</v>
      </c>
      <c r="L2235" cm="1">
        <f t="array" ref="L2235">wordCount(K2235)</f>
        <v>13</v>
      </c>
      <c r="M2235">
        <f t="shared" si="68"/>
        <v>61</v>
      </c>
      <c r="N2235">
        <v>0.42857142857142855</v>
      </c>
      <c r="O2235" s="23" cm="1">
        <f t="array" ref="O2235">WordListCount(K2235,keywords!$A$2:$A$31)-WordListCount(K2235,keywords!$B$2:$B$31)</f>
        <v>-1</v>
      </c>
      <c r="P2235" s="25">
        <f t="shared" si="69"/>
        <v>0.80155092592592592</v>
      </c>
      <c r="Q2235" s="23">
        <f>SUM($O$2:O2235)</f>
        <v>65</v>
      </c>
      <c r="Y2235" s="14"/>
      <c r="Z2235" s="13"/>
      <c r="AA2235"/>
    </row>
    <row r="2236" spans="1:27" x14ac:dyDescent="0.2">
      <c r="A2236" s="12" t="s">
        <v>6790</v>
      </c>
      <c r="B2236" t="s">
        <v>6791</v>
      </c>
      <c r="C2236" t="s">
        <v>610</v>
      </c>
      <c r="D2236" t="s">
        <v>611</v>
      </c>
      <c r="E2236" t="s">
        <v>13</v>
      </c>
      <c r="F2236">
        <v>11599</v>
      </c>
      <c r="G2236">
        <v>1533</v>
      </c>
      <c r="H2236" s="5" t="s">
        <v>59</v>
      </c>
      <c r="I2236" s="5">
        <v>0</v>
      </c>
      <c r="J2236" s="5">
        <v>0</v>
      </c>
      <c r="K2236" t="s">
        <v>9690</v>
      </c>
      <c r="L2236" cm="1">
        <f t="array" ref="L2236">wordCount(K2236)</f>
        <v>5</v>
      </c>
      <c r="M2236">
        <f t="shared" si="68"/>
        <v>26</v>
      </c>
      <c r="N2236">
        <v>0.69230769230769229</v>
      </c>
      <c r="O2236" s="23" cm="1">
        <f t="array" ref="O2236">WordListCount(K2236,keywords!$A$2:$A$31)-WordListCount(K2236,keywords!$B$2:$B$31)</f>
        <v>0</v>
      </c>
      <c r="P2236" s="25">
        <f t="shared" si="69"/>
        <v>0.80163194444444441</v>
      </c>
      <c r="Q2236" s="23">
        <f>SUM($O$2:O2236)</f>
        <v>65</v>
      </c>
      <c r="Y2236" s="14"/>
      <c r="Z2236" s="13"/>
      <c r="AA2236"/>
    </row>
    <row r="2237" spans="1:27" x14ac:dyDescent="0.2">
      <c r="A2237" s="12" t="s">
        <v>6792</v>
      </c>
      <c r="B2237" t="s">
        <v>6793</v>
      </c>
      <c r="C2237" t="s">
        <v>6794</v>
      </c>
      <c r="D2237" t="s">
        <v>12</v>
      </c>
      <c r="E2237" t="s">
        <v>13</v>
      </c>
      <c r="F2237">
        <v>208</v>
      </c>
      <c r="G2237">
        <v>166</v>
      </c>
      <c r="H2237" s="5" t="s">
        <v>22</v>
      </c>
      <c r="I2237" s="5">
        <v>0</v>
      </c>
      <c r="J2237" s="5">
        <v>0</v>
      </c>
      <c r="K2237" t="s">
        <v>9691</v>
      </c>
      <c r="L2237" cm="1">
        <f t="array" ref="L2237">wordCount(K2237)</f>
        <v>16</v>
      </c>
      <c r="M2237">
        <f t="shared" si="68"/>
        <v>87</v>
      </c>
      <c r="N2237">
        <v>0.39130434782608697</v>
      </c>
      <c r="O2237" s="23" cm="1">
        <f t="array" ref="O2237">WordListCount(K2237,keywords!$A$2:$A$31)-WordListCount(K2237,keywords!$B$2:$B$31)</f>
        <v>-1</v>
      </c>
      <c r="P2237" s="25">
        <f t="shared" si="69"/>
        <v>0.80201388888888892</v>
      </c>
      <c r="Q2237" s="23">
        <f>SUM($O$2:O2237)</f>
        <v>64</v>
      </c>
      <c r="Y2237" s="14"/>
      <c r="Z2237" s="13"/>
      <c r="AA2237"/>
    </row>
    <row r="2238" spans="1:27" x14ac:dyDescent="0.2">
      <c r="A2238" s="12" t="s">
        <v>6795</v>
      </c>
      <c r="B2238" t="s">
        <v>6796</v>
      </c>
      <c r="C2238" t="s">
        <v>179</v>
      </c>
      <c r="D2238" t="s">
        <v>180</v>
      </c>
      <c r="E2238" t="s">
        <v>13</v>
      </c>
      <c r="F2238">
        <v>971</v>
      </c>
      <c r="G2238">
        <v>180</v>
      </c>
      <c r="H2238" s="5" t="s">
        <v>22</v>
      </c>
      <c r="I2238" s="5">
        <v>0</v>
      </c>
      <c r="J2238" s="5">
        <v>0</v>
      </c>
      <c r="K2238" t="s">
        <v>11310</v>
      </c>
      <c r="L2238" cm="1">
        <f t="array" ref="L2238">wordCount(K2238)</f>
        <v>17</v>
      </c>
      <c r="M2238">
        <f t="shared" si="68"/>
        <v>96</v>
      </c>
      <c r="N2238">
        <v>0.75</v>
      </c>
      <c r="O2238" s="23" cm="1">
        <f t="array" ref="O2238">WordListCount(K2238,keywords!$A$2:$A$31)-WordListCount(K2238,keywords!$B$2:$B$31)</f>
        <v>0</v>
      </c>
      <c r="P2238" s="25">
        <f t="shared" si="69"/>
        <v>0.80210648148148145</v>
      </c>
      <c r="Q2238" s="23">
        <f>SUM($O$2:O2238)</f>
        <v>64</v>
      </c>
      <c r="Y2238" s="14"/>
      <c r="Z2238" s="13"/>
      <c r="AA2238"/>
    </row>
    <row r="2239" spans="1:27" x14ac:dyDescent="0.2">
      <c r="A2239" s="12" t="s">
        <v>6797</v>
      </c>
      <c r="B2239" t="s">
        <v>6798</v>
      </c>
      <c r="C2239" t="s">
        <v>6799</v>
      </c>
      <c r="D2239" t="s">
        <v>12</v>
      </c>
      <c r="E2239" t="s">
        <v>13</v>
      </c>
      <c r="F2239">
        <v>204</v>
      </c>
      <c r="G2239">
        <v>328</v>
      </c>
      <c r="H2239" s="5" t="s">
        <v>22</v>
      </c>
      <c r="I2239" s="5">
        <v>0</v>
      </c>
      <c r="J2239" s="5">
        <v>0</v>
      </c>
      <c r="K2239" t="s">
        <v>11311</v>
      </c>
      <c r="L2239" cm="1">
        <f t="array" ref="L2239">wordCount(K2239)</f>
        <v>18</v>
      </c>
      <c r="M2239">
        <f t="shared" si="68"/>
        <v>81</v>
      </c>
      <c r="N2239">
        <v>0.40909090909090912</v>
      </c>
      <c r="O2239" s="23" cm="1">
        <f t="array" ref="O2239">WordListCount(K2239,keywords!$A$2:$A$31)-WordListCount(K2239,keywords!$B$2:$B$31)</f>
        <v>0</v>
      </c>
      <c r="P2239" s="25">
        <f t="shared" si="69"/>
        <v>0.80222222222222228</v>
      </c>
      <c r="Q2239" s="23">
        <f>SUM($O$2:O2239)</f>
        <v>64</v>
      </c>
      <c r="Y2239" s="14"/>
      <c r="Z2239" s="13"/>
      <c r="AA2239"/>
    </row>
    <row r="2240" spans="1:27" x14ac:dyDescent="0.2">
      <c r="A2240" s="12" t="s">
        <v>6800</v>
      </c>
      <c r="B2240" t="s">
        <v>6801</v>
      </c>
      <c r="C2240" t="s">
        <v>6802</v>
      </c>
      <c r="D2240" t="s">
        <v>1913</v>
      </c>
      <c r="E2240" t="s">
        <v>13</v>
      </c>
      <c r="F2240">
        <v>637</v>
      </c>
      <c r="G2240">
        <v>327</v>
      </c>
      <c r="H2240" s="5" t="s">
        <v>22</v>
      </c>
      <c r="I2240" s="5">
        <v>0</v>
      </c>
      <c r="J2240" s="5">
        <v>0</v>
      </c>
      <c r="K2240" t="s">
        <v>9692</v>
      </c>
      <c r="L2240" cm="1">
        <f t="array" ref="L2240">wordCount(K2240)</f>
        <v>4</v>
      </c>
      <c r="M2240">
        <f t="shared" si="68"/>
        <v>20</v>
      </c>
      <c r="N2240">
        <v>0.92307692307692313</v>
      </c>
      <c r="O2240" s="23" cm="1">
        <f t="array" ref="O2240">WordListCount(K2240,keywords!$A$2:$A$31)-WordListCount(K2240,keywords!$B$2:$B$31)</f>
        <v>0</v>
      </c>
      <c r="P2240" s="25">
        <f t="shared" si="69"/>
        <v>0.80230324074074078</v>
      </c>
      <c r="Q2240" s="23">
        <f>SUM($O$2:O2240)</f>
        <v>64</v>
      </c>
      <c r="Y2240" s="14"/>
      <c r="Z2240" s="13"/>
      <c r="AA2240"/>
    </row>
    <row r="2241" spans="1:27" x14ac:dyDescent="0.2">
      <c r="A2241" s="12" t="s">
        <v>6803</v>
      </c>
      <c r="B2241" t="s">
        <v>6804</v>
      </c>
      <c r="C2241" t="s">
        <v>4023</v>
      </c>
      <c r="D2241" t="s">
        <v>4024</v>
      </c>
      <c r="E2241" t="s">
        <v>13</v>
      </c>
      <c r="F2241">
        <v>639</v>
      </c>
      <c r="G2241">
        <v>181</v>
      </c>
      <c r="H2241" s="5" t="s">
        <v>22</v>
      </c>
      <c r="I2241" s="5">
        <v>0</v>
      </c>
      <c r="J2241" s="5">
        <v>0</v>
      </c>
      <c r="K2241" t="s">
        <v>11312</v>
      </c>
      <c r="L2241" cm="1">
        <f t="array" ref="L2241">wordCount(K2241)</f>
        <v>15</v>
      </c>
      <c r="M2241">
        <f t="shared" si="68"/>
        <v>110</v>
      </c>
      <c r="N2241">
        <v>0.51851851851851849</v>
      </c>
      <c r="O2241" s="23" cm="1">
        <f t="array" ref="O2241">WordListCount(K2241,keywords!$A$2:$A$31)-WordListCount(K2241,keywords!$B$2:$B$31)</f>
        <v>0</v>
      </c>
      <c r="P2241" s="25">
        <f t="shared" si="69"/>
        <v>0.80234953703703704</v>
      </c>
      <c r="Q2241" s="23">
        <f>SUM($O$2:O2241)</f>
        <v>64</v>
      </c>
      <c r="Y2241" s="14"/>
      <c r="Z2241" s="13"/>
      <c r="AA2241"/>
    </row>
    <row r="2242" spans="1:27" x14ac:dyDescent="0.2">
      <c r="A2242" s="12" t="s">
        <v>6805</v>
      </c>
      <c r="B2242" t="s">
        <v>6806</v>
      </c>
      <c r="C2242" t="s">
        <v>6807</v>
      </c>
      <c r="D2242" t="s">
        <v>12</v>
      </c>
      <c r="E2242" t="s">
        <v>13</v>
      </c>
      <c r="F2242">
        <v>563</v>
      </c>
      <c r="G2242">
        <v>1699</v>
      </c>
      <c r="H2242" s="5" t="s">
        <v>5051</v>
      </c>
      <c r="I2242" s="5">
        <v>0</v>
      </c>
      <c r="J2242" s="5">
        <v>0</v>
      </c>
      <c r="K2242" t="s">
        <v>11313</v>
      </c>
      <c r="L2242" cm="1">
        <f t="array" ref="L2242">wordCount(K2242)</f>
        <v>22</v>
      </c>
      <c r="M2242">
        <f t="shared" ref="M2242:M2305" si="70">LEN(K2242)</f>
        <v>108</v>
      </c>
      <c r="N2242">
        <v>0.48484848484848486</v>
      </c>
      <c r="O2242" s="23" cm="1">
        <f t="array" ref="O2242">WordListCount(K2242,keywords!$A$2:$A$31)-WordListCount(K2242,keywords!$B$2:$B$31)</f>
        <v>0</v>
      </c>
      <c r="P2242" s="25">
        <f t="shared" ref="P2242:P2305" si="71">TIMEVALUE(RIGHT(A2242,8))</f>
        <v>0.80262731481481486</v>
      </c>
      <c r="Q2242" s="23">
        <f>SUM($O$2:O2242)</f>
        <v>64</v>
      </c>
      <c r="Y2242" s="14"/>
      <c r="Z2242" s="13"/>
      <c r="AA2242"/>
    </row>
    <row r="2243" spans="1:27" x14ac:dyDescent="0.2">
      <c r="A2243" s="12" t="s">
        <v>6808</v>
      </c>
      <c r="B2243" t="s">
        <v>6809</v>
      </c>
      <c r="C2243" t="s">
        <v>6810</v>
      </c>
      <c r="D2243" t="s">
        <v>3341</v>
      </c>
      <c r="E2243" t="s">
        <v>13</v>
      </c>
      <c r="F2243">
        <v>138</v>
      </c>
      <c r="G2243">
        <v>148</v>
      </c>
      <c r="H2243" s="5" t="s">
        <v>22</v>
      </c>
      <c r="I2243" s="5">
        <v>0</v>
      </c>
      <c r="J2243" s="5">
        <v>0</v>
      </c>
      <c r="K2243" t="s">
        <v>11314</v>
      </c>
      <c r="L2243" cm="1">
        <f t="array" ref="L2243">wordCount(K2243)</f>
        <v>22</v>
      </c>
      <c r="M2243">
        <f t="shared" si="70"/>
        <v>93</v>
      </c>
      <c r="N2243">
        <v>0.375</v>
      </c>
      <c r="O2243" s="23" cm="1">
        <f t="array" ref="O2243">WordListCount(K2243,keywords!$A$2:$A$31)-WordListCount(K2243,keywords!$B$2:$B$31)</f>
        <v>0</v>
      </c>
      <c r="P2243" s="25">
        <f t="shared" si="71"/>
        <v>0.80273148148148143</v>
      </c>
      <c r="Q2243" s="23">
        <f>SUM($O$2:O2243)</f>
        <v>64</v>
      </c>
      <c r="Y2243" s="14"/>
      <c r="Z2243" s="13"/>
      <c r="AA2243"/>
    </row>
    <row r="2244" spans="1:27" x14ac:dyDescent="0.2">
      <c r="A2244" s="12" t="s">
        <v>6811</v>
      </c>
      <c r="B2244" t="s">
        <v>6812</v>
      </c>
      <c r="C2244" t="s">
        <v>6813</v>
      </c>
      <c r="D2244" t="s">
        <v>12</v>
      </c>
      <c r="E2244" t="s">
        <v>13</v>
      </c>
      <c r="F2244">
        <v>3087</v>
      </c>
      <c r="G2244">
        <v>553</v>
      </c>
      <c r="H2244" s="5" t="s">
        <v>22</v>
      </c>
      <c r="I2244" s="5">
        <v>0</v>
      </c>
      <c r="J2244" s="5">
        <v>0</v>
      </c>
      <c r="K2244" t="s">
        <v>11315</v>
      </c>
      <c r="L2244" cm="1">
        <f t="array" ref="L2244">wordCount(K2244)</f>
        <v>14</v>
      </c>
      <c r="M2244">
        <f t="shared" si="70"/>
        <v>84</v>
      </c>
      <c r="N2244">
        <v>0.45454545454545453</v>
      </c>
      <c r="O2244" s="23" cm="1">
        <f t="array" ref="O2244">WordListCount(K2244,keywords!$A$2:$A$31)-WordListCount(K2244,keywords!$B$2:$B$31)</f>
        <v>0</v>
      </c>
      <c r="P2244" s="25">
        <f t="shared" si="71"/>
        <v>0.80349537037037033</v>
      </c>
      <c r="Q2244" s="23">
        <f>SUM($O$2:O2244)</f>
        <v>64</v>
      </c>
      <c r="Y2244" s="14"/>
      <c r="Z2244" s="13"/>
      <c r="AA2244"/>
    </row>
    <row r="2245" spans="1:27" x14ac:dyDescent="0.2">
      <c r="A2245" s="12" t="s">
        <v>6814</v>
      </c>
      <c r="B2245" t="s">
        <v>6815</v>
      </c>
      <c r="C2245" t="s">
        <v>6816</v>
      </c>
      <c r="D2245" t="s">
        <v>12</v>
      </c>
      <c r="E2245" t="s">
        <v>13</v>
      </c>
      <c r="F2245">
        <v>83</v>
      </c>
      <c r="G2245">
        <v>149</v>
      </c>
      <c r="H2245" s="5" t="s">
        <v>22</v>
      </c>
      <c r="I2245" s="5">
        <v>0</v>
      </c>
      <c r="J2245" s="5">
        <v>0</v>
      </c>
      <c r="K2245" t="s">
        <v>11316</v>
      </c>
      <c r="L2245" cm="1">
        <f t="array" ref="L2245">wordCount(K2245)</f>
        <v>17</v>
      </c>
      <c r="M2245">
        <f t="shared" si="70"/>
        <v>80</v>
      </c>
      <c r="N2245">
        <v>0.25</v>
      </c>
      <c r="O2245" s="23" cm="1">
        <f t="array" ref="O2245">WordListCount(K2245,keywords!$A$2:$A$31)-WordListCount(K2245,keywords!$B$2:$B$31)</f>
        <v>-1</v>
      </c>
      <c r="P2245" s="25">
        <f t="shared" si="71"/>
        <v>0.80351851851851841</v>
      </c>
      <c r="Q2245" s="23">
        <f>SUM($O$2:O2245)</f>
        <v>63</v>
      </c>
      <c r="Y2245" s="14"/>
      <c r="Z2245" s="13"/>
      <c r="AA2245"/>
    </row>
    <row r="2246" spans="1:27" x14ac:dyDescent="0.2">
      <c r="A2246" s="33" t="s">
        <v>6817</v>
      </c>
      <c r="B2246" s="34" t="s">
        <v>6818</v>
      </c>
      <c r="C2246" s="34" t="s">
        <v>123</v>
      </c>
      <c r="D2246" s="34" t="s">
        <v>124</v>
      </c>
      <c r="E2246" s="34" t="s">
        <v>13</v>
      </c>
      <c r="F2246" s="34">
        <v>837</v>
      </c>
      <c r="G2246" s="34">
        <v>898</v>
      </c>
      <c r="H2246" s="35" t="s">
        <v>125</v>
      </c>
      <c r="I2246" s="35">
        <v>0</v>
      </c>
      <c r="J2246" s="35">
        <v>0</v>
      </c>
      <c r="K2246" s="34" t="s">
        <v>9693</v>
      </c>
      <c r="L2246" s="34" cm="1">
        <f t="array" ref="L2246">wordCount(K2246)</f>
        <v>21</v>
      </c>
      <c r="M2246" s="34">
        <f t="shared" si="70"/>
        <v>98</v>
      </c>
      <c r="N2246" s="34">
        <v>0.81818181818181823</v>
      </c>
      <c r="O2246" s="36" cm="1">
        <f t="array" ref="O2246">WordListCount(K2246,keywords!$A$2:$A$31)-WordListCount(K2246,keywords!$B$2:$B$31)</f>
        <v>0</v>
      </c>
      <c r="P2246" s="37">
        <f t="shared" si="71"/>
        <v>0.80353009259259256</v>
      </c>
      <c r="Q2246" s="23">
        <f>SUM($O$2:O2246)</f>
        <v>63</v>
      </c>
    </row>
    <row r="2247" spans="1:27" x14ac:dyDescent="0.2">
      <c r="A2247" s="12" t="s">
        <v>6819</v>
      </c>
      <c r="B2247" t="s">
        <v>6820</v>
      </c>
      <c r="C2247" t="s">
        <v>6821</v>
      </c>
      <c r="D2247" t="s">
        <v>6822</v>
      </c>
      <c r="E2247" t="s">
        <v>13</v>
      </c>
      <c r="F2247">
        <v>47</v>
      </c>
      <c r="G2247">
        <v>44</v>
      </c>
      <c r="H2247" s="5" t="s">
        <v>22</v>
      </c>
      <c r="I2247" s="5">
        <v>0</v>
      </c>
      <c r="J2247" s="5">
        <v>0</v>
      </c>
      <c r="K2247" t="s">
        <v>9047</v>
      </c>
      <c r="L2247" cm="1">
        <f t="array" ref="L2247">wordCount(K2247)</f>
        <v>1</v>
      </c>
      <c r="M2247">
        <f t="shared" si="70"/>
        <v>7</v>
      </c>
      <c r="N2247">
        <v>0.5</v>
      </c>
      <c r="O2247" s="23" cm="1">
        <f t="array" ref="O2247">WordListCount(K2247,keywords!$A$2:$A$31)-WordListCount(K2247,keywords!$B$2:$B$31)</f>
        <v>0</v>
      </c>
      <c r="P2247" s="25">
        <f t="shared" si="71"/>
        <v>0.80361111111111105</v>
      </c>
      <c r="Q2247" s="23">
        <f>SUM($O$2:O2247)</f>
        <v>63</v>
      </c>
      <c r="Y2247" s="14"/>
      <c r="Z2247" s="13"/>
      <c r="AA2247"/>
    </row>
    <row r="2248" spans="1:27" x14ac:dyDescent="0.2">
      <c r="A2248" s="12" t="s">
        <v>6823</v>
      </c>
      <c r="B2248" t="s">
        <v>6824</v>
      </c>
      <c r="C2248" t="s">
        <v>6825</v>
      </c>
      <c r="D2248" t="s">
        <v>6826</v>
      </c>
      <c r="E2248" t="s">
        <v>13</v>
      </c>
      <c r="F2248">
        <v>91</v>
      </c>
      <c r="G2248">
        <v>170</v>
      </c>
      <c r="H2248" s="5" t="s">
        <v>22</v>
      </c>
      <c r="I2248" s="5">
        <v>0</v>
      </c>
      <c r="J2248" s="5">
        <v>0</v>
      </c>
      <c r="K2248" t="s">
        <v>11317</v>
      </c>
      <c r="L2248" cm="1">
        <f t="array" ref="L2248">wordCount(K2248)</f>
        <v>8</v>
      </c>
      <c r="M2248">
        <f t="shared" si="70"/>
        <v>48</v>
      </c>
      <c r="N2248">
        <v>0.68421052631578949</v>
      </c>
      <c r="O2248" s="23" cm="1">
        <f t="array" ref="O2248">WordListCount(K2248,keywords!$A$2:$A$31)-WordListCount(K2248,keywords!$B$2:$B$31)</f>
        <v>0</v>
      </c>
      <c r="P2248" s="25">
        <f t="shared" si="71"/>
        <v>0.8037037037037037</v>
      </c>
      <c r="Q2248" s="23">
        <f>SUM($O$2:O2248)</f>
        <v>63</v>
      </c>
      <c r="Y2248" s="14"/>
      <c r="Z2248" s="13"/>
      <c r="AA2248"/>
    </row>
    <row r="2249" spans="1:27" x14ac:dyDescent="0.2">
      <c r="A2249" s="12" t="s">
        <v>6827</v>
      </c>
      <c r="B2249" t="s">
        <v>6828</v>
      </c>
      <c r="C2249" t="s">
        <v>6829</v>
      </c>
      <c r="D2249" t="s">
        <v>12</v>
      </c>
      <c r="E2249" t="s">
        <v>13</v>
      </c>
      <c r="F2249">
        <v>53</v>
      </c>
      <c r="G2249">
        <v>213</v>
      </c>
      <c r="H2249" s="5" t="s">
        <v>22</v>
      </c>
      <c r="I2249" s="5">
        <v>0</v>
      </c>
      <c r="J2249" s="5">
        <v>0</v>
      </c>
      <c r="K2249" t="s">
        <v>11318</v>
      </c>
      <c r="L2249" cm="1">
        <f t="array" ref="L2249">wordCount(K2249)</f>
        <v>9</v>
      </c>
      <c r="M2249">
        <f t="shared" si="70"/>
        <v>43</v>
      </c>
      <c r="N2249">
        <v>0.5</v>
      </c>
      <c r="O2249" s="23" cm="1">
        <f t="array" ref="O2249">WordListCount(K2249,keywords!$A$2:$A$31)-WordListCount(K2249,keywords!$B$2:$B$31)</f>
        <v>0</v>
      </c>
      <c r="P2249" s="25">
        <f t="shared" si="71"/>
        <v>0.8039236111111111</v>
      </c>
      <c r="Q2249" s="23">
        <f>SUM($O$2:O2249)</f>
        <v>63</v>
      </c>
      <c r="Y2249" s="14"/>
      <c r="Z2249" s="13"/>
      <c r="AA2249"/>
    </row>
    <row r="2250" spans="1:27" x14ac:dyDescent="0.2">
      <c r="A2250" s="12" t="s">
        <v>6830</v>
      </c>
      <c r="B2250" t="s">
        <v>6831</v>
      </c>
      <c r="C2250" t="s">
        <v>6832</v>
      </c>
      <c r="D2250" t="s">
        <v>12</v>
      </c>
      <c r="E2250" t="s">
        <v>13</v>
      </c>
      <c r="F2250">
        <v>472</v>
      </c>
      <c r="G2250">
        <v>1639</v>
      </c>
      <c r="H2250" s="5" t="s">
        <v>22</v>
      </c>
      <c r="I2250" s="5">
        <v>0</v>
      </c>
      <c r="J2250" s="5">
        <v>0</v>
      </c>
      <c r="K2250" t="s">
        <v>11319</v>
      </c>
      <c r="L2250" cm="1">
        <f t="array" ref="L2250">wordCount(K2250)</f>
        <v>17</v>
      </c>
      <c r="M2250">
        <f t="shared" si="70"/>
        <v>91</v>
      </c>
      <c r="N2250">
        <v>0.54838709677419351</v>
      </c>
      <c r="O2250" s="23" cm="1">
        <f t="array" ref="O2250">WordListCount(K2250,keywords!$A$2:$A$31)-WordListCount(K2250,keywords!$B$2:$B$31)</f>
        <v>0</v>
      </c>
      <c r="P2250" s="25">
        <f t="shared" si="71"/>
        <v>0.80393518518518514</v>
      </c>
      <c r="Q2250" s="23">
        <f>SUM($O$2:O2250)</f>
        <v>63</v>
      </c>
      <c r="Y2250" s="14"/>
      <c r="Z2250" s="13"/>
      <c r="AA2250"/>
    </row>
    <row r="2251" spans="1:27" x14ac:dyDescent="0.2">
      <c r="A2251" s="12" t="s">
        <v>6833</v>
      </c>
      <c r="B2251" t="s">
        <v>6834</v>
      </c>
      <c r="C2251" t="s">
        <v>6835</v>
      </c>
      <c r="D2251" t="s">
        <v>344</v>
      </c>
      <c r="E2251" t="s">
        <v>13</v>
      </c>
      <c r="F2251">
        <v>143</v>
      </c>
      <c r="G2251">
        <v>285</v>
      </c>
      <c r="H2251" s="5" t="s">
        <v>22</v>
      </c>
      <c r="I2251" s="5">
        <v>0</v>
      </c>
      <c r="J2251" s="5">
        <v>0</v>
      </c>
      <c r="K2251" t="s">
        <v>9694</v>
      </c>
      <c r="L2251" cm="1">
        <f t="array" ref="L2251">wordCount(K2251)</f>
        <v>6</v>
      </c>
      <c r="M2251">
        <f t="shared" si="70"/>
        <v>32</v>
      </c>
      <c r="N2251">
        <v>0.625</v>
      </c>
      <c r="O2251" s="23" cm="1">
        <f t="array" ref="O2251">WordListCount(K2251,keywords!$A$2:$A$31)-WordListCount(K2251,keywords!$B$2:$B$31)</f>
        <v>0</v>
      </c>
      <c r="P2251" s="25">
        <f t="shared" si="71"/>
        <v>0.80407407407407405</v>
      </c>
      <c r="Q2251" s="23">
        <f>SUM($O$2:O2251)</f>
        <v>63</v>
      </c>
      <c r="Y2251" s="14"/>
      <c r="Z2251" s="13"/>
      <c r="AA2251"/>
    </row>
    <row r="2252" spans="1:27" x14ac:dyDescent="0.2">
      <c r="A2252" s="12" t="s">
        <v>6836</v>
      </c>
      <c r="B2252" t="s">
        <v>6837</v>
      </c>
      <c r="C2252" t="s">
        <v>6838</v>
      </c>
      <c r="D2252" t="s">
        <v>6839</v>
      </c>
      <c r="E2252" t="s">
        <v>13</v>
      </c>
      <c r="F2252">
        <v>474</v>
      </c>
      <c r="G2252">
        <v>626</v>
      </c>
      <c r="H2252" s="5" t="s">
        <v>22</v>
      </c>
      <c r="I2252" s="5">
        <v>0</v>
      </c>
      <c r="J2252" s="5">
        <v>0</v>
      </c>
      <c r="K2252" t="s">
        <v>9695</v>
      </c>
      <c r="L2252" cm="1">
        <f t="array" ref="L2252">wordCount(K2252)</f>
        <v>5</v>
      </c>
      <c r="M2252">
        <f t="shared" si="70"/>
        <v>26</v>
      </c>
      <c r="N2252">
        <v>0.66666666666666663</v>
      </c>
      <c r="O2252" s="23" cm="1">
        <f t="array" ref="O2252">WordListCount(K2252,keywords!$A$2:$A$31)-WordListCount(K2252,keywords!$B$2:$B$31)</f>
        <v>0</v>
      </c>
      <c r="P2252" s="25">
        <f t="shared" si="71"/>
        <v>0.80415509259259255</v>
      </c>
      <c r="Q2252" s="23">
        <f>SUM($O$2:O2252)</f>
        <v>63</v>
      </c>
      <c r="Y2252" s="14"/>
      <c r="Z2252" s="13"/>
      <c r="AA2252"/>
    </row>
    <row r="2253" spans="1:27" x14ac:dyDescent="0.2">
      <c r="A2253" s="12" t="s">
        <v>6840</v>
      </c>
      <c r="B2253" t="s">
        <v>6841</v>
      </c>
      <c r="C2253" t="s">
        <v>6658</v>
      </c>
      <c r="D2253" t="s">
        <v>12</v>
      </c>
      <c r="E2253" t="s">
        <v>13</v>
      </c>
      <c r="F2253">
        <v>30</v>
      </c>
      <c r="G2253">
        <v>71</v>
      </c>
      <c r="H2253" s="5" t="s">
        <v>22</v>
      </c>
      <c r="I2253" s="5">
        <v>0</v>
      </c>
      <c r="J2253" s="5">
        <v>0</v>
      </c>
      <c r="K2253" t="s">
        <v>11320</v>
      </c>
      <c r="L2253" cm="1">
        <f t="array" ref="L2253">wordCount(K2253)</f>
        <v>18</v>
      </c>
      <c r="M2253">
        <f t="shared" si="70"/>
        <v>102</v>
      </c>
      <c r="N2253">
        <v>0.52</v>
      </c>
      <c r="O2253" s="23" cm="1">
        <f t="array" ref="O2253">WordListCount(K2253,keywords!$A$2:$A$31)-WordListCount(K2253,keywords!$B$2:$B$31)</f>
        <v>1</v>
      </c>
      <c r="P2253" s="25">
        <f t="shared" si="71"/>
        <v>0.80435185185185187</v>
      </c>
      <c r="Q2253" s="23">
        <f>SUM($O$2:O2253)</f>
        <v>64</v>
      </c>
      <c r="Y2253" s="14"/>
      <c r="Z2253" s="13"/>
      <c r="AA2253"/>
    </row>
    <row r="2254" spans="1:27" x14ac:dyDescent="0.2">
      <c r="A2254" s="12" t="s">
        <v>6842</v>
      </c>
      <c r="B2254" t="s">
        <v>6843</v>
      </c>
      <c r="C2254" t="s">
        <v>6802</v>
      </c>
      <c r="D2254" t="s">
        <v>1913</v>
      </c>
      <c r="E2254" t="s">
        <v>13</v>
      </c>
      <c r="F2254">
        <v>637</v>
      </c>
      <c r="G2254">
        <v>327</v>
      </c>
      <c r="H2254" s="5" t="s">
        <v>22</v>
      </c>
      <c r="I2254" s="5">
        <v>0</v>
      </c>
      <c r="J2254" s="5">
        <v>0</v>
      </c>
      <c r="K2254" t="s">
        <v>11321</v>
      </c>
      <c r="L2254" cm="1">
        <f t="array" ref="L2254">wordCount(K2254)</f>
        <v>14</v>
      </c>
      <c r="M2254">
        <f t="shared" si="70"/>
        <v>63</v>
      </c>
      <c r="N2254">
        <v>0.61904761904761907</v>
      </c>
      <c r="O2254" s="23" cm="1">
        <f t="array" ref="O2254">WordListCount(K2254,keywords!$A$2:$A$31)-WordListCount(K2254,keywords!$B$2:$B$31)</f>
        <v>0</v>
      </c>
      <c r="P2254" s="25">
        <f t="shared" si="71"/>
        <v>0.80436342592592591</v>
      </c>
      <c r="Q2254" s="23">
        <f>SUM($O$2:O2254)</f>
        <v>64</v>
      </c>
      <c r="Y2254" s="14"/>
      <c r="Z2254" s="13"/>
      <c r="AA2254"/>
    </row>
    <row r="2255" spans="1:27" x14ac:dyDescent="0.2">
      <c r="A2255" s="12" t="s">
        <v>6844</v>
      </c>
      <c r="B2255" t="s">
        <v>6845</v>
      </c>
      <c r="C2255" t="s">
        <v>6846</v>
      </c>
      <c r="D2255" t="s">
        <v>12</v>
      </c>
      <c r="E2255" t="s">
        <v>13</v>
      </c>
      <c r="F2255">
        <v>5</v>
      </c>
      <c r="G2255">
        <v>56</v>
      </c>
      <c r="H2255" s="5" t="s">
        <v>22</v>
      </c>
      <c r="I2255" s="5">
        <v>0</v>
      </c>
      <c r="J2255" s="5">
        <v>0</v>
      </c>
      <c r="K2255" t="s">
        <v>9696</v>
      </c>
      <c r="L2255" cm="1">
        <f t="array" ref="L2255">wordCount(K2255)</f>
        <v>6</v>
      </c>
      <c r="M2255">
        <f t="shared" si="70"/>
        <v>32</v>
      </c>
      <c r="N2255">
        <v>0.75</v>
      </c>
      <c r="O2255" s="23" cm="1">
        <f t="array" ref="O2255">WordListCount(K2255,keywords!$A$2:$A$31)-WordListCount(K2255,keywords!$B$2:$B$31)</f>
        <v>0</v>
      </c>
      <c r="P2255" s="25">
        <f t="shared" si="71"/>
        <v>0.80473379629629627</v>
      </c>
      <c r="Q2255" s="23">
        <f>SUM($O$2:O2255)</f>
        <v>64</v>
      </c>
      <c r="Y2255" s="14"/>
      <c r="Z2255" s="13"/>
      <c r="AA2255"/>
    </row>
    <row r="2256" spans="1:27" x14ac:dyDescent="0.2">
      <c r="A2256" s="12" t="s">
        <v>6847</v>
      </c>
      <c r="B2256" t="s">
        <v>6848</v>
      </c>
      <c r="C2256" t="s">
        <v>6783</v>
      </c>
      <c r="D2256" t="s">
        <v>12</v>
      </c>
      <c r="E2256" t="s">
        <v>13</v>
      </c>
      <c r="F2256">
        <v>355</v>
      </c>
      <c r="G2256">
        <v>880</v>
      </c>
      <c r="H2256" s="5" t="s">
        <v>22</v>
      </c>
      <c r="I2256" s="5">
        <v>0</v>
      </c>
      <c r="J2256" s="5">
        <v>0</v>
      </c>
      <c r="K2256" t="s">
        <v>11322</v>
      </c>
      <c r="L2256" cm="1">
        <f t="array" ref="L2256">wordCount(K2256)</f>
        <v>21</v>
      </c>
      <c r="M2256">
        <f t="shared" si="70"/>
        <v>129</v>
      </c>
      <c r="N2256">
        <v>0.16</v>
      </c>
      <c r="O2256" s="23" cm="1">
        <f t="array" ref="O2256">WordListCount(K2256,keywords!$A$2:$A$31)-WordListCount(K2256,keywords!$B$2:$B$31)</f>
        <v>0</v>
      </c>
      <c r="P2256" s="25">
        <f t="shared" si="71"/>
        <v>0.80489583333333325</v>
      </c>
      <c r="Q2256" s="23">
        <f>SUM($O$2:O2256)</f>
        <v>64</v>
      </c>
      <c r="Y2256" s="14"/>
      <c r="Z2256" s="13"/>
      <c r="AA2256"/>
    </row>
    <row r="2257" spans="1:27" x14ac:dyDescent="0.2">
      <c r="A2257" s="12" t="s">
        <v>6849</v>
      </c>
      <c r="B2257" t="s">
        <v>6850</v>
      </c>
      <c r="C2257" t="s">
        <v>6851</v>
      </c>
      <c r="D2257" t="s">
        <v>6852</v>
      </c>
      <c r="E2257" t="s">
        <v>13</v>
      </c>
      <c r="F2257">
        <v>3250</v>
      </c>
      <c r="G2257">
        <v>1002</v>
      </c>
      <c r="H2257" s="5" t="s">
        <v>22</v>
      </c>
      <c r="I2257" s="5">
        <v>0</v>
      </c>
      <c r="J2257" s="5">
        <v>0</v>
      </c>
      <c r="K2257" t="s">
        <v>9697</v>
      </c>
      <c r="L2257" cm="1">
        <f t="array" ref="L2257">wordCount(K2257)</f>
        <v>5</v>
      </c>
      <c r="M2257">
        <f t="shared" si="70"/>
        <v>35</v>
      </c>
      <c r="N2257">
        <v>0.78947368421052633</v>
      </c>
      <c r="O2257" s="23" cm="1">
        <f t="array" ref="O2257">WordListCount(K2257,keywords!$A$2:$A$31)-WordListCount(K2257,keywords!$B$2:$B$31)</f>
        <v>0</v>
      </c>
      <c r="P2257" s="25">
        <f t="shared" si="71"/>
        <v>0.80491898148148155</v>
      </c>
      <c r="Q2257" s="23">
        <f>SUM($O$2:O2257)</f>
        <v>64</v>
      </c>
      <c r="Y2257" s="14"/>
      <c r="Z2257" s="13"/>
      <c r="AA2257"/>
    </row>
    <row r="2258" spans="1:27" x14ac:dyDescent="0.2">
      <c r="A2258" s="12" t="s">
        <v>6853</v>
      </c>
      <c r="B2258" t="s">
        <v>6854</v>
      </c>
      <c r="C2258" t="s">
        <v>6855</v>
      </c>
      <c r="D2258" t="s">
        <v>6856</v>
      </c>
      <c r="E2258" t="s">
        <v>13</v>
      </c>
      <c r="F2258">
        <v>47</v>
      </c>
      <c r="G2258">
        <v>85</v>
      </c>
      <c r="H2258" s="5" t="s">
        <v>22</v>
      </c>
      <c r="I2258" s="5">
        <v>0</v>
      </c>
      <c r="J2258" s="5">
        <v>0</v>
      </c>
      <c r="K2258" t="s">
        <v>9698</v>
      </c>
      <c r="L2258" cm="1">
        <f t="array" ref="L2258">wordCount(K2258)</f>
        <v>16</v>
      </c>
      <c r="M2258">
        <f t="shared" si="70"/>
        <v>82</v>
      </c>
      <c r="N2258">
        <v>0.62068965517241381</v>
      </c>
      <c r="O2258" s="23" cm="1">
        <f t="array" ref="O2258">WordListCount(K2258,keywords!$A$2:$A$31)-WordListCount(K2258,keywords!$B$2:$B$31)</f>
        <v>0</v>
      </c>
      <c r="P2258" s="25">
        <f t="shared" si="71"/>
        <v>0.80496527777777782</v>
      </c>
      <c r="Q2258" s="23">
        <f>SUM($O$2:O2258)</f>
        <v>64</v>
      </c>
      <c r="Y2258" s="14"/>
      <c r="Z2258" s="13"/>
      <c r="AA2258"/>
    </row>
    <row r="2259" spans="1:27" x14ac:dyDescent="0.2">
      <c r="A2259" s="12" t="s">
        <v>6857</v>
      </c>
      <c r="B2259" t="s">
        <v>6858</v>
      </c>
      <c r="C2259" t="s">
        <v>6859</v>
      </c>
      <c r="D2259" t="s">
        <v>12</v>
      </c>
      <c r="E2259" t="s">
        <v>13</v>
      </c>
      <c r="F2259">
        <v>5</v>
      </c>
      <c r="G2259">
        <v>376</v>
      </c>
      <c r="H2259" s="5" t="s">
        <v>22</v>
      </c>
      <c r="I2259" s="5">
        <v>0</v>
      </c>
      <c r="J2259" s="5">
        <v>0</v>
      </c>
      <c r="K2259" t="s">
        <v>11323</v>
      </c>
      <c r="L2259" cm="1">
        <f t="array" ref="L2259">wordCount(K2259)</f>
        <v>11</v>
      </c>
      <c r="M2259">
        <f t="shared" si="70"/>
        <v>64</v>
      </c>
      <c r="N2259">
        <v>0.46666666666666667</v>
      </c>
      <c r="O2259" s="23" cm="1">
        <f t="array" ref="O2259">WordListCount(K2259,keywords!$A$2:$A$31)-WordListCount(K2259,keywords!$B$2:$B$31)</f>
        <v>0</v>
      </c>
      <c r="P2259" s="25">
        <f t="shared" si="71"/>
        <v>0.80503472222222217</v>
      </c>
      <c r="Q2259" s="23">
        <f>SUM($O$2:O2259)</f>
        <v>64</v>
      </c>
      <c r="Y2259" s="14"/>
      <c r="Z2259" s="13"/>
      <c r="AA2259"/>
    </row>
    <row r="2260" spans="1:27" x14ac:dyDescent="0.2">
      <c r="A2260" s="12" t="s">
        <v>6860</v>
      </c>
      <c r="B2260" t="s">
        <v>6861</v>
      </c>
      <c r="C2260" t="s">
        <v>6862</v>
      </c>
      <c r="D2260" t="s">
        <v>6863</v>
      </c>
      <c r="E2260" t="s">
        <v>13</v>
      </c>
      <c r="F2260">
        <v>487</v>
      </c>
      <c r="G2260">
        <v>1004</v>
      </c>
      <c r="H2260" s="5" t="s">
        <v>22</v>
      </c>
      <c r="I2260" s="5">
        <v>0</v>
      </c>
      <c r="J2260" s="5">
        <v>0</v>
      </c>
      <c r="K2260" t="s">
        <v>11324</v>
      </c>
      <c r="L2260" cm="1">
        <f t="array" ref="L2260">wordCount(K2260)</f>
        <v>25</v>
      </c>
      <c r="M2260">
        <f t="shared" si="70"/>
        <v>106</v>
      </c>
      <c r="N2260">
        <v>0.45714285714285713</v>
      </c>
      <c r="O2260" s="23" cm="1">
        <f t="array" ref="O2260">WordListCount(K2260,keywords!$A$2:$A$31)-WordListCount(K2260,keywords!$B$2:$B$31)</f>
        <v>0</v>
      </c>
      <c r="P2260" s="25">
        <f t="shared" si="71"/>
        <v>0.80513888888888896</v>
      </c>
      <c r="Q2260" s="23">
        <f>SUM($O$2:O2260)</f>
        <v>64</v>
      </c>
      <c r="Y2260" s="14"/>
      <c r="Z2260" s="13"/>
      <c r="AA2260"/>
    </row>
    <row r="2261" spans="1:27" x14ac:dyDescent="0.2">
      <c r="A2261" s="12" t="s">
        <v>6864</v>
      </c>
      <c r="B2261" t="s">
        <v>6865</v>
      </c>
      <c r="C2261" t="s">
        <v>6866</v>
      </c>
      <c r="D2261" t="s">
        <v>12</v>
      </c>
      <c r="E2261" t="s">
        <v>13</v>
      </c>
      <c r="F2261">
        <v>29</v>
      </c>
      <c r="G2261">
        <v>48</v>
      </c>
      <c r="H2261" s="5" t="s">
        <v>22</v>
      </c>
      <c r="I2261" s="5">
        <v>0</v>
      </c>
      <c r="J2261" s="5">
        <v>0</v>
      </c>
      <c r="K2261" t="s">
        <v>11325</v>
      </c>
      <c r="L2261" cm="1">
        <f t="array" ref="L2261">wordCount(K2261)</f>
        <v>18</v>
      </c>
      <c r="M2261">
        <f t="shared" si="70"/>
        <v>86</v>
      </c>
      <c r="N2261">
        <v>0.4</v>
      </c>
      <c r="O2261" s="23" cm="1">
        <f t="array" ref="O2261">WordListCount(K2261,keywords!$A$2:$A$31)-WordListCount(K2261,keywords!$B$2:$B$31)</f>
        <v>0</v>
      </c>
      <c r="P2261" s="25">
        <f t="shared" si="71"/>
        <v>0.80541666666666656</v>
      </c>
      <c r="Q2261" s="23">
        <f>SUM($O$2:O2261)</f>
        <v>64</v>
      </c>
      <c r="Y2261" s="14"/>
      <c r="Z2261" s="13"/>
      <c r="AA2261"/>
    </row>
    <row r="2262" spans="1:27" x14ac:dyDescent="0.2">
      <c r="A2262" s="12" t="s">
        <v>6867</v>
      </c>
      <c r="B2262" t="s">
        <v>6868</v>
      </c>
      <c r="C2262" t="s">
        <v>2292</v>
      </c>
      <c r="D2262" t="s">
        <v>990</v>
      </c>
      <c r="E2262" t="s">
        <v>13</v>
      </c>
      <c r="F2262">
        <v>27</v>
      </c>
      <c r="G2262">
        <v>167</v>
      </c>
      <c r="H2262" s="5" t="s">
        <v>22</v>
      </c>
      <c r="I2262" s="5">
        <v>0</v>
      </c>
      <c r="J2262" s="5">
        <v>0</v>
      </c>
      <c r="K2262" t="s">
        <v>9699</v>
      </c>
      <c r="L2262" cm="1">
        <f t="array" ref="L2262">wordCount(K2262)</f>
        <v>4</v>
      </c>
      <c r="M2262">
        <f t="shared" si="70"/>
        <v>21</v>
      </c>
      <c r="N2262">
        <v>0.92592592592592593</v>
      </c>
      <c r="O2262" s="23" cm="1">
        <f t="array" ref="O2262">WordListCount(K2262,keywords!$A$2:$A$31)-WordListCount(K2262,keywords!$B$2:$B$31)</f>
        <v>0</v>
      </c>
      <c r="P2262" s="25">
        <f t="shared" si="71"/>
        <v>0.80559027777777781</v>
      </c>
      <c r="Q2262" s="23">
        <f>SUM($O$2:O2262)</f>
        <v>64</v>
      </c>
      <c r="Y2262" s="14"/>
      <c r="Z2262" s="13"/>
      <c r="AA2262"/>
    </row>
    <row r="2263" spans="1:27" x14ac:dyDescent="0.2">
      <c r="A2263" s="12" t="s">
        <v>6869</v>
      </c>
      <c r="B2263" t="s">
        <v>6870</v>
      </c>
      <c r="C2263" t="s">
        <v>6871</v>
      </c>
      <c r="D2263" t="s">
        <v>6872</v>
      </c>
      <c r="E2263" t="s">
        <v>13</v>
      </c>
      <c r="F2263">
        <v>393</v>
      </c>
      <c r="G2263">
        <v>401</v>
      </c>
      <c r="H2263" s="5" t="s">
        <v>22</v>
      </c>
      <c r="I2263" s="5">
        <v>0</v>
      </c>
      <c r="J2263" s="5">
        <v>0</v>
      </c>
      <c r="K2263" t="s">
        <v>11326</v>
      </c>
      <c r="L2263" cm="1">
        <f t="array" ref="L2263">wordCount(K2263)</f>
        <v>26</v>
      </c>
      <c r="M2263">
        <f t="shared" si="70"/>
        <v>138</v>
      </c>
      <c r="N2263">
        <v>0.41176470588235292</v>
      </c>
      <c r="O2263" s="23" cm="1">
        <f t="array" ref="O2263">WordListCount(K2263,keywords!$A$2:$A$31)-WordListCount(K2263,keywords!$B$2:$B$31)</f>
        <v>0</v>
      </c>
      <c r="P2263" s="25">
        <f t="shared" si="71"/>
        <v>0.80564814814814811</v>
      </c>
      <c r="Q2263" s="23">
        <f>SUM($O$2:O2263)</f>
        <v>64</v>
      </c>
      <c r="Y2263" s="14"/>
      <c r="Z2263" s="13"/>
      <c r="AA2263"/>
    </row>
    <row r="2264" spans="1:27" x14ac:dyDescent="0.2">
      <c r="A2264" s="12" t="s">
        <v>6873</v>
      </c>
      <c r="B2264" t="s">
        <v>6874</v>
      </c>
      <c r="C2264" t="s">
        <v>6875</v>
      </c>
      <c r="D2264" t="s">
        <v>6876</v>
      </c>
      <c r="E2264" t="s">
        <v>13</v>
      </c>
      <c r="F2264">
        <v>1037</v>
      </c>
      <c r="G2264">
        <v>381</v>
      </c>
      <c r="H2264" s="5" t="s">
        <v>22</v>
      </c>
      <c r="I2264" s="5">
        <v>0</v>
      </c>
      <c r="J2264" s="5">
        <v>0</v>
      </c>
      <c r="K2264" t="s">
        <v>11327</v>
      </c>
      <c r="L2264" cm="1">
        <f t="array" ref="L2264">wordCount(K2264)</f>
        <v>20</v>
      </c>
      <c r="M2264">
        <f t="shared" si="70"/>
        <v>95</v>
      </c>
      <c r="N2264">
        <v>0.29166666666666669</v>
      </c>
      <c r="O2264" s="23" cm="1">
        <f t="array" ref="O2264">WordListCount(K2264,keywords!$A$2:$A$31)-WordListCount(K2264,keywords!$B$2:$B$31)</f>
        <v>0</v>
      </c>
      <c r="P2264" s="25">
        <f t="shared" si="71"/>
        <v>0.80572916666666661</v>
      </c>
      <c r="Q2264" s="23">
        <f>SUM($O$2:O2264)</f>
        <v>64</v>
      </c>
      <c r="Y2264" s="14"/>
      <c r="Z2264" s="13"/>
      <c r="AA2264"/>
    </row>
    <row r="2265" spans="1:27" x14ac:dyDescent="0.2">
      <c r="A2265" s="12" t="s">
        <v>6877</v>
      </c>
      <c r="B2265" t="s">
        <v>6878</v>
      </c>
      <c r="C2265" t="s">
        <v>6879</v>
      </c>
      <c r="D2265" t="s">
        <v>12</v>
      </c>
      <c r="E2265" t="s">
        <v>13</v>
      </c>
      <c r="F2265">
        <v>19</v>
      </c>
      <c r="G2265">
        <v>57</v>
      </c>
      <c r="H2265" s="5" t="s">
        <v>22</v>
      </c>
      <c r="I2265" s="5">
        <v>0</v>
      </c>
      <c r="J2265" s="5">
        <v>0</v>
      </c>
      <c r="K2265" t="s">
        <v>9700</v>
      </c>
      <c r="L2265" cm="1">
        <f t="array" ref="L2265">wordCount(K2265)</f>
        <v>3</v>
      </c>
      <c r="M2265">
        <f t="shared" si="70"/>
        <v>18</v>
      </c>
      <c r="N2265">
        <v>0.66666666666666663</v>
      </c>
      <c r="O2265" s="23" cm="1">
        <f t="array" ref="O2265">WordListCount(K2265,keywords!$A$2:$A$31)-WordListCount(K2265,keywords!$B$2:$B$31)</f>
        <v>0</v>
      </c>
      <c r="P2265" s="25">
        <f t="shared" si="71"/>
        <v>0.80577546296296287</v>
      </c>
      <c r="Q2265" s="23">
        <f>SUM($O$2:O2265)</f>
        <v>64</v>
      </c>
      <c r="Y2265" s="14"/>
      <c r="Z2265" s="13"/>
      <c r="AA2265"/>
    </row>
    <row r="2266" spans="1:27" x14ac:dyDescent="0.2">
      <c r="A2266" s="12" t="s">
        <v>6880</v>
      </c>
      <c r="B2266" t="s">
        <v>6881</v>
      </c>
      <c r="C2266" t="s">
        <v>6882</v>
      </c>
      <c r="D2266" t="s">
        <v>12</v>
      </c>
      <c r="E2266" t="s">
        <v>13</v>
      </c>
      <c r="F2266">
        <v>52</v>
      </c>
      <c r="G2266">
        <v>114</v>
      </c>
      <c r="H2266" s="5" t="s">
        <v>22</v>
      </c>
      <c r="I2266" s="5">
        <v>0</v>
      </c>
      <c r="J2266" s="5">
        <v>0</v>
      </c>
      <c r="K2266" t="s">
        <v>9701</v>
      </c>
      <c r="L2266" cm="1">
        <f t="array" ref="L2266">wordCount(K2266)</f>
        <v>6</v>
      </c>
      <c r="M2266">
        <f t="shared" si="70"/>
        <v>31</v>
      </c>
      <c r="N2266">
        <v>0.4</v>
      </c>
      <c r="O2266" s="23" cm="1">
        <f t="array" ref="O2266">WordListCount(K2266,keywords!$A$2:$A$31)-WordListCount(K2266,keywords!$B$2:$B$31)</f>
        <v>0</v>
      </c>
      <c r="P2266" s="25">
        <f t="shared" si="71"/>
        <v>0.80635416666666659</v>
      </c>
      <c r="Q2266" s="23">
        <f>SUM($O$2:O2266)</f>
        <v>64</v>
      </c>
      <c r="Y2266" s="14"/>
      <c r="Z2266" s="13"/>
      <c r="AA2266"/>
    </row>
    <row r="2267" spans="1:27" x14ac:dyDescent="0.2">
      <c r="A2267" s="12" t="s">
        <v>6883</v>
      </c>
      <c r="B2267" t="s">
        <v>6884</v>
      </c>
      <c r="C2267" t="s">
        <v>6885</v>
      </c>
      <c r="D2267" t="s">
        <v>12</v>
      </c>
      <c r="E2267" t="s">
        <v>13</v>
      </c>
      <c r="F2267">
        <v>1317</v>
      </c>
      <c r="G2267">
        <v>171</v>
      </c>
      <c r="H2267" s="5" t="s">
        <v>22</v>
      </c>
      <c r="I2267" s="5">
        <v>0</v>
      </c>
      <c r="J2267" s="5">
        <v>0</v>
      </c>
      <c r="K2267" t="s">
        <v>11328</v>
      </c>
      <c r="L2267" cm="1">
        <f t="array" ref="L2267">wordCount(K2267)</f>
        <v>7</v>
      </c>
      <c r="M2267">
        <f t="shared" si="70"/>
        <v>40</v>
      </c>
      <c r="N2267">
        <v>0.54545454545454541</v>
      </c>
      <c r="O2267" s="23" cm="1">
        <f t="array" ref="O2267">WordListCount(K2267,keywords!$A$2:$A$31)-WordListCount(K2267,keywords!$B$2:$B$31)</f>
        <v>0</v>
      </c>
      <c r="P2267" s="25">
        <f t="shared" si="71"/>
        <v>0.80637731481481489</v>
      </c>
      <c r="Q2267" s="23">
        <f>SUM($O$2:O2267)</f>
        <v>64</v>
      </c>
      <c r="Y2267" s="14"/>
      <c r="Z2267" s="13"/>
      <c r="AA2267"/>
    </row>
    <row r="2268" spans="1:27" x14ac:dyDescent="0.2">
      <c r="A2268" s="12" t="s">
        <v>6886</v>
      </c>
      <c r="B2268" t="s">
        <v>6887</v>
      </c>
      <c r="C2268" t="s">
        <v>6888</v>
      </c>
      <c r="D2268" t="s">
        <v>5081</v>
      </c>
      <c r="E2268" t="s">
        <v>13</v>
      </c>
      <c r="F2268">
        <v>130</v>
      </c>
      <c r="G2268">
        <v>225</v>
      </c>
      <c r="H2268" s="5" t="s">
        <v>22</v>
      </c>
      <c r="I2268" s="5">
        <v>0</v>
      </c>
      <c r="J2268" s="5">
        <v>0</v>
      </c>
      <c r="K2268" t="s">
        <v>11329</v>
      </c>
      <c r="L2268" cm="1">
        <f t="array" ref="L2268">wordCount(K2268)</f>
        <v>8</v>
      </c>
      <c r="M2268">
        <f t="shared" si="70"/>
        <v>45</v>
      </c>
      <c r="N2268">
        <v>0.75</v>
      </c>
      <c r="O2268" s="23" cm="1">
        <f t="array" ref="O2268">WordListCount(K2268,keywords!$A$2:$A$31)-WordListCount(K2268,keywords!$B$2:$B$31)</f>
        <v>1</v>
      </c>
      <c r="P2268" s="25">
        <f t="shared" si="71"/>
        <v>0.80642361111111116</v>
      </c>
      <c r="Q2268" s="23">
        <f>SUM($O$2:O2268)</f>
        <v>65</v>
      </c>
      <c r="Y2268" s="14"/>
      <c r="Z2268" s="13"/>
      <c r="AA2268"/>
    </row>
    <row r="2269" spans="1:27" x14ac:dyDescent="0.2">
      <c r="A2269" s="12" t="s">
        <v>6889</v>
      </c>
      <c r="B2269" t="s">
        <v>6890</v>
      </c>
      <c r="C2269" t="s">
        <v>2478</v>
      </c>
      <c r="D2269" t="s">
        <v>2479</v>
      </c>
      <c r="E2269" t="s">
        <v>13</v>
      </c>
      <c r="F2269">
        <v>313</v>
      </c>
      <c r="G2269">
        <v>79</v>
      </c>
      <c r="H2269" s="5" t="s">
        <v>22</v>
      </c>
      <c r="I2269" s="5">
        <v>0</v>
      </c>
      <c r="J2269" s="5">
        <v>0</v>
      </c>
      <c r="K2269" t="s">
        <v>11330</v>
      </c>
      <c r="L2269" cm="1">
        <f t="array" ref="L2269">wordCount(K2269)</f>
        <v>5</v>
      </c>
      <c r="M2269">
        <f t="shared" si="70"/>
        <v>20</v>
      </c>
      <c r="N2269">
        <v>0.7142857142857143</v>
      </c>
      <c r="O2269" s="23" cm="1">
        <f t="array" ref="O2269">WordListCount(K2269,keywords!$A$2:$A$31)-WordListCount(K2269,keywords!$B$2:$B$31)</f>
        <v>0</v>
      </c>
      <c r="P2269" s="25">
        <f t="shared" si="71"/>
        <v>0.8064930555555555</v>
      </c>
      <c r="Q2269" s="23">
        <f>SUM($O$2:O2269)</f>
        <v>65</v>
      </c>
      <c r="Y2269" s="14"/>
      <c r="Z2269" s="13"/>
      <c r="AA2269"/>
    </row>
    <row r="2270" spans="1:27" x14ac:dyDescent="0.2">
      <c r="A2270" s="12" t="s">
        <v>6891</v>
      </c>
      <c r="B2270" t="s">
        <v>6892</v>
      </c>
      <c r="C2270" t="s">
        <v>6893</v>
      </c>
      <c r="D2270" t="s">
        <v>6894</v>
      </c>
      <c r="E2270" t="s">
        <v>13</v>
      </c>
      <c r="F2270">
        <v>169</v>
      </c>
      <c r="G2270">
        <v>80</v>
      </c>
      <c r="H2270" s="5" t="s">
        <v>22</v>
      </c>
      <c r="I2270" s="5">
        <v>0</v>
      </c>
      <c r="J2270" s="5">
        <v>0</v>
      </c>
      <c r="K2270" t="s">
        <v>11331</v>
      </c>
      <c r="L2270" cm="1">
        <f t="array" ref="L2270">wordCount(K2270)</f>
        <v>9</v>
      </c>
      <c r="M2270">
        <f t="shared" si="70"/>
        <v>23</v>
      </c>
      <c r="N2270">
        <v>0.95</v>
      </c>
      <c r="O2270" s="23" cm="1">
        <f t="array" ref="O2270">WordListCount(K2270,keywords!$A$2:$A$31)-WordListCount(K2270,keywords!$B$2:$B$31)</f>
        <v>1</v>
      </c>
      <c r="P2270" s="25">
        <f t="shared" si="71"/>
        <v>0.80653935185185188</v>
      </c>
      <c r="Q2270" s="23">
        <f>SUM($O$2:O2270)</f>
        <v>66</v>
      </c>
      <c r="Y2270" s="14"/>
      <c r="Z2270" s="13"/>
      <c r="AA2270"/>
    </row>
    <row r="2271" spans="1:27" x14ac:dyDescent="0.2">
      <c r="A2271" s="12" t="s">
        <v>6895</v>
      </c>
      <c r="B2271" t="s">
        <v>6896</v>
      </c>
      <c r="C2271" t="s">
        <v>6897</v>
      </c>
      <c r="D2271" t="s">
        <v>1874</v>
      </c>
      <c r="E2271" t="s">
        <v>13</v>
      </c>
      <c r="F2271">
        <v>66</v>
      </c>
      <c r="G2271">
        <v>149</v>
      </c>
      <c r="H2271" s="5" t="s">
        <v>22</v>
      </c>
      <c r="I2271" s="5">
        <v>0</v>
      </c>
      <c r="J2271" s="5">
        <v>0</v>
      </c>
      <c r="K2271" t="s">
        <v>11332</v>
      </c>
      <c r="L2271" cm="1">
        <f t="array" ref="L2271">wordCount(K2271)</f>
        <v>24</v>
      </c>
      <c r="M2271">
        <f t="shared" si="70"/>
        <v>117</v>
      </c>
      <c r="N2271">
        <v>0.30769230769230771</v>
      </c>
      <c r="O2271" s="23" cm="1">
        <f t="array" ref="O2271">WordListCount(K2271,keywords!$A$2:$A$31)-WordListCount(K2271,keywords!$B$2:$B$31)</f>
        <v>-1</v>
      </c>
      <c r="P2271" s="25">
        <f t="shared" si="71"/>
        <v>0.8068171296296297</v>
      </c>
      <c r="Q2271" s="23">
        <f>SUM($O$2:O2271)</f>
        <v>65</v>
      </c>
      <c r="Y2271" s="14"/>
      <c r="Z2271" s="13"/>
      <c r="AA2271"/>
    </row>
    <row r="2272" spans="1:27" x14ac:dyDescent="0.2">
      <c r="A2272" s="12" t="s">
        <v>6898</v>
      </c>
      <c r="B2272" t="s">
        <v>6899</v>
      </c>
      <c r="C2272" t="s">
        <v>6900</v>
      </c>
      <c r="D2272" t="s">
        <v>355</v>
      </c>
      <c r="E2272" t="s">
        <v>13</v>
      </c>
      <c r="F2272">
        <v>17232</v>
      </c>
      <c r="G2272">
        <v>176</v>
      </c>
      <c r="H2272" s="5" t="s">
        <v>59</v>
      </c>
      <c r="I2272" s="5">
        <v>0</v>
      </c>
      <c r="J2272" s="5">
        <v>0</v>
      </c>
      <c r="K2272" t="s">
        <v>11333</v>
      </c>
      <c r="L2272" cm="1">
        <f t="array" ref="L2272">wordCount(K2272)</f>
        <v>9</v>
      </c>
      <c r="M2272">
        <f t="shared" si="70"/>
        <v>33</v>
      </c>
      <c r="N2272">
        <v>0.6875</v>
      </c>
      <c r="O2272" s="23" cm="1">
        <f t="array" ref="O2272">WordListCount(K2272,keywords!$A$2:$A$31)-WordListCount(K2272,keywords!$B$2:$B$31)</f>
        <v>0</v>
      </c>
      <c r="P2272" s="25">
        <f t="shared" si="71"/>
        <v>0.80697916666666669</v>
      </c>
      <c r="Q2272" s="23">
        <f>SUM($O$2:O2272)</f>
        <v>65</v>
      </c>
      <c r="Y2272" s="14"/>
      <c r="Z2272" s="13"/>
      <c r="AA2272"/>
    </row>
    <row r="2273" spans="1:27" x14ac:dyDescent="0.2">
      <c r="A2273" s="12" t="s">
        <v>6901</v>
      </c>
      <c r="B2273" t="s">
        <v>6902</v>
      </c>
      <c r="C2273" t="s">
        <v>511</v>
      </c>
      <c r="D2273" t="s">
        <v>512</v>
      </c>
      <c r="E2273" t="s">
        <v>13</v>
      </c>
      <c r="F2273">
        <v>1898</v>
      </c>
      <c r="G2273">
        <v>540</v>
      </c>
      <c r="H2273" s="5" t="s">
        <v>22</v>
      </c>
      <c r="I2273" s="5">
        <v>0</v>
      </c>
      <c r="J2273" s="5">
        <v>0</v>
      </c>
      <c r="K2273" t="s">
        <v>9702</v>
      </c>
      <c r="L2273" cm="1">
        <f t="array" ref="L2273">wordCount(K2273)</f>
        <v>9</v>
      </c>
      <c r="M2273">
        <f t="shared" si="70"/>
        <v>45</v>
      </c>
      <c r="N2273">
        <v>0.88888888888888884</v>
      </c>
      <c r="O2273" s="23" cm="1">
        <f t="array" ref="O2273">WordListCount(K2273,keywords!$A$2:$A$31)-WordListCount(K2273,keywords!$B$2:$B$31)</f>
        <v>0</v>
      </c>
      <c r="P2273" s="25">
        <f t="shared" si="71"/>
        <v>0.80700231481481488</v>
      </c>
      <c r="Q2273" s="23">
        <f>SUM($O$2:O2273)</f>
        <v>65</v>
      </c>
      <c r="Y2273" s="14"/>
      <c r="Z2273" s="13"/>
      <c r="AA2273"/>
    </row>
    <row r="2274" spans="1:27" x14ac:dyDescent="0.2">
      <c r="A2274" s="12" t="s">
        <v>6903</v>
      </c>
      <c r="B2274" t="s">
        <v>6904</v>
      </c>
      <c r="C2274" t="s">
        <v>6905</v>
      </c>
      <c r="D2274" t="s">
        <v>6906</v>
      </c>
      <c r="E2274" t="s">
        <v>13</v>
      </c>
      <c r="F2274">
        <v>107</v>
      </c>
      <c r="G2274">
        <v>54</v>
      </c>
      <c r="H2274" s="5" t="s">
        <v>22</v>
      </c>
      <c r="I2274" s="5">
        <v>0</v>
      </c>
      <c r="J2274" s="5">
        <v>0</v>
      </c>
      <c r="K2274" t="s">
        <v>11334</v>
      </c>
      <c r="L2274" cm="1">
        <f t="array" ref="L2274">wordCount(K2274)</f>
        <v>11</v>
      </c>
      <c r="M2274">
        <f t="shared" si="70"/>
        <v>65</v>
      </c>
      <c r="N2274">
        <v>0.52380952380952384</v>
      </c>
      <c r="O2274" s="23" cm="1">
        <f t="array" ref="O2274">WordListCount(K2274,keywords!$A$2:$A$31)-WordListCount(K2274,keywords!$B$2:$B$31)</f>
        <v>0</v>
      </c>
      <c r="P2274" s="25">
        <f t="shared" si="71"/>
        <v>0.80712962962962964</v>
      </c>
      <c r="Q2274" s="23">
        <f>SUM($O$2:O2274)</f>
        <v>65</v>
      </c>
      <c r="Y2274" s="14"/>
      <c r="Z2274" s="13"/>
      <c r="AA2274"/>
    </row>
    <row r="2275" spans="1:27" x14ac:dyDescent="0.2">
      <c r="A2275" s="12" t="s">
        <v>6907</v>
      </c>
      <c r="B2275" t="s">
        <v>6908</v>
      </c>
      <c r="C2275" t="s">
        <v>6909</v>
      </c>
      <c r="D2275" t="s">
        <v>6910</v>
      </c>
      <c r="E2275" t="s">
        <v>13</v>
      </c>
      <c r="F2275">
        <v>294</v>
      </c>
      <c r="G2275">
        <v>294</v>
      </c>
      <c r="H2275" s="5" t="s">
        <v>22</v>
      </c>
      <c r="I2275" s="5">
        <v>0</v>
      </c>
      <c r="J2275" s="5">
        <v>0</v>
      </c>
      <c r="K2275" t="s">
        <v>9703</v>
      </c>
      <c r="L2275" cm="1">
        <f t="array" ref="L2275">wordCount(K2275)</f>
        <v>9</v>
      </c>
      <c r="M2275">
        <f t="shared" si="70"/>
        <v>53</v>
      </c>
      <c r="N2275">
        <v>0.53333333333333333</v>
      </c>
      <c r="O2275" s="23" cm="1">
        <f t="array" ref="O2275">WordListCount(K2275,keywords!$A$2:$A$31)-WordListCount(K2275,keywords!$B$2:$B$31)</f>
        <v>0</v>
      </c>
      <c r="P2275" s="25">
        <f t="shared" si="71"/>
        <v>0.80729166666666663</v>
      </c>
      <c r="Q2275" s="23">
        <f>SUM($O$2:O2275)</f>
        <v>65</v>
      </c>
      <c r="Y2275" s="14"/>
      <c r="Z2275" s="13"/>
      <c r="AA2275"/>
    </row>
    <row r="2276" spans="1:27" x14ac:dyDescent="0.2">
      <c r="A2276" s="12" t="s">
        <v>6911</v>
      </c>
      <c r="B2276" t="s">
        <v>6912</v>
      </c>
      <c r="C2276" t="s">
        <v>6913</v>
      </c>
      <c r="D2276" t="s">
        <v>6914</v>
      </c>
      <c r="E2276" t="s">
        <v>13</v>
      </c>
      <c r="F2276">
        <v>416</v>
      </c>
      <c r="G2276">
        <v>778</v>
      </c>
      <c r="H2276" s="5" t="s">
        <v>22</v>
      </c>
      <c r="I2276" s="5">
        <v>0</v>
      </c>
      <c r="J2276" s="5">
        <v>0</v>
      </c>
      <c r="K2276" t="s">
        <v>9704</v>
      </c>
      <c r="L2276" cm="1">
        <f t="array" ref="L2276">wordCount(K2276)</f>
        <v>12</v>
      </c>
      <c r="M2276">
        <f t="shared" si="70"/>
        <v>54</v>
      </c>
      <c r="N2276">
        <v>0.66666666666666663</v>
      </c>
      <c r="O2276" s="23" cm="1">
        <f t="array" ref="O2276">WordListCount(K2276,keywords!$A$2:$A$31)-WordListCount(K2276,keywords!$B$2:$B$31)</f>
        <v>0</v>
      </c>
      <c r="P2276" s="25">
        <f t="shared" si="71"/>
        <v>0.80733796296296301</v>
      </c>
      <c r="Q2276" s="23">
        <f>SUM($O$2:O2276)</f>
        <v>65</v>
      </c>
      <c r="Y2276" s="14"/>
      <c r="Z2276" s="13"/>
      <c r="AA2276"/>
    </row>
    <row r="2277" spans="1:27" x14ac:dyDescent="0.2">
      <c r="A2277" s="12" t="s">
        <v>6915</v>
      </c>
      <c r="B2277" t="s">
        <v>6916</v>
      </c>
      <c r="C2277" t="s">
        <v>6917</v>
      </c>
      <c r="D2277" t="s">
        <v>12</v>
      </c>
      <c r="E2277" t="s">
        <v>13</v>
      </c>
      <c r="F2277">
        <v>53</v>
      </c>
      <c r="G2277">
        <v>83</v>
      </c>
      <c r="H2277" s="5" t="s">
        <v>22</v>
      </c>
      <c r="I2277" s="5">
        <v>0</v>
      </c>
      <c r="J2277" s="5">
        <v>0</v>
      </c>
      <c r="K2277" t="s">
        <v>11335</v>
      </c>
      <c r="L2277" cm="1">
        <f t="array" ref="L2277">wordCount(K2277)</f>
        <v>7</v>
      </c>
      <c r="M2277">
        <f t="shared" si="70"/>
        <v>37</v>
      </c>
      <c r="N2277">
        <v>0.7857142857142857</v>
      </c>
      <c r="O2277" s="23" cm="1">
        <f t="array" ref="O2277">WordListCount(K2277,keywords!$A$2:$A$31)-WordListCount(K2277,keywords!$B$2:$B$31)</f>
        <v>0</v>
      </c>
      <c r="P2277" s="25">
        <f t="shared" si="71"/>
        <v>0.80755787037037041</v>
      </c>
      <c r="Q2277" s="23">
        <f>SUM($O$2:O2277)</f>
        <v>65</v>
      </c>
      <c r="Y2277" s="14"/>
      <c r="Z2277" s="13"/>
      <c r="AA2277"/>
    </row>
    <row r="2278" spans="1:27" x14ac:dyDescent="0.2">
      <c r="A2278" s="12" t="s">
        <v>6918</v>
      </c>
      <c r="B2278" t="s">
        <v>6919</v>
      </c>
      <c r="C2278" t="s">
        <v>5505</v>
      </c>
      <c r="D2278" t="s">
        <v>12</v>
      </c>
      <c r="E2278" t="s">
        <v>13</v>
      </c>
      <c r="F2278">
        <v>276</v>
      </c>
      <c r="G2278">
        <v>503</v>
      </c>
      <c r="H2278" s="5" t="s">
        <v>22</v>
      </c>
      <c r="I2278" s="5">
        <v>0</v>
      </c>
      <c r="J2278" s="5">
        <v>0</v>
      </c>
      <c r="K2278" t="s">
        <v>11336</v>
      </c>
      <c r="L2278" cm="1">
        <f t="array" ref="L2278">wordCount(K2278)</f>
        <v>3</v>
      </c>
      <c r="M2278">
        <f t="shared" si="70"/>
        <v>19</v>
      </c>
      <c r="N2278">
        <v>0.9285714285714286</v>
      </c>
      <c r="O2278" s="23" cm="1">
        <f t="array" ref="O2278">WordListCount(K2278,keywords!$A$2:$A$31)-WordListCount(K2278,keywords!$B$2:$B$31)</f>
        <v>0</v>
      </c>
      <c r="P2278" s="25">
        <f t="shared" si="71"/>
        <v>0.80800925925925926</v>
      </c>
      <c r="Q2278" s="23">
        <f>SUM($O$2:O2278)</f>
        <v>65</v>
      </c>
      <c r="Y2278" s="14"/>
      <c r="Z2278" s="13"/>
      <c r="AA2278"/>
    </row>
    <row r="2279" spans="1:27" x14ac:dyDescent="0.2">
      <c r="A2279" s="12" t="s">
        <v>6920</v>
      </c>
      <c r="B2279" t="s">
        <v>6921</v>
      </c>
      <c r="C2279" t="s">
        <v>6922</v>
      </c>
      <c r="D2279" t="s">
        <v>12</v>
      </c>
      <c r="E2279" t="s">
        <v>13</v>
      </c>
      <c r="F2279">
        <v>28</v>
      </c>
      <c r="G2279">
        <v>173</v>
      </c>
      <c r="H2279" s="5" t="s">
        <v>59</v>
      </c>
      <c r="I2279" s="5">
        <v>0</v>
      </c>
      <c r="J2279" s="5">
        <v>0</v>
      </c>
      <c r="K2279" t="s">
        <v>9705</v>
      </c>
      <c r="L2279" cm="1">
        <f t="array" ref="L2279">wordCount(K2279)</f>
        <v>3</v>
      </c>
      <c r="M2279">
        <f t="shared" si="70"/>
        <v>17</v>
      </c>
      <c r="N2279">
        <v>0.88235294117647056</v>
      </c>
      <c r="O2279" s="23" cm="1">
        <f t="array" ref="O2279">WordListCount(K2279,keywords!$A$2:$A$31)-WordListCount(K2279,keywords!$B$2:$B$31)</f>
        <v>0</v>
      </c>
      <c r="P2279" s="25">
        <f t="shared" si="71"/>
        <v>0.80804398148148149</v>
      </c>
      <c r="Q2279" s="23">
        <f>SUM($O$2:O2279)</f>
        <v>65</v>
      </c>
      <c r="Y2279" s="14"/>
      <c r="Z2279" s="13"/>
      <c r="AA2279"/>
    </row>
    <row r="2280" spans="1:27" x14ac:dyDescent="0.2">
      <c r="A2280" s="12" t="s">
        <v>6923</v>
      </c>
      <c r="B2280" t="s">
        <v>6924</v>
      </c>
      <c r="C2280" t="s">
        <v>6925</v>
      </c>
      <c r="D2280" t="s">
        <v>6926</v>
      </c>
      <c r="E2280" t="s">
        <v>13</v>
      </c>
      <c r="F2280">
        <v>13</v>
      </c>
      <c r="G2280">
        <v>53</v>
      </c>
      <c r="H2280" s="5" t="s">
        <v>22</v>
      </c>
      <c r="I2280" s="5">
        <v>0</v>
      </c>
      <c r="J2280" s="5">
        <v>0</v>
      </c>
      <c r="K2280" t="s">
        <v>11337</v>
      </c>
      <c r="L2280" cm="1">
        <f t="array" ref="L2280">wordCount(K2280)</f>
        <v>12</v>
      </c>
      <c r="M2280">
        <f t="shared" si="70"/>
        <v>58</v>
      </c>
      <c r="N2280">
        <v>0.62068965517241381</v>
      </c>
      <c r="O2280" s="23" cm="1">
        <f t="array" ref="O2280">WordListCount(K2280,keywords!$A$2:$A$31)-WordListCount(K2280,keywords!$B$2:$B$31)</f>
        <v>0</v>
      </c>
      <c r="P2280" s="25">
        <f t="shared" si="71"/>
        <v>0.80806712962962957</v>
      </c>
      <c r="Q2280" s="23">
        <f>SUM($O$2:O2280)</f>
        <v>65</v>
      </c>
      <c r="Y2280" s="14"/>
      <c r="Z2280" s="13"/>
      <c r="AA2280"/>
    </row>
    <row r="2281" spans="1:27" x14ac:dyDescent="0.2">
      <c r="A2281" s="12" t="s">
        <v>6927</v>
      </c>
      <c r="B2281" t="s">
        <v>6928</v>
      </c>
      <c r="C2281" t="s">
        <v>6929</v>
      </c>
      <c r="D2281" t="s">
        <v>12</v>
      </c>
      <c r="E2281" t="s">
        <v>13</v>
      </c>
      <c r="F2281">
        <v>3505</v>
      </c>
      <c r="G2281">
        <v>67</v>
      </c>
      <c r="H2281" s="5" t="s">
        <v>22</v>
      </c>
      <c r="I2281" s="5">
        <v>0</v>
      </c>
      <c r="J2281" s="5">
        <v>0</v>
      </c>
      <c r="K2281" t="s">
        <v>11338</v>
      </c>
      <c r="L2281" cm="1">
        <f t="array" ref="L2281">wordCount(K2281)</f>
        <v>15</v>
      </c>
      <c r="M2281">
        <f t="shared" si="70"/>
        <v>49</v>
      </c>
      <c r="N2281">
        <v>0.91666666666666663</v>
      </c>
      <c r="O2281" s="23" cm="1">
        <f t="array" ref="O2281">WordListCount(K2281,keywords!$A$2:$A$31)-WordListCount(K2281,keywords!$B$2:$B$31)</f>
        <v>0</v>
      </c>
      <c r="P2281" s="25">
        <f t="shared" si="71"/>
        <v>0.80812499999999998</v>
      </c>
      <c r="Q2281" s="23">
        <f>SUM($O$2:O2281)</f>
        <v>65</v>
      </c>
      <c r="Y2281" s="14"/>
      <c r="Z2281" s="13"/>
      <c r="AA2281"/>
    </row>
    <row r="2282" spans="1:27" x14ac:dyDescent="0.2">
      <c r="A2282" s="12" t="s">
        <v>6930</v>
      </c>
      <c r="B2282" t="s">
        <v>6931</v>
      </c>
      <c r="C2282" t="s">
        <v>6932</v>
      </c>
      <c r="D2282" t="s">
        <v>12</v>
      </c>
      <c r="E2282" t="s">
        <v>13</v>
      </c>
      <c r="F2282">
        <v>82</v>
      </c>
      <c r="G2282">
        <v>569</v>
      </c>
      <c r="H2282" s="5" t="s">
        <v>22</v>
      </c>
      <c r="I2282" s="5">
        <v>0</v>
      </c>
      <c r="J2282" s="5">
        <v>0</v>
      </c>
      <c r="K2282" t="s">
        <v>11339</v>
      </c>
      <c r="L2282" cm="1">
        <f t="array" ref="L2282">wordCount(K2282)</f>
        <v>9</v>
      </c>
      <c r="M2282">
        <f t="shared" si="70"/>
        <v>67</v>
      </c>
      <c r="N2282">
        <v>0.72</v>
      </c>
      <c r="O2282" s="23" cm="1">
        <f t="array" ref="O2282">WordListCount(K2282,keywords!$A$2:$A$31)-WordListCount(K2282,keywords!$B$2:$B$31)</f>
        <v>0</v>
      </c>
      <c r="P2282" s="25">
        <f t="shared" si="71"/>
        <v>0.80837962962962961</v>
      </c>
      <c r="Q2282" s="23">
        <f>SUM($O$2:O2282)</f>
        <v>65</v>
      </c>
      <c r="Y2282" s="14"/>
      <c r="Z2282" s="13"/>
      <c r="AA2282"/>
    </row>
    <row r="2283" spans="1:27" x14ac:dyDescent="0.2">
      <c r="A2283" s="12" t="s">
        <v>6933</v>
      </c>
      <c r="B2283" t="s">
        <v>6934</v>
      </c>
      <c r="C2283" t="s">
        <v>6935</v>
      </c>
      <c r="D2283" t="s">
        <v>6936</v>
      </c>
      <c r="E2283" t="s">
        <v>13</v>
      </c>
      <c r="F2283">
        <v>248</v>
      </c>
      <c r="G2283">
        <v>48</v>
      </c>
      <c r="H2283" s="5" t="s">
        <v>22</v>
      </c>
      <c r="I2283" s="5">
        <v>0</v>
      </c>
      <c r="J2283" s="5">
        <v>0</v>
      </c>
      <c r="K2283" t="s">
        <v>11340</v>
      </c>
      <c r="L2283" cm="1">
        <f t="array" ref="L2283">wordCount(K2283)</f>
        <v>14</v>
      </c>
      <c r="M2283">
        <f t="shared" si="70"/>
        <v>74</v>
      </c>
      <c r="N2283">
        <v>0.3888888888888889</v>
      </c>
      <c r="O2283" s="23" cm="1">
        <f t="array" ref="O2283">WordListCount(K2283,keywords!$A$2:$A$31)-WordListCount(K2283,keywords!$B$2:$B$31)</f>
        <v>0</v>
      </c>
      <c r="P2283" s="25">
        <f t="shared" si="71"/>
        <v>0.80849537037037045</v>
      </c>
      <c r="Q2283" s="23">
        <f>SUM($O$2:O2283)</f>
        <v>65</v>
      </c>
      <c r="Y2283" s="14"/>
      <c r="Z2283" s="13"/>
      <c r="AA2283"/>
    </row>
    <row r="2284" spans="1:27" x14ac:dyDescent="0.2">
      <c r="A2284" s="12" t="s">
        <v>6937</v>
      </c>
      <c r="B2284" t="s">
        <v>6938</v>
      </c>
      <c r="C2284" t="s">
        <v>6939</v>
      </c>
      <c r="D2284" t="s">
        <v>6940</v>
      </c>
      <c r="E2284" t="s">
        <v>13</v>
      </c>
      <c r="F2284">
        <v>122</v>
      </c>
      <c r="G2284">
        <v>82</v>
      </c>
      <c r="H2284" s="5" t="s">
        <v>22</v>
      </c>
      <c r="I2284" s="5">
        <v>0</v>
      </c>
      <c r="J2284" s="5">
        <v>0</v>
      </c>
      <c r="K2284" t="s">
        <v>11341</v>
      </c>
      <c r="L2284" cm="1">
        <f t="array" ref="L2284">wordCount(K2284)</f>
        <v>10</v>
      </c>
      <c r="M2284">
        <f t="shared" si="70"/>
        <v>48</v>
      </c>
      <c r="N2284">
        <v>0.59090909090909094</v>
      </c>
      <c r="O2284" s="23" cm="1">
        <f t="array" ref="O2284">WordListCount(K2284,keywords!$A$2:$A$31)-WordListCount(K2284,keywords!$B$2:$B$31)</f>
        <v>0</v>
      </c>
      <c r="P2284" s="25">
        <f t="shared" si="71"/>
        <v>0.80850694444444438</v>
      </c>
      <c r="Q2284" s="23">
        <f>SUM($O$2:O2284)</f>
        <v>65</v>
      </c>
      <c r="Y2284" s="14"/>
      <c r="Z2284" s="13"/>
      <c r="AA2284"/>
    </row>
    <row r="2285" spans="1:27" x14ac:dyDescent="0.2">
      <c r="A2285" s="12" t="s">
        <v>6941</v>
      </c>
      <c r="B2285" t="s">
        <v>6942</v>
      </c>
      <c r="C2285" t="s">
        <v>6943</v>
      </c>
      <c r="D2285" t="s">
        <v>6944</v>
      </c>
      <c r="E2285" t="s">
        <v>13</v>
      </c>
      <c r="F2285">
        <v>566</v>
      </c>
      <c r="G2285">
        <v>1347</v>
      </c>
      <c r="H2285" s="5" t="s">
        <v>22</v>
      </c>
      <c r="I2285" s="5">
        <v>0</v>
      </c>
      <c r="J2285" s="5">
        <v>0</v>
      </c>
      <c r="K2285" t="s">
        <v>11342</v>
      </c>
      <c r="L2285" cm="1">
        <f t="array" ref="L2285">wordCount(K2285)</f>
        <v>8</v>
      </c>
      <c r="M2285">
        <f t="shared" si="70"/>
        <v>51</v>
      </c>
      <c r="N2285">
        <v>0.45454545454545453</v>
      </c>
      <c r="O2285" s="23" cm="1">
        <f t="array" ref="O2285">WordListCount(K2285,keywords!$A$2:$A$31)-WordListCount(K2285,keywords!$B$2:$B$31)</f>
        <v>0</v>
      </c>
      <c r="P2285" s="25">
        <f t="shared" si="71"/>
        <v>0.80877314814814805</v>
      </c>
      <c r="Q2285" s="23">
        <f>SUM($O$2:O2285)</f>
        <v>65</v>
      </c>
      <c r="Y2285" s="14"/>
      <c r="Z2285" s="13"/>
      <c r="AA2285"/>
    </row>
    <row r="2286" spans="1:27" x14ac:dyDescent="0.2">
      <c r="A2286" s="12" t="s">
        <v>6945</v>
      </c>
      <c r="B2286" t="s">
        <v>6946</v>
      </c>
      <c r="C2286" t="s">
        <v>6947</v>
      </c>
      <c r="D2286" t="s">
        <v>6948</v>
      </c>
      <c r="E2286" t="s">
        <v>13</v>
      </c>
      <c r="F2286">
        <v>2484</v>
      </c>
      <c r="G2286">
        <v>801</v>
      </c>
      <c r="H2286" s="5" t="s">
        <v>22</v>
      </c>
      <c r="I2286" s="5">
        <v>0</v>
      </c>
      <c r="J2286" s="5">
        <v>0</v>
      </c>
      <c r="K2286" t="s">
        <v>11343</v>
      </c>
      <c r="L2286" cm="1">
        <f t="array" ref="L2286">wordCount(K2286)</f>
        <v>15</v>
      </c>
      <c r="M2286">
        <f t="shared" si="70"/>
        <v>85</v>
      </c>
      <c r="N2286">
        <v>0.33333333333333331</v>
      </c>
      <c r="O2286" s="23" cm="1">
        <f t="array" ref="O2286">WordListCount(K2286,keywords!$A$2:$A$31)-WordListCount(K2286,keywords!$B$2:$B$31)</f>
        <v>0</v>
      </c>
      <c r="P2286" s="25">
        <f t="shared" si="71"/>
        <v>0.80884259259259261</v>
      </c>
      <c r="Q2286" s="23">
        <f>SUM($O$2:O2286)</f>
        <v>65</v>
      </c>
      <c r="Y2286" s="14"/>
      <c r="Z2286" s="13"/>
      <c r="AA2286"/>
    </row>
    <row r="2287" spans="1:27" x14ac:dyDescent="0.2">
      <c r="A2287" s="12" t="s">
        <v>6949</v>
      </c>
      <c r="B2287" t="s">
        <v>6950</v>
      </c>
      <c r="C2287" t="s">
        <v>6951</v>
      </c>
      <c r="D2287" t="s">
        <v>12</v>
      </c>
      <c r="E2287" t="s">
        <v>13</v>
      </c>
      <c r="F2287">
        <v>218</v>
      </c>
      <c r="G2287">
        <v>606</v>
      </c>
      <c r="H2287" s="5" t="s">
        <v>22</v>
      </c>
      <c r="I2287" s="5">
        <v>0</v>
      </c>
      <c r="J2287" s="5">
        <v>0</v>
      </c>
      <c r="K2287" t="s">
        <v>9706</v>
      </c>
      <c r="L2287" cm="1">
        <f t="array" ref="L2287">wordCount(K2287)</f>
        <v>6</v>
      </c>
      <c r="M2287">
        <f t="shared" si="70"/>
        <v>33</v>
      </c>
      <c r="N2287">
        <v>0.66666666666666663</v>
      </c>
      <c r="O2287" s="23" cm="1">
        <f t="array" ref="O2287">WordListCount(K2287,keywords!$A$2:$A$31)-WordListCount(K2287,keywords!$B$2:$B$31)</f>
        <v>0</v>
      </c>
      <c r="P2287" s="25">
        <f t="shared" si="71"/>
        <v>0.80902777777777779</v>
      </c>
      <c r="Q2287" s="23">
        <f>SUM($O$2:O2287)</f>
        <v>65</v>
      </c>
      <c r="Y2287" s="14"/>
      <c r="Z2287" s="13"/>
      <c r="AA2287"/>
    </row>
    <row r="2288" spans="1:27" x14ac:dyDescent="0.2">
      <c r="A2288" s="12" t="s">
        <v>6952</v>
      </c>
      <c r="B2288" t="s">
        <v>6953</v>
      </c>
      <c r="C2288" t="s">
        <v>6954</v>
      </c>
      <c r="D2288" t="s">
        <v>12</v>
      </c>
      <c r="E2288" t="s">
        <v>13</v>
      </c>
      <c r="F2288">
        <v>243</v>
      </c>
      <c r="G2288">
        <v>297</v>
      </c>
      <c r="H2288" s="5" t="s">
        <v>22</v>
      </c>
      <c r="I2288" s="5">
        <v>0</v>
      </c>
      <c r="J2288" s="5">
        <v>0</v>
      </c>
      <c r="K2288" t="s">
        <v>9707</v>
      </c>
      <c r="L2288" cm="1">
        <f t="array" ref="L2288">wordCount(K2288)</f>
        <v>19</v>
      </c>
      <c r="M2288">
        <f t="shared" si="70"/>
        <v>111</v>
      </c>
      <c r="N2288">
        <v>0.44444444444444442</v>
      </c>
      <c r="O2288" s="23" cm="1">
        <f t="array" ref="O2288">WordListCount(K2288,keywords!$A$2:$A$31)-WordListCount(K2288,keywords!$B$2:$B$31)</f>
        <v>1</v>
      </c>
      <c r="P2288" s="25">
        <f t="shared" si="71"/>
        <v>0.80923611111111116</v>
      </c>
      <c r="Q2288" s="23">
        <f>SUM($O$2:O2288)</f>
        <v>66</v>
      </c>
      <c r="Y2288" s="14"/>
      <c r="Z2288" s="13"/>
      <c r="AA2288"/>
    </row>
    <row r="2289" spans="1:27" x14ac:dyDescent="0.2">
      <c r="A2289" s="12" t="s">
        <v>6955</v>
      </c>
      <c r="B2289" t="s">
        <v>6956</v>
      </c>
      <c r="C2289" t="s">
        <v>6957</v>
      </c>
      <c r="D2289" t="s">
        <v>2814</v>
      </c>
      <c r="E2289" t="s">
        <v>13</v>
      </c>
      <c r="F2289">
        <v>243</v>
      </c>
      <c r="G2289">
        <v>341</v>
      </c>
      <c r="H2289" s="5" t="s">
        <v>22</v>
      </c>
      <c r="I2289" s="5">
        <v>0</v>
      </c>
      <c r="J2289" s="5">
        <v>0</v>
      </c>
      <c r="K2289" t="s">
        <v>11344</v>
      </c>
      <c r="L2289" cm="1">
        <f t="array" ref="L2289">wordCount(K2289)</f>
        <v>14</v>
      </c>
      <c r="M2289">
        <f t="shared" si="70"/>
        <v>74</v>
      </c>
      <c r="N2289">
        <v>0.3888888888888889</v>
      </c>
      <c r="O2289" s="23" cm="1">
        <f t="array" ref="O2289">WordListCount(K2289,keywords!$A$2:$A$31)-WordListCount(K2289,keywords!$B$2:$B$31)</f>
        <v>0</v>
      </c>
      <c r="P2289" s="25">
        <f t="shared" si="71"/>
        <v>0.80935185185185177</v>
      </c>
      <c r="Q2289" s="23">
        <f>SUM($O$2:O2289)</f>
        <v>66</v>
      </c>
      <c r="Y2289" s="14"/>
      <c r="Z2289" s="13"/>
      <c r="AA2289"/>
    </row>
    <row r="2290" spans="1:27" x14ac:dyDescent="0.2">
      <c r="A2290" s="12" t="s">
        <v>6958</v>
      </c>
      <c r="B2290" t="s">
        <v>6959</v>
      </c>
      <c r="C2290" t="s">
        <v>6960</v>
      </c>
      <c r="D2290" t="s">
        <v>6961</v>
      </c>
      <c r="E2290" t="s">
        <v>13</v>
      </c>
      <c r="F2290">
        <v>91</v>
      </c>
      <c r="G2290">
        <v>129</v>
      </c>
      <c r="H2290" s="5" t="s">
        <v>22</v>
      </c>
      <c r="I2290" s="5">
        <v>0</v>
      </c>
      <c r="J2290" s="5">
        <v>0</v>
      </c>
      <c r="K2290" t="s">
        <v>9708</v>
      </c>
      <c r="L2290" cm="1">
        <f t="array" ref="L2290">wordCount(K2290)</f>
        <v>8</v>
      </c>
      <c r="M2290">
        <f t="shared" si="70"/>
        <v>39</v>
      </c>
      <c r="N2290">
        <v>0.4</v>
      </c>
      <c r="O2290" s="23" cm="1">
        <f t="array" ref="O2290">WordListCount(K2290,keywords!$A$2:$A$31)-WordListCount(K2290,keywords!$B$2:$B$31)</f>
        <v>-1</v>
      </c>
      <c r="P2290" s="25">
        <f t="shared" si="71"/>
        <v>0.80952546296296291</v>
      </c>
      <c r="Q2290" s="23">
        <f>SUM($O$2:O2290)</f>
        <v>65</v>
      </c>
      <c r="Y2290" s="14"/>
      <c r="Z2290" s="13"/>
      <c r="AA2290"/>
    </row>
    <row r="2291" spans="1:27" x14ac:dyDescent="0.2">
      <c r="A2291" s="12" t="s">
        <v>6962</v>
      </c>
      <c r="B2291" t="s">
        <v>6963</v>
      </c>
      <c r="C2291" t="s">
        <v>6929</v>
      </c>
      <c r="D2291" t="s">
        <v>12</v>
      </c>
      <c r="E2291" t="s">
        <v>13</v>
      </c>
      <c r="F2291">
        <v>3505</v>
      </c>
      <c r="G2291">
        <v>67</v>
      </c>
      <c r="H2291" s="5" t="s">
        <v>22</v>
      </c>
      <c r="I2291" s="5">
        <v>0</v>
      </c>
      <c r="J2291" s="5">
        <v>0</v>
      </c>
      <c r="K2291" t="s">
        <v>11345</v>
      </c>
      <c r="L2291" cm="1">
        <f t="array" ref="L2291">wordCount(K2291)</f>
        <v>16</v>
      </c>
      <c r="M2291">
        <f t="shared" si="70"/>
        <v>51</v>
      </c>
      <c r="N2291">
        <v>0.375</v>
      </c>
      <c r="O2291" s="23" cm="1">
        <f t="array" ref="O2291">WordListCount(K2291,keywords!$A$2:$A$31)-WordListCount(K2291,keywords!$B$2:$B$31)</f>
        <v>0</v>
      </c>
      <c r="P2291" s="25">
        <f t="shared" si="71"/>
        <v>0.80979166666666658</v>
      </c>
      <c r="Q2291" s="23">
        <f>SUM($O$2:O2291)</f>
        <v>65</v>
      </c>
      <c r="Y2291" s="14"/>
      <c r="Z2291" s="13"/>
      <c r="AA2291"/>
    </row>
    <row r="2292" spans="1:27" x14ac:dyDescent="0.2">
      <c r="A2292" s="12" t="s">
        <v>6964</v>
      </c>
      <c r="B2292" t="s">
        <v>6965</v>
      </c>
      <c r="C2292" t="s">
        <v>6966</v>
      </c>
      <c r="D2292" t="s">
        <v>6967</v>
      </c>
      <c r="E2292" t="s">
        <v>13</v>
      </c>
      <c r="F2292">
        <v>243</v>
      </c>
      <c r="G2292">
        <v>235</v>
      </c>
      <c r="H2292" s="5" t="s">
        <v>22</v>
      </c>
      <c r="I2292" s="5">
        <v>0</v>
      </c>
      <c r="J2292" s="5">
        <v>0</v>
      </c>
      <c r="K2292" t="s">
        <v>9709</v>
      </c>
      <c r="L2292" cm="1">
        <f t="array" ref="L2292">wordCount(K2292)</f>
        <v>4</v>
      </c>
      <c r="M2292">
        <f t="shared" si="70"/>
        <v>15</v>
      </c>
      <c r="N2292">
        <v>0.81818181818181823</v>
      </c>
      <c r="O2292" s="23" cm="1">
        <f t="array" ref="O2292">WordListCount(K2292,keywords!$A$2:$A$31)-WordListCount(K2292,keywords!$B$2:$B$31)</f>
        <v>0</v>
      </c>
      <c r="P2292" s="25">
        <f t="shared" si="71"/>
        <v>0.80981481481481488</v>
      </c>
      <c r="Q2292" s="23">
        <f>SUM($O$2:O2292)</f>
        <v>65</v>
      </c>
      <c r="Y2292" s="14"/>
      <c r="Z2292" s="13"/>
      <c r="AA2292"/>
    </row>
    <row r="2293" spans="1:27" x14ac:dyDescent="0.2">
      <c r="A2293" s="12" t="s">
        <v>6968</v>
      </c>
      <c r="B2293" t="s">
        <v>6969</v>
      </c>
      <c r="C2293" t="s">
        <v>6970</v>
      </c>
      <c r="D2293" t="s">
        <v>594</v>
      </c>
      <c r="E2293" t="s">
        <v>13</v>
      </c>
      <c r="F2293">
        <v>38</v>
      </c>
      <c r="G2293">
        <v>23</v>
      </c>
      <c r="H2293" s="5" t="s">
        <v>22</v>
      </c>
      <c r="I2293" s="5">
        <v>0</v>
      </c>
      <c r="J2293" s="5">
        <v>0</v>
      </c>
      <c r="K2293" t="s">
        <v>11346</v>
      </c>
      <c r="L2293" cm="1">
        <f t="array" ref="L2293">wordCount(K2293)</f>
        <v>7</v>
      </c>
      <c r="M2293">
        <f t="shared" si="70"/>
        <v>27</v>
      </c>
      <c r="N2293">
        <v>0.6428571428571429</v>
      </c>
      <c r="O2293" s="23" cm="1">
        <f t="array" ref="O2293">WordListCount(K2293,keywords!$A$2:$A$31)-WordListCount(K2293,keywords!$B$2:$B$31)</f>
        <v>0</v>
      </c>
      <c r="P2293" s="25">
        <f t="shared" si="71"/>
        <v>0.80987268518518529</v>
      </c>
      <c r="Q2293" s="23">
        <f>SUM($O$2:O2293)</f>
        <v>65</v>
      </c>
      <c r="Y2293" s="14"/>
      <c r="Z2293" s="13"/>
      <c r="AA2293"/>
    </row>
    <row r="2294" spans="1:27" x14ac:dyDescent="0.2">
      <c r="A2294" s="12" t="s">
        <v>6971</v>
      </c>
      <c r="B2294" t="s">
        <v>6972</v>
      </c>
      <c r="C2294" t="s">
        <v>6973</v>
      </c>
      <c r="D2294" t="s">
        <v>12</v>
      </c>
      <c r="E2294" t="s">
        <v>13</v>
      </c>
      <c r="F2294">
        <v>1645</v>
      </c>
      <c r="G2294">
        <v>1190</v>
      </c>
      <c r="H2294" s="5" t="s">
        <v>22</v>
      </c>
      <c r="I2294" s="5">
        <v>0</v>
      </c>
      <c r="J2294" s="5">
        <v>0</v>
      </c>
      <c r="K2294" t="s">
        <v>11347</v>
      </c>
      <c r="L2294" cm="1">
        <f t="array" ref="L2294">wordCount(K2294)</f>
        <v>19</v>
      </c>
      <c r="M2294">
        <f t="shared" si="70"/>
        <v>86</v>
      </c>
      <c r="N2294">
        <v>0.53846153846153844</v>
      </c>
      <c r="O2294" s="23" cm="1">
        <f t="array" ref="O2294">WordListCount(K2294,keywords!$A$2:$A$31)-WordListCount(K2294,keywords!$B$2:$B$31)</f>
        <v>0</v>
      </c>
      <c r="P2294" s="25">
        <f t="shared" si="71"/>
        <v>0.80990740740740741</v>
      </c>
      <c r="Q2294" s="23">
        <f>SUM($O$2:O2294)</f>
        <v>65</v>
      </c>
      <c r="Y2294" s="14"/>
      <c r="Z2294" s="13"/>
      <c r="AA2294"/>
    </row>
    <row r="2295" spans="1:27" x14ac:dyDescent="0.2">
      <c r="A2295" s="12" t="s">
        <v>6974</v>
      </c>
      <c r="B2295" t="s">
        <v>6975</v>
      </c>
      <c r="C2295" t="s">
        <v>6976</v>
      </c>
      <c r="D2295" t="s">
        <v>6977</v>
      </c>
      <c r="E2295" t="s">
        <v>13</v>
      </c>
      <c r="F2295">
        <v>212</v>
      </c>
      <c r="G2295">
        <v>798</v>
      </c>
      <c r="H2295" s="5" t="s">
        <v>22</v>
      </c>
      <c r="I2295" s="5">
        <v>0</v>
      </c>
      <c r="J2295" s="5">
        <v>0</v>
      </c>
      <c r="K2295" t="s">
        <v>11348</v>
      </c>
      <c r="L2295" cm="1">
        <f t="array" ref="L2295">wordCount(K2295)</f>
        <v>10</v>
      </c>
      <c r="M2295">
        <f t="shared" si="70"/>
        <v>68</v>
      </c>
      <c r="N2295">
        <v>0.52380952380952384</v>
      </c>
      <c r="O2295" s="23" cm="1">
        <f t="array" ref="O2295">WordListCount(K2295,keywords!$A$2:$A$31)-WordListCount(K2295,keywords!$B$2:$B$31)</f>
        <v>0</v>
      </c>
      <c r="P2295" s="25">
        <f t="shared" si="71"/>
        <v>0.8102893518518518</v>
      </c>
      <c r="Q2295" s="23">
        <f>SUM($O$2:O2295)</f>
        <v>65</v>
      </c>
      <c r="Y2295" s="14"/>
      <c r="Z2295" s="13"/>
      <c r="AA2295"/>
    </row>
    <row r="2296" spans="1:27" x14ac:dyDescent="0.2">
      <c r="A2296" s="12" t="s">
        <v>6978</v>
      </c>
      <c r="B2296" t="s">
        <v>6979</v>
      </c>
      <c r="C2296" t="s">
        <v>6980</v>
      </c>
      <c r="D2296" t="s">
        <v>1091</v>
      </c>
      <c r="E2296" t="s">
        <v>13</v>
      </c>
      <c r="F2296">
        <v>296</v>
      </c>
      <c r="G2296">
        <v>202</v>
      </c>
      <c r="H2296" s="5" t="s">
        <v>22</v>
      </c>
      <c r="I2296" s="5">
        <v>0</v>
      </c>
      <c r="J2296" s="5">
        <v>0</v>
      </c>
      <c r="K2296" t="s">
        <v>9710</v>
      </c>
      <c r="L2296" cm="1">
        <f t="array" ref="L2296">wordCount(K2296)</f>
        <v>12</v>
      </c>
      <c r="M2296">
        <f t="shared" si="70"/>
        <v>60</v>
      </c>
      <c r="N2296">
        <v>0.73076923076923073</v>
      </c>
      <c r="O2296" s="23" cm="1">
        <f t="array" ref="O2296">WordListCount(K2296,keywords!$A$2:$A$31)-WordListCount(K2296,keywords!$B$2:$B$31)</f>
        <v>0</v>
      </c>
      <c r="P2296" s="25">
        <f t="shared" si="71"/>
        <v>0.81034722222222222</v>
      </c>
      <c r="Q2296" s="23">
        <f>SUM($O$2:O2296)</f>
        <v>65</v>
      </c>
      <c r="Y2296" s="14"/>
      <c r="Z2296" s="13"/>
      <c r="AA2296"/>
    </row>
    <row r="2297" spans="1:27" x14ac:dyDescent="0.2">
      <c r="A2297" s="12" t="s">
        <v>6981</v>
      </c>
      <c r="B2297" t="s">
        <v>6982</v>
      </c>
      <c r="C2297" t="s">
        <v>6983</v>
      </c>
      <c r="D2297" t="s">
        <v>6984</v>
      </c>
      <c r="E2297" t="s">
        <v>13</v>
      </c>
      <c r="F2297">
        <v>58</v>
      </c>
      <c r="G2297">
        <v>32</v>
      </c>
      <c r="H2297" s="5" t="s">
        <v>22</v>
      </c>
      <c r="I2297" s="5">
        <v>0</v>
      </c>
      <c r="J2297" s="5">
        <v>0</v>
      </c>
      <c r="K2297" t="s">
        <v>9711</v>
      </c>
      <c r="L2297" cm="1">
        <f t="array" ref="L2297">wordCount(K2297)</f>
        <v>5</v>
      </c>
      <c r="M2297">
        <f t="shared" si="70"/>
        <v>24</v>
      </c>
      <c r="N2297">
        <v>0.84615384615384615</v>
      </c>
      <c r="O2297" s="23" cm="1">
        <f t="array" ref="O2297">WordListCount(K2297,keywords!$A$2:$A$31)-WordListCount(K2297,keywords!$B$2:$B$31)</f>
        <v>0</v>
      </c>
      <c r="P2297" s="25">
        <f t="shared" si="71"/>
        <v>0.81057870370370377</v>
      </c>
      <c r="Q2297" s="23">
        <f>SUM($O$2:O2297)</f>
        <v>65</v>
      </c>
      <c r="Y2297" s="14"/>
      <c r="Z2297" s="13"/>
      <c r="AA2297"/>
    </row>
    <row r="2298" spans="1:27" x14ac:dyDescent="0.2">
      <c r="A2298" s="12" t="s">
        <v>6985</v>
      </c>
      <c r="B2298" t="s">
        <v>6986</v>
      </c>
      <c r="C2298" t="s">
        <v>6987</v>
      </c>
      <c r="D2298" t="s">
        <v>12</v>
      </c>
      <c r="E2298" t="s">
        <v>13</v>
      </c>
      <c r="F2298">
        <v>47</v>
      </c>
      <c r="G2298">
        <v>50</v>
      </c>
      <c r="H2298" s="5" t="s">
        <v>22</v>
      </c>
      <c r="I2298" s="5">
        <v>0</v>
      </c>
      <c r="J2298" s="5">
        <v>0</v>
      </c>
      <c r="K2298" t="s">
        <v>9712</v>
      </c>
      <c r="L2298" cm="1">
        <f t="array" ref="L2298">wordCount(K2298)</f>
        <v>6</v>
      </c>
      <c r="M2298">
        <f t="shared" si="70"/>
        <v>28</v>
      </c>
      <c r="N2298">
        <v>0.91666666666666663</v>
      </c>
      <c r="O2298" s="23" cm="1">
        <f t="array" ref="O2298">WordListCount(K2298,keywords!$A$2:$A$31)-WordListCount(K2298,keywords!$B$2:$B$31)</f>
        <v>0</v>
      </c>
      <c r="P2298" s="25">
        <f t="shared" si="71"/>
        <v>0.81070601851851853</v>
      </c>
      <c r="Q2298" s="23">
        <f>SUM($O$2:O2298)</f>
        <v>65</v>
      </c>
      <c r="Y2298" s="14"/>
      <c r="Z2298" s="13"/>
      <c r="AA2298"/>
    </row>
    <row r="2299" spans="1:27" x14ac:dyDescent="0.2">
      <c r="A2299" s="12" t="s">
        <v>6988</v>
      </c>
      <c r="B2299" t="s">
        <v>6989</v>
      </c>
      <c r="C2299" t="s">
        <v>6990</v>
      </c>
      <c r="D2299" t="s">
        <v>6991</v>
      </c>
      <c r="E2299" t="s">
        <v>13</v>
      </c>
      <c r="F2299">
        <v>627</v>
      </c>
      <c r="G2299">
        <v>674</v>
      </c>
      <c r="H2299" s="5" t="s">
        <v>22</v>
      </c>
      <c r="I2299" s="5">
        <v>0</v>
      </c>
      <c r="J2299" s="5">
        <v>0</v>
      </c>
      <c r="K2299" t="s">
        <v>11349</v>
      </c>
      <c r="L2299" cm="1">
        <f t="array" ref="L2299">wordCount(K2299)</f>
        <v>18</v>
      </c>
      <c r="M2299">
        <f t="shared" si="70"/>
        <v>92</v>
      </c>
      <c r="N2299">
        <v>0.52380952380952384</v>
      </c>
      <c r="O2299" s="23" cm="1">
        <f t="array" ref="O2299">WordListCount(K2299,keywords!$A$2:$A$31)-WordListCount(K2299,keywords!$B$2:$B$31)</f>
        <v>0</v>
      </c>
      <c r="P2299" s="25">
        <f t="shared" si="71"/>
        <v>0.81082175925925926</v>
      </c>
      <c r="Q2299" s="23">
        <f>SUM($O$2:O2299)</f>
        <v>65</v>
      </c>
      <c r="Y2299" s="14"/>
      <c r="Z2299" s="13"/>
      <c r="AA2299"/>
    </row>
    <row r="2300" spans="1:27" x14ac:dyDescent="0.2">
      <c r="A2300" s="12" t="s">
        <v>6992</v>
      </c>
      <c r="B2300" t="s">
        <v>6993</v>
      </c>
      <c r="C2300" t="s">
        <v>6994</v>
      </c>
      <c r="D2300" t="s">
        <v>74</v>
      </c>
      <c r="E2300" t="s">
        <v>13</v>
      </c>
      <c r="F2300">
        <v>309</v>
      </c>
      <c r="G2300">
        <v>1058</v>
      </c>
      <c r="H2300" s="5" t="s">
        <v>22</v>
      </c>
      <c r="I2300" s="5">
        <v>0</v>
      </c>
      <c r="J2300" s="5">
        <v>0</v>
      </c>
      <c r="K2300" t="s">
        <v>11350</v>
      </c>
      <c r="L2300" cm="1">
        <f t="array" ref="L2300">wordCount(K2300)</f>
        <v>12</v>
      </c>
      <c r="M2300">
        <f t="shared" si="70"/>
        <v>68</v>
      </c>
      <c r="N2300">
        <v>0.52941176470588236</v>
      </c>
      <c r="O2300" s="23" cm="1">
        <f t="array" ref="O2300">WordListCount(K2300,keywords!$A$2:$A$31)-WordListCount(K2300,keywords!$B$2:$B$31)</f>
        <v>0</v>
      </c>
      <c r="P2300" s="25">
        <f t="shared" si="71"/>
        <v>0.81109953703703708</v>
      </c>
      <c r="Q2300" s="23">
        <f>SUM($O$2:O2300)</f>
        <v>65</v>
      </c>
      <c r="Y2300" s="14"/>
      <c r="Z2300" s="13"/>
      <c r="AA2300"/>
    </row>
    <row r="2301" spans="1:27" x14ac:dyDescent="0.2">
      <c r="A2301" s="12" t="s">
        <v>6995</v>
      </c>
      <c r="B2301" t="s">
        <v>6996</v>
      </c>
      <c r="C2301" t="s">
        <v>6997</v>
      </c>
      <c r="D2301" t="s">
        <v>6998</v>
      </c>
      <c r="E2301" t="s">
        <v>13</v>
      </c>
      <c r="F2301">
        <v>490</v>
      </c>
      <c r="G2301">
        <v>649</v>
      </c>
      <c r="H2301" s="5" t="s">
        <v>393</v>
      </c>
      <c r="I2301" s="5">
        <v>0</v>
      </c>
      <c r="J2301" s="5">
        <v>0</v>
      </c>
      <c r="K2301" t="s">
        <v>11351</v>
      </c>
      <c r="L2301" cm="1">
        <f t="array" ref="L2301">wordCount(K2301)</f>
        <v>11</v>
      </c>
      <c r="M2301">
        <f t="shared" si="70"/>
        <v>58</v>
      </c>
      <c r="N2301">
        <v>0.55000000000000004</v>
      </c>
      <c r="O2301" s="23" cm="1">
        <f t="array" ref="O2301">WordListCount(K2301,keywords!$A$2:$A$31)-WordListCount(K2301,keywords!$B$2:$B$31)</f>
        <v>1</v>
      </c>
      <c r="P2301" s="25">
        <f t="shared" si="71"/>
        <v>0.8111342592592593</v>
      </c>
      <c r="Q2301" s="23">
        <f>SUM($O$2:O2301)</f>
        <v>66</v>
      </c>
      <c r="Y2301" s="14"/>
      <c r="Z2301" s="13"/>
      <c r="AA2301"/>
    </row>
    <row r="2302" spans="1:27" x14ac:dyDescent="0.2">
      <c r="A2302" s="12" t="s">
        <v>6999</v>
      </c>
      <c r="B2302" t="s">
        <v>7000</v>
      </c>
      <c r="C2302" t="s">
        <v>7001</v>
      </c>
      <c r="D2302" t="s">
        <v>7002</v>
      </c>
      <c r="E2302" t="s">
        <v>13</v>
      </c>
      <c r="F2302">
        <v>412</v>
      </c>
      <c r="G2302">
        <v>438</v>
      </c>
      <c r="H2302" s="5" t="s">
        <v>22</v>
      </c>
      <c r="I2302" s="5">
        <v>0</v>
      </c>
      <c r="J2302" s="5">
        <v>0</v>
      </c>
      <c r="K2302" t="s">
        <v>11352</v>
      </c>
      <c r="L2302" cm="1">
        <f t="array" ref="L2302">wordCount(K2302)</f>
        <v>9</v>
      </c>
      <c r="M2302">
        <f t="shared" si="70"/>
        <v>52</v>
      </c>
      <c r="N2302">
        <v>0.53333333333333333</v>
      </c>
      <c r="O2302" s="23" cm="1">
        <f t="array" ref="O2302">WordListCount(K2302,keywords!$A$2:$A$31)-WordListCount(K2302,keywords!$B$2:$B$31)</f>
        <v>0</v>
      </c>
      <c r="P2302" s="25">
        <f t="shared" si="71"/>
        <v>0.81114583333333334</v>
      </c>
      <c r="Q2302" s="23">
        <f>SUM($O$2:O2302)</f>
        <v>66</v>
      </c>
      <c r="Y2302" s="14"/>
      <c r="Z2302" s="13"/>
      <c r="AA2302"/>
    </row>
    <row r="2303" spans="1:27" x14ac:dyDescent="0.2">
      <c r="A2303" s="12" t="s">
        <v>7003</v>
      </c>
      <c r="B2303" t="s">
        <v>7004</v>
      </c>
      <c r="C2303" t="s">
        <v>7005</v>
      </c>
      <c r="D2303" t="s">
        <v>7006</v>
      </c>
      <c r="E2303" t="s">
        <v>13</v>
      </c>
      <c r="F2303">
        <v>16</v>
      </c>
      <c r="G2303">
        <v>224</v>
      </c>
      <c r="H2303" s="5" t="s">
        <v>22</v>
      </c>
      <c r="I2303" s="5">
        <v>0</v>
      </c>
      <c r="J2303" s="5">
        <v>0</v>
      </c>
      <c r="K2303" t="s">
        <v>11353</v>
      </c>
      <c r="L2303" cm="1">
        <f t="array" ref="L2303">wordCount(K2303)</f>
        <v>16</v>
      </c>
      <c r="M2303">
        <f t="shared" si="70"/>
        <v>89</v>
      </c>
      <c r="N2303">
        <v>0.61290322580645162</v>
      </c>
      <c r="O2303" s="23" cm="1">
        <f t="array" ref="O2303">WordListCount(K2303,keywords!$A$2:$A$31)-WordListCount(K2303,keywords!$B$2:$B$31)</f>
        <v>0</v>
      </c>
      <c r="P2303" s="25">
        <f t="shared" si="71"/>
        <v>0.81133101851851841</v>
      </c>
      <c r="Q2303" s="23">
        <f>SUM($O$2:O2303)</f>
        <v>66</v>
      </c>
      <c r="Y2303" s="14"/>
      <c r="Z2303" s="13"/>
      <c r="AA2303"/>
    </row>
    <row r="2304" spans="1:27" x14ac:dyDescent="0.2">
      <c r="A2304" s="12" t="s">
        <v>7007</v>
      </c>
      <c r="B2304" t="s">
        <v>7008</v>
      </c>
      <c r="C2304" t="s">
        <v>7009</v>
      </c>
      <c r="D2304" t="s">
        <v>7010</v>
      </c>
      <c r="E2304" t="s">
        <v>13</v>
      </c>
      <c r="F2304">
        <v>366</v>
      </c>
      <c r="G2304">
        <v>502</v>
      </c>
      <c r="H2304" s="5" t="s">
        <v>22</v>
      </c>
      <c r="I2304" s="5">
        <v>0</v>
      </c>
      <c r="J2304" s="5">
        <v>0</v>
      </c>
      <c r="K2304" t="s">
        <v>11354</v>
      </c>
      <c r="L2304" cm="1">
        <f t="array" ref="L2304">wordCount(K2304)</f>
        <v>25</v>
      </c>
      <c r="M2304">
        <f t="shared" si="70"/>
        <v>94</v>
      </c>
      <c r="N2304">
        <v>0.66666666666666663</v>
      </c>
      <c r="O2304" s="23" cm="1">
        <f t="array" ref="O2304">WordListCount(K2304,keywords!$A$2:$A$31)-WordListCount(K2304,keywords!$B$2:$B$31)</f>
        <v>0</v>
      </c>
      <c r="P2304" s="25">
        <f t="shared" si="71"/>
        <v>0.81135416666666671</v>
      </c>
      <c r="Q2304" s="23">
        <f>SUM($O$2:O2304)</f>
        <v>66</v>
      </c>
      <c r="Y2304" s="14"/>
      <c r="Z2304" s="13"/>
      <c r="AA2304"/>
    </row>
    <row r="2305" spans="1:27" x14ac:dyDescent="0.2">
      <c r="A2305" s="12" t="s">
        <v>7011</v>
      </c>
      <c r="B2305" t="s">
        <v>7012</v>
      </c>
      <c r="C2305" t="s">
        <v>7013</v>
      </c>
      <c r="D2305" t="s">
        <v>12</v>
      </c>
      <c r="E2305" t="s">
        <v>13</v>
      </c>
      <c r="F2305">
        <v>5</v>
      </c>
      <c r="G2305">
        <v>41</v>
      </c>
      <c r="H2305" s="5" t="s">
        <v>125</v>
      </c>
      <c r="I2305" s="5">
        <v>0</v>
      </c>
      <c r="J2305" s="5">
        <v>0</v>
      </c>
      <c r="K2305" t="s">
        <v>11355</v>
      </c>
      <c r="L2305" cm="1">
        <f t="array" ref="L2305">wordCount(K2305)</f>
        <v>18</v>
      </c>
      <c r="M2305">
        <f t="shared" si="70"/>
        <v>80</v>
      </c>
      <c r="N2305">
        <v>0.66666666666666663</v>
      </c>
      <c r="O2305" s="23" cm="1">
        <f t="array" ref="O2305">WordListCount(K2305,keywords!$A$2:$A$31)-WordListCount(K2305,keywords!$B$2:$B$31)</f>
        <v>0</v>
      </c>
      <c r="P2305" s="25">
        <f t="shared" si="71"/>
        <v>0.81155092592592604</v>
      </c>
      <c r="Q2305" s="23">
        <f>SUM($O$2:O2305)</f>
        <v>66</v>
      </c>
      <c r="Y2305" s="14"/>
      <c r="Z2305" s="13"/>
      <c r="AA2305"/>
    </row>
    <row r="2306" spans="1:27" x14ac:dyDescent="0.2">
      <c r="A2306" s="12" t="s">
        <v>7014</v>
      </c>
      <c r="B2306" t="s">
        <v>7015</v>
      </c>
      <c r="C2306" t="s">
        <v>7016</v>
      </c>
      <c r="D2306" t="s">
        <v>12</v>
      </c>
      <c r="E2306" t="s">
        <v>13</v>
      </c>
      <c r="F2306">
        <v>417</v>
      </c>
      <c r="G2306">
        <v>786</v>
      </c>
      <c r="H2306" s="5" t="s">
        <v>22</v>
      </c>
      <c r="I2306" s="5">
        <v>0</v>
      </c>
      <c r="J2306" s="5">
        <v>0</v>
      </c>
      <c r="K2306" t="s">
        <v>9047</v>
      </c>
      <c r="L2306" cm="1">
        <f t="array" ref="L2306">wordCount(K2306)</f>
        <v>1</v>
      </c>
      <c r="M2306">
        <f t="shared" ref="M2306:M2369" si="72">LEN(K2306)</f>
        <v>7</v>
      </c>
      <c r="N2306">
        <v>0.5</v>
      </c>
      <c r="O2306" s="23" cm="1">
        <f t="array" ref="O2306">WordListCount(K2306,keywords!$A$2:$A$31)-WordListCount(K2306,keywords!$B$2:$B$31)</f>
        <v>0</v>
      </c>
      <c r="P2306" s="25">
        <f t="shared" ref="P2306:P2369" si="73">TIMEVALUE(RIGHT(A2306,8))</f>
        <v>0.81163194444444453</v>
      </c>
      <c r="Q2306" s="23">
        <f>SUM($O$2:O2306)</f>
        <v>66</v>
      </c>
      <c r="Y2306" s="14"/>
      <c r="Z2306" s="13"/>
      <c r="AA2306"/>
    </row>
    <row r="2307" spans="1:27" x14ac:dyDescent="0.2">
      <c r="A2307" s="12" t="s">
        <v>7017</v>
      </c>
      <c r="B2307" t="s">
        <v>7018</v>
      </c>
      <c r="C2307" t="s">
        <v>7019</v>
      </c>
      <c r="D2307" t="s">
        <v>7020</v>
      </c>
      <c r="E2307" t="s">
        <v>13</v>
      </c>
      <c r="F2307">
        <v>516</v>
      </c>
      <c r="G2307">
        <v>493</v>
      </c>
      <c r="H2307" s="5" t="s">
        <v>22</v>
      </c>
      <c r="I2307" s="5">
        <v>0</v>
      </c>
      <c r="J2307" s="5">
        <v>0</v>
      </c>
      <c r="K2307" t="s">
        <v>9713</v>
      </c>
      <c r="L2307" cm="1">
        <f t="array" ref="L2307">wordCount(K2307)</f>
        <v>11</v>
      </c>
      <c r="M2307">
        <f t="shared" si="72"/>
        <v>49</v>
      </c>
      <c r="N2307">
        <v>0.47058823529411764</v>
      </c>
      <c r="O2307" s="23" cm="1">
        <f t="array" ref="O2307">WordListCount(K2307,keywords!$A$2:$A$31)-WordListCount(K2307,keywords!$B$2:$B$31)</f>
        <v>0</v>
      </c>
      <c r="P2307" s="25">
        <f t="shared" si="73"/>
        <v>0.81170138888888888</v>
      </c>
      <c r="Q2307" s="23">
        <f>SUM($O$2:O2307)</f>
        <v>66</v>
      </c>
      <c r="Y2307" s="14"/>
      <c r="Z2307" s="13"/>
      <c r="AA2307"/>
    </row>
    <row r="2308" spans="1:27" x14ac:dyDescent="0.2">
      <c r="A2308" s="12" t="s">
        <v>7021</v>
      </c>
      <c r="B2308" t="s">
        <v>7022</v>
      </c>
      <c r="C2308" t="s">
        <v>7023</v>
      </c>
      <c r="D2308" t="s">
        <v>7024</v>
      </c>
      <c r="E2308" t="s">
        <v>13</v>
      </c>
      <c r="F2308">
        <v>838</v>
      </c>
      <c r="G2308">
        <v>740</v>
      </c>
      <c r="H2308" s="5" t="s">
        <v>22</v>
      </c>
      <c r="I2308" s="5">
        <v>0</v>
      </c>
      <c r="J2308" s="5">
        <v>0</v>
      </c>
      <c r="K2308" t="s">
        <v>11356</v>
      </c>
      <c r="L2308" cm="1">
        <f t="array" ref="L2308">wordCount(K2308)</f>
        <v>9</v>
      </c>
      <c r="M2308">
        <f t="shared" si="72"/>
        <v>44</v>
      </c>
      <c r="N2308">
        <v>0.68421052631578949</v>
      </c>
      <c r="O2308" s="23" cm="1">
        <f t="array" ref="O2308">WordListCount(K2308,keywords!$A$2:$A$31)-WordListCount(K2308,keywords!$B$2:$B$31)</f>
        <v>0</v>
      </c>
      <c r="P2308" s="25">
        <f t="shared" si="73"/>
        <v>0.81172453703703706</v>
      </c>
      <c r="Q2308" s="23">
        <f>SUM($O$2:O2308)</f>
        <v>66</v>
      </c>
      <c r="Y2308" s="14"/>
      <c r="Z2308" s="13"/>
      <c r="AA2308"/>
    </row>
    <row r="2309" spans="1:27" x14ac:dyDescent="0.2">
      <c r="A2309" s="12" t="s">
        <v>7025</v>
      </c>
      <c r="B2309" t="s">
        <v>7026</v>
      </c>
      <c r="C2309" t="s">
        <v>7027</v>
      </c>
      <c r="D2309" t="s">
        <v>12</v>
      </c>
      <c r="E2309" t="s">
        <v>13</v>
      </c>
      <c r="F2309">
        <v>13104</v>
      </c>
      <c r="G2309">
        <v>51</v>
      </c>
      <c r="H2309" s="5" t="s">
        <v>22</v>
      </c>
      <c r="I2309" s="5">
        <v>0</v>
      </c>
      <c r="J2309" s="5">
        <v>0</v>
      </c>
      <c r="K2309" t="s">
        <v>9714</v>
      </c>
      <c r="L2309" cm="1">
        <f t="array" ref="L2309">wordCount(K2309)</f>
        <v>21</v>
      </c>
      <c r="M2309">
        <f t="shared" si="72"/>
        <v>98</v>
      </c>
      <c r="N2309">
        <v>0.5</v>
      </c>
      <c r="O2309" s="23" cm="1">
        <f t="array" ref="O2309">WordListCount(K2309,keywords!$A$2:$A$31)-WordListCount(K2309,keywords!$B$2:$B$31)</f>
        <v>-1</v>
      </c>
      <c r="P2309" s="25">
        <f t="shared" si="73"/>
        <v>0.81180555555555556</v>
      </c>
      <c r="Q2309" s="23">
        <f>SUM($O$2:O2309)</f>
        <v>65</v>
      </c>
      <c r="Y2309" s="14"/>
      <c r="Z2309" s="13"/>
      <c r="AA2309"/>
    </row>
    <row r="2310" spans="1:27" x14ac:dyDescent="0.2">
      <c r="A2310" s="12" t="s">
        <v>7028</v>
      </c>
      <c r="B2310" t="s">
        <v>7029</v>
      </c>
      <c r="C2310" t="s">
        <v>7030</v>
      </c>
      <c r="D2310" t="s">
        <v>7031</v>
      </c>
      <c r="E2310" t="s">
        <v>13</v>
      </c>
      <c r="F2310">
        <v>34</v>
      </c>
      <c r="G2310">
        <v>225</v>
      </c>
      <c r="H2310" s="5" t="s">
        <v>22</v>
      </c>
      <c r="I2310" s="5">
        <v>0</v>
      </c>
      <c r="J2310" s="5">
        <v>0</v>
      </c>
      <c r="K2310" t="s">
        <v>9715</v>
      </c>
      <c r="L2310" cm="1">
        <f t="array" ref="L2310">wordCount(K2310)</f>
        <v>14</v>
      </c>
      <c r="M2310">
        <f t="shared" si="72"/>
        <v>71</v>
      </c>
      <c r="N2310">
        <v>0.56521739130434778</v>
      </c>
      <c r="O2310" s="23" cm="1">
        <f t="array" ref="O2310">WordListCount(K2310,keywords!$A$2:$A$31)-WordListCount(K2310,keywords!$B$2:$B$31)</f>
        <v>0</v>
      </c>
      <c r="P2310" s="25">
        <f t="shared" si="73"/>
        <v>0.81188657407407405</v>
      </c>
      <c r="Q2310" s="23">
        <f>SUM($O$2:O2310)</f>
        <v>65</v>
      </c>
      <c r="Y2310" s="14"/>
      <c r="Z2310" s="13"/>
      <c r="AA2310"/>
    </row>
    <row r="2311" spans="1:27" x14ac:dyDescent="0.2">
      <c r="A2311" s="12" t="s">
        <v>7032</v>
      </c>
      <c r="B2311" t="s">
        <v>7033</v>
      </c>
      <c r="C2311" t="s">
        <v>6997</v>
      </c>
      <c r="D2311" t="s">
        <v>6998</v>
      </c>
      <c r="E2311" t="s">
        <v>13</v>
      </c>
      <c r="F2311">
        <v>490</v>
      </c>
      <c r="G2311">
        <v>649</v>
      </c>
      <c r="H2311" s="5" t="s">
        <v>393</v>
      </c>
      <c r="I2311" s="5">
        <v>0</v>
      </c>
      <c r="J2311" s="5">
        <v>0</v>
      </c>
      <c r="K2311" t="s">
        <v>11357</v>
      </c>
      <c r="L2311" cm="1">
        <f t="array" ref="L2311">wordCount(K2311)</f>
        <v>9</v>
      </c>
      <c r="M2311">
        <f t="shared" si="72"/>
        <v>48</v>
      </c>
      <c r="N2311">
        <v>0.6875</v>
      </c>
      <c r="O2311" s="23" cm="1">
        <f t="array" ref="O2311">WordListCount(K2311,keywords!$A$2:$A$31)-WordListCount(K2311,keywords!$B$2:$B$31)</f>
        <v>0</v>
      </c>
      <c r="P2311" s="25">
        <f t="shared" si="73"/>
        <v>0.8119791666666667</v>
      </c>
      <c r="Q2311" s="23">
        <f>SUM($O$2:O2311)</f>
        <v>65</v>
      </c>
      <c r="Y2311" s="14"/>
      <c r="Z2311" s="13"/>
      <c r="AA2311"/>
    </row>
    <row r="2312" spans="1:27" x14ac:dyDescent="0.2">
      <c r="A2312" s="12" t="s">
        <v>7034</v>
      </c>
      <c r="B2312" t="s">
        <v>7035</v>
      </c>
      <c r="C2312" t="s">
        <v>7036</v>
      </c>
      <c r="D2312" t="s">
        <v>7037</v>
      </c>
      <c r="E2312" t="s">
        <v>13</v>
      </c>
      <c r="F2312">
        <v>1064</v>
      </c>
      <c r="G2312">
        <v>362</v>
      </c>
      <c r="H2312" s="5" t="s">
        <v>22</v>
      </c>
      <c r="I2312" s="5">
        <v>0</v>
      </c>
      <c r="J2312" s="5">
        <v>0</v>
      </c>
      <c r="K2312" t="s">
        <v>9716</v>
      </c>
      <c r="L2312" cm="1">
        <f t="array" ref="L2312">wordCount(K2312)</f>
        <v>7</v>
      </c>
      <c r="M2312">
        <f t="shared" si="72"/>
        <v>34</v>
      </c>
      <c r="N2312">
        <v>0.69565217391304346</v>
      </c>
      <c r="O2312" s="23" cm="1">
        <f t="array" ref="O2312">WordListCount(K2312,keywords!$A$2:$A$31)-WordListCount(K2312,keywords!$B$2:$B$31)</f>
        <v>0</v>
      </c>
      <c r="P2312" s="25">
        <f t="shared" si="73"/>
        <v>0.81209490740740742</v>
      </c>
      <c r="Q2312" s="23">
        <f>SUM($O$2:O2312)</f>
        <v>65</v>
      </c>
      <c r="Y2312" s="14"/>
      <c r="Z2312" s="13"/>
      <c r="AA2312"/>
    </row>
    <row r="2313" spans="1:27" x14ac:dyDescent="0.2">
      <c r="A2313" s="12" t="s">
        <v>7038</v>
      </c>
      <c r="B2313" t="s">
        <v>7039</v>
      </c>
      <c r="C2313" t="s">
        <v>7040</v>
      </c>
      <c r="D2313" t="s">
        <v>990</v>
      </c>
      <c r="E2313" t="s">
        <v>13</v>
      </c>
      <c r="F2313">
        <v>154</v>
      </c>
      <c r="G2313">
        <v>208</v>
      </c>
      <c r="H2313" s="5" t="s">
        <v>22</v>
      </c>
      <c r="I2313" s="5">
        <v>0</v>
      </c>
      <c r="J2313" s="5">
        <v>0</v>
      </c>
      <c r="K2313" t="s">
        <v>9717</v>
      </c>
      <c r="L2313" cm="1">
        <f t="array" ref="L2313">wordCount(K2313)</f>
        <v>6</v>
      </c>
      <c r="M2313">
        <f t="shared" si="72"/>
        <v>29</v>
      </c>
      <c r="N2313">
        <v>0.625</v>
      </c>
      <c r="O2313" s="23" cm="1">
        <f t="array" ref="O2313">WordListCount(K2313,keywords!$A$2:$A$31)-WordListCount(K2313,keywords!$B$2:$B$31)</f>
        <v>0</v>
      </c>
      <c r="P2313" s="25">
        <f t="shared" si="73"/>
        <v>0.81244212962962958</v>
      </c>
      <c r="Q2313" s="23">
        <f>SUM($O$2:O2313)</f>
        <v>65</v>
      </c>
      <c r="Y2313" s="14"/>
      <c r="Z2313" s="13"/>
      <c r="AA2313"/>
    </row>
    <row r="2314" spans="1:27" x14ac:dyDescent="0.2">
      <c r="A2314" s="12" t="s">
        <v>7041</v>
      </c>
      <c r="B2314" t="s">
        <v>7042</v>
      </c>
      <c r="C2314" t="s">
        <v>7043</v>
      </c>
      <c r="D2314" t="s">
        <v>6420</v>
      </c>
      <c r="E2314" t="s">
        <v>13</v>
      </c>
      <c r="F2314">
        <v>241</v>
      </c>
      <c r="G2314">
        <v>317</v>
      </c>
      <c r="H2314" s="5" t="s">
        <v>22</v>
      </c>
      <c r="I2314" s="5">
        <v>0</v>
      </c>
      <c r="J2314" s="5">
        <v>0</v>
      </c>
      <c r="K2314" t="s">
        <v>11358</v>
      </c>
      <c r="L2314" cm="1">
        <f t="array" ref="L2314">wordCount(K2314)</f>
        <v>10</v>
      </c>
      <c r="M2314">
        <f t="shared" si="72"/>
        <v>46</v>
      </c>
      <c r="N2314">
        <v>0.7142857142857143</v>
      </c>
      <c r="O2314" s="23" cm="1">
        <f t="array" ref="O2314">WordListCount(K2314,keywords!$A$2:$A$31)-WordListCount(K2314,keywords!$B$2:$B$31)</f>
        <v>0</v>
      </c>
      <c r="P2314" s="25">
        <f t="shared" si="73"/>
        <v>0.81251157407407415</v>
      </c>
      <c r="Q2314" s="23">
        <f>SUM($O$2:O2314)</f>
        <v>65</v>
      </c>
      <c r="Y2314" s="14"/>
      <c r="Z2314" s="13"/>
      <c r="AA2314"/>
    </row>
    <row r="2315" spans="1:27" x14ac:dyDescent="0.2">
      <c r="A2315" s="12" t="s">
        <v>7041</v>
      </c>
      <c r="B2315" t="s">
        <v>7044</v>
      </c>
      <c r="C2315" t="s">
        <v>3442</v>
      </c>
      <c r="D2315" t="s">
        <v>535</v>
      </c>
      <c r="E2315" t="s">
        <v>13</v>
      </c>
      <c r="F2315">
        <v>8</v>
      </c>
      <c r="G2315">
        <v>36</v>
      </c>
      <c r="H2315" s="5" t="s">
        <v>22</v>
      </c>
      <c r="I2315" s="5">
        <v>0</v>
      </c>
      <c r="J2315" s="5">
        <v>0</v>
      </c>
      <c r="K2315" t="s">
        <v>9718</v>
      </c>
      <c r="L2315" cm="1">
        <f t="array" ref="L2315">wordCount(K2315)</f>
        <v>9</v>
      </c>
      <c r="M2315">
        <f t="shared" si="72"/>
        <v>55</v>
      </c>
      <c r="N2315">
        <v>0.6</v>
      </c>
      <c r="O2315" s="23" cm="1">
        <f t="array" ref="O2315">WordListCount(K2315,keywords!$A$2:$A$31)-WordListCount(K2315,keywords!$B$2:$B$31)</f>
        <v>0</v>
      </c>
      <c r="P2315" s="25">
        <f t="shared" si="73"/>
        <v>0.81251157407407415</v>
      </c>
      <c r="Q2315" s="23">
        <f>SUM($O$2:O2315)</f>
        <v>65</v>
      </c>
      <c r="Y2315" s="14"/>
      <c r="Z2315" s="13"/>
      <c r="AA2315"/>
    </row>
    <row r="2316" spans="1:27" x14ac:dyDescent="0.2">
      <c r="A2316" s="12" t="s">
        <v>7041</v>
      </c>
      <c r="B2316" t="s">
        <v>7045</v>
      </c>
      <c r="C2316" t="s">
        <v>306</v>
      </c>
      <c r="D2316" t="s">
        <v>307</v>
      </c>
      <c r="E2316" t="s">
        <v>13</v>
      </c>
      <c r="F2316">
        <v>227</v>
      </c>
      <c r="G2316">
        <v>1</v>
      </c>
      <c r="H2316" s="5" t="s">
        <v>22</v>
      </c>
      <c r="I2316" s="5">
        <v>0</v>
      </c>
      <c r="J2316" s="5">
        <v>0</v>
      </c>
      <c r="K2316" t="s">
        <v>9719</v>
      </c>
      <c r="L2316" cm="1">
        <f t="array" ref="L2316">wordCount(K2316)</f>
        <v>7</v>
      </c>
      <c r="M2316">
        <f t="shared" si="72"/>
        <v>105</v>
      </c>
      <c r="N2316">
        <v>0.53846153846153844</v>
      </c>
      <c r="O2316" s="23" cm="1">
        <f t="array" ref="O2316">WordListCount(K2316,keywords!$A$2:$A$31)-WordListCount(K2316,keywords!$B$2:$B$31)</f>
        <v>0</v>
      </c>
      <c r="P2316" s="25">
        <f t="shared" si="73"/>
        <v>0.81251157407407415</v>
      </c>
      <c r="Q2316" s="23">
        <f>SUM($O$2:O2316)</f>
        <v>65</v>
      </c>
      <c r="Y2316" s="14"/>
      <c r="Z2316" s="13"/>
      <c r="AA2316"/>
    </row>
    <row r="2317" spans="1:27" x14ac:dyDescent="0.2">
      <c r="A2317" s="12" t="s">
        <v>7046</v>
      </c>
      <c r="B2317" t="s">
        <v>7047</v>
      </c>
      <c r="C2317" t="s">
        <v>1277</v>
      </c>
      <c r="D2317" t="s">
        <v>1278</v>
      </c>
      <c r="E2317" t="s">
        <v>13</v>
      </c>
      <c r="F2317">
        <v>7990</v>
      </c>
      <c r="G2317">
        <v>410</v>
      </c>
      <c r="H2317" s="5" t="s">
        <v>22</v>
      </c>
      <c r="I2317" s="5">
        <v>0</v>
      </c>
      <c r="J2317" s="5">
        <v>0</v>
      </c>
      <c r="K2317" t="s">
        <v>11359</v>
      </c>
      <c r="L2317" cm="1">
        <f t="array" ref="L2317">wordCount(K2317)</f>
        <v>24</v>
      </c>
      <c r="M2317">
        <f t="shared" si="72"/>
        <v>131</v>
      </c>
      <c r="N2317">
        <v>0.47368421052631576</v>
      </c>
      <c r="O2317" s="23" cm="1">
        <f t="array" ref="O2317">WordListCount(K2317,keywords!$A$2:$A$31)-WordListCount(K2317,keywords!$B$2:$B$31)</f>
        <v>0</v>
      </c>
      <c r="P2317" s="25">
        <f t="shared" si="73"/>
        <v>0.81258101851851849</v>
      </c>
      <c r="Q2317" s="23">
        <f>SUM($O$2:O2317)</f>
        <v>65</v>
      </c>
      <c r="Y2317" s="14"/>
      <c r="Z2317" s="13"/>
      <c r="AA2317"/>
    </row>
    <row r="2318" spans="1:27" x14ac:dyDescent="0.2">
      <c r="A2318" s="12" t="s">
        <v>7048</v>
      </c>
      <c r="B2318" t="s">
        <v>7049</v>
      </c>
      <c r="C2318" t="s">
        <v>7050</v>
      </c>
      <c r="D2318" t="s">
        <v>12</v>
      </c>
      <c r="E2318" t="s">
        <v>13</v>
      </c>
      <c r="F2318">
        <v>2</v>
      </c>
      <c r="G2318">
        <v>20</v>
      </c>
      <c r="H2318" s="5" t="s">
        <v>22</v>
      </c>
      <c r="I2318" s="5">
        <v>0</v>
      </c>
      <c r="J2318" s="5">
        <v>0</v>
      </c>
      <c r="K2318" t="s">
        <v>11360</v>
      </c>
      <c r="L2318" cm="1">
        <f t="array" ref="L2318">wordCount(K2318)</f>
        <v>15</v>
      </c>
      <c r="M2318">
        <f t="shared" si="72"/>
        <v>64</v>
      </c>
      <c r="N2318">
        <v>0.4</v>
      </c>
      <c r="O2318" s="23" cm="1">
        <f t="array" ref="O2318">WordListCount(K2318,keywords!$A$2:$A$31)-WordListCount(K2318,keywords!$B$2:$B$31)</f>
        <v>0</v>
      </c>
      <c r="P2318" s="25">
        <f t="shared" si="73"/>
        <v>0.81263888888888891</v>
      </c>
      <c r="Q2318" s="23">
        <f>SUM($O$2:O2318)</f>
        <v>65</v>
      </c>
      <c r="Y2318" s="14"/>
      <c r="Z2318" s="13"/>
      <c r="AA2318"/>
    </row>
    <row r="2319" spans="1:27" x14ac:dyDescent="0.2">
      <c r="A2319" s="12" t="s">
        <v>7051</v>
      </c>
      <c r="B2319" t="s">
        <v>7052</v>
      </c>
      <c r="C2319" t="s">
        <v>7053</v>
      </c>
      <c r="D2319" t="s">
        <v>7054</v>
      </c>
      <c r="E2319" t="s">
        <v>13</v>
      </c>
      <c r="F2319">
        <v>258</v>
      </c>
      <c r="G2319">
        <v>972</v>
      </c>
      <c r="H2319" s="5" t="s">
        <v>22</v>
      </c>
      <c r="I2319" s="5">
        <v>0</v>
      </c>
      <c r="J2319" s="5">
        <v>0</v>
      </c>
      <c r="K2319" t="s">
        <v>11361</v>
      </c>
      <c r="L2319" cm="1">
        <f t="array" ref="L2319">wordCount(K2319)</f>
        <v>26</v>
      </c>
      <c r="M2319">
        <f t="shared" si="72"/>
        <v>108</v>
      </c>
      <c r="N2319">
        <v>0.36666666666666664</v>
      </c>
      <c r="O2319" s="23" cm="1">
        <f t="array" ref="O2319">WordListCount(K2319,keywords!$A$2:$A$31)-WordListCount(K2319,keywords!$B$2:$B$31)</f>
        <v>1</v>
      </c>
      <c r="P2319" s="25">
        <f t="shared" si="73"/>
        <v>0.8127199074074074</v>
      </c>
      <c r="Q2319" s="23">
        <f>SUM($O$2:O2319)</f>
        <v>66</v>
      </c>
      <c r="Y2319" s="14"/>
      <c r="Z2319" s="13"/>
      <c r="AA2319"/>
    </row>
    <row r="2320" spans="1:27" x14ac:dyDescent="0.2">
      <c r="A2320" s="12" t="s">
        <v>7055</v>
      </c>
      <c r="B2320" t="s">
        <v>7056</v>
      </c>
      <c r="C2320" t="s">
        <v>496</v>
      </c>
      <c r="D2320" t="s">
        <v>497</v>
      </c>
      <c r="E2320" t="s">
        <v>13</v>
      </c>
      <c r="F2320">
        <v>366</v>
      </c>
      <c r="G2320">
        <v>225</v>
      </c>
      <c r="H2320" s="5" t="s">
        <v>22</v>
      </c>
      <c r="I2320" s="5">
        <v>0</v>
      </c>
      <c r="J2320" s="5">
        <v>0</v>
      </c>
      <c r="K2320" t="s">
        <v>11362</v>
      </c>
      <c r="L2320" cm="1">
        <f t="array" ref="L2320">wordCount(K2320)</f>
        <v>24</v>
      </c>
      <c r="M2320">
        <f t="shared" si="72"/>
        <v>102</v>
      </c>
      <c r="N2320">
        <v>0.79166666666666663</v>
      </c>
      <c r="O2320" s="23" cm="1">
        <f t="array" ref="O2320">WordListCount(K2320,keywords!$A$2:$A$31)-WordListCount(K2320,keywords!$B$2:$B$31)</f>
        <v>0</v>
      </c>
      <c r="P2320" s="25">
        <f t="shared" si="73"/>
        <v>0.81277777777777782</v>
      </c>
      <c r="Q2320" s="23">
        <f>SUM($O$2:O2320)</f>
        <v>66</v>
      </c>
      <c r="Y2320" s="14"/>
      <c r="Z2320" s="13"/>
      <c r="AA2320"/>
    </row>
    <row r="2321" spans="1:27" x14ac:dyDescent="0.2">
      <c r="A2321" s="12" t="s">
        <v>7057</v>
      </c>
      <c r="B2321" t="s">
        <v>7058</v>
      </c>
      <c r="C2321" t="s">
        <v>7059</v>
      </c>
      <c r="D2321" t="s">
        <v>81</v>
      </c>
      <c r="E2321" t="s">
        <v>13</v>
      </c>
      <c r="F2321">
        <v>212</v>
      </c>
      <c r="G2321">
        <v>87</v>
      </c>
      <c r="H2321" s="5" t="s">
        <v>22</v>
      </c>
      <c r="I2321" s="5">
        <v>0</v>
      </c>
      <c r="J2321" s="5">
        <v>0</v>
      </c>
      <c r="K2321" t="s">
        <v>11363</v>
      </c>
      <c r="L2321" cm="1">
        <f t="array" ref="L2321">wordCount(K2321)</f>
        <v>14</v>
      </c>
      <c r="M2321">
        <f t="shared" si="72"/>
        <v>81</v>
      </c>
      <c r="N2321">
        <v>0.66666666666666663</v>
      </c>
      <c r="O2321" s="23" cm="1">
        <f t="array" ref="O2321">WordListCount(K2321,keywords!$A$2:$A$31)-WordListCount(K2321,keywords!$B$2:$B$31)</f>
        <v>-1</v>
      </c>
      <c r="P2321" s="25">
        <f t="shared" si="73"/>
        <v>0.81290509259259258</v>
      </c>
      <c r="Q2321" s="23">
        <f>SUM($O$2:O2321)</f>
        <v>65</v>
      </c>
      <c r="Y2321" s="14"/>
      <c r="Z2321" s="13"/>
      <c r="AA2321"/>
    </row>
    <row r="2322" spans="1:27" x14ac:dyDescent="0.2">
      <c r="A2322" s="12" t="s">
        <v>7060</v>
      </c>
      <c r="B2322" t="s">
        <v>7061</v>
      </c>
      <c r="C2322" t="s">
        <v>7062</v>
      </c>
      <c r="D2322" t="s">
        <v>12</v>
      </c>
      <c r="E2322" t="s">
        <v>13</v>
      </c>
      <c r="F2322">
        <v>8</v>
      </c>
      <c r="G2322">
        <v>38</v>
      </c>
      <c r="H2322" s="5" t="s">
        <v>22</v>
      </c>
      <c r="I2322" s="5">
        <v>0</v>
      </c>
      <c r="J2322" s="5">
        <v>0</v>
      </c>
      <c r="K2322" t="s">
        <v>9720</v>
      </c>
      <c r="L2322" cm="1">
        <f t="array" ref="L2322">wordCount(K2322)</f>
        <v>8</v>
      </c>
      <c r="M2322">
        <f t="shared" si="72"/>
        <v>49</v>
      </c>
      <c r="N2322">
        <v>0.65217391304347827</v>
      </c>
      <c r="O2322" s="23" cm="1">
        <f t="array" ref="O2322">WordListCount(K2322,keywords!$A$2:$A$31)-WordListCount(K2322,keywords!$B$2:$B$31)</f>
        <v>0</v>
      </c>
      <c r="P2322" s="25">
        <f t="shared" si="73"/>
        <v>0.81319444444444444</v>
      </c>
      <c r="Q2322" s="23">
        <f>SUM($O$2:O2322)</f>
        <v>65</v>
      </c>
      <c r="Y2322" s="14"/>
      <c r="Z2322" s="13"/>
      <c r="AA2322"/>
    </row>
    <row r="2323" spans="1:27" x14ac:dyDescent="0.2">
      <c r="A2323" s="12" t="s">
        <v>7063</v>
      </c>
      <c r="B2323" t="s">
        <v>7064</v>
      </c>
      <c r="C2323" t="s">
        <v>7065</v>
      </c>
      <c r="D2323" t="s">
        <v>81</v>
      </c>
      <c r="E2323" t="s">
        <v>13</v>
      </c>
      <c r="F2323">
        <v>9</v>
      </c>
      <c r="G2323">
        <v>42</v>
      </c>
      <c r="H2323" s="5" t="s">
        <v>22</v>
      </c>
      <c r="I2323" s="5">
        <v>0</v>
      </c>
      <c r="J2323" s="5">
        <v>0</v>
      </c>
      <c r="K2323" t="s">
        <v>11364</v>
      </c>
      <c r="L2323" cm="1">
        <f t="array" ref="L2323">wordCount(K2323)</f>
        <v>14</v>
      </c>
      <c r="M2323">
        <f t="shared" si="72"/>
        <v>67</v>
      </c>
      <c r="N2323">
        <v>0.5</v>
      </c>
      <c r="O2323" s="23" cm="1">
        <f t="array" ref="O2323">WordListCount(K2323,keywords!$A$2:$A$31)-WordListCount(K2323,keywords!$B$2:$B$31)</f>
        <v>0</v>
      </c>
      <c r="P2323" s="25">
        <f t="shared" si="73"/>
        <v>0.81325231481481486</v>
      </c>
      <c r="Q2323" s="23">
        <f>SUM($O$2:O2323)</f>
        <v>65</v>
      </c>
      <c r="Y2323" s="14"/>
      <c r="Z2323" s="13"/>
      <c r="AA2323"/>
    </row>
    <row r="2324" spans="1:27" x14ac:dyDescent="0.2">
      <c r="A2324" s="12" t="s">
        <v>7066</v>
      </c>
      <c r="B2324" t="s">
        <v>7067</v>
      </c>
      <c r="C2324" t="s">
        <v>318</v>
      </c>
      <c r="D2324" t="s">
        <v>319</v>
      </c>
      <c r="E2324" t="s">
        <v>13</v>
      </c>
      <c r="F2324">
        <v>51</v>
      </c>
      <c r="G2324">
        <v>62</v>
      </c>
      <c r="H2324" s="5" t="s">
        <v>22</v>
      </c>
      <c r="I2324" s="5">
        <v>0</v>
      </c>
      <c r="J2324" s="5">
        <v>0</v>
      </c>
      <c r="K2324" t="s">
        <v>11365</v>
      </c>
      <c r="L2324" cm="1">
        <f t="array" ref="L2324">wordCount(K2324)</f>
        <v>14</v>
      </c>
      <c r="M2324">
        <f t="shared" si="72"/>
        <v>75</v>
      </c>
      <c r="N2324">
        <v>0.82352941176470584</v>
      </c>
      <c r="O2324" s="23" cm="1">
        <f t="array" ref="O2324">WordListCount(K2324,keywords!$A$2:$A$31)-WordListCount(K2324,keywords!$B$2:$B$31)</f>
        <v>0</v>
      </c>
      <c r="P2324" s="25">
        <f t="shared" si="73"/>
        <v>0.81334490740740739</v>
      </c>
      <c r="Q2324" s="23">
        <f>SUM($O$2:O2324)</f>
        <v>65</v>
      </c>
      <c r="Y2324" s="14"/>
      <c r="Z2324" s="13"/>
      <c r="AA2324"/>
    </row>
    <row r="2325" spans="1:27" x14ac:dyDescent="0.2">
      <c r="A2325" s="12" t="s">
        <v>7068</v>
      </c>
      <c r="B2325" t="s">
        <v>7069</v>
      </c>
      <c r="C2325" t="s">
        <v>7070</v>
      </c>
      <c r="D2325" t="s">
        <v>2002</v>
      </c>
      <c r="E2325" t="s">
        <v>13</v>
      </c>
      <c r="F2325">
        <v>41</v>
      </c>
      <c r="G2325">
        <v>240</v>
      </c>
      <c r="H2325" s="5" t="s">
        <v>22</v>
      </c>
      <c r="I2325" s="5">
        <v>0</v>
      </c>
      <c r="J2325" s="5">
        <v>0</v>
      </c>
      <c r="K2325" t="s">
        <v>9721</v>
      </c>
      <c r="L2325" cm="1">
        <f t="array" ref="L2325">wordCount(K2325)</f>
        <v>5</v>
      </c>
      <c r="M2325">
        <f t="shared" si="72"/>
        <v>25</v>
      </c>
      <c r="N2325">
        <v>0.92307692307692313</v>
      </c>
      <c r="O2325" s="23" cm="1">
        <f t="array" ref="O2325">WordListCount(K2325,keywords!$A$2:$A$31)-WordListCount(K2325,keywords!$B$2:$B$31)</f>
        <v>0</v>
      </c>
      <c r="P2325" s="25">
        <f t="shared" si="73"/>
        <v>0.81359953703703702</v>
      </c>
      <c r="Q2325" s="23">
        <f>SUM($O$2:O2325)</f>
        <v>65</v>
      </c>
      <c r="Y2325" s="14"/>
      <c r="Z2325" s="13"/>
      <c r="AA2325"/>
    </row>
    <row r="2326" spans="1:27" x14ac:dyDescent="0.2">
      <c r="A2326" s="12" t="s">
        <v>7071</v>
      </c>
      <c r="B2326" t="s">
        <v>7072</v>
      </c>
      <c r="C2326" t="s">
        <v>7073</v>
      </c>
      <c r="D2326" t="s">
        <v>7074</v>
      </c>
      <c r="E2326" t="s">
        <v>13</v>
      </c>
      <c r="F2326">
        <v>149</v>
      </c>
      <c r="G2326">
        <v>162</v>
      </c>
      <c r="H2326" s="5" t="s">
        <v>22</v>
      </c>
      <c r="I2326" s="5">
        <v>0</v>
      </c>
      <c r="J2326" s="5">
        <v>0</v>
      </c>
      <c r="K2326" t="s">
        <v>11366</v>
      </c>
      <c r="L2326" cm="1">
        <f t="array" ref="L2326">wordCount(K2326)</f>
        <v>16</v>
      </c>
      <c r="M2326">
        <f t="shared" si="72"/>
        <v>90</v>
      </c>
      <c r="N2326">
        <v>0.5357142857142857</v>
      </c>
      <c r="O2326" s="23" cm="1">
        <f t="array" ref="O2326">WordListCount(K2326,keywords!$A$2:$A$31)-WordListCount(K2326,keywords!$B$2:$B$31)</f>
        <v>0</v>
      </c>
      <c r="P2326" s="25">
        <f t="shared" si="73"/>
        <v>0.81377314814814816</v>
      </c>
      <c r="Q2326" s="23">
        <f>SUM($O$2:O2326)</f>
        <v>65</v>
      </c>
      <c r="Y2326" s="14"/>
      <c r="Z2326" s="13"/>
      <c r="AA2326"/>
    </row>
    <row r="2327" spans="1:27" x14ac:dyDescent="0.2">
      <c r="A2327" s="12" t="s">
        <v>7075</v>
      </c>
      <c r="B2327" t="s">
        <v>7076</v>
      </c>
      <c r="C2327" t="s">
        <v>7077</v>
      </c>
      <c r="D2327" t="s">
        <v>12</v>
      </c>
      <c r="E2327" t="s">
        <v>13</v>
      </c>
      <c r="F2327">
        <v>70</v>
      </c>
      <c r="G2327">
        <v>176</v>
      </c>
      <c r="H2327" s="5" t="s">
        <v>22</v>
      </c>
      <c r="I2327" s="5">
        <v>0</v>
      </c>
      <c r="J2327" s="5">
        <v>0</v>
      </c>
      <c r="K2327" t="s">
        <v>11367</v>
      </c>
      <c r="L2327" cm="1">
        <f t="array" ref="L2327">wordCount(K2327)</f>
        <v>4</v>
      </c>
      <c r="M2327">
        <f t="shared" si="72"/>
        <v>28</v>
      </c>
      <c r="N2327">
        <v>0.75</v>
      </c>
      <c r="O2327" s="23" cm="1">
        <f t="array" ref="O2327">WordListCount(K2327,keywords!$A$2:$A$31)-WordListCount(K2327,keywords!$B$2:$B$31)</f>
        <v>0</v>
      </c>
      <c r="P2327" s="25">
        <f t="shared" si="73"/>
        <v>0.81383101851851858</v>
      </c>
      <c r="Q2327" s="23">
        <f>SUM($O$2:O2327)</f>
        <v>65</v>
      </c>
      <c r="Y2327" s="14"/>
      <c r="Z2327" s="13"/>
      <c r="AA2327"/>
    </row>
    <row r="2328" spans="1:27" x14ac:dyDescent="0.2">
      <c r="A2328" s="12" t="s">
        <v>7078</v>
      </c>
      <c r="B2328" t="s">
        <v>7079</v>
      </c>
      <c r="C2328" t="s">
        <v>511</v>
      </c>
      <c r="D2328" t="s">
        <v>512</v>
      </c>
      <c r="E2328" t="s">
        <v>13</v>
      </c>
      <c r="F2328">
        <v>1898</v>
      </c>
      <c r="G2328">
        <v>540</v>
      </c>
      <c r="H2328" s="5" t="s">
        <v>22</v>
      </c>
      <c r="I2328" s="5">
        <v>0</v>
      </c>
      <c r="J2328" s="5">
        <v>0</v>
      </c>
      <c r="K2328" t="s">
        <v>9722</v>
      </c>
      <c r="L2328" cm="1">
        <f t="array" ref="L2328">wordCount(K2328)</f>
        <v>11</v>
      </c>
      <c r="M2328">
        <f t="shared" si="72"/>
        <v>54</v>
      </c>
      <c r="N2328">
        <v>0.90909090909090906</v>
      </c>
      <c r="O2328" s="23" cm="1">
        <f t="array" ref="O2328">WordListCount(K2328,keywords!$A$2:$A$31)-WordListCount(K2328,keywords!$B$2:$B$31)</f>
        <v>0</v>
      </c>
      <c r="P2328" s="25">
        <f t="shared" si="73"/>
        <v>0.81393518518518526</v>
      </c>
      <c r="Q2328" s="23">
        <f>SUM($O$2:O2328)</f>
        <v>65</v>
      </c>
      <c r="Y2328" s="14"/>
      <c r="Z2328" s="13"/>
      <c r="AA2328"/>
    </row>
    <row r="2329" spans="1:27" x14ac:dyDescent="0.2">
      <c r="A2329" s="12" t="s">
        <v>7080</v>
      </c>
      <c r="B2329" t="s">
        <v>7081</v>
      </c>
      <c r="C2329" t="s">
        <v>7082</v>
      </c>
      <c r="D2329" t="s">
        <v>7083</v>
      </c>
      <c r="E2329" t="s">
        <v>13</v>
      </c>
      <c r="F2329">
        <v>1105</v>
      </c>
      <c r="G2329">
        <v>510</v>
      </c>
      <c r="H2329" s="5" t="s">
        <v>22</v>
      </c>
      <c r="I2329" s="5">
        <v>0</v>
      </c>
      <c r="J2329" s="5">
        <v>0</v>
      </c>
      <c r="K2329" t="s">
        <v>11368</v>
      </c>
      <c r="L2329" cm="1">
        <f t="array" ref="L2329">wordCount(K2329)</f>
        <v>14</v>
      </c>
      <c r="M2329">
        <f t="shared" si="72"/>
        <v>74</v>
      </c>
      <c r="N2329">
        <v>0.65517241379310343</v>
      </c>
      <c r="O2329" s="23" cm="1">
        <f t="array" ref="O2329">WordListCount(K2329,keywords!$A$2:$A$31)-WordListCount(K2329,keywords!$B$2:$B$31)</f>
        <v>0</v>
      </c>
      <c r="P2329" s="25">
        <f t="shared" si="73"/>
        <v>0.81401620370370376</v>
      </c>
      <c r="Q2329" s="23">
        <f>SUM($O$2:O2329)</f>
        <v>65</v>
      </c>
      <c r="Y2329" s="14"/>
      <c r="Z2329" s="13"/>
      <c r="AA2329"/>
    </row>
    <row r="2330" spans="1:27" x14ac:dyDescent="0.2">
      <c r="A2330" s="12" t="s">
        <v>7080</v>
      </c>
      <c r="B2330" t="s">
        <v>7084</v>
      </c>
      <c r="C2330" t="s">
        <v>7085</v>
      </c>
      <c r="D2330" t="s">
        <v>12</v>
      </c>
      <c r="E2330" t="s">
        <v>13</v>
      </c>
      <c r="F2330">
        <v>15</v>
      </c>
      <c r="G2330">
        <v>24</v>
      </c>
      <c r="H2330" s="5" t="s">
        <v>22</v>
      </c>
      <c r="I2330" s="5">
        <v>0</v>
      </c>
      <c r="J2330" s="5">
        <v>0</v>
      </c>
      <c r="K2330" t="s">
        <v>9723</v>
      </c>
      <c r="L2330" cm="1">
        <f t="array" ref="L2330">wordCount(K2330)</f>
        <v>5</v>
      </c>
      <c r="M2330">
        <f t="shared" si="72"/>
        <v>28</v>
      </c>
      <c r="N2330">
        <v>0.2857142857142857</v>
      </c>
      <c r="O2330" s="23" cm="1">
        <f t="array" ref="O2330">WordListCount(K2330,keywords!$A$2:$A$31)-WordListCount(K2330,keywords!$B$2:$B$31)</f>
        <v>1</v>
      </c>
      <c r="P2330" s="25">
        <f t="shared" si="73"/>
        <v>0.81401620370370376</v>
      </c>
      <c r="Q2330" s="23">
        <f>SUM($O$2:O2330)</f>
        <v>66</v>
      </c>
      <c r="Y2330" s="14"/>
      <c r="Z2330" s="13"/>
      <c r="AA2330"/>
    </row>
    <row r="2331" spans="1:27" x14ac:dyDescent="0.2">
      <c r="A2331" s="12" t="s">
        <v>7086</v>
      </c>
      <c r="B2331" t="s">
        <v>7087</v>
      </c>
      <c r="C2331" t="s">
        <v>7088</v>
      </c>
      <c r="D2331" t="s">
        <v>12</v>
      </c>
      <c r="E2331" t="s">
        <v>13</v>
      </c>
      <c r="F2331">
        <v>135</v>
      </c>
      <c r="G2331">
        <v>205</v>
      </c>
      <c r="H2331" s="5" t="s">
        <v>59</v>
      </c>
      <c r="I2331" s="5">
        <v>0</v>
      </c>
      <c r="J2331" s="5">
        <v>0</v>
      </c>
      <c r="K2331" t="s">
        <v>11369</v>
      </c>
      <c r="L2331" cm="1">
        <f t="array" ref="L2331">wordCount(K2331)</f>
        <v>14</v>
      </c>
      <c r="M2331">
        <f t="shared" si="72"/>
        <v>57</v>
      </c>
      <c r="N2331">
        <v>0.56521739130434778</v>
      </c>
      <c r="O2331" s="23" cm="1">
        <f t="array" ref="O2331">WordListCount(K2331,keywords!$A$2:$A$31)-WordListCount(K2331,keywords!$B$2:$B$31)</f>
        <v>0</v>
      </c>
      <c r="P2331" s="25">
        <f t="shared" si="73"/>
        <v>0.81402777777777768</v>
      </c>
      <c r="Q2331" s="23">
        <f>SUM($O$2:O2331)</f>
        <v>66</v>
      </c>
      <c r="Y2331" s="14"/>
      <c r="Z2331" s="13"/>
      <c r="AA2331"/>
    </row>
    <row r="2332" spans="1:27" x14ac:dyDescent="0.2">
      <c r="A2332" s="12" t="s">
        <v>7089</v>
      </c>
      <c r="B2332" t="s">
        <v>7090</v>
      </c>
      <c r="C2332" t="s">
        <v>7091</v>
      </c>
      <c r="D2332" t="s">
        <v>7092</v>
      </c>
      <c r="E2332" t="s">
        <v>13</v>
      </c>
      <c r="F2332">
        <v>1055</v>
      </c>
      <c r="G2332">
        <v>1475</v>
      </c>
      <c r="H2332" s="5" t="s">
        <v>22</v>
      </c>
      <c r="I2332" s="5">
        <v>0</v>
      </c>
      <c r="J2332" s="5">
        <v>0</v>
      </c>
      <c r="K2332" t="s">
        <v>11370</v>
      </c>
      <c r="L2332" cm="1">
        <f t="array" ref="L2332">wordCount(K2332)</f>
        <v>23</v>
      </c>
      <c r="M2332">
        <f t="shared" si="72"/>
        <v>115</v>
      </c>
      <c r="N2332">
        <v>0.51851851851851849</v>
      </c>
      <c r="O2332" s="23" cm="1">
        <f t="array" ref="O2332">WordListCount(K2332,keywords!$A$2:$A$31)-WordListCount(K2332,keywords!$B$2:$B$31)</f>
        <v>0</v>
      </c>
      <c r="P2332" s="25">
        <f t="shared" si="73"/>
        <v>0.81425925925925924</v>
      </c>
      <c r="Q2332" s="23">
        <f>SUM($O$2:O2332)</f>
        <v>66</v>
      </c>
      <c r="Y2332" s="14"/>
      <c r="Z2332" s="13"/>
      <c r="AA2332"/>
    </row>
    <row r="2333" spans="1:27" x14ac:dyDescent="0.2">
      <c r="A2333" s="12" t="s">
        <v>7093</v>
      </c>
      <c r="B2333" t="s">
        <v>7094</v>
      </c>
      <c r="C2333" t="s">
        <v>2486</v>
      </c>
      <c r="D2333" t="s">
        <v>74</v>
      </c>
      <c r="E2333" t="s">
        <v>13</v>
      </c>
      <c r="F2333">
        <v>169</v>
      </c>
      <c r="G2333">
        <v>52</v>
      </c>
      <c r="H2333" s="5" t="s">
        <v>22</v>
      </c>
      <c r="I2333" s="5">
        <v>0</v>
      </c>
      <c r="J2333" s="5">
        <v>0</v>
      </c>
      <c r="K2333" t="s">
        <v>11371</v>
      </c>
      <c r="L2333" cm="1">
        <f t="array" ref="L2333">wordCount(K2333)</f>
        <v>9</v>
      </c>
      <c r="M2333">
        <f t="shared" si="72"/>
        <v>51</v>
      </c>
      <c r="N2333">
        <v>0.72</v>
      </c>
      <c r="O2333" s="23" cm="1">
        <f t="array" ref="O2333">WordListCount(K2333,keywords!$A$2:$A$31)-WordListCount(K2333,keywords!$B$2:$B$31)</f>
        <v>0</v>
      </c>
      <c r="P2333" s="25">
        <f t="shared" si="73"/>
        <v>0.81442129629629623</v>
      </c>
      <c r="Q2333" s="23">
        <f>SUM($O$2:O2333)</f>
        <v>66</v>
      </c>
      <c r="Y2333" s="14"/>
      <c r="Z2333" s="13"/>
      <c r="AA2333"/>
    </row>
    <row r="2334" spans="1:27" x14ac:dyDescent="0.2">
      <c r="A2334" s="12" t="s">
        <v>7095</v>
      </c>
      <c r="B2334" t="s">
        <v>7096</v>
      </c>
      <c r="C2334" t="s">
        <v>7097</v>
      </c>
      <c r="D2334" t="s">
        <v>12</v>
      </c>
      <c r="E2334" t="s">
        <v>13</v>
      </c>
      <c r="F2334">
        <v>3</v>
      </c>
      <c r="G2334">
        <v>21</v>
      </c>
      <c r="H2334" s="5" t="s">
        <v>22</v>
      </c>
      <c r="I2334" s="5">
        <v>0</v>
      </c>
      <c r="J2334" s="5">
        <v>0</v>
      </c>
      <c r="K2334" t="s">
        <v>11372</v>
      </c>
      <c r="L2334" cm="1">
        <f t="array" ref="L2334">wordCount(K2334)</f>
        <v>4</v>
      </c>
      <c r="M2334">
        <f t="shared" si="72"/>
        <v>9</v>
      </c>
      <c r="N2334">
        <v>0.8</v>
      </c>
      <c r="O2334" s="23" cm="1">
        <f t="array" ref="O2334">WordListCount(K2334,keywords!$A$2:$A$31)-WordListCount(K2334,keywords!$B$2:$B$31)</f>
        <v>0</v>
      </c>
      <c r="P2334" s="25">
        <f t="shared" si="73"/>
        <v>0.81443287037037038</v>
      </c>
      <c r="Q2334" s="23">
        <f>SUM($O$2:O2334)</f>
        <v>66</v>
      </c>
      <c r="Y2334" s="14"/>
      <c r="Z2334" s="13"/>
      <c r="AA2334"/>
    </row>
    <row r="2335" spans="1:27" x14ac:dyDescent="0.2">
      <c r="A2335" s="12" t="s">
        <v>7098</v>
      </c>
      <c r="B2335" t="s">
        <v>7099</v>
      </c>
      <c r="C2335" t="s">
        <v>7100</v>
      </c>
      <c r="D2335" t="s">
        <v>12</v>
      </c>
      <c r="E2335" t="s">
        <v>13</v>
      </c>
      <c r="F2335">
        <v>145</v>
      </c>
      <c r="G2335">
        <v>230</v>
      </c>
      <c r="H2335" s="5" t="s">
        <v>96</v>
      </c>
      <c r="I2335" s="5">
        <v>0</v>
      </c>
      <c r="J2335" s="5">
        <v>0</v>
      </c>
      <c r="K2335" t="s">
        <v>11373</v>
      </c>
      <c r="L2335" cm="1">
        <f t="array" ref="L2335">wordCount(K2335)</f>
        <v>10</v>
      </c>
      <c r="M2335">
        <f t="shared" si="72"/>
        <v>50</v>
      </c>
      <c r="N2335">
        <v>0.78260869565217395</v>
      </c>
      <c r="O2335" s="23" cm="1">
        <f t="array" ref="O2335">WordListCount(K2335,keywords!$A$2:$A$31)-WordListCount(K2335,keywords!$B$2:$B$31)</f>
        <v>0</v>
      </c>
      <c r="P2335" s="25">
        <f t="shared" si="73"/>
        <v>0.81457175925925929</v>
      </c>
      <c r="Q2335" s="23">
        <f>SUM($O$2:O2335)</f>
        <v>66</v>
      </c>
      <c r="Y2335" s="14"/>
      <c r="Z2335" s="13"/>
      <c r="AA2335"/>
    </row>
    <row r="2336" spans="1:27" x14ac:dyDescent="0.2">
      <c r="A2336" s="12" t="s">
        <v>7101</v>
      </c>
      <c r="B2336" t="s">
        <v>7102</v>
      </c>
      <c r="C2336" t="s">
        <v>7103</v>
      </c>
      <c r="D2336" t="s">
        <v>12</v>
      </c>
      <c r="E2336" t="s">
        <v>13</v>
      </c>
      <c r="F2336">
        <v>137</v>
      </c>
      <c r="G2336">
        <v>154</v>
      </c>
      <c r="H2336" s="5" t="s">
        <v>22</v>
      </c>
      <c r="I2336" s="5">
        <v>0</v>
      </c>
      <c r="J2336" s="5">
        <v>0</v>
      </c>
      <c r="K2336" t="s">
        <v>11374</v>
      </c>
      <c r="L2336" cm="1">
        <f t="array" ref="L2336">wordCount(K2336)</f>
        <v>15</v>
      </c>
      <c r="M2336">
        <f t="shared" si="72"/>
        <v>80</v>
      </c>
      <c r="N2336">
        <v>0.45833333333333331</v>
      </c>
      <c r="O2336" s="23" cm="1">
        <f t="array" ref="O2336">WordListCount(K2336,keywords!$A$2:$A$31)-WordListCount(K2336,keywords!$B$2:$B$31)</f>
        <v>0</v>
      </c>
      <c r="P2336" s="25">
        <f t="shared" si="73"/>
        <v>0.81464120370370363</v>
      </c>
      <c r="Q2336" s="23">
        <f>SUM($O$2:O2336)</f>
        <v>66</v>
      </c>
      <c r="Y2336" s="14"/>
      <c r="Z2336" s="13"/>
      <c r="AA2336"/>
    </row>
    <row r="2337" spans="1:27" x14ac:dyDescent="0.2">
      <c r="A2337" s="12" t="s">
        <v>7104</v>
      </c>
      <c r="B2337" t="s">
        <v>7105</v>
      </c>
      <c r="C2337" t="s">
        <v>7106</v>
      </c>
      <c r="D2337" t="s">
        <v>12</v>
      </c>
      <c r="E2337" t="s">
        <v>13</v>
      </c>
      <c r="F2337">
        <v>9</v>
      </c>
      <c r="G2337">
        <v>232</v>
      </c>
      <c r="H2337" s="5" t="s">
        <v>393</v>
      </c>
      <c r="I2337" s="5">
        <v>0</v>
      </c>
      <c r="J2337" s="5">
        <v>0</v>
      </c>
      <c r="K2337" t="s">
        <v>9724</v>
      </c>
      <c r="L2337" cm="1">
        <f t="array" ref="L2337">wordCount(K2337)</f>
        <v>6</v>
      </c>
      <c r="M2337">
        <f t="shared" si="72"/>
        <v>30</v>
      </c>
      <c r="N2337">
        <v>0.5</v>
      </c>
      <c r="O2337" s="23" cm="1">
        <f t="array" ref="O2337">WordListCount(K2337,keywords!$A$2:$A$31)-WordListCount(K2337,keywords!$B$2:$B$31)</f>
        <v>0</v>
      </c>
      <c r="P2337" s="25">
        <f t="shared" si="73"/>
        <v>0.8149074074074073</v>
      </c>
      <c r="Q2337" s="23">
        <f>SUM($O$2:O2337)</f>
        <v>66</v>
      </c>
      <c r="Y2337" s="14"/>
      <c r="Z2337" s="13"/>
      <c r="AA2337"/>
    </row>
    <row r="2338" spans="1:27" x14ac:dyDescent="0.2">
      <c r="A2338" s="12" t="s">
        <v>7107</v>
      </c>
      <c r="B2338" t="s">
        <v>7108</v>
      </c>
      <c r="C2338" t="s">
        <v>7109</v>
      </c>
      <c r="D2338" t="s">
        <v>7110</v>
      </c>
      <c r="E2338" t="s">
        <v>13</v>
      </c>
      <c r="F2338">
        <v>27525</v>
      </c>
      <c r="G2338">
        <v>1200</v>
      </c>
      <c r="H2338" s="5" t="s">
        <v>22</v>
      </c>
      <c r="I2338" s="5">
        <v>0</v>
      </c>
      <c r="J2338" s="5">
        <v>0</v>
      </c>
      <c r="K2338" t="s">
        <v>9725</v>
      </c>
      <c r="L2338" cm="1">
        <f t="array" ref="L2338">wordCount(K2338)</f>
        <v>16</v>
      </c>
      <c r="M2338">
        <f t="shared" si="72"/>
        <v>80</v>
      </c>
      <c r="N2338">
        <v>0.4</v>
      </c>
      <c r="O2338" s="23" cm="1">
        <f t="array" ref="O2338">WordListCount(K2338,keywords!$A$2:$A$31)-WordListCount(K2338,keywords!$B$2:$B$31)</f>
        <v>0</v>
      </c>
      <c r="P2338" s="25">
        <f t="shared" si="73"/>
        <v>0.81497685185185187</v>
      </c>
      <c r="Q2338" s="23">
        <f>SUM($O$2:O2338)</f>
        <v>66</v>
      </c>
      <c r="Y2338" s="14"/>
      <c r="Z2338" s="13"/>
      <c r="AA2338"/>
    </row>
    <row r="2339" spans="1:27" x14ac:dyDescent="0.2">
      <c r="A2339" s="12" t="s">
        <v>7111</v>
      </c>
      <c r="B2339" t="s">
        <v>7112</v>
      </c>
      <c r="C2339" t="s">
        <v>7113</v>
      </c>
      <c r="D2339" t="s">
        <v>4209</v>
      </c>
      <c r="E2339" t="s">
        <v>47</v>
      </c>
      <c r="F2339">
        <v>3058</v>
      </c>
      <c r="G2339">
        <v>877</v>
      </c>
      <c r="H2339" s="5" t="s">
        <v>22</v>
      </c>
      <c r="I2339" s="5">
        <v>0</v>
      </c>
      <c r="J2339" s="5">
        <v>0</v>
      </c>
      <c r="K2339" t="s">
        <v>9726</v>
      </c>
      <c r="L2339" cm="1">
        <f t="array" ref="L2339">wordCount(K2339)</f>
        <v>13</v>
      </c>
      <c r="M2339">
        <f t="shared" si="72"/>
        <v>61</v>
      </c>
      <c r="N2339">
        <v>0.64</v>
      </c>
      <c r="O2339" s="23" cm="1">
        <f t="array" ref="O2339">WordListCount(K2339,keywords!$A$2:$A$31)-WordListCount(K2339,keywords!$B$2:$B$31)</f>
        <v>1</v>
      </c>
      <c r="P2339" s="25">
        <f t="shared" si="73"/>
        <v>0.81517361111111108</v>
      </c>
      <c r="Q2339" s="23">
        <f>SUM($O$2:O2339)</f>
        <v>67</v>
      </c>
      <c r="Y2339" s="14"/>
      <c r="Z2339" s="13"/>
      <c r="AA2339"/>
    </row>
    <row r="2340" spans="1:27" x14ac:dyDescent="0.2">
      <c r="A2340" s="12" t="s">
        <v>7114</v>
      </c>
      <c r="B2340" t="s">
        <v>7115</v>
      </c>
      <c r="C2340" t="s">
        <v>7116</v>
      </c>
      <c r="D2340" t="s">
        <v>1967</v>
      </c>
      <c r="E2340" t="s">
        <v>13</v>
      </c>
      <c r="F2340">
        <v>636</v>
      </c>
      <c r="G2340">
        <v>1186</v>
      </c>
      <c r="H2340" s="5" t="s">
        <v>22</v>
      </c>
      <c r="I2340" s="5">
        <v>0</v>
      </c>
      <c r="J2340" s="5">
        <v>0</v>
      </c>
      <c r="K2340" t="s">
        <v>11375</v>
      </c>
      <c r="L2340" cm="1">
        <f t="array" ref="L2340">wordCount(K2340)</f>
        <v>10</v>
      </c>
      <c r="M2340">
        <f t="shared" si="72"/>
        <v>54</v>
      </c>
      <c r="N2340">
        <v>0.5625</v>
      </c>
      <c r="O2340" s="23" cm="1">
        <f t="array" ref="O2340">WordListCount(K2340,keywords!$A$2:$A$31)-WordListCount(K2340,keywords!$B$2:$B$31)</f>
        <v>0</v>
      </c>
      <c r="P2340" s="25">
        <f t="shared" si="73"/>
        <v>0.81542824074074083</v>
      </c>
      <c r="Q2340" s="23">
        <f>SUM($O$2:O2340)</f>
        <v>67</v>
      </c>
      <c r="Y2340" s="14"/>
      <c r="Z2340" s="13"/>
      <c r="AA2340"/>
    </row>
    <row r="2341" spans="1:27" x14ac:dyDescent="0.2">
      <c r="A2341" s="12" t="s">
        <v>7117</v>
      </c>
      <c r="B2341" t="s">
        <v>7118</v>
      </c>
      <c r="C2341" t="s">
        <v>7119</v>
      </c>
      <c r="D2341" t="s">
        <v>7120</v>
      </c>
      <c r="E2341" t="s">
        <v>13</v>
      </c>
      <c r="F2341">
        <v>171</v>
      </c>
      <c r="G2341">
        <v>98</v>
      </c>
      <c r="H2341" s="5" t="s">
        <v>22</v>
      </c>
      <c r="I2341" s="5">
        <v>0</v>
      </c>
      <c r="J2341" s="5">
        <v>0</v>
      </c>
      <c r="K2341" t="s">
        <v>11376</v>
      </c>
      <c r="L2341" cm="1">
        <f t="array" ref="L2341">wordCount(K2341)</f>
        <v>11</v>
      </c>
      <c r="M2341">
        <f t="shared" si="72"/>
        <v>61</v>
      </c>
      <c r="N2341">
        <v>0.625</v>
      </c>
      <c r="O2341" s="23" cm="1">
        <f t="array" ref="O2341">WordListCount(K2341,keywords!$A$2:$A$31)-WordListCount(K2341,keywords!$B$2:$B$31)</f>
        <v>0</v>
      </c>
      <c r="P2341" s="25">
        <f t="shared" si="73"/>
        <v>0.81567129629629631</v>
      </c>
      <c r="Q2341" s="23">
        <f>SUM($O$2:O2341)</f>
        <v>67</v>
      </c>
      <c r="Y2341" s="14"/>
      <c r="Z2341" s="13"/>
      <c r="AA2341"/>
    </row>
    <row r="2342" spans="1:27" x14ac:dyDescent="0.2">
      <c r="A2342" s="12" t="s">
        <v>7121</v>
      </c>
      <c r="B2342" t="s">
        <v>7122</v>
      </c>
      <c r="C2342" t="s">
        <v>7123</v>
      </c>
      <c r="D2342" t="s">
        <v>7124</v>
      </c>
      <c r="E2342" t="s">
        <v>13</v>
      </c>
      <c r="F2342">
        <v>6979</v>
      </c>
      <c r="G2342">
        <v>6186</v>
      </c>
      <c r="H2342" s="5" t="s">
        <v>22</v>
      </c>
      <c r="I2342" s="5">
        <v>0</v>
      </c>
      <c r="J2342" s="5">
        <v>0</v>
      </c>
      <c r="K2342" t="s">
        <v>11377</v>
      </c>
      <c r="L2342" cm="1">
        <f t="array" ref="L2342">wordCount(K2342)</f>
        <v>24</v>
      </c>
      <c r="M2342">
        <f t="shared" si="72"/>
        <v>117</v>
      </c>
      <c r="N2342">
        <v>0.54285714285714282</v>
      </c>
      <c r="O2342" s="23" cm="1">
        <f t="array" ref="O2342">WordListCount(K2342,keywords!$A$2:$A$31)-WordListCount(K2342,keywords!$B$2:$B$31)</f>
        <v>0</v>
      </c>
      <c r="P2342" s="25">
        <f t="shared" si="73"/>
        <v>0.81576388888888884</v>
      </c>
      <c r="Q2342" s="23">
        <f>SUM($O$2:O2342)</f>
        <v>67</v>
      </c>
      <c r="Y2342" s="14"/>
      <c r="Z2342" s="13"/>
      <c r="AA2342"/>
    </row>
    <row r="2343" spans="1:27" x14ac:dyDescent="0.2">
      <c r="A2343" s="12" t="s">
        <v>7125</v>
      </c>
      <c r="B2343" t="s">
        <v>7126</v>
      </c>
      <c r="C2343" t="s">
        <v>684</v>
      </c>
      <c r="D2343" t="s">
        <v>12</v>
      </c>
      <c r="E2343" t="s">
        <v>13</v>
      </c>
      <c r="F2343">
        <v>3</v>
      </c>
      <c r="G2343">
        <v>75</v>
      </c>
      <c r="H2343" s="5" t="s">
        <v>22</v>
      </c>
      <c r="I2343" s="5">
        <v>0</v>
      </c>
      <c r="J2343" s="5">
        <v>0</v>
      </c>
      <c r="K2343" t="s">
        <v>11378</v>
      </c>
      <c r="L2343" cm="1">
        <f t="array" ref="L2343">wordCount(K2343)</f>
        <v>16</v>
      </c>
      <c r="M2343">
        <f t="shared" si="72"/>
        <v>85</v>
      </c>
      <c r="N2343">
        <v>0.60869565217391308</v>
      </c>
      <c r="O2343" s="23" cm="1">
        <f t="array" ref="O2343">WordListCount(K2343,keywords!$A$2:$A$31)-WordListCount(K2343,keywords!$B$2:$B$31)</f>
        <v>-1</v>
      </c>
      <c r="P2343" s="25">
        <f t="shared" si="73"/>
        <v>0.81626157407407407</v>
      </c>
      <c r="Q2343" s="23">
        <f>SUM($O$2:O2343)</f>
        <v>66</v>
      </c>
      <c r="Y2343" s="14"/>
      <c r="Z2343" s="13"/>
      <c r="AA2343"/>
    </row>
    <row r="2344" spans="1:27" x14ac:dyDescent="0.2">
      <c r="A2344" s="12" t="s">
        <v>7127</v>
      </c>
      <c r="B2344" t="s">
        <v>7128</v>
      </c>
      <c r="C2344" t="s">
        <v>7129</v>
      </c>
      <c r="D2344" t="s">
        <v>12</v>
      </c>
      <c r="E2344" t="s">
        <v>13</v>
      </c>
      <c r="F2344">
        <v>87054</v>
      </c>
      <c r="G2344">
        <v>83388</v>
      </c>
      <c r="H2344" s="5" t="s">
        <v>22</v>
      </c>
      <c r="I2344" s="5">
        <v>0</v>
      </c>
      <c r="J2344" s="5">
        <v>0</v>
      </c>
      <c r="K2344" t="s">
        <v>11379</v>
      </c>
      <c r="L2344" cm="1">
        <f t="array" ref="L2344">wordCount(K2344)</f>
        <v>26</v>
      </c>
      <c r="M2344">
        <f t="shared" si="72"/>
        <v>127</v>
      </c>
      <c r="N2344">
        <v>0.2857142857142857</v>
      </c>
      <c r="O2344" s="23" cm="1">
        <f t="array" ref="O2344">WordListCount(K2344,keywords!$A$2:$A$31)-WordListCount(K2344,keywords!$B$2:$B$31)</f>
        <v>1</v>
      </c>
      <c r="P2344" s="25">
        <f t="shared" si="73"/>
        <v>0.81630787037037045</v>
      </c>
      <c r="Q2344" s="23">
        <f>SUM($O$2:O2344)</f>
        <v>67</v>
      </c>
      <c r="Y2344" s="14"/>
      <c r="Z2344" s="13"/>
      <c r="AA2344"/>
    </row>
    <row r="2345" spans="1:27" x14ac:dyDescent="0.2">
      <c r="A2345" s="12" t="s">
        <v>7130</v>
      </c>
      <c r="B2345" t="s">
        <v>7131</v>
      </c>
      <c r="C2345" t="s">
        <v>7132</v>
      </c>
      <c r="D2345" t="s">
        <v>12</v>
      </c>
      <c r="E2345" t="s">
        <v>13</v>
      </c>
      <c r="F2345">
        <v>3</v>
      </c>
      <c r="G2345">
        <v>1</v>
      </c>
      <c r="H2345" s="5" t="s">
        <v>22</v>
      </c>
      <c r="I2345" s="5">
        <v>0</v>
      </c>
      <c r="J2345" s="5">
        <v>0</v>
      </c>
      <c r="K2345" t="s">
        <v>11380</v>
      </c>
      <c r="L2345" cm="1">
        <f t="array" ref="L2345">wordCount(K2345)</f>
        <v>19</v>
      </c>
      <c r="M2345">
        <f t="shared" si="72"/>
        <v>90</v>
      </c>
      <c r="N2345">
        <v>0.58620689655172409</v>
      </c>
      <c r="O2345" s="23" cm="1">
        <f t="array" ref="O2345">WordListCount(K2345,keywords!$A$2:$A$31)-WordListCount(K2345,keywords!$B$2:$B$31)</f>
        <v>0</v>
      </c>
      <c r="P2345" s="25">
        <f t="shared" si="73"/>
        <v>0.8165162037037037</v>
      </c>
      <c r="Q2345" s="23">
        <f>SUM($O$2:O2345)</f>
        <v>67</v>
      </c>
      <c r="Y2345" s="14"/>
      <c r="Z2345" s="13"/>
      <c r="AA2345"/>
    </row>
    <row r="2346" spans="1:27" x14ac:dyDescent="0.2">
      <c r="A2346" s="12" t="s">
        <v>7133</v>
      </c>
      <c r="B2346" t="s">
        <v>7134</v>
      </c>
      <c r="C2346" t="s">
        <v>7135</v>
      </c>
      <c r="D2346" t="s">
        <v>12</v>
      </c>
      <c r="E2346" t="s">
        <v>13</v>
      </c>
      <c r="F2346">
        <v>610</v>
      </c>
      <c r="G2346">
        <v>389</v>
      </c>
      <c r="H2346" s="5" t="s">
        <v>22</v>
      </c>
      <c r="I2346" s="5">
        <v>0</v>
      </c>
      <c r="J2346" s="5">
        <v>0</v>
      </c>
      <c r="K2346" t="s">
        <v>9727</v>
      </c>
      <c r="L2346" cm="1">
        <f t="array" ref="L2346">wordCount(K2346)</f>
        <v>11</v>
      </c>
      <c r="M2346">
        <f t="shared" si="72"/>
        <v>66</v>
      </c>
      <c r="N2346">
        <v>0.3888888888888889</v>
      </c>
      <c r="O2346" s="23" cm="1">
        <f t="array" ref="O2346">WordListCount(K2346,keywords!$A$2:$A$31)-WordListCount(K2346,keywords!$B$2:$B$31)</f>
        <v>0</v>
      </c>
      <c r="P2346" s="25">
        <f t="shared" si="73"/>
        <v>0.81658564814814805</v>
      </c>
      <c r="Q2346" s="23">
        <f>SUM($O$2:O2346)</f>
        <v>67</v>
      </c>
      <c r="Y2346" s="14"/>
      <c r="Z2346" s="13"/>
      <c r="AA2346"/>
    </row>
    <row r="2347" spans="1:27" x14ac:dyDescent="0.2">
      <c r="A2347" s="12" t="s">
        <v>7136</v>
      </c>
      <c r="B2347" t="s">
        <v>7137</v>
      </c>
      <c r="C2347" t="s">
        <v>7138</v>
      </c>
      <c r="D2347" t="s">
        <v>7139</v>
      </c>
      <c r="E2347" t="s">
        <v>13</v>
      </c>
      <c r="F2347">
        <v>118</v>
      </c>
      <c r="G2347">
        <v>180</v>
      </c>
      <c r="H2347" s="5" t="s">
        <v>22</v>
      </c>
      <c r="I2347" s="5">
        <v>0</v>
      </c>
      <c r="J2347" s="5">
        <v>0</v>
      </c>
      <c r="K2347" t="s">
        <v>11381</v>
      </c>
      <c r="L2347" cm="1">
        <f t="array" ref="L2347">wordCount(K2347)</f>
        <v>20</v>
      </c>
      <c r="M2347">
        <f t="shared" si="72"/>
        <v>100</v>
      </c>
      <c r="N2347">
        <v>0.63636363636363635</v>
      </c>
      <c r="O2347" s="23" cm="1">
        <f t="array" ref="O2347">WordListCount(K2347,keywords!$A$2:$A$31)-WordListCount(K2347,keywords!$B$2:$B$31)</f>
        <v>0</v>
      </c>
      <c r="P2347" s="25">
        <f t="shared" si="73"/>
        <v>0.81686342592592587</v>
      </c>
      <c r="Q2347" s="23">
        <f>SUM($O$2:O2347)</f>
        <v>67</v>
      </c>
      <c r="Y2347" s="14"/>
      <c r="Z2347" s="13"/>
      <c r="AA2347"/>
    </row>
    <row r="2348" spans="1:27" x14ac:dyDescent="0.2">
      <c r="A2348" s="12" t="s">
        <v>7140</v>
      </c>
      <c r="B2348" t="s">
        <v>7141</v>
      </c>
      <c r="C2348" t="s">
        <v>7142</v>
      </c>
      <c r="D2348" t="s">
        <v>4030</v>
      </c>
      <c r="E2348" t="s">
        <v>13</v>
      </c>
      <c r="F2348">
        <v>727</v>
      </c>
      <c r="G2348">
        <v>840</v>
      </c>
      <c r="H2348" s="5" t="s">
        <v>22</v>
      </c>
      <c r="I2348" s="5">
        <v>0</v>
      </c>
      <c r="J2348" s="5">
        <v>0</v>
      </c>
      <c r="K2348" t="s">
        <v>11382</v>
      </c>
      <c r="L2348" cm="1">
        <f t="array" ref="L2348">wordCount(K2348)</f>
        <v>21</v>
      </c>
      <c r="M2348">
        <f t="shared" si="72"/>
        <v>100</v>
      </c>
      <c r="N2348">
        <v>5.5555555555555552E-2</v>
      </c>
      <c r="O2348" s="23" cm="1">
        <f t="array" ref="O2348">WordListCount(K2348,keywords!$A$2:$A$31)-WordListCount(K2348,keywords!$B$2:$B$31)</f>
        <v>0</v>
      </c>
      <c r="P2348" s="25">
        <f t="shared" si="73"/>
        <v>0.8169791666666667</v>
      </c>
      <c r="Q2348" s="23">
        <f>SUM($O$2:O2348)</f>
        <v>67</v>
      </c>
      <c r="Y2348" s="14"/>
      <c r="Z2348" s="13"/>
      <c r="AA2348"/>
    </row>
    <row r="2349" spans="1:27" x14ac:dyDescent="0.2">
      <c r="A2349" s="12" t="s">
        <v>7143</v>
      </c>
      <c r="B2349" t="s">
        <v>7144</v>
      </c>
      <c r="C2349" t="s">
        <v>459</v>
      </c>
      <c r="D2349" t="s">
        <v>12</v>
      </c>
      <c r="E2349" t="s">
        <v>13</v>
      </c>
      <c r="F2349">
        <v>12</v>
      </c>
      <c r="G2349">
        <v>1</v>
      </c>
      <c r="H2349" s="5" t="s">
        <v>22</v>
      </c>
      <c r="I2349" s="5">
        <v>0</v>
      </c>
      <c r="J2349" s="5">
        <v>0</v>
      </c>
      <c r="K2349" t="s">
        <v>9728</v>
      </c>
      <c r="L2349" cm="1">
        <f t="array" ref="L2349">wordCount(K2349)</f>
        <v>15</v>
      </c>
      <c r="M2349">
        <f t="shared" si="72"/>
        <v>102</v>
      </c>
      <c r="N2349">
        <v>0.8125</v>
      </c>
      <c r="O2349" s="23" cm="1">
        <f t="array" ref="O2349">WordListCount(K2349,keywords!$A$2:$A$31)-WordListCount(K2349,keywords!$B$2:$B$31)</f>
        <v>0</v>
      </c>
      <c r="P2349" s="25">
        <f t="shared" si="73"/>
        <v>0.81703703703703701</v>
      </c>
      <c r="Q2349" s="23">
        <f>SUM($O$2:O2349)</f>
        <v>67</v>
      </c>
      <c r="Y2349" s="14"/>
      <c r="Z2349" s="13"/>
      <c r="AA2349"/>
    </row>
    <row r="2350" spans="1:27" x14ac:dyDescent="0.2">
      <c r="A2350" s="12" t="s">
        <v>7145</v>
      </c>
      <c r="B2350" t="s">
        <v>7146</v>
      </c>
      <c r="C2350" t="s">
        <v>7147</v>
      </c>
      <c r="D2350" t="s">
        <v>5115</v>
      </c>
      <c r="E2350" t="s">
        <v>13</v>
      </c>
      <c r="F2350">
        <v>1953</v>
      </c>
      <c r="G2350">
        <v>2435</v>
      </c>
      <c r="H2350" s="5" t="s">
        <v>22</v>
      </c>
      <c r="I2350" s="5">
        <v>0</v>
      </c>
      <c r="J2350" s="5">
        <v>0</v>
      </c>
      <c r="K2350" t="s">
        <v>9729</v>
      </c>
      <c r="L2350" cm="1">
        <f t="array" ref="L2350">wordCount(K2350)</f>
        <v>7</v>
      </c>
      <c r="M2350">
        <f t="shared" si="72"/>
        <v>32</v>
      </c>
      <c r="N2350">
        <v>0.33333333333333331</v>
      </c>
      <c r="O2350" s="23" cm="1">
        <f t="array" ref="O2350">WordListCount(K2350,keywords!$A$2:$A$31)-WordListCount(K2350,keywords!$B$2:$B$31)</f>
        <v>0</v>
      </c>
      <c r="P2350" s="25">
        <f t="shared" si="73"/>
        <v>0.81723379629629633</v>
      </c>
      <c r="Q2350" s="23">
        <f>SUM($O$2:O2350)</f>
        <v>67</v>
      </c>
      <c r="Y2350" s="14"/>
      <c r="Z2350" s="13"/>
      <c r="AA2350"/>
    </row>
    <row r="2351" spans="1:27" x14ac:dyDescent="0.2">
      <c r="A2351" s="12" t="s">
        <v>7148</v>
      </c>
      <c r="B2351" t="s">
        <v>7149</v>
      </c>
      <c r="C2351" t="s">
        <v>7150</v>
      </c>
      <c r="D2351" t="s">
        <v>875</v>
      </c>
      <c r="E2351" t="s">
        <v>13</v>
      </c>
      <c r="F2351">
        <v>137</v>
      </c>
      <c r="G2351">
        <v>779</v>
      </c>
      <c r="H2351" s="5" t="s">
        <v>125</v>
      </c>
      <c r="I2351" s="5">
        <v>0</v>
      </c>
      <c r="J2351" s="5">
        <v>0</v>
      </c>
      <c r="K2351" t="s">
        <v>11383</v>
      </c>
      <c r="L2351" cm="1">
        <f t="array" ref="L2351">wordCount(K2351)</f>
        <v>18</v>
      </c>
      <c r="M2351">
        <f t="shared" si="72"/>
        <v>97</v>
      </c>
      <c r="N2351">
        <v>0.3</v>
      </c>
      <c r="O2351" s="23" cm="1">
        <f t="array" ref="O2351">WordListCount(K2351,keywords!$A$2:$A$31)-WordListCount(K2351,keywords!$B$2:$B$31)</f>
        <v>0</v>
      </c>
      <c r="P2351" s="25">
        <f t="shared" si="73"/>
        <v>0.81731481481481483</v>
      </c>
      <c r="Q2351" s="23">
        <f>SUM($O$2:O2351)</f>
        <v>67</v>
      </c>
      <c r="Y2351" s="14"/>
      <c r="Z2351" s="13"/>
      <c r="AA2351"/>
    </row>
    <row r="2352" spans="1:27" x14ac:dyDescent="0.2">
      <c r="A2352" s="12" t="s">
        <v>7151</v>
      </c>
      <c r="B2352" t="s">
        <v>7152</v>
      </c>
      <c r="C2352" t="s">
        <v>7153</v>
      </c>
      <c r="D2352" t="s">
        <v>7154</v>
      </c>
      <c r="E2352" t="s">
        <v>13</v>
      </c>
      <c r="F2352">
        <v>20</v>
      </c>
      <c r="G2352">
        <v>63</v>
      </c>
      <c r="H2352" s="5" t="s">
        <v>22</v>
      </c>
      <c r="I2352" s="5">
        <v>0</v>
      </c>
      <c r="J2352" s="5">
        <v>0</v>
      </c>
      <c r="K2352" t="s">
        <v>9730</v>
      </c>
      <c r="L2352" cm="1">
        <f t="array" ref="L2352">wordCount(K2352)</f>
        <v>5</v>
      </c>
      <c r="M2352">
        <f t="shared" si="72"/>
        <v>21</v>
      </c>
      <c r="N2352">
        <v>0.5</v>
      </c>
      <c r="O2352" s="23" cm="1">
        <f t="array" ref="O2352">WordListCount(K2352,keywords!$A$2:$A$31)-WordListCount(K2352,keywords!$B$2:$B$31)</f>
        <v>0</v>
      </c>
      <c r="P2352" s="25">
        <f t="shared" si="73"/>
        <v>0.81736111111111109</v>
      </c>
      <c r="Q2352" s="23">
        <f>SUM($O$2:O2352)</f>
        <v>67</v>
      </c>
      <c r="Y2352" s="14"/>
      <c r="Z2352" s="13"/>
      <c r="AA2352"/>
    </row>
    <row r="2353" spans="1:27" x14ac:dyDescent="0.2">
      <c r="A2353" s="12" t="s">
        <v>7155</v>
      </c>
      <c r="B2353" t="s">
        <v>7156</v>
      </c>
      <c r="C2353" t="s">
        <v>7157</v>
      </c>
      <c r="D2353" t="s">
        <v>7158</v>
      </c>
      <c r="E2353" t="s">
        <v>13</v>
      </c>
      <c r="F2353">
        <v>168</v>
      </c>
      <c r="G2353">
        <v>174</v>
      </c>
      <c r="H2353" s="5" t="s">
        <v>59</v>
      </c>
      <c r="I2353" s="5">
        <v>0</v>
      </c>
      <c r="J2353" s="5">
        <v>0</v>
      </c>
      <c r="K2353" t="s">
        <v>11384</v>
      </c>
      <c r="L2353" cm="1">
        <f t="array" ref="L2353">wordCount(K2353)</f>
        <v>12</v>
      </c>
      <c r="M2353">
        <f t="shared" si="72"/>
        <v>72</v>
      </c>
      <c r="N2353">
        <v>0.58333333333333337</v>
      </c>
      <c r="O2353" s="23" cm="1">
        <f t="array" ref="O2353">WordListCount(K2353,keywords!$A$2:$A$31)-WordListCount(K2353,keywords!$B$2:$B$31)</f>
        <v>0</v>
      </c>
      <c r="P2353" s="25">
        <f t="shared" si="73"/>
        <v>0.81753472222222223</v>
      </c>
      <c r="Q2353" s="23">
        <f>SUM($O$2:O2353)</f>
        <v>67</v>
      </c>
      <c r="Y2353" s="14"/>
      <c r="Z2353" s="13"/>
      <c r="AA2353"/>
    </row>
    <row r="2354" spans="1:27" x14ac:dyDescent="0.2">
      <c r="A2354" s="12" t="s">
        <v>7159</v>
      </c>
      <c r="B2354" t="s">
        <v>7160</v>
      </c>
      <c r="C2354" t="s">
        <v>7161</v>
      </c>
      <c r="D2354" t="s">
        <v>7162</v>
      </c>
      <c r="E2354" t="s">
        <v>13</v>
      </c>
      <c r="F2354">
        <v>563</v>
      </c>
      <c r="G2354">
        <v>35</v>
      </c>
      <c r="H2354" s="5" t="s">
        <v>22</v>
      </c>
      <c r="I2354" s="5">
        <v>0</v>
      </c>
      <c r="J2354" s="5">
        <v>0</v>
      </c>
      <c r="K2354" t="s">
        <v>9731</v>
      </c>
      <c r="L2354" cm="1">
        <f t="array" ref="L2354">wordCount(K2354)</f>
        <v>14</v>
      </c>
      <c r="M2354">
        <f t="shared" si="72"/>
        <v>68</v>
      </c>
      <c r="N2354">
        <v>0.53846153846153844</v>
      </c>
      <c r="O2354" s="23" cm="1">
        <f t="array" ref="O2354">WordListCount(K2354,keywords!$A$2:$A$31)-WordListCount(K2354,keywords!$B$2:$B$31)</f>
        <v>0</v>
      </c>
      <c r="P2354" s="25">
        <f t="shared" si="73"/>
        <v>0.81754629629629638</v>
      </c>
      <c r="Q2354" s="23">
        <f>SUM($O$2:O2354)</f>
        <v>67</v>
      </c>
      <c r="Y2354" s="14"/>
      <c r="Z2354" s="13"/>
      <c r="AA2354"/>
    </row>
    <row r="2355" spans="1:27" x14ac:dyDescent="0.2">
      <c r="A2355" s="12" t="s">
        <v>7163</v>
      </c>
      <c r="B2355" t="s">
        <v>7164</v>
      </c>
      <c r="C2355" t="s">
        <v>7165</v>
      </c>
      <c r="D2355" t="s">
        <v>7166</v>
      </c>
      <c r="E2355" t="s">
        <v>13</v>
      </c>
      <c r="F2355">
        <v>1032</v>
      </c>
      <c r="G2355">
        <v>1810</v>
      </c>
      <c r="H2355" s="5" t="s">
        <v>22</v>
      </c>
      <c r="I2355" s="5">
        <v>0</v>
      </c>
      <c r="J2355" s="5">
        <v>0</v>
      </c>
      <c r="K2355" t="s">
        <v>11385</v>
      </c>
      <c r="L2355" cm="1">
        <f t="array" ref="L2355">wordCount(K2355)</f>
        <v>15</v>
      </c>
      <c r="M2355">
        <f t="shared" si="72"/>
        <v>85</v>
      </c>
      <c r="N2355">
        <v>0.61538461538461542</v>
      </c>
      <c r="O2355" s="23" cm="1">
        <f t="array" ref="O2355">WordListCount(K2355,keywords!$A$2:$A$31)-WordListCount(K2355,keywords!$B$2:$B$31)</f>
        <v>0</v>
      </c>
      <c r="P2355" s="25">
        <f t="shared" si="73"/>
        <v>0.81767361111111114</v>
      </c>
      <c r="Q2355" s="23">
        <f>SUM($O$2:O2355)</f>
        <v>67</v>
      </c>
      <c r="Y2355" s="14"/>
      <c r="Z2355" s="13"/>
      <c r="AA2355"/>
    </row>
    <row r="2356" spans="1:27" x14ac:dyDescent="0.2">
      <c r="A2356" s="12" t="s">
        <v>7167</v>
      </c>
      <c r="B2356" t="s">
        <v>7168</v>
      </c>
      <c r="C2356" t="s">
        <v>7169</v>
      </c>
      <c r="D2356" t="s">
        <v>344</v>
      </c>
      <c r="E2356" t="s">
        <v>13</v>
      </c>
      <c r="F2356">
        <v>1123</v>
      </c>
      <c r="G2356">
        <v>902</v>
      </c>
      <c r="H2356" s="5" t="s">
        <v>22</v>
      </c>
      <c r="I2356" s="5">
        <v>0</v>
      </c>
      <c r="J2356" s="5">
        <v>0</v>
      </c>
      <c r="K2356" t="s">
        <v>11386</v>
      </c>
      <c r="L2356" cm="1">
        <f t="array" ref="L2356">wordCount(K2356)</f>
        <v>9</v>
      </c>
      <c r="M2356">
        <f t="shared" si="72"/>
        <v>47</v>
      </c>
      <c r="N2356">
        <v>0.70833333333333337</v>
      </c>
      <c r="O2356" s="23" cm="1">
        <f t="array" ref="O2356">WordListCount(K2356,keywords!$A$2:$A$31)-WordListCount(K2356,keywords!$B$2:$B$31)</f>
        <v>0</v>
      </c>
      <c r="P2356" s="25">
        <f t="shared" si="73"/>
        <v>0.81796296296296289</v>
      </c>
      <c r="Q2356" s="23">
        <f>SUM($O$2:O2356)</f>
        <v>67</v>
      </c>
      <c r="Y2356" s="14"/>
      <c r="Z2356" s="13"/>
      <c r="AA2356"/>
    </row>
    <row r="2357" spans="1:27" x14ac:dyDescent="0.2">
      <c r="A2357" s="12" t="s">
        <v>7170</v>
      </c>
      <c r="B2357" t="s">
        <v>7171</v>
      </c>
      <c r="C2357" t="s">
        <v>1640</v>
      </c>
      <c r="D2357" t="s">
        <v>12</v>
      </c>
      <c r="E2357" t="s">
        <v>13</v>
      </c>
      <c r="F2357">
        <v>766</v>
      </c>
      <c r="G2357">
        <v>20</v>
      </c>
      <c r="H2357" s="5" t="s">
        <v>22</v>
      </c>
      <c r="I2357" s="5">
        <v>0</v>
      </c>
      <c r="J2357" s="5">
        <v>0</v>
      </c>
      <c r="K2357" t="s">
        <v>11387</v>
      </c>
      <c r="L2357" cm="1">
        <f t="array" ref="L2357">wordCount(K2357)</f>
        <v>9</v>
      </c>
      <c r="M2357">
        <f t="shared" si="72"/>
        <v>44</v>
      </c>
      <c r="N2357">
        <v>0.46153846153846156</v>
      </c>
      <c r="O2357" s="23" cm="1">
        <f t="array" ref="O2357">WordListCount(K2357,keywords!$A$2:$A$31)-WordListCount(K2357,keywords!$B$2:$B$31)</f>
        <v>0</v>
      </c>
      <c r="P2357" s="25">
        <f t="shared" si="73"/>
        <v>0.8181018518518518</v>
      </c>
      <c r="Q2357" s="23">
        <f>SUM($O$2:O2357)</f>
        <v>67</v>
      </c>
      <c r="Y2357" s="14"/>
      <c r="Z2357" s="13"/>
      <c r="AA2357"/>
    </row>
    <row r="2358" spans="1:27" x14ac:dyDescent="0.2">
      <c r="A2358" s="12" t="s">
        <v>7172</v>
      </c>
      <c r="B2358" t="s">
        <v>7173</v>
      </c>
      <c r="C2358" t="s">
        <v>7174</v>
      </c>
      <c r="D2358" t="s">
        <v>12</v>
      </c>
      <c r="E2358" t="s">
        <v>13</v>
      </c>
      <c r="F2358">
        <v>0</v>
      </c>
      <c r="G2358">
        <v>45</v>
      </c>
      <c r="H2358" s="5" t="s">
        <v>1823</v>
      </c>
      <c r="I2358" s="5">
        <v>0</v>
      </c>
      <c r="J2358" s="5">
        <v>0</v>
      </c>
      <c r="K2358" t="s">
        <v>11388</v>
      </c>
      <c r="L2358" cm="1">
        <f t="array" ref="L2358">wordCount(K2358)</f>
        <v>22</v>
      </c>
      <c r="M2358">
        <f t="shared" si="72"/>
        <v>99</v>
      </c>
      <c r="N2358">
        <v>0.2857142857142857</v>
      </c>
      <c r="O2358" s="23" cm="1">
        <f t="array" ref="O2358">WordListCount(K2358,keywords!$A$2:$A$31)-WordListCount(K2358,keywords!$B$2:$B$31)</f>
        <v>0</v>
      </c>
      <c r="P2358" s="25">
        <f t="shared" si="73"/>
        <v>0.81814814814814818</v>
      </c>
      <c r="Q2358" s="23">
        <f>SUM($O$2:O2358)</f>
        <v>67</v>
      </c>
      <c r="Y2358" s="14"/>
      <c r="Z2358" s="13"/>
      <c r="AA2358"/>
    </row>
    <row r="2359" spans="1:27" x14ac:dyDescent="0.2">
      <c r="A2359" s="12" t="s">
        <v>7175</v>
      </c>
      <c r="B2359" t="s">
        <v>7176</v>
      </c>
      <c r="C2359" t="s">
        <v>7177</v>
      </c>
      <c r="D2359" t="s">
        <v>12</v>
      </c>
      <c r="E2359" t="s">
        <v>13</v>
      </c>
      <c r="F2359">
        <v>23830</v>
      </c>
      <c r="G2359">
        <v>973</v>
      </c>
      <c r="H2359" s="5" t="s">
        <v>22</v>
      </c>
      <c r="I2359" s="5">
        <v>0</v>
      </c>
      <c r="J2359" s="5">
        <v>0</v>
      </c>
      <c r="K2359" t="s">
        <v>11389</v>
      </c>
      <c r="L2359" cm="1">
        <f t="array" ref="L2359">wordCount(K2359)</f>
        <v>17</v>
      </c>
      <c r="M2359">
        <f t="shared" si="72"/>
        <v>77</v>
      </c>
      <c r="N2359">
        <v>0.31578947368421051</v>
      </c>
      <c r="O2359" s="23" cm="1">
        <f t="array" ref="O2359">WordListCount(K2359,keywords!$A$2:$A$31)-WordListCount(K2359,keywords!$B$2:$B$31)</f>
        <v>0</v>
      </c>
      <c r="P2359" s="25">
        <f t="shared" si="73"/>
        <v>0.81821759259259252</v>
      </c>
      <c r="Q2359" s="23">
        <f>SUM($O$2:O2359)</f>
        <v>67</v>
      </c>
      <c r="Y2359" s="14"/>
      <c r="Z2359" s="13"/>
      <c r="AA2359"/>
    </row>
    <row r="2360" spans="1:27" x14ac:dyDescent="0.2">
      <c r="A2360" s="12" t="s">
        <v>7178</v>
      </c>
      <c r="B2360" t="s">
        <v>7179</v>
      </c>
      <c r="C2360" t="s">
        <v>7123</v>
      </c>
      <c r="D2360" t="s">
        <v>7124</v>
      </c>
      <c r="E2360" t="s">
        <v>13</v>
      </c>
      <c r="F2360">
        <v>6979</v>
      </c>
      <c r="G2360">
        <v>6188</v>
      </c>
      <c r="H2360" s="5" t="s">
        <v>22</v>
      </c>
      <c r="I2360" s="5">
        <v>0</v>
      </c>
      <c r="J2360" s="5">
        <v>0</v>
      </c>
      <c r="K2360" t="s">
        <v>11390</v>
      </c>
      <c r="L2360" cm="1">
        <f t="array" ref="L2360">wordCount(K2360)</f>
        <v>19</v>
      </c>
      <c r="M2360">
        <f t="shared" si="72"/>
        <v>98</v>
      </c>
      <c r="N2360">
        <v>0.44827586206896552</v>
      </c>
      <c r="O2360" s="23" cm="1">
        <f t="array" ref="O2360">WordListCount(K2360,keywords!$A$2:$A$31)-WordListCount(K2360,keywords!$B$2:$B$31)</f>
        <v>0</v>
      </c>
      <c r="P2360" s="25">
        <f t="shared" si="73"/>
        <v>0.81841435185185185</v>
      </c>
      <c r="Q2360" s="23">
        <f>SUM($O$2:O2360)</f>
        <v>67</v>
      </c>
      <c r="Y2360" s="14"/>
      <c r="Z2360" s="13"/>
      <c r="AA2360"/>
    </row>
    <row r="2361" spans="1:27" x14ac:dyDescent="0.2">
      <c r="A2361" s="12" t="s">
        <v>7180</v>
      </c>
      <c r="B2361" t="s">
        <v>7181</v>
      </c>
      <c r="C2361" t="s">
        <v>7182</v>
      </c>
      <c r="D2361" t="s">
        <v>7183</v>
      </c>
      <c r="E2361" t="s">
        <v>13</v>
      </c>
      <c r="F2361">
        <v>55</v>
      </c>
      <c r="G2361">
        <v>81</v>
      </c>
      <c r="H2361" s="5" t="s">
        <v>22</v>
      </c>
      <c r="I2361" s="5">
        <v>0</v>
      </c>
      <c r="J2361" s="5">
        <v>0</v>
      </c>
      <c r="K2361" t="s">
        <v>11391</v>
      </c>
      <c r="L2361" cm="1">
        <f t="array" ref="L2361">wordCount(K2361)</f>
        <v>17</v>
      </c>
      <c r="M2361">
        <f t="shared" si="72"/>
        <v>58</v>
      </c>
      <c r="N2361">
        <v>0.52631578947368418</v>
      </c>
      <c r="O2361" s="23" cm="1">
        <f t="array" ref="O2361">WordListCount(K2361,keywords!$A$2:$A$31)-WordListCount(K2361,keywords!$B$2:$B$31)</f>
        <v>0</v>
      </c>
      <c r="P2361" s="25">
        <f t="shared" si="73"/>
        <v>0.818425925925926</v>
      </c>
      <c r="Q2361" s="23">
        <f>SUM($O$2:O2361)</f>
        <v>67</v>
      </c>
      <c r="Y2361" s="14"/>
      <c r="Z2361" s="13"/>
      <c r="AA2361"/>
    </row>
    <row r="2362" spans="1:27" x14ac:dyDescent="0.2">
      <c r="A2362" s="12" t="s">
        <v>7184</v>
      </c>
      <c r="B2362" t="s">
        <v>7185</v>
      </c>
      <c r="C2362" t="s">
        <v>205</v>
      </c>
      <c r="D2362" t="s">
        <v>12</v>
      </c>
      <c r="E2362" t="s">
        <v>13</v>
      </c>
      <c r="F2362">
        <v>2868</v>
      </c>
      <c r="G2362">
        <v>6</v>
      </c>
      <c r="H2362" s="5" t="s">
        <v>22</v>
      </c>
      <c r="I2362" s="5">
        <v>0</v>
      </c>
      <c r="J2362" s="5">
        <v>0</v>
      </c>
      <c r="K2362" t="s">
        <v>9732</v>
      </c>
      <c r="L2362" cm="1">
        <f t="array" ref="L2362">wordCount(K2362)</f>
        <v>8</v>
      </c>
      <c r="M2362">
        <f t="shared" si="72"/>
        <v>55</v>
      </c>
      <c r="N2362">
        <v>0.77777777777777779</v>
      </c>
      <c r="O2362" s="23" cm="1">
        <f t="array" ref="O2362">WordListCount(K2362,keywords!$A$2:$A$31)-WordListCount(K2362,keywords!$B$2:$B$31)</f>
        <v>0</v>
      </c>
      <c r="P2362" s="25">
        <f t="shared" si="73"/>
        <v>0.81876157407407402</v>
      </c>
      <c r="Q2362" s="23">
        <f>SUM($O$2:O2362)</f>
        <v>67</v>
      </c>
      <c r="Y2362" s="14"/>
      <c r="Z2362" s="13"/>
      <c r="AA2362"/>
    </row>
    <row r="2363" spans="1:27" x14ac:dyDescent="0.2">
      <c r="A2363" s="12" t="s">
        <v>7186</v>
      </c>
      <c r="B2363" t="s">
        <v>7187</v>
      </c>
      <c r="C2363" t="s">
        <v>7188</v>
      </c>
      <c r="D2363" t="s">
        <v>12</v>
      </c>
      <c r="E2363" t="s">
        <v>13</v>
      </c>
      <c r="F2363">
        <v>17</v>
      </c>
      <c r="G2363">
        <v>97</v>
      </c>
      <c r="H2363" s="5" t="s">
        <v>22</v>
      </c>
      <c r="I2363" s="5">
        <v>0</v>
      </c>
      <c r="J2363" s="5">
        <v>0</v>
      </c>
      <c r="K2363" t="s">
        <v>11392</v>
      </c>
      <c r="L2363" cm="1">
        <f t="array" ref="L2363">wordCount(K2363)</f>
        <v>7</v>
      </c>
      <c r="M2363">
        <f t="shared" si="72"/>
        <v>36</v>
      </c>
      <c r="N2363">
        <v>0.875</v>
      </c>
      <c r="O2363" s="23" cm="1">
        <f t="array" ref="O2363">WordListCount(K2363,keywords!$A$2:$A$31)-WordListCount(K2363,keywords!$B$2:$B$31)</f>
        <v>0</v>
      </c>
      <c r="P2363" s="25">
        <f t="shared" si="73"/>
        <v>0.81884259259259251</v>
      </c>
      <c r="Q2363" s="23">
        <f>SUM($O$2:O2363)</f>
        <v>67</v>
      </c>
      <c r="Y2363" s="14"/>
      <c r="Z2363" s="13"/>
      <c r="AA2363"/>
    </row>
    <row r="2364" spans="1:27" x14ac:dyDescent="0.2">
      <c r="A2364" s="12" t="s">
        <v>7189</v>
      </c>
      <c r="B2364" t="s">
        <v>7190</v>
      </c>
      <c r="C2364" t="s">
        <v>7191</v>
      </c>
      <c r="D2364" t="s">
        <v>7192</v>
      </c>
      <c r="E2364" t="s">
        <v>13</v>
      </c>
      <c r="F2364">
        <v>1532</v>
      </c>
      <c r="G2364">
        <v>296</v>
      </c>
      <c r="H2364" s="5" t="s">
        <v>22</v>
      </c>
      <c r="I2364" s="5">
        <v>0</v>
      </c>
      <c r="J2364" s="5">
        <v>0</v>
      </c>
      <c r="K2364" t="s">
        <v>9733</v>
      </c>
      <c r="L2364" cm="1">
        <f t="array" ref="L2364">wordCount(K2364)</f>
        <v>5</v>
      </c>
      <c r="M2364">
        <f t="shared" si="72"/>
        <v>29</v>
      </c>
      <c r="N2364">
        <v>0.75</v>
      </c>
      <c r="O2364" s="23" cm="1">
        <f t="array" ref="O2364">WordListCount(K2364,keywords!$A$2:$A$31)-WordListCount(K2364,keywords!$B$2:$B$31)</f>
        <v>0</v>
      </c>
      <c r="P2364" s="25">
        <f t="shared" si="73"/>
        <v>0.81899305555555557</v>
      </c>
      <c r="Q2364" s="23">
        <f>SUM($O$2:O2364)</f>
        <v>67</v>
      </c>
      <c r="Y2364" s="14"/>
      <c r="Z2364" s="13"/>
      <c r="AA2364"/>
    </row>
    <row r="2365" spans="1:27" x14ac:dyDescent="0.2">
      <c r="A2365" s="12" t="s">
        <v>7193</v>
      </c>
      <c r="B2365" t="s">
        <v>7194</v>
      </c>
      <c r="C2365" t="s">
        <v>7195</v>
      </c>
      <c r="D2365" t="s">
        <v>7196</v>
      </c>
      <c r="E2365" t="s">
        <v>13</v>
      </c>
      <c r="F2365">
        <v>533</v>
      </c>
      <c r="G2365">
        <v>514</v>
      </c>
      <c r="H2365" s="5" t="s">
        <v>22</v>
      </c>
      <c r="I2365" s="5">
        <v>0</v>
      </c>
      <c r="J2365" s="5">
        <v>0</v>
      </c>
      <c r="K2365" t="s">
        <v>11393</v>
      </c>
      <c r="L2365" cm="1">
        <f t="array" ref="L2365">wordCount(K2365)</f>
        <v>23</v>
      </c>
      <c r="M2365">
        <f t="shared" si="72"/>
        <v>137</v>
      </c>
      <c r="N2365">
        <v>0.55555555555555558</v>
      </c>
      <c r="O2365" s="23" cm="1">
        <f t="array" ref="O2365">WordListCount(K2365,keywords!$A$2:$A$31)-WordListCount(K2365,keywords!$B$2:$B$31)</f>
        <v>-1</v>
      </c>
      <c r="P2365" s="25">
        <f t="shared" si="73"/>
        <v>0.81922453703703713</v>
      </c>
      <c r="Q2365" s="23">
        <f>SUM($O$2:O2365)</f>
        <v>66</v>
      </c>
      <c r="Y2365" s="14"/>
      <c r="Z2365" s="13"/>
      <c r="AA2365"/>
    </row>
    <row r="2366" spans="1:27" x14ac:dyDescent="0.2">
      <c r="A2366" s="12" t="s">
        <v>7197</v>
      </c>
      <c r="B2366" t="s">
        <v>7198</v>
      </c>
      <c r="C2366" t="s">
        <v>7199</v>
      </c>
      <c r="D2366" t="s">
        <v>7200</v>
      </c>
      <c r="E2366" t="s">
        <v>13</v>
      </c>
      <c r="F2366">
        <v>21</v>
      </c>
      <c r="G2366">
        <v>171</v>
      </c>
      <c r="H2366" s="5" t="s">
        <v>22</v>
      </c>
      <c r="I2366" s="5">
        <v>0</v>
      </c>
      <c r="J2366" s="5">
        <v>0</v>
      </c>
      <c r="K2366" t="s">
        <v>11394</v>
      </c>
      <c r="L2366" cm="1">
        <f t="array" ref="L2366">wordCount(K2366)</f>
        <v>4</v>
      </c>
      <c r="M2366">
        <f t="shared" si="72"/>
        <v>25</v>
      </c>
      <c r="N2366">
        <v>0.875</v>
      </c>
      <c r="O2366" s="23" cm="1">
        <f t="array" ref="O2366">WordListCount(K2366,keywords!$A$2:$A$31)-WordListCount(K2366,keywords!$B$2:$B$31)</f>
        <v>0</v>
      </c>
      <c r="P2366" s="25">
        <f t="shared" si="73"/>
        <v>0.8192476851851852</v>
      </c>
      <c r="Q2366" s="23">
        <f>SUM($O$2:O2366)</f>
        <v>66</v>
      </c>
      <c r="Y2366" s="14"/>
      <c r="Z2366" s="13"/>
      <c r="AA2366"/>
    </row>
    <row r="2367" spans="1:27" x14ac:dyDescent="0.2">
      <c r="A2367" s="12" t="s">
        <v>7201</v>
      </c>
      <c r="B2367" t="s">
        <v>7202</v>
      </c>
      <c r="C2367" t="s">
        <v>7203</v>
      </c>
      <c r="D2367" t="s">
        <v>12</v>
      </c>
      <c r="E2367" t="s">
        <v>13</v>
      </c>
      <c r="F2367">
        <v>52</v>
      </c>
      <c r="G2367">
        <v>74</v>
      </c>
      <c r="H2367" s="5" t="s">
        <v>22</v>
      </c>
      <c r="I2367" s="5">
        <v>0</v>
      </c>
      <c r="J2367" s="5">
        <v>0</v>
      </c>
      <c r="K2367" t="s">
        <v>11395</v>
      </c>
      <c r="L2367" cm="1">
        <f t="array" ref="L2367">wordCount(K2367)</f>
        <v>10</v>
      </c>
      <c r="M2367">
        <f t="shared" si="72"/>
        <v>40</v>
      </c>
      <c r="N2367">
        <v>0.36363636363636365</v>
      </c>
      <c r="O2367" s="23" cm="1">
        <f t="array" ref="O2367">WordListCount(K2367,keywords!$A$2:$A$31)-WordListCount(K2367,keywords!$B$2:$B$31)</f>
        <v>0</v>
      </c>
      <c r="P2367" s="25">
        <f t="shared" si="73"/>
        <v>0.81925925925925924</v>
      </c>
      <c r="Q2367" s="23">
        <f>SUM($O$2:O2367)</f>
        <v>66</v>
      </c>
      <c r="Y2367" s="14"/>
      <c r="Z2367" s="13"/>
      <c r="AA2367"/>
    </row>
    <row r="2368" spans="1:27" x14ac:dyDescent="0.2">
      <c r="A2368" s="12" t="s">
        <v>7204</v>
      </c>
      <c r="B2368" t="s">
        <v>7205</v>
      </c>
      <c r="C2368" t="s">
        <v>7206</v>
      </c>
      <c r="D2368" t="s">
        <v>7207</v>
      </c>
      <c r="E2368" t="s">
        <v>13</v>
      </c>
      <c r="F2368">
        <v>352</v>
      </c>
      <c r="G2368">
        <v>589</v>
      </c>
      <c r="H2368" s="5" t="s">
        <v>22</v>
      </c>
      <c r="I2368" s="5">
        <v>0</v>
      </c>
      <c r="J2368" s="5">
        <v>0</v>
      </c>
      <c r="K2368" t="s">
        <v>9734</v>
      </c>
      <c r="L2368" cm="1">
        <f t="array" ref="L2368">wordCount(K2368)</f>
        <v>6</v>
      </c>
      <c r="M2368">
        <f t="shared" si="72"/>
        <v>36</v>
      </c>
      <c r="N2368">
        <v>0.6470588235294118</v>
      </c>
      <c r="O2368" s="23" cm="1">
        <f t="array" ref="O2368">WordListCount(K2368,keywords!$A$2:$A$31)-WordListCount(K2368,keywords!$B$2:$B$31)</f>
        <v>1</v>
      </c>
      <c r="P2368" s="25">
        <f t="shared" si="73"/>
        <v>0.81942129629629623</v>
      </c>
      <c r="Q2368" s="23">
        <f>SUM($O$2:O2368)</f>
        <v>67</v>
      </c>
      <c r="Y2368" s="14"/>
      <c r="Z2368" s="13"/>
      <c r="AA2368"/>
    </row>
    <row r="2369" spans="1:27" x14ac:dyDescent="0.2">
      <c r="A2369" s="12" t="s">
        <v>7208</v>
      </c>
      <c r="B2369" t="s">
        <v>7209</v>
      </c>
      <c r="C2369" t="s">
        <v>7210</v>
      </c>
      <c r="D2369" t="s">
        <v>7211</v>
      </c>
      <c r="E2369" t="s">
        <v>13</v>
      </c>
      <c r="F2369">
        <v>283</v>
      </c>
      <c r="G2369">
        <v>181</v>
      </c>
      <c r="H2369" s="5" t="s">
        <v>22</v>
      </c>
      <c r="I2369" s="5">
        <v>0</v>
      </c>
      <c r="J2369" s="5">
        <v>0</v>
      </c>
      <c r="K2369" t="s">
        <v>11396</v>
      </c>
      <c r="L2369" cm="1">
        <f t="array" ref="L2369">wordCount(K2369)</f>
        <v>20</v>
      </c>
      <c r="M2369">
        <f t="shared" si="72"/>
        <v>92</v>
      </c>
      <c r="N2369">
        <v>0.6333333333333333</v>
      </c>
      <c r="O2369" s="23" cm="1">
        <f t="array" ref="O2369">WordListCount(K2369,keywords!$A$2:$A$31)-WordListCount(K2369,keywords!$B$2:$B$31)</f>
        <v>0</v>
      </c>
      <c r="P2369" s="25">
        <f t="shared" si="73"/>
        <v>0.8194907407407408</v>
      </c>
      <c r="Q2369" s="23">
        <f>SUM($O$2:O2369)</f>
        <v>67</v>
      </c>
      <c r="Y2369" s="14"/>
      <c r="Z2369" s="13"/>
      <c r="AA2369"/>
    </row>
    <row r="2370" spans="1:27" x14ac:dyDescent="0.2">
      <c r="A2370" s="12" t="s">
        <v>7212</v>
      </c>
      <c r="B2370" t="s">
        <v>7213</v>
      </c>
      <c r="C2370" t="s">
        <v>7214</v>
      </c>
      <c r="D2370" t="s">
        <v>7215</v>
      </c>
      <c r="E2370" t="s">
        <v>13</v>
      </c>
      <c r="F2370">
        <v>1786</v>
      </c>
      <c r="G2370">
        <v>3069</v>
      </c>
      <c r="H2370" s="5" t="s">
        <v>22</v>
      </c>
      <c r="I2370" s="5">
        <v>0</v>
      </c>
      <c r="J2370" s="5">
        <v>0</v>
      </c>
      <c r="K2370" t="s">
        <v>9735</v>
      </c>
      <c r="L2370" cm="1">
        <f t="array" ref="L2370">wordCount(K2370)</f>
        <v>6</v>
      </c>
      <c r="M2370">
        <f t="shared" ref="M2370:M2433" si="74">LEN(K2370)</f>
        <v>36</v>
      </c>
      <c r="N2370">
        <v>0.625</v>
      </c>
      <c r="O2370" s="23" cm="1">
        <f t="array" ref="O2370">WordListCount(K2370,keywords!$A$2:$A$31)-WordListCount(K2370,keywords!$B$2:$B$31)</f>
        <v>1</v>
      </c>
      <c r="P2370" s="25">
        <f t="shared" ref="P2370:P2433" si="75">TIMEVALUE(RIGHT(A2370,8))</f>
        <v>0.81951388888888888</v>
      </c>
      <c r="Q2370" s="23">
        <f>SUM($O$2:O2370)</f>
        <v>68</v>
      </c>
      <c r="Y2370" s="14"/>
      <c r="Z2370" s="13"/>
      <c r="AA2370"/>
    </row>
    <row r="2371" spans="1:27" x14ac:dyDescent="0.2">
      <c r="A2371" s="12" t="s">
        <v>7216</v>
      </c>
      <c r="B2371" t="s">
        <v>7217</v>
      </c>
      <c r="C2371" t="s">
        <v>7218</v>
      </c>
      <c r="D2371" t="s">
        <v>7219</v>
      </c>
      <c r="E2371" t="s">
        <v>13</v>
      </c>
      <c r="F2371">
        <v>239</v>
      </c>
      <c r="G2371">
        <v>395</v>
      </c>
      <c r="H2371" s="5" t="s">
        <v>22</v>
      </c>
      <c r="I2371" s="5">
        <v>0</v>
      </c>
      <c r="J2371" s="5">
        <v>0</v>
      </c>
      <c r="K2371" t="s">
        <v>9736</v>
      </c>
      <c r="L2371" cm="1">
        <f t="array" ref="L2371">wordCount(K2371)</f>
        <v>8</v>
      </c>
      <c r="M2371">
        <f t="shared" si="74"/>
        <v>43</v>
      </c>
      <c r="N2371">
        <v>0.75</v>
      </c>
      <c r="O2371" s="23" cm="1">
        <f t="array" ref="O2371">WordListCount(K2371,keywords!$A$2:$A$31)-WordListCount(K2371,keywords!$B$2:$B$31)</f>
        <v>0</v>
      </c>
      <c r="P2371" s="25">
        <f t="shared" si="75"/>
        <v>0.81960648148148152</v>
      </c>
      <c r="Q2371" s="23">
        <f>SUM($O$2:O2371)</f>
        <v>68</v>
      </c>
      <c r="Y2371" s="14"/>
      <c r="Z2371" s="13"/>
      <c r="AA2371"/>
    </row>
    <row r="2372" spans="1:27" x14ac:dyDescent="0.2">
      <c r="A2372" s="12" t="s">
        <v>7220</v>
      </c>
      <c r="B2372" t="s">
        <v>7221</v>
      </c>
      <c r="C2372" t="s">
        <v>7222</v>
      </c>
      <c r="D2372" t="s">
        <v>12</v>
      </c>
      <c r="E2372" t="s">
        <v>13</v>
      </c>
      <c r="F2372">
        <v>46</v>
      </c>
      <c r="G2372">
        <v>83</v>
      </c>
      <c r="H2372" s="5" t="s">
        <v>22</v>
      </c>
      <c r="I2372" s="5">
        <v>0</v>
      </c>
      <c r="J2372" s="5">
        <v>0</v>
      </c>
      <c r="K2372" t="s">
        <v>9737</v>
      </c>
      <c r="L2372" cm="1">
        <f t="array" ref="L2372">wordCount(K2372)</f>
        <v>10</v>
      </c>
      <c r="M2372">
        <f t="shared" si="74"/>
        <v>52</v>
      </c>
      <c r="N2372">
        <v>0.5</v>
      </c>
      <c r="O2372" s="23" cm="1">
        <f t="array" ref="O2372">WordListCount(K2372,keywords!$A$2:$A$31)-WordListCount(K2372,keywords!$B$2:$B$31)</f>
        <v>0</v>
      </c>
      <c r="P2372" s="25">
        <f t="shared" si="75"/>
        <v>0.81975694444444447</v>
      </c>
      <c r="Q2372" s="23">
        <f>SUM($O$2:O2372)</f>
        <v>68</v>
      </c>
      <c r="Y2372" s="14"/>
      <c r="Z2372" s="13"/>
      <c r="AA2372"/>
    </row>
    <row r="2373" spans="1:27" x14ac:dyDescent="0.2">
      <c r="A2373" s="12" t="s">
        <v>7223</v>
      </c>
      <c r="B2373" t="s">
        <v>7224</v>
      </c>
      <c r="C2373" t="s">
        <v>7225</v>
      </c>
      <c r="D2373" t="s">
        <v>7226</v>
      </c>
      <c r="E2373" t="s">
        <v>13</v>
      </c>
      <c r="F2373">
        <v>225</v>
      </c>
      <c r="G2373">
        <v>795</v>
      </c>
      <c r="H2373" s="5" t="s">
        <v>22</v>
      </c>
      <c r="I2373" s="5">
        <v>0</v>
      </c>
      <c r="J2373" s="5">
        <v>0</v>
      </c>
      <c r="K2373" t="s">
        <v>9738</v>
      </c>
      <c r="L2373" cm="1">
        <f t="array" ref="L2373">wordCount(K2373)</f>
        <v>5</v>
      </c>
      <c r="M2373">
        <f t="shared" si="74"/>
        <v>18</v>
      </c>
      <c r="N2373">
        <v>0.66666666666666663</v>
      </c>
      <c r="O2373" s="23" cm="1">
        <f t="array" ref="O2373">WordListCount(K2373,keywords!$A$2:$A$31)-WordListCount(K2373,keywords!$B$2:$B$31)</f>
        <v>0</v>
      </c>
      <c r="P2373" s="25">
        <f t="shared" si="75"/>
        <v>0.8197916666666667</v>
      </c>
      <c r="Q2373" s="23">
        <f>SUM($O$2:O2373)</f>
        <v>68</v>
      </c>
      <c r="Y2373" s="14"/>
      <c r="Z2373" s="13"/>
      <c r="AA2373"/>
    </row>
    <row r="2374" spans="1:27" x14ac:dyDescent="0.2">
      <c r="A2374" s="12" t="s">
        <v>7227</v>
      </c>
      <c r="B2374" t="s">
        <v>7228</v>
      </c>
      <c r="C2374" t="s">
        <v>7229</v>
      </c>
      <c r="D2374" t="s">
        <v>12</v>
      </c>
      <c r="E2374" t="s">
        <v>13</v>
      </c>
      <c r="F2374">
        <v>1515</v>
      </c>
      <c r="G2374">
        <v>5002</v>
      </c>
      <c r="H2374" s="5" t="s">
        <v>42</v>
      </c>
      <c r="I2374" s="5">
        <v>0</v>
      </c>
      <c r="J2374" s="5">
        <v>0</v>
      </c>
      <c r="K2374" t="s">
        <v>11397</v>
      </c>
      <c r="L2374" cm="1">
        <f t="array" ref="L2374">wordCount(K2374)</f>
        <v>19</v>
      </c>
      <c r="M2374">
        <f t="shared" si="74"/>
        <v>121</v>
      </c>
      <c r="N2374">
        <v>0.35</v>
      </c>
      <c r="O2374" s="23" cm="1">
        <f t="array" ref="O2374">WordListCount(K2374,keywords!$A$2:$A$31)-WordListCount(K2374,keywords!$B$2:$B$31)</f>
        <v>0</v>
      </c>
      <c r="P2374" s="25">
        <f t="shared" si="75"/>
        <v>0.81989583333333327</v>
      </c>
      <c r="Q2374" s="23">
        <f>SUM($O$2:O2374)</f>
        <v>68</v>
      </c>
      <c r="Y2374" s="14"/>
      <c r="Z2374" s="13"/>
      <c r="AA2374"/>
    </row>
    <row r="2375" spans="1:27" x14ac:dyDescent="0.2">
      <c r="A2375" s="12" t="s">
        <v>7230</v>
      </c>
      <c r="B2375" t="s">
        <v>7231</v>
      </c>
      <c r="C2375" t="s">
        <v>5338</v>
      </c>
      <c r="D2375" t="s">
        <v>5339</v>
      </c>
      <c r="E2375" t="s">
        <v>13</v>
      </c>
      <c r="F2375">
        <v>24</v>
      </c>
      <c r="G2375">
        <v>164</v>
      </c>
      <c r="H2375" s="5" t="s">
        <v>22</v>
      </c>
      <c r="I2375" s="5">
        <v>0</v>
      </c>
      <c r="J2375" s="5">
        <v>0</v>
      </c>
      <c r="K2375" t="s">
        <v>11398</v>
      </c>
      <c r="L2375" cm="1">
        <f t="array" ref="L2375">wordCount(K2375)</f>
        <v>11</v>
      </c>
      <c r="M2375">
        <f t="shared" si="74"/>
        <v>48</v>
      </c>
      <c r="N2375">
        <v>0.52941176470588236</v>
      </c>
      <c r="O2375" s="23" cm="1">
        <f t="array" ref="O2375">WordListCount(K2375,keywords!$A$2:$A$31)-WordListCount(K2375,keywords!$B$2:$B$31)</f>
        <v>0</v>
      </c>
      <c r="P2375" s="25">
        <f t="shared" si="75"/>
        <v>0.82035879629629627</v>
      </c>
      <c r="Q2375" s="23">
        <f>SUM($O$2:O2375)</f>
        <v>68</v>
      </c>
      <c r="Y2375" s="14"/>
      <c r="Z2375" s="13"/>
      <c r="AA2375"/>
    </row>
    <row r="2376" spans="1:27" x14ac:dyDescent="0.2">
      <c r="A2376" s="12" t="s">
        <v>7232</v>
      </c>
      <c r="B2376" t="s">
        <v>7233</v>
      </c>
      <c r="C2376" t="s">
        <v>796</v>
      </c>
      <c r="D2376" t="s">
        <v>797</v>
      </c>
      <c r="E2376" t="s">
        <v>13</v>
      </c>
      <c r="F2376">
        <v>3059</v>
      </c>
      <c r="G2376">
        <v>983</v>
      </c>
      <c r="H2376" s="5" t="s">
        <v>22</v>
      </c>
      <c r="I2376" s="5">
        <v>0</v>
      </c>
      <c r="J2376" s="5">
        <v>0</v>
      </c>
      <c r="K2376" t="s">
        <v>11399</v>
      </c>
      <c r="L2376" cm="1">
        <f t="array" ref="L2376">wordCount(K2376)</f>
        <v>17</v>
      </c>
      <c r="M2376">
        <f t="shared" si="74"/>
        <v>59</v>
      </c>
      <c r="N2376">
        <v>0.63157894736842102</v>
      </c>
      <c r="O2376" s="23" cm="1">
        <f t="array" ref="O2376">WordListCount(K2376,keywords!$A$2:$A$31)-WordListCount(K2376,keywords!$B$2:$B$31)</f>
        <v>0</v>
      </c>
      <c r="P2376" s="25">
        <f t="shared" si="75"/>
        <v>0.82041666666666668</v>
      </c>
      <c r="Q2376" s="23">
        <f>SUM($O$2:O2376)</f>
        <v>68</v>
      </c>
      <c r="Y2376" s="14"/>
      <c r="Z2376" s="13"/>
      <c r="AA2376"/>
    </row>
    <row r="2377" spans="1:27" x14ac:dyDescent="0.2">
      <c r="A2377" s="12" t="s">
        <v>7234</v>
      </c>
      <c r="B2377" t="s">
        <v>7235</v>
      </c>
      <c r="C2377" t="s">
        <v>396</v>
      </c>
      <c r="D2377" t="s">
        <v>12</v>
      </c>
      <c r="E2377" t="s">
        <v>13</v>
      </c>
      <c r="F2377">
        <v>1441</v>
      </c>
      <c r="G2377">
        <v>29</v>
      </c>
      <c r="H2377" s="5" t="s">
        <v>59</v>
      </c>
      <c r="I2377" s="5">
        <v>0</v>
      </c>
      <c r="J2377" s="5">
        <v>0</v>
      </c>
      <c r="K2377" t="s">
        <v>9739</v>
      </c>
      <c r="L2377" cm="1">
        <f t="array" ref="L2377">wordCount(K2377)</f>
        <v>8</v>
      </c>
      <c r="M2377">
        <f t="shared" si="74"/>
        <v>42</v>
      </c>
      <c r="N2377">
        <v>0.875</v>
      </c>
      <c r="O2377" s="23" cm="1">
        <f t="array" ref="O2377">WordListCount(K2377,keywords!$A$2:$A$31)-WordListCount(K2377,keywords!$B$2:$B$31)</f>
        <v>0</v>
      </c>
      <c r="P2377" s="25">
        <f t="shared" si="75"/>
        <v>0.82043981481481476</v>
      </c>
      <c r="Q2377" s="23">
        <f>SUM($O$2:O2377)</f>
        <v>68</v>
      </c>
      <c r="Y2377" s="14"/>
      <c r="Z2377" s="13"/>
      <c r="AA2377"/>
    </row>
    <row r="2378" spans="1:27" x14ac:dyDescent="0.2">
      <c r="A2378" s="12" t="s">
        <v>7236</v>
      </c>
      <c r="B2378" t="s">
        <v>7237</v>
      </c>
      <c r="C2378" t="s">
        <v>7238</v>
      </c>
      <c r="D2378" t="s">
        <v>7239</v>
      </c>
      <c r="E2378" t="s">
        <v>13</v>
      </c>
      <c r="F2378">
        <v>1404</v>
      </c>
      <c r="G2378">
        <v>498</v>
      </c>
      <c r="H2378" s="5" t="s">
        <v>22</v>
      </c>
      <c r="I2378" s="5">
        <v>0</v>
      </c>
      <c r="J2378" s="5">
        <v>0</v>
      </c>
      <c r="K2378" t="s">
        <v>11400</v>
      </c>
      <c r="L2378" cm="1">
        <f t="array" ref="L2378">wordCount(K2378)</f>
        <v>22</v>
      </c>
      <c r="M2378">
        <f t="shared" si="74"/>
        <v>129</v>
      </c>
      <c r="N2378">
        <v>0.53846153846153844</v>
      </c>
      <c r="O2378" s="23" cm="1">
        <f t="array" ref="O2378">WordListCount(K2378,keywords!$A$2:$A$31)-WordListCount(K2378,keywords!$B$2:$B$31)</f>
        <v>0</v>
      </c>
      <c r="P2378" s="25">
        <f t="shared" si="75"/>
        <v>0.82075231481481481</v>
      </c>
      <c r="Q2378" s="23">
        <f>SUM($O$2:O2378)</f>
        <v>68</v>
      </c>
      <c r="Y2378" s="14"/>
      <c r="Z2378" s="13"/>
      <c r="AA2378"/>
    </row>
    <row r="2379" spans="1:27" x14ac:dyDescent="0.2">
      <c r="A2379" s="12" t="s">
        <v>7240</v>
      </c>
      <c r="B2379" t="s">
        <v>7241</v>
      </c>
      <c r="C2379" t="s">
        <v>7242</v>
      </c>
      <c r="D2379" t="s">
        <v>2483</v>
      </c>
      <c r="E2379" t="s">
        <v>13</v>
      </c>
      <c r="F2379">
        <v>272</v>
      </c>
      <c r="G2379">
        <v>475</v>
      </c>
      <c r="H2379" s="5" t="s">
        <v>22</v>
      </c>
      <c r="I2379" s="5">
        <v>0</v>
      </c>
      <c r="J2379" s="5">
        <v>0</v>
      </c>
      <c r="K2379" t="s">
        <v>11401</v>
      </c>
      <c r="L2379" cm="1">
        <f t="array" ref="L2379">wordCount(K2379)</f>
        <v>20</v>
      </c>
      <c r="M2379">
        <f t="shared" si="74"/>
        <v>84</v>
      </c>
      <c r="N2379">
        <v>0.38095238095238093</v>
      </c>
      <c r="O2379" s="23" cm="1">
        <f t="array" ref="O2379">WordListCount(K2379,keywords!$A$2:$A$31)-WordListCount(K2379,keywords!$B$2:$B$31)</f>
        <v>0</v>
      </c>
      <c r="P2379" s="25">
        <f t="shared" si="75"/>
        <v>0.82103009259259263</v>
      </c>
      <c r="Q2379" s="23">
        <f>SUM($O$2:O2379)</f>
        <v>68</v>
      </c>
      <c r="Y2379" s="14"/>
      <c r="Z2379" s="13"/>
      <c r="AA2379"/>
    </row>
    <row r="2380" spans="1:27" x14ac:dyDescent="0.2">
      <c r="A2380" s="12" t="s">
        <v>7243</v>
      </c>
      <c r="B2380" t="s">
        <v>7244</v>
      </c>
      <c r="C2380" t="s">
        <v>7245</v>
      </c>
      <c r="D2380" t="s">
        <v>7246</v>
      </c>
      <c r="E2380" t="s">
        <v>13</v>
      </c>
      <c r="F2380">
        <v>40</v>
      </c>
      <c r="G2380">
        <v>141</v>
      </c>
      <c r="H2380" s="5" t="s">
        <v>22</v>
      </c>
      <c r="I2380" s="5">
        <v>0</v>
      </c>
      <c r="J2380" s="5">
        <v>0</v>
      </c>
      <c r="K2380" t="s">
        <v>11402</v>
      </c>
      <c r="L2380" cm="1">
        <f t="array" ref="L2380">wordCount(K2380)</f>
        <v>2</v>
      </c>
      <c r="M2380">
        <f t="shared" si="74"/>
        <v>14</v>
      </c>
      <c r="N2380">
        <v>0.8</v>
      </c>
      <c r="O2380" s="23" cm="1">
        <f t="array" ref="O2380">WordListCount(K2380,keywords!$A$2:$A$31)-WordListCount(K2380,keywords!$B$2:$B$31)</f>
        <v>1</v>
      </c>
      <c r="P2380" s="25">
        <f t="shared" si="75"/>
        <v>0.82105324074074071</v>
      </c>
      <c r="Q2380" s="23">
        <f>SUM($O$2:O2380)</f>
        <v>69</v>
      </c>
      <c r="Y2380" s="14"/>
      <c r="Z2380" s="13"/>
      <c r="AA2380"/>
    </row>
    <row r="2381" spans="1:27" x14ac:dyDescent="0.2">
      <c r="A2381" s="12" t="s">
        <v>7247</v>
      </c>
      <c r="B2381" t="s">
        <v>7248</v>
      </c>
      <c r="C2381" t="s">
        <v>7249</v>
      </c>
      <c r="D2381" t="s">
        <v>355</v>
      </c>
      <c r="E2381" t="s">
        <v>13</v>
      </c>
      <c r="F2381">
        <v>17</v>
      </c>
      <c r="G2381">
        <v>94</v>
      </c>
      <c r="H2381" s="5" t="s">
        <v>22</v>
      </c>
      <c r="I2381" s="5">
        <v>0</v>
      </c>
      <c r="J2381" s="5">
        <v>0</v>
      </c>
      <c r="K2381" t="s">
        <v>11403</v>
      </c>
      <c r="L2381" cm="1">
        <f t="array" ref="L2381">wordCount(K2381)</f>
        <v>8</v>
      </c>
      <c r="M2381">
        <f t="shared" si="74"/>
        <v>36</v>
      </c>
      <c r="N2381">
        <v>0.5</v>
      </c>
      <c r="O2381" s="23" cm="1">
        <f t="array" ref="O2381">WordListCount(K2381,keywords!$A$2:$A$31)-WordListCount(K2381,keywords!$B$2:$B$31)</f>
        <v>0</v>
      </c>
      <c r="P2381" s="25">
        <f t="shared" si="75"/>
        <v>0.82149305555555552</v>
      </c>
      <c r="Q2381" s="23">
        <f>SUM($O$2:O2381)</f>
        <v>69</v>
      </c>
      <c r="Y2381" s="14"/>
      <c r="Z2381" s="13"/>
      <c r="AA2381"/>
    </row>
    <row r="2382" spans="1:27" x14ac:dyDescent="0.2">
      <c r="A2382" s="12" t="s">
        <v>7250</v>
      </c>
      <c r="B2382" t="s">
        <v>7251</v>
      </c>
      <c r="C2382" t="s">
        <v>7252</v>
      </c>
      <c r="D2382" t="s">
        <v>7253</v>
      </c>
      <c r="E2382" t="s">
        <v>13</v>
      </c>
      <c r="F2382">
        <v>2604</v>
      </c>
      <c r="G2382">
        <v>370</v>
      </c>
      <c r="H2382" s="5" t="s">
        <v>22</v>
      </c>
      <c r="I2382" s="5">
        <v>0</v>
      </c>
      <c r="J2382" s="5">
        <v>0</v>
      </c>
      <c r="K2382" t="s">
        <v>9740</v>
      </c>
      <c r="L2382" cm="1">
        <f t="array" ref="L2382">wordCount(K2382)</f>
        <v>16</v>
      </c>
      <c r="M2382">
        <f t="shared" si="74"/>
        <v>87</v>
      </c>
      <c r="N2382">
        <v>0.35</v>
      </c>
      <c r="O2382" s="23" cm="1">
        <f t="array" ref="O2382">WordListCount(K2382,keywords!$A$2:$A$31)-WordListCount(K2382,keywords!$B$2:$B$31)</f>
        <v>1</v>
      </c>
      <c r="P2382" s="25">
        <f t="shared" si="75"/>
        <v>0.82170138888888899</v>
      </c>
      <c r="Q2382" s="23">
        <f>SUM($O$2:O2382)</f>
        <v>70</v>
      </c>
      <c r="Y2382" s="14"/>
      <c r="Z2382" s="13"/>
      <c r="AA2382"/>
    </row>
    <row r="2383" spans="1:27" x14ac:dyDescent="0.2">
      <c r="A2383" s="12" t="s">
        <v>7254</v>
      </c>
      <c r="B2383" t="s">
        <v>7255</v>
      </c>
      <c r="C2383" t="s">
        <v>7256</v>
      </c>
      <c r="D2383" t="s">
        <v>12</v>
      </c>
      <c r="E2383" t="s">
        <v>13</v>
      </c>
      <c r="F2383">
        <v>3</v>
      </c>
      <c r="G2383">
        <v>5</v>
      </c>
      <c r="H2383" s="5" t="s">
        <v>22</v>
      </c>
      <c r="I2383" s="5">
        <v>0</v>
      </c>
      <c r="J2383" s="5">
        <v>0</v>
      </c>
      <c r="K2383" t="s">
        <v>9741</v>
      </c>
      <c r="L2383" cm="1">
        <f t="array" ref="L2383">wordCount(K2383)</f>
        <v>26</v>
      </c>
      <c r="M2383">
        <f t="shared" si="74"/>
        <v>124</v>
      </c>
      <c r="N2383">
        <v>0.44444444444444442</v>
      </c>
      <c r="O2383" s="23" cm="1">
        <f t="array" ref="O2383">WordListCount(K2383,keywords!$A$2:$A$31)-WordListCount(K2383,keywords!$B$2:$B$31)</f>
        <v>-1</v>
      </c>
      <c r="P2383" s="25">
        <f t="shared" si="75"/>
        <v>0.82185185185185183</v>
      </c>
      <c r="Q2383" s="23">
        <f>SUM($O$2:O2383)</f>
        <v>69</v>
      </c>
      <c r="Y2383" s="14"/>
      <c r="Z2383" s="13"/>
      <c r="AA2383"/>
    </row>
    <row r="2384" spans="1:27" x14ac:dyDescent="0.2">
      <c r="A2384" s="12" t="s">
        <v>7257</v>
      </c>
      <c r="B2384" t="s">
        <v>7258</v>
      </c>
      <c r="C2384" t="s">
        <v>7259</v>
      </c>
      <c r="D2384" t="s">
        <v>7260</v>
      </c>
      <c r="E2384" t="s">
        <v>13</v>
      </c>
      <c r="F2384">
        <v>88</v>
      </c>
      <c r="G2384">
        <v>578</v>
      </c>
      <c r="H2384" s="5" t="s">
        <v>22</v>
      </c>
      <c r="I2384" s="5">
        <v>0</v>
      </c>
      <c r="J2384" s="5">
        <v>0</v>
      </c>
      <c r="K2384" t="s">
        <v>9742</v>
      </c>
      <c r="L2384" cm="1">
        <f t="array" ref="L2384">wordCount(K2384)</f>
        <v>6</v>
      </c>
      <c r="M2384">
        <f t="shared" si="74"/>
        <v>27</v>
      </c>
      <c r="N2384">
        <v>0.7</v>
      </c>
      <c r="O2384" s="23" cm="1">
        <f t="array" ref="O2384">WordListCount(K2384,keywords!$A$2:$A$31)-WordListCount(K2384,keywords!$B$2:$B$31)</f>
        <v>0</v>
      </c>
      <c r="P2384" s="25">
        <f t="shared" si="75"/>
        <v>0.82195601851851852</v>
      </c>
      <c r="Q2384" s="23">
        <f>SUM($O$2:O2384)</f>
        <v>69</v>
      </c>
      <c r="Y2384" s="14"/>
      <c r="Z2384" s="13"/>
      <c r="AA2384"/>
    </row>
    <row r="2385" spans="1:27" x14ac:dyDescent="0.2">
      <c r="A2385" s="12" t="s">
        <v>7261</v>
      </c>
      <c r="B2385" t="s">
        <v>7262</v>
      </c>
      <c r="C2385" t="s">
        <v>7263</v>
      </c>
      <c r="D2385" t="s">
        <v>12</v>
      </c>
      <c r="E2385" t="s">
        <v>13</v>
      </c>
      <c r="F2385">
        <v>8</v>
      </c>
      <c r="G2385">
        <v>92</v>
      </c>
      <c r="H2385" s="5" t="s">
        <v>22</v>
      </c>
      <c r="I2385" s="5">
        <v>0</v>
      </c>
      <c r="J2385" s="5">
        <v>0</v>
      </c>
      <c r="K2385" t="s">
        <v>11404</v>
      </c>
      <c r="L2385" cm="1">
        <f t="array" ref="L2385">wordCount(K2385)</f>
        <v>17</v>
      </c>
      <c r="M2385">
        <f t="shared" si="74"/>
        <v>66</v>
      </c>
      <c r="N2385">
        <v>0.56000000000000005</v>
      </c>
      <c r="O2385" s="23" cm="1">
        <f t="array" ref="O2385">WordListCount(K2385,keywords!$A$2:$A$31)-WordListCount(K2385,keywords!$B$2:$B$31)</f>
        <v>0</v>
      </c>
      <c r="P2385" s="25">
        <f t="shared" si="75"/>
        <v>0.82203703703703701</v>
      </c>
      <c r="Q2385" s="23">
        <f>SUM($O$2:O2385)</f>
        <v>69</v>
      </c>
      <c r="Y2385" s="14"/>
      <c r="Z2385" s="13"/>
      <c r="AA2385"/>
    </row>
    <row r="2386" spans="1:27" x14ac:dyDescent="0.2">
      <c r="A2386" s="12" t="s">
        <v>7264</v>
      </c>
      <c r="B2386" t="s">
        <v>7265</v>
      </c>
      <c r="C2386" t="s">
        <v>7222</v>
      </c>
      <c r="D2386" t="s">
        <v>12</v>
      </c>
      <c r="E2386" t="s">
        <v>13</v>
      </c>
      <c r="F2386">
        <v>46</v>
      </c>
      <c r="G2386">
        <v>83</v>
      </c>
      <c r="H2386" s="5" t="s">
        <v>22</v>
      </c>
      <c r="I2386" s="5">
        <v>0</v>
      </c>
      <c r="J2386" s="5">
        <v>0</v>
      </c>
      <c r="K2386" t="s">
        <v>9743</v>
      </c>
      <c r="L2386" cm="1">
        <f t="array" ref="L2386">wordCount(K2386)</f>
        <v>4</v>
      </c>
      <c r="M2386">
        <f t="shared" si="74"/>
        <v>18</v>
      </c>
      <c r="N2386">
        <v>0.4</v>
      </c>
      <c r="O2386" s="23" cm="1">
        <f t="array" ref="O2386">WordListCount(K2386,keywords!$A$2:$A$31)-WordListCount(K2386,keywords!$B$2:$B$31)</f>
        <v>0</v>
      </c>
      <c r="P2386" s="25">
        <f t="shared" si="75"/>
        <v>0.82245370370370363</v>
      </c>
      <c r="Q2386" s="23">
        <f>SUM($O$2:O2386)</f>
        <v>69</v>
      </c>
      <c r="Y2386" s="14"/>
      <c r="Z2386" s="13"/>
      <c r="AA2386"/>
    </row>
    <row r="2387" spans="1:27" x14ac:dyDescent="0.2">
      <c r="A2387" s="12" t="s">
        <v>7266</v>
      </c>
      <c r="B2387" t="s">
        <v>7267</v>
      </c>
      <c r="C2387" t="s">
        <v>7268</v>
      </c>
      <c r="D2387" t="s">
        <v>7269</v>
      </c>
      <c r="E2387" t="s">
        <v>13</v>
      </c>
      <c r="F2387">
        <v>390</v>
      </c>
      <c r="G2387">
        <v>500</v>
      </c>
      <c r="H2387" s="5" t="s">
        <v>22</v>
      </c>
      <c r="I2387" s="5">
        <v>0</v>
      </c>
      <c r="J2387" s="5">
        <v>0</v>
      </c>
      <c r="K2387" t="s">
        <v>11405</v>
      </c>
      <c r="L2387" cm="1">
        <f t="array" ref="L2387">wordCount(K2387)</f>
        <v>19</v>
      </c>
      <c r="M2387">
        <f t="shared" si="74"/>
        <v>95</v>
      </c>
      <c r="N2387">
        <v>0.4375</v>
      </c>
      <c r="O2387" s="23" cm="1">
        <f t="array" ref="O2387">WordListCount(K2387,keywords!$A$2:$A$31)-WordListCount(K2387,keywords!$B$2:$B$31)</f>
        <v>0</v>
      </c>
      <c r="P2387" s="25">
        <f t="shared" si="75"/>
        <v>0.82253472222222224</v>
      </c>
      <c r="Q2387" s="23">
        <f>SUM($O$2:O2387)</f>
        <v>69</v>
      </c>
      <c r="Y2387" s="14"/>
      <c r="Z2387" s="13"/>
      <c r="AA2387"/>
    </row>
    <row r="2388" spans="1:27" x14ac:dyDescent="0.2">
      <c r="A2388" s="12" t="s">
        <v>7270</v>
      </c>
      <c r="B2388" t="s">
        <v>7271</v>
      </c>
      <c r="C2388" t="s">
        <v>429</v>
      </c>
      <c r="D2388" t="s">
        <v>430</v>
      </c>
      <c r="E2388" t="s">
        <v>13</v>
      </c>
      <c r="F2388">
        <v>1663</v>
      </c>
      <c r="G2388">
        <v>1478</v>
      </c>
      <c r="H2388" s="5" t="s">
        <v>22</v>
      </c>
      <c r="I2388" s="5">
        <v>0</v>
      </c>
      <c r="J2388" s="5">
        <v>0</v>
      </c>
      <c r="K2388" t="s">
        <v>11406</v>
      </c>
      <c r="L2388" cm="1">
        <f t="array" ref="L2388">wordCount(K2388)</f>
        <v>9</v>
      </c>
      <c r="M2388">
        <f t="shared" si="74"/>
        <v>64</v>
      </c>
      <c r="N2388">
        <v>0.8</v>
      </c>
      <c r="O2388" s="23" cm="1">
        <f t="array" ref="O2388">WordListCount(K2388,keywords!$A$2:$A$31)-WordListCount(K2388,keywords!$B$2:$B$31)</f>
        <v>0</v>
      </c>
      <c r="P2388" s="25">
        <f t="shared" si="75"/>
        <v>0.82293981481481471</v>
      </c>
      <c r="Q2388" s="23">
        <f>SUM($O$2:O2388)</f>
        <v>69</v>
      </c>
      <c r="Y2388" s="14"/>
      <c r="Z2388" s="13"/>
      <c r="AA2388"/>
    </row>
    <row r="2389" spans="1:27" x14ac:dyDescent="0.2">
      <c r="A2389" s="12" t="s">
        <v>7272</v>
      </c>
      <c r="B2389" t="s">
        <v>7273</v>
      </c>
      <c r="C2389" t="s">
        <v>7274</v>
      </c>
      <c r="D2389" t="s">
        <v>7275</v>
      </c>
      <c r="E2389" t="s">
        <v>13</v>
      </c>
      <c r="F2389">
        <v>542</v>
      </c>
      <c r="G2389">
        <v>587</v>
      </c>
      <c r="H2389" s="5" t="s">
        <v>22</v>
      </c>
      <c r="I2389" s="5">
        <v>0</v>
      </c>
      <c r="J2389" s="5">
        <v>0</v>
      </c>
      <c r="K2389" t="s">
        <v>11407</v>
      </c>
      <c r="L2389" cm="1">
        <f t="array" ref="L2389">wordCount(K2389)</f>
        <v>27</v>
      </c>
      <c r="M2389">
        <f t="shared" si="74"/>
        <v>137</v>
      </c>
      <c r="N2389">
        <v>0.4</v>
      </c>
      <c r="O2389" s="23" cm="1">
        <f t="array" ref="O2389">WordListCount(K2389,keywords!$A$2:$A$31)-WordListCount(K2389,keywords!$B$2:$B$31)</f>
        <v>0</v>
      </c>
      <c r="P2389" s="25">
        <f t="shared" si="75"/>
        <v>0.82324074074074083</v>
      </c>
      <c r="Q2389" s="23">
        <f>SUM($O$2:O2389)</f>
        <v>69</v>
      </c>
      <c r="Y2389" s="14"/>
      <c r="Z2389" s="13"/>
      <c r="AA2389"/>
    </row>
    <row r="2390" spans="1:27" x14ac:dyDescent="0.2">
      <c r="A2390" s="12" t="s">
        <v>7276</v>
      </c>
      <c r="B2390" t="s">
        <v>7277</v>
      </c>
      <c r="C2390" t="s">
        <v>7278</v>
      </c>
      <c r="D2390" t="s">
        <v>445</v>
      </c>
      <c r="E2390" t="s">
        <v>13</v>
      </c>
      <c r="F2390">
        <v>341</v>
      </c>
      <c r="G2390">
        <v>360</v>
      </c>
      <c r="H2390" s="5" t="s">
        <v>22</v>
      </c>
      <c r="I2390" s="5">
        <v>0</v>
      </c>
      <c r="J2390" s="5">
        <v>0</v>
      </c>
      <c r="K2390" t="s">
        <v>9744</v>
      </c>
      <c r="L2390" cm="1">
        <f t="array" ref="L2390">wordCount(K2390)</f>
        <v>14</v>
      </c>
      <c r="M2390">
        <f t="shared" si="74"/>
        <v>78</v>
      </c>
      <c r="N2390">
        <v>0.68181818181818177</v>
      </c>
      <c r="O2390" s="23" cm="1">
        <f t="array" ref="O2390">WordListCount(K2390,keywords!$A$2:$A$31)-WordListCount(K2390,keywords!$B$2:$B$31)</f>
        <v>0</v>
      </c>
      <c r="P2390" s="25">
        <f t="shared" si="75"/>
        <v>0.82329861111111102</v>
      </c>
      <c r="Q2390" s="23">
        <f>SUM($O$2:O2390)</f>
        <v>69</v>
      </c>
      <c r="Y2390" s="14"/>
      <c r="Z2390" s="13"/>
      <c r="AA2390"/>
    </row>
    <row r="2391" spans="1:27" x14ac:dyDescent="0.2">
      <c r="A2391" s="12" t="s">
        <v>7279</v>
      </c>
      <c r="B2391" t="s">
        <v>7280</v>
      </c>
      <c r="C2391" t="s">
        <v>7281</v>
      </c>
      <c r="D2391" t="s">
        <v>7282</v>
      </c>
      <c r="E2391" t="s">
        <v>13</v>
      </c>
      <c r="F2391">
        <v>123</v>
      </c>
      <c r="G2391">
        <v>188</v>
      </c>
      <c r="H2391" s="5" t="s">
        <v>139</v>
      </c>
      <c r="I2391" s="5">
        <v>0</v>
      </c>
      <c r="J2391" s="5">
        <v>0</v>
      </c>
      <c r="K2391" t="s">
        <v>9745</v>
      </c>
      <c r="L2391" cm="1">
        <f t="array" ref="L2391">wordCount(K2391)</f>
        <v>7</v>
      </c>
      <c r="M2391">
        <f t="shared" si="74"/>
        <v>36</v>
      </c>
      <c r="N2391">
        <v>0.7142857142857143</v>
      </c>
      <c r="O2391" s="23" cm="1">
        <f t="array" ref="O2391">WordListCount(K2391,keywords!$A$2:$A$31)-WordListCount(K2391,keywords!$B$2:$B$31)</f>
        <v>0</v>
      </c>
      <c r="P2391" s="25">
        <f t="shared" si="75"/>
        <v>0.82333333333333336</v>
      </c>
      <c r="Q2391" s="23">
        <f>SUM($O$2:O2391)</f>
        <v>69</v>
      </c>
      <c r="Y2391" s="14"/>
      <c r="Z2391" s="13"/>
      <c r="AA2391"/>
    </row>
    <row r="2392" spans="1:27" x14ac:dyDescent="0.2">
      <c r="A2392" s="12" t="s">
        <v>7283</v>
      </c>
      <c r="B2392" t="s">
        <v>7284</v>
      </c>
      <c r="C2392" t="s">
        <v>7285</v>
      </c>
      <c r="D2392" t="s">
        <v>7286</v>
      </c>
      <c r="E2392" t="s">
        <v>13</v>
      </c>
      <c r="F2392">
        <v>5123</v>
      </c>
      <c r="G2392">
        <v>5586</v>
      </c>
      <c r="H2392" s="5" t="s">
        <v>22</v>
      </c>
      <c r="I2392" s="5">
        <v>0</v>
      </c>
      <c r="J2392" s="5">
        <v>0</v>
      </c>
      <c r="K2392" t="s">
        <v>11408</v>
      </c>
      <c r="L2392" cm="1">
        <f t="array" ref="L2392">wordCount(K2392)</f>
        <v>9</v>
      </c>
      <c r="M2392">
        <f t="shared" si="74"/>
        <v>53</v>
      </c>
      <c r="N2392">
        <v>0.53846153846153844</v>
      </c>
      <c r="O2392" s="23" cm="1">
        <f t="array" ref="O2392">WordListCount(K2392,keywords!$A$2:$A$31)-WordListCount(K2392,keywords!$B$2:$B$31)</f>
        <v>0</v>
      </c>
      <c r="P2392" s="25">
        <f t="shared" si="75"/>
        <v>0.8233449074074074</v>
      </c>
      <c r="Q2392" s="23">
        <f>SUM($O$2:O2392)</f>
        <v>69</v>
      </c>
      <c r="Y2392" s="14"/>
      <c r="Z2392" s="13"/>
      <c r="AA2392"/>
    </row>
    <row r="2393" spans="1:27" x14ac:dyDescent="0.2">
      <c r="A2393" s="12" t="s">
        <v>7287</v>
      </c>
      <c r="B2393" t="s">
        <v>7288</v>
      </c>
      <c r="C2393" t="s">
        <v>7289</v>
      </c>
      <c r="D2393" t="s">
        <v>7290</v>
      </c>
      <c r="E2393" t="s">
        <v>13</v>
      </c>
      <c r="F2393">
        <v>100</v>
      </c>
      <c r="G2393">
        <v>71</v>
      </c>
      <c r="H2393" s="5" t="s">
        <v>22</v>
      </c>
      <c r="I2393" s="5">
        <v>0</v>
      </c>
      <c r="J2393" s="5">
        <v>0</v>
      </c>
      <c r="K2393" t="s">
        <v>9746</v>
      </c>
      <c r="L2393" cm="1">
        <f t="array" ref="L2393">wordCount(K2393)</f>
        <v>20</v>
      </c>
      <c r="M2393">
        <f t="shared" si="74"/>
        <v>104</v>
      </c>
      <c r="N2393">
        <v>0.36</v>
      </c>
      <c r="O2393" s="23" cm="1">
        <f t="array" ref="O2393">WordListCount(K2393,keywords!$A$2:$A$31)-WordListCount(K2393,keywords!$B$2:$B$31)</f>
        <v>1</v>
      </c>
      <c r="P2393" s="25">
        <f t="shared" si="75"/>
        <v>0.82339120370370367</v>
      </c>
      <c r="Q2393" s="23">
        <f>SUM($O$2:O2393)</f>
        <v>70</v>
      </c>
      <c r="Y2393" s="14"/>
      <c r="Z2393" s="13"/>
      <c r="AA2393"/>
    </row>
    <row r="2394" spans="1:27" x14ac:dyDescent="0.2">
      <c r="A2394" s="12" t="s">
        <v>7291</v>
      </c>
      <c r="B2394" t="s">
        <v>7292</v>
      </c>
      <c r="C2394" t="s">
        <v>7293</v>
      </c>
      <c r="D2394" t="s">
        <v>12</v>
      </c>
      <c r="E2394" t="s">
        <v>13</v>
      </c>
      <c r="F2394">
        <v>24</v>
      </c>
      <c r="G2394">
        <v>41</v>
      </c>
      <c r="H2394" s="5" t="s">
        <v>22</v>
      </c>
      <c r="I2394" s="5">
        <v>0</v>
      </c>
      <c r="J2394" s="5">
        <v>0</v>
      </c>
      <c r="K2394" t="s">
        <v>11409</v>
      </c>
      <c r="L2394" cm="1">
        <f t="array" ref="L2394">wordCount(K2394)</f>
        <v>8</v>
      </c>
      <c r="M2394">
        <f t="shared" si="74"/>
        <v>39</v>
      </c>
      <c r="N2394">
        <v>0.25</v>
      </c>
      <c r="O2394" s="23" cm="1">
        <f t="array" ref="O2394">WordListCount(K2394,keywords!$A$2:$A$31)-WordListCount(K2394,keywords!$B$2:$B$31)</f>
        <v>0</v>
      </c>
      <c r="P2394" s="25">
        <f t="shared" si="75"/>
        <v>0.82407407407407407</v>
      </c>
      <c r="Q2394" s="23">
        <f>SUM($O$2:O2394)</f>
        <v>70</v>
      </c>
      <c r="Y2394" s="14"/>
      <c r="Z2394" s="13"/>
      <c r="AA2394"/>
    </row>
    <row r="2395" spans="1:27" x14ac:dyDescent="0.2">
      <c r="A2395" s="12" t="s">
        <v>7294</v>
      </c>
      <c r="B2395" t="s">
        <v>7295</v>
      </c>
      <c r="C2395" t="s">
        <v>7296</v>
      </c>
      <c r="D2395" t="s">
        <v>12</v>
      </c>
      <c r="E2395" t="s">
        <v>13</v>
      </c>
      <c r="F2395">
        <v>377</v>
      </c>
      <c r="G2395">
        <v>2338</v>
      </c>
      <c r="H2395" s="5" t="s">
        <v>22</v>
      </c>
      <c r="I2395" s="5">
        <v>0</v>
      </c>
      <c r="J2395" s="5">
        <v>0</v>
      </c>
      <c r="K2395" t="s">
        <v>11410</v>
      </c>
      <c r="L2395" cm="1">
        <f t="array" ref="L2395">wordCount(K2395)</f>
        <v>7</v>
      </c>
      <c r="M2395">
        <f t="shared" si="74"/>
        <v>39</v>
      </c>
      <c r="N2395">
        <v>0.7142857142857143</v>
      </c>
      <c r="O2395" s="23" cm="1">
        <f t="array" ref="O2395">WordListCount(K2395,keywords!$A$2:$A$31)-WordListCount(K2395,keywords!$B$2:$B$31)</f>
        <v>0</v>
      </c>
      <c r="P2395" s="25">
        <f t="shared" si="75"/>
        <v>0.8241087962962963</v>
      </c>
      <c r="Q2395" s="23">
        <f>SUM($O$2:O2395)</f>
        <v>70</v>
      </c>
      <c r="Y2395" s="14"/>
      <c r="Z2395" s="13"/>
      <c r="AA2395"/>
    </row>
    <row r="2396" spans="1:27" x14ac:dyDescent="0.2">
      <c r="A2396" s="12" t="s">
        <v>7297</v>
      </c>
      <c r="B2396" t="s">
        <v>7298</v>
      </c>
      <c r="C2396" t="s">
        <v>7299</v>
      </c>
      <c r="D2396" t="s">
        <v>7300</v>
      </c>
      <c r="E2396" t="s">
        <v>13</v>
      </c>
      <c r="F2396">
        <v>49</v>
      </c>
      <c r="G2396">
        <v>472</v>
      </c>
      <c r="H2396" s="5" t="s">
        <v>22</v>
      </c>
      <c r="I2396" s="5">
        <v>0</v>
      </c>
      <c r="J2396" s="5">
        <v>0</v>
      </c>
      <c r="K2396" t="s">
        <v>11411</v>
      </c>
      <c r="L2396" cm="1">
        <f t="array" ref="L2396">wordCount(K2396)</f>
        <v>22</v>
      </c>
      <c r="M2396">
        <f t="shared" si="74"/>
        <v>93</v>
      </c>
      <c r="N2396">
        <v>0.44444444444444442</v>
      </c>
      <c r="O2396" s="23" cm="1">
        <f t="array" ref="O2396">WordListCount(K2396,keywords!$A$2:$A$31)-WordListCount(K2396,keywords!$B$2:$B$31)</f>
        <v>-2</v>
      </c>
      <c r="P2396" s="25">
        <f t="shared" si="75"/>
        <v>0.82418981481481479</v>
      </c>
      <c r="Q2396" s="23">
        <f>SUM($O$2:O2396)</f>
        <v>68</v>
      </c>
      <c r="Y2396" s="14"/>
      <c r="Z2396" s="13"/>
      <c r="AA2396"/>
    </row>
    <row r="2397" spans="1:27" x14ac:dyDescent="0.2">
      <c r="A2397" s="12" t="s">
        <v>7301</v>
      </c>
      <c r="B2397" t="s">
        <v>7302</v>
      </c>
      <c r="C2397" t="s">
        <v>7303</v>
      </c>
      <c r="D2397" t="s">
        <v>12</v>
      </c>
      <c r="E2397" t="s">
        <v>13</v>
      </c>
      <c r="F2397">
        <v>8</v>
      </c>
      <c r="G2397">
        <v>230</v>
      </c>
      <c r="H2397" s="5" t="s">
        <v>22</v>
      </c>
      <c r="I2397" s="5">
        <v>0</v>
      </c>
      <c r="J2397" s="5">
        <v>0</v>
      </c>
      <c r="K2397" t="s">
        <v>11412</v>
      </c>
      <c r="L2397" cm="1">
        <f t="array" ref="L2397">wordCount(K2397)</f>
        <v>4</v>
      </c>
      <c r="M2397">
        <f t="shared" si="74"/>
        <v>21</v>
      </c>
      <c r="N2397">
        <v>1</v>
      </c>
      <c r="O2397" s="23" cm="1">
        <f t="array" ref="O2397">WordListCount(K2397,keywords!$A$2:$A$31)-WordListCount(K2397,keywords!$B$2:$B$31)</f>
        <v>0</v>
      </c>
      <c r="P2397" s="25">
        <f t="shared" si="75"/>
        <v>0.82444444444444442</v>
      </c>
      <c r="Q2397" s="23">
        <f>SUM($O$2:O2397)</f>
        <v>68</v>
      </c>
      <c r="Y2397" s="14"/>
      <c r="Z2397" s="13"/>
      <c r="AA2397"/>
    </row>
    <row r="2398" spans="1:27" x14ac:dyDescent="0.2">
      <c r="A2398" s="12" t="s">
        <v>7304</v>
      </c>
      <c r="B2398" t="s">
        <v>7305</v>
      </c>
      <c r="C2398" t="s">
        <v>7306</v>
      </c>
      <c r="D2398" t="s">
        <v>7307</v>
      </c>
      <c r="E2398" t="s">
        <v>13</v>
      </c>
      <c r="F2398">
        <v>15</v>
      </c>
      <c r="G2398">
        <v>109</v>
      </c>
      <c r="H2398" s="5" t="s">
        <v>22</v>
      </c>
      <c r="I2398" s="5">
        <v>0</v>
      </c>
      <c r="J2398" s="5">
        <v>0</v>
      </c>
      <c r="K2398" t="s">
        <v>9747</v>
      </c>
      <c r="L2398" cm="1">
        <f t="array" ref="L2398">wordCount(K2398)</f>
        <v>9</v>
      </c>
      <c r="M2398">
        <f t="shared" si="74"/>
        <v>49</v>
      </c>
      <c r="N2398">
        <v>0.7</v>
      </c>
      <c r="O2398" s="23" cm="1">
        <f t="array" ref="O2398">WordListCount(K2398,keywords!$A$2:$A$31)-WordListCount(K2398,keywords!$B$2:$B$31)</f>
        <v>0</v>
      </c>
      <c r="P2398" s="25">
        <f t="shared" si="75"/>
        <v>0.82450231481481484</v>
      </c>
      <c r="Q2398" s="23">
        <f>SUM($O$2:O2398)</f>
        <v>68</v>
      </c>
      <c r="Y2398" s="14"/>
      <c r="Z2398" s="13"/>
      <c r="AA2398"/>
    </row>
    <row r="2399" spans="1:27" x14ac:dyDescent="0.2">
      <c r="A2399" s="12" t="s">
        <v>7308</v>
      </c>
      <c r="B2399" t="s">
        <v>7309</v>
      </c>
      <c r="C2399" t="s">
        <v>7310</v>
      </c>
      <c r="D2399" t="s">
        <v>7311</v>
      </c>
      <c r="E2399" t="s">
        <v>13</v>
      </c>
      <c r="F2399">
        <v>903</v>
      </c>
      <c r="G2399">
        <v>291</v>
      </c>
      <c r="H2399" s="5" t="s">
        <v>22</v>
      </c>
      <c r="I2399" s="5">
        <v>0</v>
      </c>
      <c r="J2399" s="5">
        <v>0</v>
      </c>
      <c r="K2399" t="s">
        <v>9748</v>
      </c>
      <c r="L2399" cm="1">
        <f t="array" ref="L2399">wordCount(K2399)</f>
        <v>9</v>
      </c>
      <c r="M2399">
        <f t="shared" si="74"/>
        <v>47</v>
      </c>
      <c r="N2399">
        <v>0.7</v>
      </c>
      <c r="O2399" s="23" cm="1">
        <f t="array" ref="O2399">WordListCount(K2399,keywords!$A$2:$A$31)-WordListCount(K2399,keywords!$B$2:$B$31)</f>
        <v>0</v>
      </c>
      <c r="P2399" s="25">
        <f t="shared" si="75"/>
        <v>0.82461805555555545</v>
      </c>
      <c r="Q2399" s="23">
        <f>SUM($O$2:O2399)</f>
        <v>68</v>
      </c>
      <c r="Y2399" s="14"/>
      <c r="Z2399" s="13"/>
      <c r="AA2399"/>
    </row>
    <row r="2400" spans="1:27" x14ac:dyDescent="0.2">
      <c r="A2400" s="12" t="s">
        <v>7312</v>
      </c>
      <c r="B2400" t="s">
        <v>7313</v>
      </c>
      <c r="C2400" t="s">
        <v>7314</v>
      </c>
      <c r="D2400" t="s">
        <v>12</v>
      </c>
      <c r="E2400" t="s">
        <v>13</v>
      </c>
      <c r="F2400">
        <v>5</v>
      </c>
      <c r="G2400">
        <v>95</v>
      </c>
      <c r="H2400" s="5" t="s">
        <v>22</v>
      </c>
      <c r="I2400" s="5">
        <v>0</v>
      </c>
      <c r="J2400" s="5">
        <v>0</v>
      </c>
      <c r="K2400" t="s">
        <v>9749</v>
      </c>
      <c r="L2400" cm="1">
        <f t="array" ref="L2400">wordCount(K2400)</f>
        <v>7</v>
      </c>
      <c r="M2400">
        <f t="shared" si="74"/>
        <v>45</v>
      </c>
      <c r="N2400">
        <v>0.88461538461538458</v>
      </c>
      <c r="O2400" s="23" cm="1">
        <f t="array" ref="O2400">WordListCount(K2400,keywords!$A$2:$A$31)-WordListCount(K2400,keywords!$B$2:$B$31)</f>
        <v>1</v>
      </c>
      <c r="P2400" s="25">
        <f t="shared" si="75"/>
        <v>0.82466435185185183</v>
      </c>
      <c r="Q2400" s="23">
        <f>SUM($O$2:O2400)</f>
        <v>69</v>
      </c>
      <c r="Y2400" s="14"/>
      <c r="Z2400" s="13"/>
      <c r="AA2400"/>
    </row>
    <row r="2401" spans="1:27" x14ac:dyDescent="0.2">
      <c r="A2401" s="12" t="s">
        <v>7315</v>
      </c>
      <c r="B2401" t="s">
        <v>7316</v>
      </c>
      <c r="C2401" t="s">
        <v>7317</v>
      </c>
      <c r="D2401" t="s">
        <v>7318</v>
      </c>
      <c r="E2401" t="s">
        <v>13</v>
      </c>
      <c r="F2401">
        <v>362</v>
      </c>
      <c r="G2401">
        <v>131</v>
      </c>
      <c r="H2401" s="5" t="s">
        <v>22</v>
      </c>
      <c r="I2401" s="5">
        <v>0</v>
      </c>
      <c r="J2401" s="5">
        <v>0</v>
      </c>
      <c r="K2401" t="s">
        <v>11413</v>
      </c>
      <c r="L2401" cm="1">
        <f t="array" ref="L2401">wordCount(K2401)</f>
        <v>11</v>
      </c>
      <c r="M2401">
        <f t="shared" si="74"/>
        <v>69</v>
      </c>
      <c r="N2401">
        <v>0.25</v>
      </c>
      <c r="O2401" s="23" cm="1">
        <f t="array" ref="O2401">WordListCount(K2401,keywords!$A$2:$A$31)-WordListCount(K2401,keywords!$B$2:$B$31)</f>
        <v>0</v>
      </c>
      <c r="P2401" s="25">
        <f t="shared" si="75"/>
        <v>0.82478009259259266</v>
      </c>
      <c r="Q2401" s="23">
        <f>SUM($O$2:O2401)</f>
        <v>69</v>
      </c>
      <c r="Y2401" s="14"/>
      <c r="Z2401" s="13"/>
      <c r="AA2401"/>
    </row>
    <row r="2402" spans="1:27" x14ac:dyDescent="0.2">
      <c r="A2402" s="12" t="s">
        <v>7319</v>
      </c>
      <c r="B2402" t="s">
        <v>7320</v>
      </c>
      <c r="C2402" t="s">
        <v>7321</v>
      </c>
      <c r="D2402" t="s">
        <v>12</v>
      </c>
      <c r="E2402" t="s">
        <v>13</v>
      </c>
      <c r="F2402">
        <v>3</v>
      </c>
      <c r="G2402">
        <v>15</v>
      </c>
      <c r="H2402" s="5" t="s">
        <v>59</v>
      </c>
      <c r="I2402" s="5">
        <v>0</v>
      </c>
      <c r="J2402" s="5">
        <v>0</v>
      </c>
      <c r="K2402" t="s">
        <v>11414</v>
      </c>
      <c r="L2402" cm="1">
        <f t="array" ref="L2402">wordCount(K2402)</f>
        <v>17</v>
      </c>
      <c r="M2402">
        <f t="shared" si="74"/>
        <v>69</v>
      </c>
      <c r="N2402">
        <v>0.54545454545454541</v>
      </c>
      <c r="O2402" s="23" cm="1">
        <f t="array" ref="O2402">WordListCount(K2402,keywords!$A$2:$A$31)-WordListCount(K2402,keywords!$B$2:$B$31)</f>
        <v>0</v>
      </c>
      <c r="P2402" s="25">
        <f t="shared" si="75"/>
        <v>0.8247916666666667</v>
      </c>
      <c r="Q2402" s="23">
        <f>SUM($O$2:O2402)</f>
        <v>69</v>
      </c>
      <c r="Y2402" s="14"/>
      <c r="Z2402" s="13"/>
      <c r="AA2402"/>
    </row>
    <row r="2403" spans="1:27" x14ac:dyDescent="0.2">
      <c r="A2403" s="12" t="s">
        <v>7322</v>
      </c>
      <c r="B2403" t="s">
        <v>7323</v>
      </c>
      <c r="C2403" t="s">
        <v>7324</v>
      </c>
      <c r="D2403" t="s">
        <v>12</v>
      </c>
      <c r="E2403" t="s">
        <v>13</v>
      </c>
      <c r="F2403">
        <v>13</v>
      </c>
      <c r="G2403">
        <v>33</v>
      </c>
      <c r="H2403" s="5" t="s">
        <v>22</v>
      </c>
      <c r="I2403" s="5">
        <v>0</v>
      </c>
      <c r="J2403" s="5">
        <v>0</v>
      </c>
      <c r="K2403" t="s">
        <v>11415</v>
      </c>
      <c r="L2403" cm="1">
        <f t="array" ref="L2403">wordCount(K2403)</f>
        <v>7</v>
      </c>
      <c r="M2403">
        <f t="shared" si="74"/>
        <v>40</v>
      </c>
      <c r="N2403">
        <v>0.6</v>
      </c>
      <c r="O2403" s="23" cm="1">
        <f t="array" ref="O2403">WordListCount(K2403,keywords!$A$2:$A$31)-WordListCount(K2403,keywords!$B$2:$B$31)</f>
        <v>0</v>
      </c>
      <c r="P2403" s="25">
        <f t="shared" si="75"/>
        <v>0.82494212962962965</v>
      </c>
      <c r="Q2403" s="23">
        <f>SUM($O$2:O2403)</f>
        <v>69</v>
      </c>
      <c r="Y2403" s="14"/>
      <c r="Z2403" s="13"/>
      <c r="AA2403"/>
    </row>
    <row r="2404" spans="1:27" x14ac:dyDescent="0.2">
      <c r="A2404" s="12" t="s">
        <v>7325</v>
      </c>
      <c r="B2404" t="s">
        <v>7326</v>
      </c>
      <c r="C2404" t="s">
        <v>7327</v>
      </c>
      <c r="D2404" t="s">
        <v>12</v>
      </c>
      <c r="E2404" t="s">
        <v>13</v>
      </c>
      <c r="F2404">
        <v>1306</v>
      </c>
      <c r="G2404">
        <v>1716</v>
      </c>
      <c r="H2404" s="5" t="s">
        <v>22</v>
      </c>
      <c r="I2404" s="5">
        <v>0</v>
      </c>
      <c r="J2404" s="5">
        <v>0</v>
      </c>
      <c r="K2404" t="s">
        <v>11416</v>
      </c>
      <c r="L2404" cm="1">
        <f t="array" ref="L2404">wordCount(K2404)</f>
        <v>10</v>
      </c>
      <c r="M2404">
        <f t="shared" si="74"/>
        <v>61</v>
      </c>
      <c r="N2404">
        <v>0.58333333333333337</v>
      </c>
      <c r="O2404" s="23" cm="1">
        <f t="array" ref="O2404">WordListCount(K2404,keywords!$A$2:$A$31)-WordListCount(K2404,keywords!$B$2:$B$31)</f>
        <v>0</v>
      </c>
      <c r="P2404" s="25">
        <f t="shared" si="75"/>
        <v>0.82498842592592592</v>
      </c>
      <c r="Q2404" s="23">
        <f>SUM($O$2:O2404)</f>
        <v>69</v>
      </c>
      <c r="Y2404" s="14"/>
      <c r="Z2404" s="13"/>
      <c r="AA2404"/>
    </row>
    <row r="2405" spans="1:27" x14ac:dyDescent="0.2">
      <c r="A2405" s="12" t="s">
        <v>7328</v>
      </c>
      <c r="B2405" t="s">
        <v>7329</v>
      </c>
      <c r="C2405" t="s">
        <v>7330</v>
      </c>
      <c r="D2405" t="s">
        <v>12</v>
      </c>
      <c r="E2405" t="s">
        <v>13</v>
      </c>
      <c r="F2405">
        <v>19</v>
      </c>
      <c r="G2405">
        <v>60</v>
      </c>
      <c r="H2405" s="5" t="s">
        <v>22</v>
      </c>
      <c r="I2405" s="5">
        <v>0</v>
      </c>
      <c r="J2405" s="5">
        <v>0</v>
      </c>
      <c r="K2405" t="s">
        <v>11417</v>
      </c>
      <c r="L2405" cm="1">
        <f t="array" ref="L2405">wordCount(K2405)</f>
        <v>11</v>
      </c>
      <c r="M2405">
        <f t="shared" si="74"/>
        <v>58</v>
      </c>
      <c r="N2405">
        <v>0.55555555555555558</v>
      </c>
      <c r="O2405" s="23" cm="1">
        <f t="array" ref="O2405">WordListCount(K2405,keywords!$A$2:$A$31)-WordListCount(K2405,keywords!$B$2:$B$31)</f>
        <v>0</v>
      </c>
      <c r="P2405" s="25">
        <f t="shared" si="75"/>
        <v>0.82532407407407404</v>
      </c>
      <c r="Q2405" s="23">
        <f>SUM($O$2:O2405)</f>
        <v>69</v>
      </c>
      <c r="Y2405" s="14"/>
      <c r="Z2405" s="13"/>
      <c r="AA2405"/>
    </row>
    <row r="2406" spans="1:27" x14ac:dyDescent="0.2">
      <c r="A2406" s="12" t="s">
        <v>7331</v>
      </c>
      <c r="B2406" t="s">
        <v>7332</v>
      </c>
      <c r="C2406" t="s">
        <v>7333</v>
      </c>
      <c r="D2406" t="s">
        <v>197</v>
      </c>
      <c r="E2406" t="s">
        <v>13</v>
      </c>
      <c r="F2406">
        <v>686</v>
      </c>
      <c r="G2406">
        <v>416</v>
      </c>
      <c r="H2406" s="5" t="s">
        <v>22</v>
      </c>
      <c r="I2406" s="5">
        <v>0</v>
      </c>
      <c r="J2406" s="5">
        <v>0</v>
      </c>
      <c r="K2406" t="s">
        <v>9750</v>
      </c>
      <c r="L2406" cm="1">
        <f t="array" ref="L2406">wordCount(K2406)</f>
        <v>5</v>
      </c>
      <c r="M2406">
        <f t="shared" si="74"/>
        <v>22</v>
      </c>
      <c r="N2406">
        <v>0.8666666666666667</v>
      </c>
      <c r="O2406" s="23" cm="1">
        <f t="array" ref="O2406">WordListCount(K2406,keywords!$A$2:$A$31)-WordListCount(K2406,keywords!$B$2:$B$31)</f>
        <v>0</v>
      </c>
      <c r="P2406" s="25">
        <f t="shared" si="75"/>
        <v>0.82535879629629638</v>
      </c>
      <c r="Q2406" s="23">
        <f>SUM($O$2:O2406)</f>
        <v>69</v>
      </c>
      <c r="Y2406" s="14"/>
      <c r="Z2406" s="13"/>
      <c r="AA2406"/>
    </row>
    <row r="2407" spans="1:27" x14ac:dyDescent="0.2">
      <c r="A2407" s="12" t="s">
        <v>7334</v>
      </c>
      <c r="B2407" t="s">
        <v>7335</v>
      </c>
      <c r="C2407" t="s">
        <v>7336</v>
      </c>
      <c r="D2407" t="s">
        <v>7337</v>
      </c>
      <c r="E2407" t="s">
        <v>13</v>
      </c>
      <c r="F2407">
        <v>75</v>
      </c>
      <c r="G2407">
        <v>186</v>
      </c>
      <c r="H2407" s="5" t="s">
        <v>59</v>
      </c>
      <c r="I2407" s="5">
        <v>0</v>
      </c>
      <c r="J2407" s="5">
        <v>0</v>
      </c>
      <c r="K2407" t="s">
        <v>9751</v>
      </c>
      <c r="L2407" cm="1">
        <f t="array" ref="L2407">wordCount(K2407)</f>
        <v>15</v>
      </c>
      <c r="M2407">
        <f t="shared" si="74"/>
        <v>73</v>
      </c>
      <c r="N2407">
        <v>0.3125</v>
      </c>
      <c r="O2407" s="23" cm="1">
        <f t="array" ref="O2407">WordListCount(K2407,keywords!$A$2:$A$31)-WordListCount(K2407,keywords!$B$2:$B$31)</f>
        <v>0</v>
      </c>
      <c r="P2407" s="25">
        <f t="shared" si="75"/>
        <v>0.8253935185185185</v>
      </c>
      <c r="Q2407" s="23">
        <f>SUM($O$2:O2407)</f>
        <v>69</v>
      </c>
      <c r="Y2407" s="14"/>
      <c r="Z2407" s="13"/>
      <c r="AA2407"/>
    </row>
    <row r="2408" spans="1:27" x14ac:dyDescent="0.2">
      <c r="A2408" s="12" t="s">
        <v>7338</v>
      </c>
      <c r="B2408" t="s">
        <v>7339</v>
      </c>
      <c r="C2408" t="s">
        <v>7340</v>
      </c>
      <c r="D2408" t="s">
        <v>7341</v>
      </c>
      <c r="E2408" t="s">
        <v>13</v>
      </c>
      <c r="F2408">
        <v>81</v>
      </c>
      <c r="G2408">
        <v>256</v>
      </c>
      <c r="H2408" s="5" t="s">
        <v>22</v>
      </c>
      <c r="I2408" s="5">
        <v>0</v>
      </c>
      <c r="J2408" s="5">
        <v>0</v>
      </c>
      <c r="K2408" t="s">
        <v>11418</v>
      </c>
      <c r="L2408" cm="1">
        <f t="array" ref="L2408">wordCount(K2408)</f>
        <v>13</v>
      </c>
      <c r="M2408">
        <f t="shared" si="74"/>
        <v>66</v>
      </c>
      <c r="N2408">
        <v>0.5</v>
      </c>
      <c r="O2408" s="23" cm="1">
        <f t="array" ref="O2408">WordListCount(K2408,keywords!$A$2:$A$31)-WordListCount(K2408,keywords!$B$2:$B$31)</f>
        <v>0</v>
      </c>
      <c r="P2408" s="25">
        <f t="shared" si="75"/>
        <v>0.82543981481481488</v>
      </c>
      <c r="Q2408" s="23">
        <f>SUM($O$2:O2408)</f>
        <v>69</v>
      </c>
      <c r="Y2408" s="14"/>
      <c r="Z2408" s="13"/>
      <c r="AA2408"/>
    </row>
    <row r="2409" spans="1:27" x14ac:dyDescent="0.2">
      <c r="A2409" s="12" t="s">
        <v>7342</v>
      </c>
      <c r="B2409" t="s">
        <v>7343</v>
      </c>
      <c r="C2409" t="s">
        <v>7344</v>
      </c>
      <c r="D2409" t="s">
        <v>7345</v>
      </c>
      <c r="E2409" t="s">
        <v>13</v>
      </c>
      <c r="F2409">
        <v>66</v>
      </c>
      <c r="G2409">
        <v>141</v>
      </c>
      <c r="H2409" s="5" t="s">
        <v>22</v>
      </c>
      <c r="I2409" s="5">
        <v>0</v>
      </c>
      <c r="J2409" s="5">
        <v>0</v>
      </c>
      <c r="K2409" t="s">
        <v>9752</v>
      </c>
      <c r="L2409" cm="1">
        <f t="array" ref="L2409">wordCount(K2409)</f>
        <v>4</v>
      </c>
      <c r="M2409">
        <f t="shared" si="74"/>
        <v>20</v>
      </c>
      <c r="N2409">
        <v>0.33333333333333331</v>
      </c>
      <c r="O2409" s="23" cm="1">
        <f t="array" ref="O2409">WordListCount(K2409,keywords!$A$2:$A$31)-WordListCount(K2409,keywords!$B$2:$B$31)</f>
        <v>0</v>
      </c>
      <c r="P2409" s="25">
        <f t="shared" si="75"/>
        <v>0.82564814814814813</v>
      </c>
      <c r="Q2409" s="23">
        <f>SUM($O$2:O2409)</f>
        <v>69</v>
      </c>
      <c r="Y2409" s="14"/>
      <c r="Z2409" s="13"/>
      <c r="AA2409"/>
    </row>
    <row r="2410" spans="1:27" x14ac:dyDescent="0.2">
      <c r="A2410" s="12" t="s">
        <v>7346</v>
      </c>
      <c r="B2410" t="s">
        <v>7347</v>
      </c>
      <c r="C2410" t="s">
        <v>7348</v>
      </c>
      <c r="D2410" t="s">
        <v>7349</v>
      </c>
      <c r="E2410" t="s">
        <v>13</v>
      </c>
      <c r="F2410">
        <v>138</v>
      </c>
      <c r="G2410">
        <v>588</v>
      </c>
      <c r="H2410" s="5" t="s">
        <v>1705</v>
      </c>
      <c r="I2410" s="5">
        <v>0</v>
      </c>
      <c r="J2410" s="5">
        <v>0</v>
      </c>
      <c r="K2410" t="s">
        <v>11419</v>
      </c>
      <c r="L2410" cm="1">
        <f t="array" ref="L2410">wordCount(K2410)</f>
        <v>45</v>
      </c>
      <c r="M2410">
        <f t="shared" si="74"/>
        <v>118</v>
      </c>
      <c r="N2410">
        <v>0.5</v>
      </c>
      <c r="O2410" s="23" cm="1">
        <f t="array" ref="O2410">WordListCount(K2410,keywords!$A$2:$A$31)-WordListCount(K2410,keywords!$B$2:$B$31)</f>
        <v>-1</v>
      </c>
      <c r="P2410" s="25">
        <f t="shared" si="75"/>
        <v>0.82589120370370372</v>
      </c>
      <c r="Q2410" s="23">
        <f>SUM($O$2:O2410)</f>
        <v>68</v>
      </c>
      <c r="Y2410" s="14"/>
      <c r="Z2410" s="13"/>
      <c r="AA2410"/>
    </row>
    <row r="2411" spans="1:27" x14ac:dyDescent="0.2">
      <c r="A2411" s="12" t="s">
        <v>7350</v>
      </c>
      <c r="B2411" t="s">
        <v>7351</v>
      </c>
      <c r="C2411" t="s">
        <v>7306</v>
      </c>
      <c r="D2411" t="s">
        <v>7307</v>
      </c>
      <c r="E2411" t="s">
        <v>13</v>
      </c>
      <c r="F2411">
        <v>15</v>
      </c>
      <c r="G2411">
        <v>109</v>
      </c>
      <c r="H2411" s="5" t="s">
        <v>22</v>
      </c>
      <c r="I2411" s="5">
        <v>0</v>
      </c>
      <c r="J2411" s="5">
        <v>0</v>
      </c>
      <c r="K2411" t="s">
        <v>11420</v>
      </c>
      <c r="L2411" cm="1">
        <f t="array" ref="L2411">wordCount(K2411)</f>
        <v>14</v>
      </c>
      <c r="M2411">
        <f t="shared" si="74"/>
        <v>73</v>
      </c>
      <c r="N2411">
        <v>0.70370370370370372</v>
      </c>
      <c r="O2411" s="23" cm="1">
        <f t="array" ref="O2411">WordListCount(K2411,keywords!$A$2:$A$31)-WordListCount(K2411,keywords!$B$2:$B$31)</f>
        <v>0</v>
      </c>
      <c r="P2411" s="25">
        <f t="shared" si="75"/>
        <v>0.82596064814814818</v>
      </c>
      <c r="Q2411" s="23">
        <f>SUM($O$2:O2411)</f>
        <v>68</v>
      </c>
      <c r="Y2411" s="14"/>
      <c r="Z2411" s="13"/>
      <c r="AA2411"/>
    </row>
    <row r="2412" spans="1:27" x14ac:dyDescent="0.2">
      <c r="A2412" s="12" t="s">
        <v>7350</v>
      </c>
      <c r="B2412" t="s">
        <v>7352</v>
      </c>
      <c r="C2412" t="s">
        <v>7303</v>
      </c>
      <c r="D2412" t="s">
        <v>12</v>
      </c>
      <c r="E2412" t="s">
        <v>13</v>
      </c>
      <c r="F2412">
        <v>8</v>
      </c>
      <c r="G2412">
        <v>230</v>
      </c>
      <c r="H2412" s="5" t="s">
        <v>22</v>
      </c>
      <c r="I2412" s="5">
        <v>0</v>
      </c>
      <c r="J2412" s="5">
        <v>0</v>
      </c>
      <c r="K2412" t="s">
        <v>11421</v>
      </c>
      <c r="L2412" cm="1">
        <f t="array" ref="L2412">wordCount(K2412)</f>
        <v>20</v>
      </c>
      <c r="M2412">
        <f t="shared" si="74"/>
        <v>111</v>
      </c>
      <c r="N2412">
        <v>0.37037037037037035</v>
      </c>
      <c r="O2412" s="23" cm="1">
        <f t="array" ref="O2412">WordListCount(K2412,keywords!$A$2:$A$31)-WordListCount(K2412,keywords!$B$2:$B$31)</f>
        <v>0</v>
      </c>
      <c r="P2412" s="25">
        <f t="shared" si="75"/>
        <v>0.82596064814814818</v>
      </c>
      <c r="Q2412" s="23">
        <f>SUM($O$2:O2412)</f>
        <v>68</v>
      </c>
      <c r="Y2412" s="14"/>
      <c r="Z2412" s="13"/>
      <c r="AA2412"/>
    </row>
    <row r="2413" spans="1:27" x14ac:dyDescent="0.2">
      <c r="A2413" s="12" t="s">
        <v>7353</v>
      </c>
      <c r="B2413" t="s">
        <v>7354</v>
      </c>
      <c r="C2413" t="s">
        <v>7355</v>
      </c>
      <c r="D2413" t="s">
        <v>2096</v>
      </c>
      <c r="E2413" t="s">
        <v>13</v>
      </c>
      <c r="F2413">
        <v>42</v>
      </c>
      <c r="G2413">
        <v>162</v>
      </c>
      <c r="H2413" s="5" t="s">
        <v>22</v>
      </c>
      <c r="I2413" s="5">
        <v>0</v>
      </c>
      <c r="J2413" s="5">
        <v>0</v>
      </c>
      <c r="K2413" t="s">
        <v>11422</v>
      </c>
      <c r="L2413" cm="1">
        <f t="array" ref="L2413">wordCount(K2413)</f>
        <v>10</v>
      </c>
      <c r="M2413">
        <f t="shared" si="74"/>
        <v>61</v>
      </c>
      <c r="N2413">
        <v>0.58823529411764708</v>
      </c>
      <c r="O2413" s="23" cm="1">
        <f t="array" ref="O2413">WordListCount(K2413,keywords!$A$2:$A$31)-WordListCount(K2413,keywords!$B$2:$B$31)</f>
        <v>0</v>
      </c>
      <c r="P2413" s="25">
        <f t="shared" si="75"/>
        <v>0.82597222222222222</v>
      </c>
      <c r="Q2413" s="23">
        <f>SUM($O$2:O2413)</f>
        <v>68</v>
      </c>
      <c r="Y2413" s="14"/>
      <c r="Z2413" s="13"/>
      <c r="AA2413"/>
    </row>
    <row r="2414" spans="1:27" x14ac:dyDescent="0.2">
      <c r="A2414" s="12" t="s">
        <v>7356</v>
      </c>
      <c r="B2414" t="s">
        <v>7357</v>
      </c>
      <c r="C2414" t="s">
        <v>241</v>
      </c>
      <c r="D2414" t="s">
        <v>242</v>
      </c>
      <c r="E2414" t="s">
        <v>13</v>
      </c>
      <c r="F2414">
        <v>9228</v>
      </c>
      <c r="G2414">
        <v>7170</v>
      </c>
      <c r="H2414" s="5" t="s">
        <v>22</v>
      </c>
      <c r="I2414" s="5">
        <v>0</v>
      </c>
      <c r="J2414" s="5">
        <v>0</v>
      </c>
      <c r="K2414" t="s">
        <v>11423</v>
      </c>
      <c r="L2414" cm="1">
        <f t="array" ref="L2414">wordCount(K2414)</f>
        <v>15</v>
      </c>
      <c r="M2414">
        <f t="shared" si="74"/>
        <v>76</v>
      </c>
      <c r="N2414">
        <v>1</v>
      </c>
      <c r="O2414" s="23" cm="1">
        <f t="array" ref="O2414">WordListCount(K2414,keywords!$A$2:$A$31)-WordListCount(K2414,keywords!$B$2:$B$31)</f>
        <v>0</v>
      </c>
      <c r="P2414" s="25">
        <f t="shared" si="75"/>
        <v>0.8259953703703703</v>
      </c>
      <c r="Q2414" s="23">
        <f>SUM($O$2:O2414)</f>
        <v>68</v>
      </c>
      <c r="Y2414" s="14"/>
      <c r="Z2414" s="13"/>
      <c r="AA2414"/>
    </row>
    <row r="2415" spans="1:27" x14ac:dyDescent="0.2">
      <c r="A2415" s="12" t="s">
        <v>7358</v>
      </c>
      <c r="B2415" t="s">
        <v>7359</v>
      </c>
      <c r="C2415" t="s">
        <v>7360</v>
      </c>
      <c r="D2415" t="s">
        <v>7361</v>
      </c>
      <c r="E2415" t="s">
        <v>13</v>
      </c>
      <c r="F2415">
        <v>12</v>
      </c>
      <c r="G2415">
        <v>54</v>
      </c>
      <c r="H2415" s="5" t="s">
        <v>360</v>
      </c>
      <c r="I2415" s="5">
        <v>0</v>
      </c>
      <c r="J2415" s="5">
        <v>0</v>
      </c>
      <c r="K2415" t="s">
        <v>9753</v>
      </c>
      <c r="L2415" cm="1">
        <f t="array" ref="L2415">wordCount(K2415)</f>
        <v>2</v>
      </c>
      <c r="M2415">
        <f t="shared" si="74"/>
        <v>11</v>
      </c>
      <c r="N2415">
        <v>0.75</v>
      </c>
      <c r="O2415" s="23" cm="1">
        <f t="array" ref="O2415">WordListCount(K2415,keywords!$A$2:$A$31)-WordListCount(K2415,keywords!$B$2:$B$31)</f>
        <v>0</v>
      </c>
      <c r="P2415" s="25">
        <f t="shared" si="75"/>
        <v>0.82603009259259252</v>
      </c>
      <c r="Q2415" s="23">
        <f>SUM($O$2:O2415)</f>
        <v>68</v>
      </c>
      <c r="Y2415" s="14"/>
      <c r="Z2415" s="13"/>
      <c r="AA2415"/>
    </row>
    <row r="2416" spans="1:27" x14ac:dyDescent="0.2">
      <c r="A2416" s="12" t="s">
        <v>7362</v>
      </c>
      <c r="B2416" t="s">
        <v>7363</v>
      </c>
      <c r="C2416" t="s">
        <v>7364</v>
      </c>
      <c r="D2416" t="s">
        <v>7365</v>
      </c>
      <c r="E2416" t="s">
        <v>13</v>
      </c>
      <c r="F2416">
        <v>48</v>
      </c>
      <c r="G2416">
        <v>99</v>
      </c>
      <c r="H2416" s="5" t="s">
        <v>22</v>
      </c>
      <c r="I2416" s="5">
        <v>0</v>
      </c>
      <c r="J2416" s="5">
        <v>0</v>
      </c>
      <c r="K2416" t="s">
        <v>11424</v>
      </c>
      <c r="L2416" cm="1">
        <f t="array" ref="L2416">wordCount(K2416)</f>
        <v>18</v>
      </c>
      <c r="M2416">
        <f t="shared" si="74"/>
        <v>97</v>
      </c>
      <c r="N2416">
        <v>0.60606060606060608</v>
      </c>
      <c r="O2416" s="23" cm="1">
        <f t="array" ref="O2416">WordListCount(K2416,keywords!$A$2:$A$31)-WordListCount(K2416,keywords!$B$2:$B$31)</f>
        <v>-2</v>
      </c>
      <c r="P2416" s="25">
        <f t="shared" si="75"/>
        <v>0.82619212962962962</v>
      </c>
      <c r="Q2416" s="23">
        <f>SUM($O$2:O2416)</f>
        <v>66</v>
      </c>
      <c r="Y2416" s="14"/>
      <c r="Z2416" s="13"/>
      <c r="AA2416"/>
    </row>
    <row r="2417" spans="1:27" x14ac:dyDescent="0.2">
      <c r="A2417" s="12" t="s">
        <v>7366</v>
      </c>
      <c r="B2417" t="s">
        <v>7367</v>
      </c>
      <c r="C2417" t="s">
        <v>7368</v>
      </c>
      <c r="D2417" t="s">
        <v>12</v>
      </c>
      <c r="E2417" t="s">
        <v>13</v>
      </c>
      <c r="F2417">
        <v>46</v>
      </c>
      <c r="G2417">
        <v>48</v>
      </c>
      <c r="H2417" s="5" t="s">
        <v>22</v>
      </c>
      <c r="I2417" s="5">
        <v>0</v>
      </c>
      <c r="J2417" s="5">
        <v>0</v>
      </c>
      <c r="K2417" t="s">
        <v>11425</v>
      </c>
      <c r="L2417" cm="1">
        <f t="array" ref="L2417">wordCount(K2417)</f>
        <v>8</v>
      </c>
      <c r="M2417">
        <f t="shared" si="74"/>
        <v>44</v>
      </c>
      <c r="N2417">
        <v>0.7</v>
      </c>
      <c r="O2417" s="23" cm="1">
        <f t="array" ref="O2417">WordListCount(K2417,keywords!$A$2:$A$31)-WordListCount(K2417,keywords!$B$2:$B$31)</f>
        <v>0</v>
      </c>
      <c r="P2417" s="25">
        <f t="shared" si="75"/>
        <v>0.82626157407407408</v>
      </c>
      <c r="Q2417" s="23">
        <f>SUM($O$2:O2417)</f>
        <v>66</v>
      </c>
      <c r="Y2417" s="14"/>
      <c r="Z2417" s="13"/>
      <c r="AA2417"/>
    </row>
    <row r="2418" spans="1:27" x14ac:dyDescent="0.2">
      <c r="A2418" s="12" t="s">
        <v>7369</v>
      </c>
      <c r="B2418" t="s">
        <v>7370</v>
      </c>
      <c r="C2418" t="s">
        <v>7371</v>
      </c>
      <c r="D2418" t="s">
        <v>4685</v>
      </c>
      <c r="E2418" t="s">
        <v>13</v>
      </c>
      <c r="F2418">
        <v>22</v>
      </c>
      <c r="G2418">
        <v>73</v>
      </c>
      <c r="H2418" s="5" t="s">
        <v>22</v>
      </c>
      <c r="I2418" s="5">
        <v>0</v>
      </c>
      <c r="J2418" s="5">
        <v>0</v>
      </c>
      <c r="K2418" t="s">
        <v>9754</v>
      </c>
      <c r="L2418" cm="1">
        <f t="array" ref="L2418">wordCount(K2418)</f>
        <v>4</v>
      </c>
      <c r="M2418">
        <f t="shared" si="74"/>
        <v>16</v>
      </c>
      <c r="N2418">
        <v>1</v>
      </c>
      <c r="O2418" s="23" cm="1">
        <f t="array" ref="O2418">WordListCount(K2418,keywords!$A$2:$A$31)-WordListCount(K2418,keywords!$B$2:$B$31)</f>
        <v>0</v>
      </c>
      <c r="P2418" s="25">
        <f t="shared" si="75"/>
        <v>0.8262962962962962</v>
      </c>
      <c r="Q2418" s="23">
        <f>SUM($O$2:O2418)</f>
        <v>66</v>
      </c>
      <c r="Y2418" s="14"/>
      <c r="Z2418" s="13"/>
      <c r="AA2418"/>
    </row>
    <row r="2419" spans="1:27" x14ac:dyDescent="0.2">
      <c r="A2419" s="12" t="s">
        <v>7372</v>
      </c>
      <c r="B2419" t="s">
        <v>7373</v>
      </c>
      <c r="C2419" t="s">
        <v>7374</v>
      </c>
      <c r="D2419" t="s">
        <v>12</v>
      </c>
      <c r="E2419" t="s">
        <v>13</v>
      </c>
      <c r="F2419">
        <v>168</v>
      </c>
      <c r="G2419">
        <v>239</v>
      </c>
      <c r="H2419" s="5" t="s">
        <v>22</v>
      </c>
      <c r="I2419" s="5">
        <v>0</v>
      </c>
      <c r="J2419" s="5">
        <v>0</v>
      </c>
      <c r="K2419" t="s">
        <v>11426</v>
      </c>
      <c r="L2419" cm="1">
        <f t="array" ref="L2419">wordCount(K2419)</f>
        <v>15</v>
      </c>
      <c r="M2419">
        <f t="shared" si="74"/>
        <v>93</v>
      </c>
      <c r="N2419">
        <v>0.42105263157894735</v>
      </c>
      <c r="O2419" s="23" cm="1">
        <f t="array" ref="O2419">WordListCount(K2419,keywords!$A$2:$A$31)-WordListCount(K2419,keywords!$B$2:$B$31)</f>
        <v>0</v>
      </c>
      <c r="P2419" s="25">
        <f t="shared" si="75"/>
        <v>0.82634259259259257</v>
      </c>
      <c r="Q2419" s="23">
        <f>SUM($O$2:O2419)</f>
        <v>66</v>
      </c>
      <c r="Y2419" s="14"/>
      <c r="Z2419" s="13"/>
      <c r="AA2419"/>
    </row>
    <row r="2420" spans="1:27" x14ac:dyDescent="0.2">
      <c r="A2420" s="12" t="s">
        <v>7375</v>
      </c>
      <c r="B2420" t="s">
        <v>7376</v>
      </c>
      <c r="C2420" t="s">
        <v>5607</v>
      </c>
      <c r="D2420" t="s">
        <v>3303</v>
      </c>
      <c r="E2420" t="s">
        <v>13</v>
      </c>
      <c r="F2420">
        <v>582</v>
      </c>
      <c r="G2420">
        <v>1849</v>
      </c>
      <c r="H2420" s="5" t="s">
        <v>22</v>
      </c>
      <c r="I2420" s="5">
        <v>0</v>
      </c>
      <c r="J2420" s="5">
        <v>0</v>
      </c>
      <c r="K2420" t="s">
        <v>10842</v>
      </c>
      <c r="L2420" cm="1">
        <f t="array" ref="L2420">wordCount(K2420)</f>
        <v>22</v>
      </c>
      <c r="M2420">
        <f t="shared" si="74"/>
        <v>113</v>
      </c>
      <c r="N2420">
        <v>1</v>
      </c>
      <c r="O2420" s="23" cm="1">
        <f t="array" ref="O2420">WordListCount(K2420,keywords!$A$2:$A$31)-WordListCount(K2420,keywords!$B$2:$B$31)</f>
        <v>-1</v>
      </c>
      <c r="P2420" s="25">
        <f t="shared" si="75"/>
        <v>0.8265393518518519</v>
      </c>
      <c r="Q2420" s="23">
        <f>SUM($O$2:O2420)</f>
        <v>65</v>
      </c>
      <c r="Y2420" s="14"/>
      <c r="Z2420" s="13"/>
      <c r="AA2420"/>
    </row>
    <row r="2421" spans="1:27" x14ac:dyDescent="0.2">
      <c r="A2421" s="12" t="s">
        <v>7377</v>
      </c>
      <c r="B2421" t="s">
        <v>7378</v>
      </c>
      <c r="C2421" t="s">
        <v>1463</v>
      </c>
      <c r="D2421" t="s">
        <v>1464</v>
      </c>
      <c r="E2421" t="s">
        <v>13</v>
      </c>
      <c r="F2421">
        <v>1399</v>
      </c>
      <c r="G2421">
        <v>2235</v>
      </c>
      <c r="H2421" s="5" t="s">
        <v>22</v>
      </c>
      <c r="I2421" s="5">
        <v>0</v>
      </c>
      <c r="J2421" s="5">
        <v>0</v>
      </c>
      <c r="K2421" t="s">
        <v>10178</v>
      </c>
      <c r="L2421" cm="1">
        <f t="array" ref="L2421">wordCount(K2421)</f>
        <v>9</v>
      </c>
      <c r="M2421">
        <f t="shared" si="74"/>
        <v>59</v>
      </c>
      <c r="N2421">
        <v>0.88888888888888884</v>
      </c>
      <c r="O2421" s="23" cm="1">
        <f t="array" ref="O2421">WordListCount(K2421,keywords!$A$2:$A$31)-WordListCount(K2421,keywords!$B$2:$B$31)</f>
        <v>0</v>
      </c>
      <c r="P2421" s="25">
        <f t="shared" si="75"/>
        <v>0.82657407407407402</v>
      </c>
      <c r="Q2421" s="23">
        <f>SUM($O$2:O2421)</f>
        <v>65</v>
      </c>
      <c r="Y2421" s="14"/>
      <c r="Z2421" s="13"/>
      <c r="AA2421"/>
    </row>
    <row r="2422" spans="1:27" x14ac:dyDescent="0.2">
      <c r="A2422" s="12" t="s">
        <v>7379</v>
      </c>
      <c r="B2422" t="s">
        <v>7380</v>
      </c>
      <c r="C2422" t="s">
        <v>1007</v>
      </c>
      <c r="D2422" t="s">
        <v>12</v>
      </c>
      <c r="E2422" t="s">
        <v>13</v>
      </c>
      <c r="F2422">
        <v>147</v>
      </c>
      <c r="G2422">
        <v>142</v>
      </c>
      <c r="H2422" s="5" t="s">
        <v>59</v>
      </c>
      <c r="I2422" s="5">
        <v>0</v>
      </c>
      <c r="J2422" s="5">
        <v>0</v>
      </c>
      <c r="K2422" t="s">
        <v>11427</v>
      </c>
      <c r="L2422" cm="1">
        <f t="array" ref="L2422">wordCount(K2422)</f>
        <v>18</v>
      </c>
      <c r="M2422">
        <f t="shared" si="74"/>
        <v>95</v>
      </c>
      <c r="N2422">
        <v>0.4838709677419355</v>
      </c>
      <c r="O2422" s="23" cm="1">
        <f t="array" ref="O2422">WordListCount(K2422,keywords!$A$2:$A$31)-WordListCount(K2422,keywords!$B$2:$B$31)</f>
        <v>0</v>
      </c>
      <c r="P2422" s="25">
        <f t="shared" si="75"/>
        <v>0.8267592592592593</v>
      </c>
      <c r="Q2422" s="23">
        <f>SUM($O$2:O2422)</f>
        <v>65</v>
      </c>
      <c r="Y2422" s="14"/>
      <c r="Z2422" s="13"/>
      <c r="AA2422"/>
    </row>
    <row r="2423" spans="1:27" x14ac:dyDescent="0.2">
      <c r="A2423" s="12" t="s">
        <v>7381</v>
      </c>
      <c r="B2423" t="s">
        <v>7382</v>
      </c>
      <c r="C2423" t="s">
        <v>7383</v>
      </c>
      <c r="D2423" t="s">
        <v>12</v>
      </c>
      <c r="E2423" t="s">
        <v>13</v>
      </c>
      <c r="F2423">
        <v>81</v>
      </c>
      <c r="G2423">
        <v>138</v>
      </c>
      <c r="H2423" s="5" t="s">
        <v>22</v>
      </c>
      <c r="I2423" s="5">
        <v>0</v>
      </c>
      <c r="J2423" s="5">
        <v>0</v>
      </c>
      <c r="K2423" t="s">
        <v>11428</v>
      </c>
      <c r="L2423" cm="1">
        <f t="array" ref="L2423">wordCount(K2423)</f>
        <v>23</v>
      </c>
      <c r="M2423">
        <f t="shared" si="74"/>
        <v>114</v>
      </c>
      <c r="N2423">
        <v>0.38235294117647056</v>
      </c>
      <c r="O2423" s="23" cm="1">
        <f t="array" ref="O2423">WordListCount(K2423,keywords!$A$2:$A$31)-WordListCount(K2423,keywords!$B$2:$B$31)</f>
        <v>1</v>
      </c>
      <c r="P2423" s="25">
        <f t="shared" si="75"/>
        <v>0.82701388888888883</v>
      </c>
      <c r="Q2423" s="23">
        <f>SUM($O$2:O2423)</f>
        <v>66</v>
      </c>
      <c r="Y2423" s="14"/>
      <c r="Z2423" s="13"/>
      <c r="AA2423"/>
    </row>
    <row r="2424" spans="1:27" x14ac:dyDescent="0.2">
      <c r="A2424" s="12" t="s">
        <v>7384</v>
      </c>
      <c r="B2424" t="s">
        <v>7385</v>
      </c>
      <c r="C2424" t="s">
        <v>7386</v>
      </c>
      <c r="D2424" t="s">
        <v>577</v>
      </c>
      <c r="E2424" t="s">
        <v>13</v>
      </c>
      <c r="F2424">
        <v>1594</v>
      </c>
      <c r="G2424">
        <v>2660</v>
      </c>
      <c r="H2424" s="5" t="s">
        <v>22</v>
      </c>
      <c r="I2424" s="5">
        <v>0</v>
      </c>
      <c r="J2424" s="5">
        <v>0</v>
      </c>
      <c r="K2424" t="s">
        <v>11429</v>
      </c>
      <c r="L2424" cm="1">
        <f t="array" ref="L2424">wordCount(K2424)</f>
        <v>26</v>
      </c>
      <c r="M2424">
        <f t="shared" si="74"/>
        <v>124</v>
      </c>
      <c r="N2424">
        <v>0.29411764705882354</v>
      </c>
      <c r="O2424" s="23" cm="1">
        <f t="array" ref="O2424">WordListCount(K2424,keywords!$A$2:$A$31)-WordListCount(K2424,keywords!$B$2:$B$31)</f>
        <v>0</v>
      </c>
      <c r="P2424" s="25">
        <f t="shared" si="75"/>
        <v>0.82704861111111105</v>
      </c>
      <c r="Q2424" s="23">
        <f>SUM($O$2:O2424)</f>
        <v>66</v>
      </c>
      <c r="Y2424" s="14"/>
      <c r="Z2424" s="13"/>
      <c r="AA2424"/>
    </row>
    <row r="2425" spans="1:27" x14ac:dyDescent="0.2">
      <c r="A2425" s="12" t="s">
        <v>7387</v>
      </c>
      <c r="B2425" t="s">
        <v>7388</v>
      </c>
      <c r="C2425" t="s">
        <v>7317</v>
      </c>
      <c r="D2425" t="s">
        <v>7318</v>
      </c>
      <c r="E2425" t="s">
        <v>13</v>
      </c>
      <c r="F2425">
        <v>362</v>
      </c>
      <c r="G2425">
        <v>131</v>
      </c>
      <c r="H2425" s="5" t="s">
        <v>22</v>
      </c>
      <c r="I2425" s="5">
        <v>0</v>
      </c>
      <c r="J2425" s="5">
        <v>0</v>
      </c>
      <c r="K2425" t="s">
        <v>11430</v>
      </c>
      <c r="L2425" cm="1">
        <f t="array" ref="L2425">wordCount(K2425)</f>
        <v>15</v>
      </c>
      <c r="M2425">
        <f t="shared" si="74"/>
        <v>96</v>
      </c>
      <c r="N2425">
        <v>0.51851851851851849</v>
      </c>
      <c r="O2425" s="23" cm="1">
        <f t="array" ref="O2425">WordListCount(K2425,keywords!$A$2:$A$31)-WordListCount(K2425,keywords!$B$2:$B$31)</f>
        <v>0</v>
      </c>
      <c r="P2425" s="25">
        <f t="shared" si="75"/>
        <v>0.8270601851851852</v>
      </c>
      <c r="Q2425" s="23">
        <f>SUM($O$2:O2425)</f>
        <v>66</v>
      </c>
      <c r="Y2425" s="14"/>
      <c r="Z2425" s="13"/>
      <c r="AA2425"/>
    </row>
    <row r="2426" spans="1:27" x14ac:dyDescent="0.2">
      <c r="A2426" s="12" t="s">
        <v>7389</v>
      </c>
      <c r="B2426" t="s">
        <v>7390</v>
      </c>
      <c r="C2426" t="s">
        <v>7391</v>
      </c>
      <c r="D2426" t="s">
        <v>7392</v>
      </c>
      <c r="E2426" t="s">
        <v>13</v>
      </c>
      <c r="F2426">
        <v>110</v>
      </c>
      <c r="G2426">
        <v>74</v>
      </c>
      <c r="H2426" s="5" t="s">
        <v>22</v>
      </c>
      <c r="I2426" s="5">
        <v>0</v>
      </c>
      <c r="J2426" s="5">
        <v>0</v>
      </c>
      <c r="K2426" t="s">
        <v>11431</v>
      </c>
      <c r="L2426" cm="1">
        <f t="array" ref="L2426">wordCount(K2426)</f>
        <v>17</v>
      </c>
      <c r="M2426">
        <f t="shared" si="74"/>
        <v>85</v>
      </c>
      <c r="N2426">
        <v>0.5</v>
      </c>
      <c r="O2426" s="23" cm="1">
        <f t="array" ref="O2426">WordListCount(K2426,keywords!$A$2:$A$31)-WordListCount(K2426,keywords!$B$2:$B$31)</f>
        <v>0</v>
      </c>
      <c r="P2426" s="25">
        <f t="shared" si="75"/>
        <v>0.82718749999999996</v>
      </c>
      <c r="Q2426" s="23">
        <f>SUM($O$2:O2426)</f>
        <v>66</v>
      </c>
      <c r="Y2426" s="14"/>
      <c r="Z2426" s="13"/>
      <c r="AA2426"/>
    </row>
    <row r="2427" spans="1:27" x14ac:dyDescent="0.2">
      <c r="A2427" s="12" t="s">
        <v>7393</v>
      </c>
      <c r="B2427" t="s">
        <v>7394</v>
      </c>
      <c r="C2427" t="s">
        <v>7395</v>
      </c>
      <c r="D2427" t="s">
        <v>12</v>
      </c>
      <c r="E2427" t="s">
        <v>13</v>
      </c>
      <c r="F2427">
        <v>23</v>
      </c>
      <c r="G2427">
        <v>7</v>
      </c>
      <c r="H2427" s="5" t="s">
        <v>22</v>
      </c>
      <c r="I2427" s="5">
        <v>0</v>
      </c>
      <c r="J2427" s="5">
        <v>0</v>
      </c>
      <c r="K2427" t="s">
        <v>11432</v>
      </c>
      <c r="L2427" cm="1">
        <f t="array" ref="L2427">wordCount(K2427)</f>
        <v>15</v>
      </c>
      <c r="M2427">
        <f t="shared" si="74"/>
        <v>77</v>
      </c>
      <c r="N2427">
        <v>0.35294117647058826</v>
      </c>
      <c r="O2427" s="23" cm="1">
        <f t="array" ref="O2427">WordListCount(K2427,keywords!$A$2:$A$31)-WordListCount(K2427,keywords!$B$2:$B$31)</f>
        <v>0</v>
      </c>
      <c r="P2427" s="25">
        <f t="shared" si="75"/>
        <v>0.82740740740740737</v>
      </c>
      <c r="Q2427" s="23">
        <f>SUM($O$2:O2427)</f>
        <v>66</v>
      </c>
      <c r="Y2427" s="14"/>
      <c r="Z2427" s="13"/>
      <c r="AA2427"/>
    </row>
    <row r="2428" spans="1:27" x14ac:dyDescent="0.2">
      <c r="A2428" s="12" t="s">
        <v>7396</v>
      </c>
      <c r="B2428" t="s">
        <v>7397</v>
      </c>
      <c r="C2428" t="s">
        <v>7398</v>
      </c>
      <c r="D2428" t="s">
        <v>12</v>
      </c>
      <c r="E2428" t="s">
        <v>13</v>
      </c>
      <c r="F2428">
        <v>92</v>
      </c>
      <c r="G2428">
        <v>161</v>
      </c>
      <c r="H2428" s="5" t="s">
        <v>96</v>
      </c>
      <c r="I2428" s="5">
        <v>0</v>
      </c>
      <c r="J2428" s="5">
        <v>0</v>
      </c>
      <c r="K2428" t="s">
        <v>11433</v>
      </c>
      <c r="L2428" cm="1">
        <f t="array" ref="L2428">wordCount(K2428)</f>
        <v>14</v>
      </c>
      <c r="M2428">
        <f t="shared" si="74"/>
        <v>64</v>
      </c>
      <c r="N2428">
        <v>0.5625</v>
      </c>
      <c r="O2428" s="23" cm="1">
        <f t="array" ref="O2428">WordListCount(K2428,keywords!$A$2:$A$31)-WordListCount(K2428,keywords!$B$2:$B$31)</f>
        <v>0</v>
      </c>
      <c r="P2428" s="25">
        <f t="shared" si="75"/>
        <v>0.82751157407407405</v>
      </c>
      <c r="Q2428" s="23">
        <f>SUM($O$2:O2428)</f>
        <v>66</v>
      </c>
      <c r="Y2428" s="14"/>
      <c r="Z2428" s="13"/>
      <c r="AA2428"/>
    </row>
    <row r="2429" spans="1:27" x14ac:dyDescent="0.2">
      <c r="A2429" s="12" t="s">
        <v>7399</v>
      </c>
      <c r="B2429" t="s">
        <v>7400</v>
      </c>
      <c r="C2429" t="s">
        <v>7401</v>
      </c>
      <c r="D2429" t="s">
        <v>7402</v>
      </c>
      <c r="E2429" t="s">
        <v>13</v>
      </c>
      <c r="F2429">
        <v>8472</v>
      </c>
      <c r="G2429">
        <v>9075</v>
      </c>
      <c r="H2429" s="5" t="s">
        <v>22</v>
      </c>
      <c r="I2429" s="5">
        <v>0</v>
      </c>
      <c r="J2429" s="5">
        <v>0</v>
      </c>
      <c r="K2429" t="s">
        <v>11434</v>
      </c>
      <c r="L2429" cm="1">
        <f t="array" ref="L2429">wordCount(K2429)</f>
        <v>5</v>
      </c>
      <c r="M2429">
        <f t="shared" si="74"/>
        <v>33</v>
      </c>
      <c r="N2429">
        <v>0.75</v>
      </c>
      <c r="O2429" s="23" cm="1">
        <f t="array" ref="O2429">WordListCount(K2429,keywords!$A$2:$A$31)-WordListCount(K2429,keywords!$B$2:$B$31)</f>
        <v>0</v>
      </c>
      <c r="P2429" s="25">
        <f t="shared" si="75"/>
        <v>0.82759259259259255</v>
      </c>
      <c r="Q2429" s="23">
        <f>SUM($O$2:O2429)</f>
        <v>66</v>
      </c>
      <c r="Y2429" s="14"/>
      <c r="Z2429" s="13"/>
      <c r="AA2429"/>
    </row>
    <row r="2430" spans="1:27" x14ac:dyDescent="0.2">
      <c r="A2430" s="12" t="s">
        <v>7403</v>
      </c>
      <c r="B2430" t="s">
        <v>7404</v>
      </c>
      <c r="C2430" t="s">
        <v>7405</v>
      </c>
      <c r="D2430" t="s">
        <v>12</v>
      </c>
      <c r="E2430" t="s">
        <v>13</v>
      </c>
      <c r="F2430">
        <v>766</v>
      </c>
      <c r="G2430">
        <v>823</v>
      </c>
      <c r="H2430" s="5" t="s">
        <v>22</v>
      </c>
      <c r="I2430" s="5">
        <v>0</v>
      </c>
      <c r="J2430" s="5">
        <v>0</v>
      </c>
      <c r="K2430" t="s">
        <v>11435</v>
      </c>
      <c r="L2430" cm="1">
        <f t="array" ref="L2430">wordCount(K2430)</f>
        <v>21</v>
      </c>
      <c r="M2430">
        <f t="shared" si="74"/>
        <v>112</v>
      </c>
      <c r="N2430">
        <v>0.19047619047619047</v>
      </c>
      <c r="O2430" s="23" cm="1">
        <f t="array" ref="O2430">WordListCount(K2430,keywords!$A$2:$A$31)-WordListCount(K2430,keywords!$B$2:$B$31)</f>
        <v>0</v>
      </c>
      <c r="P2430" s="25">
        <f t="shared" si="75"/>
        <v>0.82767361111111104</v>
      </c>
      <c r="Q2430" s="23">
        <f>SUM($O$2:O2430)</f>
        <v>66</v>
      </c>
      <c r="Y2430" s="14"/>
      <c r="Z2430" s="13"/>
      <c r="AA2430"/>
    </row>
    <row r="2431" spans="1:27" x14ac:dyDescent="0.2">
      <c r="A2431" s="12" t="s">
        <v>7406</v>
      </c>
      <c r="B2431" t="s">
        <v>7407</v>
      </c>
      <c r="C2431" t="s">
        <v>7408</v>
      </c>
      <c r="D2431" t="s">
        <v>1830</v>
      </c>
      <c r="E2431" t="s">
        <v>13</v>
      </c>
      <c r="F2431">
        <v>238</v>
      </c>
      <c r="G2431">
        <v>145</v>
      </c>
      <c r="H2431" s="5" t="s">
        <v>22</v>
      </c>
      <c r="I2431" s="5">
        <v>0</v>
      </c>
      <c r="J2431" s="5">
        <v>0</v>
      </c>
      <c r="K2431" t="s">
        <v>11436</v>
      </c>
      <c r="L2431" cm="1">
        <f t="array" ref="L2431">wordCount(K2431)</f>
        <v>13</v>
      </c>
      <c r="M2431">
        <f t="shared" si="74"/>
        <v>68</v>
      </c>
      <c r="N2431">
        <v>0.58333333333333337</v>
      </c>
      <c r="O2431" s="23" cm="1">
        <f t="array" ref="O2431">WordListCount(K2431,keywords!$A$2:$A$31)-WordListCount(K2431,keywords!$B$2:$B$31)</f>
        <v>0</v>
      </c>
      <c r="P2431" s="25">
        <f t="shared" si="75"/>
        <v>0.82775462962962953</v>
      </c>
      <c r="Q2431" s="23">
        <f>SUM($O$2:O2431)</f>
        <v>66</v>
      </c>
      <c r="Y2431" s="14"/>
      <c r="Z2431" s="13"/>
      <c r="AA2431"/>
    </row>
    <row r="2432" spans="1:27" x14ac:dyDescent="0.2">
      <c r="A2432" s="12" t="s">
        <v>7409</v>
      </c>
      <c r="B2432" t="s">
        <v>7410</v>
      </c>
      <c r="C2432" t="s">
        <v>7411</v>
      </c>
      <c r="D2432" t="s">
        <v>1383</v>
      </c>
      <c r="E2432" t="s">
        <v>13</v>
      </c>
      <c r="F2432">
        <v>726</v>
      </c>
      <c r="G2432">
        <v>1258</v>
      </c>
      <c r="H2432" s="5" t="s">
        <v>22</v>
      </c>
      <c r="I2432" s="5">
        <v>0</v>
      </c>
      <c r="J2432" s="5">
        <v>0</v>
      </c>
      <c r="K2432" t="s">
        <v>9755</v>
      </c>
      <c r="L2432" cm="1">
        <f t="array" ref="L2432">wordCount(K2432)</f>
        <v>18</v>
      </c>
      <c r="M2432">
        <f t="shared" si="74"/>
        <v>85</v>
      </c>
      <c r="N2432">
        <v>0.62068965517241381</v>
      </c>
      <c r="O2432" s="23" cm="1">
        <f t="array" ref="O2432">WordListCount(K2432,keywords!$A$2:$A$31)-WordListCount(K2432,keywords!$B$2:$B$31)</f>
        <v>-1</v>
      </c>
      <c r="P2432" s="25">
        <f t="shared" si="75"/>
        <v>0.82787037037037037</v>
      </c>
      <c r="Q2432" s="23">
        <f>SUM($O$2:O2432)</f>
        <v>65</v>
      </c>
      <c r="Y2432" s="14"/>
      <c r="Z2432" s="13"/>
      <c r="AA2432"/>
    </row>
    <row r="2433" spans="1:27" x14ac:dyDescent="0.2">
      <c r="A2433" s="12" t="s">
        <v>7412</v>
      </c>
      <c r="B2433" t="s">
        <v>7413</v>
      </c>
      <c r="C2433" t="s">
        <v>7414</v>
      </c>
      <c r="D2433" t="s">
        <v>7415</v>
      </c>
      <c r="E2433" t="s">
        <v>13</v>
      </c>
      <c r="F2433">
        <v>1610</v>
      </c>
      <c r="G2433">
        <v>1967</v>
      </c>
      <c r="H2433" s="5" t="s">
        <v>22</v>
      </c>
      <c r="I2433" s="5">
        <v>0</v>
      </c>
      <c r="J2433" s="5">
        <v>0</v>
      </c>
      <c r="K2433" t="s">
        <v>11437</v>
      </c>
      <c r="L2433" cm="1">
        <f t="array" ref="L2433">wordCount(K2433)</f>
        <v>6</v>
      </c>
      <c r="M2433">
        <f t="shared" si="74"/>
        <v>21</v>
      </c>
      <c r="N2433">
        <v>0.75</v>
      </c>
      <c r="O2433" s="23" cm="1">
        <f t="array" ref="O2433">WordListCount(K2433,keywords!$A$2:$A$31)-WordListCount(K2433,keywords!$B$2:$B$31)</f>
        <v>-1</v>
      </c>
      <c r="P2433" s="25">
        <f t="shared" si="75"/>
        <v>0.82788194444444441</v>
      </c>
      <c r="Q2433" s="23">
        <f>SUM($O$2:O2433)</f>
        <v>64</v>
      </c>
      <c r="Y2433" s="14"/>
      <c r="Z2433" s="13"/>
      <c r="AA2433"/>
    </row>
    <row r="2434" spans="1:27" x14ac:dyDescent="0.2">
      <c r="A2434" s="12" t="s">
        <v>7416</v>
      </c>
      <c r="B2434" t="s">
        <v>7417</v>
      </c>
      <c r="C2434" t="s">
        <v>7418</v>
      </c>
      <c r="D2434" t="s">
        <v>7419</v>
      </c>
      <c r="E2434" t="s">
        <v>13</v>
      </c>
      <c r="F2434">
        <v>182</v>
      </c>
      <c r="G2434">
        <v>932</v>
      </c>
      <c r="H2434" s="5" t="s">
        <v>22</v>
      </c>
      <c r="I2434" s="5">
        <v>0</v>
      </c>
      <c r="J2434" s="5">
        <v>0</v>
      </c>
      <c r="K2434" t="s">
        <v>11438</v>
      </c>
      <c r="L2434" cm="1">
        <f t="array" ref="L2434">wordCount(K2434)</f>
        <v>9</v>
      </c>
      <c r="M2434">
        <f t="shared" ref="M2434:M2497" si="76">LEN(K2434)</f>
        <v>46</v>
      </c>
      <c r="N2434">
        <v>0.6428571428571429</v>
      </c>
      <c r="O2434" s="23" cm="1">
        <f t="array" ref="O2434">WordListCount(K2434,keywords!$A$2:$A$31)-WordListCount(K2434,keywords!$B$2:$B$31)</f>
        <v>0</v>
      </c>
      <c r="P2434" s="25">
        <f t="shared" ref="P2434:P2497" si="77">TIMEVALUE(RIGHT(A2434,8))</f>
        <v>0.82804398148148151</v>
      </c>
      <c r="Q2434" s="23">
        <f>SUM($O$2:O2434)</f>
        <v>64</v>
      </c>
      <c r="Y2434" s="14"/>
      <c r="Z2434" s="13"/>
      <c r="AA2434"/>
    </row>
    <row r="2435" spans="1:27" x14ac:dyDescent="0.2">
      <c r="A2435" s="12" t="s">
        <v>7420</v>
      </c>
      <c r="B2435" t="s">
        <v>7421</v>
      </c>
      <c r="C2435" t="s">
        <v>7422</v>
      </c>
      <c r="D2435" t="s">
        <v>7423</v>
      </c>
      <c r="E2435" t="s">
        <v>13</v>
      </c>
      <c r="F2435">
        <v>10</v>
      </c>
      <c r="G2435">
        <v>29</v>
      </c>
      <c r="H2435" s="5" t="s">
        <v>22</v>
      </c>
      <c r="I2435" s="5">
        <v>0</v>
      </c>
      <c r="J2435" s="5">
        <v>0</v>
      </c>
      <c r="K2435" t="s">
        <v>11439</v>
      </c>
      <c r="L2435" cm="1">
        <f t="array" ref="L2435">wordCount(K2435)</f>
        <v>15</v>
      </c>
      <c r="M2435">
        <f t="shared" si="76"/>
        <v>78</v>
      </c>
      <c r="N2435">
        <v>0.6071428571428571</v>
      </c>
      <c r="O2435" s="23" cm="1">
        <f t="array" ref="O2435">WordListCount(K2435,keywords!$A$2:$A$31)-WordListCount(K2435,keywords!$B$2:$B$31)</f>
        <v>2</v>
      </c>
      <c r="P2435" s="25">
        <f t="shared" si="77"/>
        <v>0.82805555555555566</v>
      </c>
      <c r="Q2435" s="23">
        <f>SUM($O$2:O2435)</f>
        <v>66</v>
      </c>
      <c r="Y2435" s="14"/>
      <c r="Z2435" s="13"/>
      <c r="AA2435"/>
    </row>
    <row r="2436" spans="1:27" x14ac:dyDescent="0.2">
      <c r="A2436" s="12" t="s">
        <v>7424</v>
      </c>
      <c r="B2436" t="s">
        <v>7425</v>
      </c>
      <c r="C2436" t="s">
        <v>7426</v>
      </c>
      <c r="D2436" t="s">
        <v>12</v>
      </c>
      <c r="E2436" t="s">
        <v>13</v>
      </c>
      <c r="F2436">
        <v>33</v>
      </c>
      <c r="G2436">
        <v>63</v>
      </c>
      <c r="H2436" s="5" t="s">
        <v>22</v>
      </c>
      <c r="I2436" s="5">
        <v>0</v>
      </c>
      <c r="J2436" s="5">
        <v>0</v>
      </c>
      <c r="K2436" t="s">
        <v>11440</v>
      </c>
      <c r="L2436" cm="1">
        <f t="array" ref="L2436">wordCount(K2436)</f>
        <v>18</v>
      </c>
      <c r="M2436">
        <f t="shared" si="76"/>
        <v>88</v>
      </c>
      <c r="N2436">
        <v>0.46153846153846156</v>
      </c>
      <c r="O2436" s="23" cm="1">
        <f t="array" ref="O2436">WordListCount(K2436,keywords!$A$2:$A$31)-WordListCount(K2436,keywords!$B$2:$B$31)</f>
        <v>1</v>
      </c>
      <c r="P2436" s="25">
        <f t="shared" si="77"/>
        <v>0.82822916666666668</v>
      </c>
      <c r="Q2436" s="23">
        <f>SUM($O$2:O2436)</f>
        <v>67</v>
      </c>
      <c r="Y2436" s="14"/>
      <c r="Z2436" s="13"/>
      <c r="AA2436"/>
    </row>
    <row r="2437" spans="1:27" x14ac:dyDescent="0.2">
      <c r="A2437" s="12" t="s">
        <v>7427</v>
      </c>
      <c r="B2437" t="s">
        <v>7428</v>
      </c>
      <c r="C2437" t="s">
        <v>5753</v>
      </c>
      <c r="D2437" t="s">
        <v>5754</v>
      </c>
      <c r="E2437" t="s">
        <v>13</v>
      </c>
      <c r="F2437">
        <v>2</v>
      </c>
      <c r="G2437">
        <v>2</v>
      </c>
      <c r="H2437" s="5" t="s">
        <v>22</v>
      </c>
      <c r="I2437" s="5">
        <v>0</v>
      </c>
      <c r="J2437" s="5">
        <v>0</v>
      </c>
      <c r="K2437" t="s">
        <v>11441</v>
      </c>
      <c r="L2437" cm="1">
        <f t="array" ref="L2437">wordCount(K2437)</f>
        <v>15</v>
      </c>
      <c r="M2437">
        <f t="shared" si="76"/>
        <v>57</v>
      </c>
      <c r="N2437">
        <v>0.52</v>
      </c>
      <c r="O2437" s="23" cm="1">
        <f t="array" ref="O2437">WordListCount(K2437,keywords!$A$2:$A$31)-WordListCount(K2437,keywords!$B$2:$B$31)</f>
        <v>0</v>
      </c>
      <c r="P2437" s="25">
        <f t="shared" si="77"/>
        <v>0.82826388888888891</v>
      </c>
      <c r="Q2437" s="23">
        <f>SUM($O$2:O2437)</f>
        <v>67</v>
      </c>
      <c r="Y2437" s="14"/>
      <c r="Z2437" s="13"/>
      <c r="AA2437"/>
    </row>
    <row r="2438" spans="1:27" x14ac:dyDescent="0.2">
      <c r="A2438" s="12" t="s">
        <v>7429</v>
      </c>
      <c r="B2438" t="s">
        <v>7430</v>
      </c>
      <c r="C2438" t="s">
        <v>7431</v>
      </c>
      <c r="D2438" t="s">
        <v>12</v>
      </c>
      <c r="E2438" t="s">
        <v>13</v>
      </c>
      <c r="F2438">
        <v>95</v>
      </c>
      <c r="G2438">
        <v>924</v>
      </c>
      <c r="H2438" s="5" t="s">
        <v>22</v>
      </c>
      <c r="I2438" s="5">
        <v>0</v>
      </c>
      <c r="J2438" s="5">
        <v>0</v>
      </c>
      <c r="K2438" t="s">
        <v>11442</v>
      </c>
      <c r="L2438" cm="1">
        <f t="array" ref="L2438">wordCount(K2438)</f>
        <v>4</v>
      </c>
      <c r="M2438">
        <f t="shared" si="76"/>
        <v>19</v>
      </c>
      <c r="N2438">
        <v>0.9375</v>
      </c>
      <c r="O2438" s="23" cm="1">
        <f t="array" ref="O2438">WordListCount(K2438,keywords!$A$2:$A$31)-WordListCount(K2438,keywords!$B$2:$B$31)</f>
        <v>0</v>
      </c>
      <c r="P2438" s="25">
        <f t="shared" si="77"/>
        <v>0.828587962962963</v>
      </c>
      <c r="Q2438" s="23">
        <f>SUM($O$2:O2438)</f>
        <v>67</v>
      </c>
      <c r="Y2438" s="14"/>
      <c r="Z2438" s="13"/>
      <c r="AA2438"/>
    </row>
    <row r="2439" spans="1:27" x14ac:dyDescent="0.2">
      <c r="A2439" s="12" t="s">
        <v>7432</v>
      </c>
      <c r="B2439" t="s">
        <v>7433</v>
      </c>
      <c r="C2439" t="s">
        <v>7434</v>
      </c>
      <c r="D2439" t="s">
        <v>7435</v>
      </c>
      <c r="E2439" t="s">
        <v>13</v>
      </c>
      <c r="F2439">
        <v>1414</v>
      </c>
      <c r="G2439">
        <v>413</v>
      </c>
      <c r="H2439" s="5" t="s">
        <v>22</v>
      </c>
      <c r="I2439" s="5">
        <v>0</v>
      </c>
      <c r="J2439" s="5">
        <v>0</v>
      </c>
      <c r="K2439" t="s">
        <v>11443</v>
      </c>
      <c r="L2439" cm="1">
        <f t="array" ref="L2439">wordCount(K2439)</f>
        <v>27</v>
      </c>
      <c r="M2439">
        <f t="shared" si="76"/>
        <v>123</v>
      </c>
      <c r="N2439">
        <v>0.57499999999999996</v>
      </c>
      <c r="O2439" s="23" cm="1">
        <f t="array" ref="O2439">WordListCount(K2439,keywords!$A$2:$A$31)-WordListCount(K2439,keywords!$B$2:$B$31)</f>
        <v>0</v>
      </c>
      <c r="P2439" s="25">
        <f t="shared" si="77"/>
        <v>0.82865740740740745</v>
      </c>
      <c r="Q2439" s="23">
        <f>SUM($O$2:O2439)</f>
        <v>67</v>
      </c>
      <c r="Y2439" s="14"/>
      <c r="Z2439" s="13"/>
      <c r="AA2439"/>
    </row>
    <row r="2440" spans="1:27" x14ac:dyDescent="0.2">
      <c r="A2440" s="12" t="s">
        <v>7436</v>
      </c>
      <c r="B2440" t="s">
        <v>7437</v>
      </c>
      <c r="C2440" t="s">
        <v>7438</v>
      </c>
      <c r="D2440" t="s">
        <v>7439</v>
      </c>
      <c r="E2440" t="s">
        <v>13</v>
      </c>
      <c r="F2440">
        <v>12</v>
      </c>
      <c r="G2440">
        <v>159</v>
      </c>
      <c r="H2440" s="5" t="s">
        <v>22</v>
      </c>
      <c r="I2440" s="5">
        <v>0</v>
      </c>
      <c r="J2440" s="5">
        <v>0</v>
      </c>
      <c r="K2440" t="s">
        <v>11444</v>
      </c>
      <c r="L2440" cm="1">
        <f t="array" ref="L2440">wordCount(K2440)</f>
        <v>7</v>
      </c>
      <c r="M2440">
        <f t="shared" si="76"/>
        <v>37</v>
      </c>
      <c r="N2440">
        <v>0.91666666666666663</v>
      </c>
      <c r="O2440" s="23" cm="1">
        <f t="array" ref="O2440">WordListCount(K2440,keywords!$A$2:$A$31)-WordListCount(K2440,keywords!$B$2:$B$31)</f>
        <v>0</v>
      </c>
      <c r="P2440" s="25">
        <f t="shared" si="77"/>
        <v>0.8288888888888889</v>
      </c>
      <c r="Q2440" s="23">
        <f>SUM($O$2:O2440)</f>
        <v>67</v>
      </c>
      <c r="Y2440" s="14"/>
      <c r="Z2440" s="13"/>
      <c r="AA2440"/>
    </row>
    <row r="2441" spans="1:27" x14ac:dyDescent="0.2">
      <c r="A2441" s="12" t="s">
        <v>7440</v>
      </c>
      <c r="B2441" t="s">
        <v>7441</v>
      </c>
      <c r="C2441" t="s">
        <v>7442</v>
      </c>
      <c r="D2441" t="s">
        <v>7443</v>
      </c>
      <c r="E2441" t="s">
        <v>13</v>
      </c>
      <c r="F2441">
        <v>668</v>
      </c>
      <c r="G2441">
        <v>784</v>
      </c>
      <c r="H2441" s="5" t="s">
        <v>22</v>
      </c>
      <c r="I2441" s="5">
        <v>0</v>
      </c>
      <c r="J2441" s="5">
        <v>0</v>
      </c>
      <c r="K2441" t="s">
        <v>11445</v>
      </c>
      <c r="L2441" cm="1">
        <f t="array" ref="L2441">wordCount(K2441)</f>
        <v>20</v>
      </c>
      <c r="M2441">
        <f t="shared" si="76"/>
        <v>98</v>
      </c>
      <c r="N2441">
        <v>0.42307692307692307</v>
      </c>
      <c r="O2441" s="23" cm="1">
        <f t="array" ref="O2441">WordListCount(K2441,keywords!$A$2:$A$31)-WordListCount(K2441,keywords!$B$2:$B$31)</f>
        <v>0</v>
      </c>
      <c r="P2441" s="25">
        <f t="shared" si="77"/>
        <v>0.8289467592592592</v>
      </c>
      <c r="Q2441" s="23">
        <f>SUM($O$2:O2441)</f>
        <v>67</v>
      </c>
      <c r="Y2441" s="14"/>
      <c r="Z2441" s="13"/>
      <c r="AA2441"/>
    </row>
    <row r="2442" spans="1:27" x14ac:dyDescent="0.2">
      <c r="A2442" s="12" t="s">
        <v>7444</v>
      </c>
      <c r="B2442" t="s">
        <v>7445</v>
      </c>
      <c r="C2442" t="s">
        <v>7446</v>
      </c>
      <c r="D2442" t="s">
        <v>7447</v>
      </c>
      <c r="E2442" t="s">
        <v>13</v>
      </c>
      <c r="F2442">
        <v>8301</v>
      </c>
      <c r="G2442">
        <v>510</v>
      </c>
      <c r="H2442" s="5" t="s">
        <v>393</v>
      </c>
      <c r="I2442" s="5">
        <v>0</v>
      </c>
      <c r="J2442" s="5">
        <v>0</v>
      </c>
      <c r="K2442" t="s">
        <v>9756</v>
      </c>
      <c r="L2442" cm="1">
        <f t="array" ref="L2442">wordCount(K2442)</f>
        <v>2</v>
      </c>
      <c r="M2442">
        <f t="shared" si="76"/>
        <v>15</v>
      </c>
      <c r="N2442">
        <v>0.83333333333333337</v>
      </c>
      <c r="O2442" s="23" cm="1">
        <f t="array" ref="O2442">WordListCount(K2442,keywords!$A$2:$A$31)-WordListCount(K2442,keywords!$B$2:$B$31)</f>
        <v>0</v>
      </c>
      <c r="P2442" s="25">
        <f t="shared" si="77"/>
        <v>0.82902777777777781</v>
      </c>
      <c r="Q2442" s="23">
        <f>SUM($O$2:O2442)</f>
        <v>67</v>
      </c>
      <c r="Y2442" s="14"/>
      <c r="Z2442" s="13"/>
      <c r="AA2442"/>
    </row>
    <row r="2443" spans="1:27" x14ac:dyDescent="0.2">
      <c r="A2443" s="12" t="s">
        <v>7448</v>
      </c>
      <c r="B2443" t="s">
        <v>7449</v>
      </c>
      <c r="C2443" t="s">
        <v>7450</v>
      </c>
      <c r="D2443" t="s">
        <v>1571</v>
      </c>
      <c r="E2443" t="s">
        <v>13</v>
      </c>
      <c r="F2443">
        <v>48</v>
      </c>
      <c r="G2443">
        <v>62</v>
      </c>
      <c r="H2443" s="5" t="s">
        <v>22</v>
      </c>
      <c r="I2443" s="5">
        <v>0</v>
      </c>
      <c r="J2443" s="5">
        <v>0</v>
      </c>
      <c r="K2443" t="s">
        <v>9757</v>
      </c>
      <c r="L2443" cm="1">
        <f t="array" ref="L2443">wordCount(K2443)</f>
        <v>19</v>
      </c>
      <c r="M2443">
        <f t="shared" si="76"/>
        <v>107</v>
      </c>
      <c r="N2443">
        <v>0.45454545454545453</v>
      </c>
      <c r="O2443" s="23" cm="1">
        <f t="array" ref="O2443">WordListCount(K2443,keywords!$A$2:$A$31)-WordListCount(K2443,keywords!$B$2:$B$31)</f>
        <v>0</v>
      </c>
      <c r="P2443" s="25">
        <f t="shared" si="77"/>
        <v>0.82908564814814811</v>
      </c>
      <c r="Q2443" s="23">
        <f>SUM($O$2:O2443)</f>
        <v>67</v>
      </c>
      <c r="Y2443" s="14"/>
      <c r="Z2443" s="13"/>
      <c r="AA2443"/>
    </row>
    <row r="2444" spans="1:27" x14ac:dyDescent="0.2">
      <c r="A2444" s="12" t="s">
        <v>7451</v>
      </c>
      <c r="B2444" t="s">
        <v>7452</v>
      </c>
      <c r="C2444" t="s">
        <v>7453</v>
      </c>
      <c r="D2444" t="s">
        <v>7454</v>
      </c>
      <c r="E2444" t="s">
        <v>13</v>
      </c>
      <c r="F2444">
        <v>367</v>
      </c>
      <c r="G2444">
        <v>1664</v>
      </c>
      <c r="H2444" s="5" t="s">
        <v>22</v>
      </c>
      <c r="I2444" s="5">
        <v>0</v>
      </c>
      <c r="J2444" s="5">
        <v>0</v>
      </c>
      <c r="K2444" t="s">
        <v>9758</v>
      </c>
      <c r="L2444" cm="1">
        <f t="array" ref="L2444">wordCount(K2444)</f>
        <v>9</v>
      </c>
      <c r="M2444">
        <f t="shared" si="76"/>
        <v>49</v>
      </c>
      <c r="N2444">
        <v>0.76923076923076927</v>
      </c>
      <c r="O2444" s="23" cm="1">
        <f t="array" ref="O2444">WordListCount(K2444,keywords!$A$2:$A$31)-WordListCount(K2444,keywords!$B$2:$B$31)</f>
        <v>0</v>
      </c>
      <c r="P2444" s="25">
        <f t="shared" si="77"/>
        <v>0.82930555555555552</v>
      </c>
      <c r="Q2444" s="23">
        <f>SUM($O$2:O2444)</f>
        <v>67</v>
      </c>
      <c r="Y2444" s="14"/>
      <c r="Z2444" s="13"/>
      <c r="AA2444"/>
    </row>
    <row r="2445" spans="1:27" x14ac:dyDescent="0.2">
      <c r="A2445" s="12" t="s">
        <v>7455</v>
      </c>
      <c r="B2445" t="s">
        <v>7456</v>
      </c>
      <c r="C2445" t="s">
        <v>7457</v>
      </c>
      <c r="D2445" t="s">
        <v>12</v>
      </c>
      <c r="E2445" t="s">
        <v>13</v>
      </c>
      <c r="F2445">
        <v>18</v>
      </c>
      <c r="G2445">
        <v>118</v>
      </c>
      <c r="H2445" s="5" t="s">
        <v>59</v>
      </c>
      <c r="I2445" s="5">
        <v>0</v>
      </c>
      <c r="J2445" s="5">
        <v>0</v>
      </c>
      <c r="K2445" t="s">
        <v>11446</v>
      </c>
      <c r="L2445" cm="1">
        <f t="array" ref="L2445">wordCount(K2445)</f>
        <v>18</v>
      </c>
      <c r="M2445">
        <f t="shared" si="76"/>
        <v>100</v>
      </c>
      <c r="N2445">
        <v>0.36</v>
      </c>
      <c r="O2445" s="23" cm="1">
        <f t="array" ref="O2445">WordListCount(K2445,keywords!$A$2:$A$31)-WordListCount(K2445,keywords!$B$2:$B$31)</f>
        <v>0</v>
      </c>
      <c r="P2445" s="25">
        <f t="shared" si="77"/>
        <v>0.82946759259259262</v>
      </c>
      <c r="Q2445" s="23">
        <f>SUM($O$2:O2445)</f>
        <v>67</v>
      </c>
      <c r="Y2445" s="14"/>
      <c r="Z2445" s="13"/>
      <c r="AA2445"/>
    </row>
    <row r="2446" spans="1:27" x14ac:dyDescent="0.2">
      <c r="A2446" s="12" t="s">
        <v>7458</v>
      </c>
      <c r="B2446" t="s">
        <v>7459</v>
      </c>
      <c r="C2446" t="s">
        <v>7460</v>
      </c>
      <c r="D2446" t="s">
        <v>7461</v>
      </c>
      <c r="E2446" t="s">
        <v>13</v>
      </c>
      <c r="F2446">
        <v>24</v>
      </c>
      <c r="G2446">
        <v>45</v>
      </c>
      <c r="H2446" s="5" t="s">
        <v>22</v>
      </c>
      <c r="I2446" s="5">
        <v>0</v>
      </c>
      <c r="J2446" s="5">
        <v>0</v>
      </c>
      <c r="K2446" t="s">
        <v>11447</v>
      </c>
      <c r="L2446" cm="1">
        <f t="array" ref="L2446">wordCount(K2446)</f>
        <v>21</v>
      </c>
      <c r="M2446">
        <f t="shared" si="76"/>
        <v>123</v>
      </c>
      <c r="N2446">
        <v>0.48275862068965519</v>
      </c>
      <c r="O2446" s="23" cm="1">
        <f t="array" ref="O2446">WordListCount(K2446,keywords!$A$2:$A$31)-WordListCount(K2446,keywords!$B$2:$B$31)</f>
        <v>0</v>
      </c>
      <c r="P2446" s="25">
        <f t="shared" si="77"/>
        <v>0.82951388888888899</v>
      </c>
      <c r="Q2446" s="23">
        <f>SUM($O$2:O2446)</f>
        <v>67</v>
      </c>
      <c r="Y2446" s="14"/>
      <c r="Z2446" s="13"/>
      <c r="AA2446"/>
    </row>
    <row r="2447" spans="1:27" x14ac:dyDescent="0.2">
      <c r="A2447" s="12" t="s">
        <v>7462</v>
      </c>
      <c r="B2447" t="s">
        <v>7463</v>
      </c>
      <c r="C2447" t="s">
        <v>7464</v>
      </c>
      <c r="D2447" t="s">
        <v>4030</v>
      </c>
      <c r="E2447" t="s">
        <v>13</v>
      </c>
      <c r="F2447">
        <v>46</v>
      </c>
      <c r="G2447">
        <v>212</v>
      </c>
      <c r="H2447" s="5" t="s">
        <v>22</v>
      </c>
      <c r="I2447" s="5">
        <v>0</v>
      </c>
      <c r="J2447" s="5">
        <v>0</v>
      </c>
      <c r="K2447" t="s">
        <v>11448</v>
      </c>
      <c r="L2447" cm="1">
        <f t="array" ref="L2447">wordCount(K2447)</f>
        <v>18</v>
      </c>
      <c r="M2447">
        <f t="shared" si="76"/>
        <v>92</v>
      </c>
      <c r="N2447">
        <v>0.39130434782608697</v>
      </c>
      <c r="O2447" s="23" cm="1">
        <f t="array" ref="O2447">WordListCount(K2447,keywords!$A$2:$A$31)-WordListCount(K2447,keywords!$B$2:$B$31)</f>
        <v>0</v>
      </c>
      <c r="P2447" s="25">
        <f t="shared" si="77"/>
        <v>0.82961805555555557</v>
      </c>
      <c r="Q2447" s="23">
        <f>SUM($O$2:O2447)</f>
        <v>67</v>
      </c>
      <c r="Y2447" s="14"/>
      <c r="Z2447" s="13"/>
      <c r="AA2447"/>
    </row>
    <row r="2448" spans="1:27" x14ac:dyDescent="0.2">
      <c r="A2448" s="12" t="s">
        <v>7465</v>
      </c>
      <c r="B2448" t="s">
        <v>7466</v>
      </c>
      <c r="C2448" t="s">
        <v>7467</v>
      </c>
      <c r="D2448" t="s">
        <v>12</v>
      </c>
      <c r="E2448" t="s">
        <v>13</v>
      </c>
      <c r="F2448">
        <v>90</v>
      </c>
      <c r="G2448">
        <v>594</v>
      </c>
      <c r="H2448" s="5" t="s">
        <v>22</v>
      </c>
      <c r="I2448" s="5">
        <v>0</v>
      </c>
      <c r="J2448" s="5">
        <v>0</v>
      </c>
      <c r="K2448" t="s">
        <v>11449</v>
      </c>
      <c r="L2448" cm="1">
        <f t="array" ref="L2448">wordCount(K2448)</f>
        <v>4</v>
      </c>
      <c r="M2448">
        <f t="shared" si="76"/>
        <v>25</v>
      </c>
      <c r="N2448">
        <v>0.8</v>
      </c>
      <c r="O2448" s="23" cm="1">
        <f t="array" ref="O2448">WordListCount(K2448,keywords!$A$2:$A$31)-WordListCount(K2448,keywords!$B$2:$B$31)</f>
        <v>0</v>
      </c>
      <c r="P2448" s="25">
        <f t="shared" si="77"/>
        <v>0.82976851851851852</v>
      </c>
      <c r="Q2448" s="23">
        <f>SUM($O$2:O2448)</f>
        <v>67</v>
      </c>
      <c r="Y2448" s="14"/>
      <c r="Z2448" s="13"/>
      <c r="AA2448"/>
    </row>
    <row r="2449" spans="1:27" x14ac:dyDescent="0.2">
      <c r="A2449" s="12" t="s">
        <v>7468</v>
      </c>
      <c r="B2449" t="s">
        <v>7469</v>
      </c>
      <c r="C2449" t="s">
        <v>7470</v>
      </c>
      <c r="D2449" t="s">
        <v>2994</v>
      </c>
      <c r="E2449" t="s">
        <v>13</v>
      </c>
      <c r="F2449">
        <v>671</v>
      </c>
      <c r="G2449">
        <v>217</v>
      </c>
      <c r="H2449" s="5" t="s">
        <v>22</v>
      </c>
      <c r="I2449" s="5">
        <v>0</v>
      </c>
      <c r="J2449" s="5">
        <v>0</v>
      </c>
      <c r="K2449" t="s">
        <v>11450</v>
      </c>
      <c r="L2449" cm="1">
        <f t="array" ref="L2449">wordCount(K2449)</f>
        <v>10</v>
      </c>
      <c r="M2449">
        <f t="shared" si="76"/>
        <v>47</v>
      </c>
      <c r="N2449">
        <v>0.625</v>
      </c>
      <c r="O2449" s="23" cm="1">
        <f t="array" ref="O2449">WordListCount(K2449,keywords!$A$2:$A$31)-WordListCount(K2449,keywords!$B$2:$B$31)</f>
        <v>0</v>
      </c>
      <c r="P2449" s="25">
        <f t="shared" si="77"/>
        <v>0.82982638888888882</v>
      </c>
      <c r="Q2449" s="23">
        <f>SUM($O$2:O2449)</f>
        <v>67</v>
      </c>
      <c r="Y2449" s="14"/>
      <c r="Z2449" s="13"/>
      <c r="AA2449"/>
    </row>
    <row r="2450" spans="1:27" x14ac:dyDescent="0.2">
      <c r="A2450" s="12" t="s">
        <v>7471</v>
      </c>
      <c r="B2450" t="s">
        <v>7472</v>
      </c>
      <c r="C2450" t="s">
        <v>7473</v>
      </c>
      <c r="D2450" t="s">
        <v>1440</v>
      </c>
      <c r="E2450" t="s">
        <v>13</v>
      </c>
      <c r="F2450">
        <v>119</v>
      </c>
      <c r="G2450">
        <v>877</v>
      </c>
      <c r="H2450" s="5" t="s">
        <v>22</v>
      </c>
      <c r="I2450" s="5">
        <v>0</v>
      </c>
      <c r="J2450" s="5">
        <v>0</v>
      </c>
      <c r="K2450" t="s">
        <v>11451</v>
      </c>
      <c r="L2450" cm="1">
        <f t="array" ref="L2450">wordCount(K2450)</f>
        <v>18</v>
      </c>
      <c r="M2450">
        <f t="shared" si="76"/>
        <v>85</v>
      </c>
      <c r="N2450">
        <v>0.38461538461538464</v>
      </c>
      <c r="O2450" s="23" cm="1">
        <f t="array" ref="O2450">WordListCount(K2450,keywords!$A$2:$A$31)-WordListCount(K2450,keywords!$B$2:$B$31)</f>
        <v>0</v>
      </c>
      <c r="P2450" s="25">
        <f t="shared" si="77"/>
        <v>0.8302546296296297</v>
      </c>
      <c r="Q2450" s="23">
        <f>SUM($O$2:O2450)</f>
        <v>67</v>
      </c>
      <c r="Y2450" s="14"/>
      <c r="Z2450" s="13"/>
      <c r="AA2450"/>
    </row>
    <row r="2451" spans="1:27" x14ac:dyDescent="0.2">
      <c r="A2451" s="12" t="s">
        <v>7474</v>
      </c>
      <c r="B2451" t="s">
        <v>7475</v>
      </c>
      <c r="C2451" t="s">
        <v>7476</v>
      </c>
      <c r="D2451" t="s">
        <v>337</v>
      </c>
      <c r="E2451" t="s">
        <v>13</v>
      </c>
      <c r="F2451">
        <v>120</v>
      </c>
      <c r="G2451">
        <v>114</v>
      </c>
      <c r="H2451" s="5" t="s">
        <v>22</v>
      </c>
      <c r="I2451" s="5">
        <v>0</v>
      </c>
      <c r="J2451" s="5">
        <v>0</v>
      </c>
      <c r="K2451" t="s">
        <v>11452</v>
      </c>
      <c r="L2451" cm="1">
        <f t="array" ref="L2451">wordCount(K2451)</f>
        <v>20</v>
      </c>
      <c r="M2451">
        <f t="shared" si="76"/>
        <v>72</v>
      </c>
      <c r="N2451">
        <v>0.58064516129032262</v>
      </c>
      <c r="O2451" s="23" cm="1">
        <f t="array" ref="O2451">WordListCount(K2451,keywords!$A$2:$A$31)-WordListCount(K2451,keywords!$B$2:$B$31)</f>
        <v>0</v>
      </c>
      <c r="P2451" s="25">
        <f t="shared" si="77"/>
        <v>0.83047453703703711</v>
      </c>
      <c r="Q2451" s="23">
        <f>SUM($O$2:O2451)</f>
        <v>67</v>
      </c>
      <c r="Y2451" s="14"/>
      <c r="Z2451" s="13"/>
      <c r="AA2451"/>
    </row>
    <row r="2452" spans="1:27" x14ac:dyDescent="0.2">
      <c r="A2452" s="12" t="s">
        <v>7477</v>
      </c>
      <c r="B2452" t="s">
        <v>7478</v>
      </c>
      <c r="C2452" t="s">
        <v>7479</v>
      </c>
      <c r="D2452" t="s">
        <v>1874</v>
      </c>
      <c r="E2452" t="s">
        <v>13</v>
      </c>
      <c r="F2452">
        <v>312</v>
      </c>
      <c r="G2452">
        <v>498</v>
      </c>
      <c r="H2452" s="5" t="s">
        <v>22</v>
      </c>
      <c r="I2452" s="5">
        <v>0</v>
      </c>
      <c r="J2452" s="5">
        <v>0</v>
      </c>
      <c r="K2452" t="s">
        <v>11453</v>
      </c>
      <c r="L2452" cm="1">
        <f t="array" ref="L2452">wordCount(K2452)</f>
        <v>20</v>
      </c>
      <c r="M2452">
        <f t="shared" si="76"/>
        <v>105</v>
      </c>
      <c r="N2452">
        <v>0.58823529411764708</v>
      </c>
      <c r="O2452" s="23" cm="1">
        <f t="array" ref="O2452">WordListCount(K2452,keywords!$A$2:$A$31)-WordListCount(K2452,keywords!$B$2:$B$31)</f>
        <v>0</v>
      </c>
      <c r="P2452" s="25">
        <f t="shared" si="77"/>
        <v>0.8306365740740741</v>
      </c>
      <c r="Q2452" s="23">
        <f>SUM($O$2:O2452)</f>
        <v>67</v>
      </c>
      <c r="Y2452" s="14"/>
      <c r="Z2452" s="13"/>
      <c r="AA2452"/>
    </row>
    <row r="2453" spans="1:27" x14ac:dyDescent="0.2">
      <c r="A2453" s="12" t="s">
        <v>7477</v>
      </c>
      <c r="B2453" t="s">
        <v>7478</v>
      </c>
      <c r="C2453" t="s">
        <v>7479</v>
      </c>
      <c r="D2453" t="s">
        <v>1874</v>
      </c>
      <c r="E2453" t="s">
        <v>13</v>
      </c>
      <c r="F2453">
        <v>312</v>
      </c>
      <c r="G2453">
        <v>498</v>
      </c>
      <c r="H2453" s="5" t="s">
        <v>22</v>
      </c>
      <c r="I2453" s="5">
        <v>0</v>
      </c>
      <c r="J2453" s="5">
        <v>0</v>
      </c>
      <c r="K2453" t="s">
        <v>11453</v>
      </c>
      <c r="L2453" cm="1">
        <f t="array" ref="L2453">wordCount(K2453)</f>
        <v>20</v>
      </c>
      <c r="M2453">
        <f t="shared" si="76"/>
        <v>105</v>
      </c>
      <c r="N2453">
        <v>1</v>
      </c>
      <c r="O2453" s="23" cm="1">
        <f t="array" ref="O2453">WordListCount(K2453,keywords!$A$2:$A$31)-WordListCount(K2453,keywords!$B$2:$B$31)</f>
        <v>0</v>
      </c>
      <c r="P2453" s="25">
        <f t="shared" si="77"/>
        <v>0.8306365740740741</v>
      </c>
      <c r="Q2453" s="23">
        <f>SUM($O$2:O2453)</f>
        <v>67</v>
      </c>
      <c r="Y2453" s="14"/>
      <c r="Z2453" s="13"/>
      <c r="AA2453"/>
    </row>
    <row r="2454" spans="1:27" x14ac:dyDescent="0.2">
      <c r="A2454" s="12" t="s">
        <v>7480</v>
      </c>
      <c r="B2454" t="s">
        <v>7481</v>
      </c>
      <c r="C2454" t="s">
        <v>7482</v>
      </c>
      <c r="D2454" t="s">
        <v>12</v>
      </c>
      <c r="E2454" t="s">
        <v>13</v>
      </c>
      <c r="F2454">
        <v>11</v>
      </c>
      <c r="G2454">
        <v>144</v>
      </c>
      <c r="H2454" s="5" t="s">
        <v>22</v>
      </c>
      <c r="I2454" s="5">
        <v>0</v>
      </c>
      <c r="J2454" s="5">
        <v>0</v>
      </c>
      <c r="K2454" t="s">
        <v>11454</v>
      </c>
      <c r="L2454" cm="1">
        <f t="array" ref="L2454">wordCount(K2454)</f>
        <v>10</v>
      </c>
      <c r="M2454">
        <f t="shared" si="76"/>
        <v>51</v>
      </c>
      <c r="N2454">
        <v>0.63636363636363635</v>
      </c>
      <c r="O2454" s="23" cm="1">
        <f t="array" ref="O2454">WordListCount(K2454,keywords!$A$2:$A$31)-WordListCount(K2454,keywords!$B$2:$B$31)</f>
        <v>0</v>
      </c>
      <c r="P2454" s="25">
        <f t="shared" si="77"/>
        <v>0.83064814814814814</v>
      </c>
      <c r="Q2454" s="23">
        <f>SUM($O$2:O2454)</f>
        <v>67</v>
      </c>
      <c r="Y2454" s="14"/>
      <c r="Z2454" s="13"/>
      <c r="AA2454"/>
    </row>
    <row r="2455" spans="1:27" x14ac:dyDescent="0.2">
      <c r="A2455" s="12" t="s">
        <v>7483</v>
      </c>
      <c r="B2455" t="s">
        <v>7484</v>
      </c>
      <c r="C2455" t="s">
        <v>7485</v>
      </c>
      <c r="D2455" t="s">
        <v>7486</v>
      </c>
      <c r="E2455" t="s">
        <v>13</v>
      </c>
      <c r="F2455">
        <v>319</v>
      </c>
      <c r="G2455">
        <v>582</v>
      </c>
      <c r="H2455" s="5" t="s">
        <v>22</v>
      </c>
      <c r="I2455" s="5">
        <v>0</v>
      </c>
      <c r="J2455" s="5">
        <v>0</v>
      </c>
      <c r="K2455" t="s">
        <v>11455</v>
      </c>
      <c r="L2455" cm="1">
        <f t="array" ref="L2455">wordCount(K2455)</f>
        <v>14</v>
      </c>
      <c r="M2455">
        <f t="shared" si="76"/>
        <v>60</v>
      </c>
      <c r="N2455">
        <v>0.64</v>
      </c>
      <c r="O2455" s="23" cm="1">
        <f t="array" ref="O2455">WordListCount(K2455,keywords!$A$2:$A$31)-WordListCount(K2455,keywords!$B$2:$B$31)</f>
        <v>0</v>
      </c>
      <c r="P2455" s="25">
        <f t="shared" si="77"/>
        <v>0.83067129629629621</v>
      </c>
      <c r="Q2455" s="23">
        <f>SUM($O$2:O2455)</f>
        <v>67</v>
      </c>
      <c r="Y2455" s="14"/>
      <c r="Z2455" s="13"/>
      <c r="AA2455"/>
    </row>
    <row r="2456" spans="1:27" x14ac:dyDescent="0.2">
      <c r="A2456" s="12" t="s">
        <v>7487</v>
      </c>
      <c r="B2456" t="s">
        <v>7488</v>
      </c>
      <c r="C2456" t="s">
        <v>7489</v>
      </c>
      <c r="D2456" t="s">
        <v>7490</v>
      </c>
      <c r="E2456" t="s">
        <v>13</v>
      </c>
      <c r="F2456">
        <v>811</v>
      </c>
      <c r="G2456">
        <v>1814</v>
      </c>
      <c r="H2456" s="5" t="s">
        <v>22</v>
      </c>
      <c r="I2456" s="5">
        <v>0</v>
      </c>
      <c r="J2456" s="5">
        <v>0</v>
      </c>
      <c r="K2456" t="s">
        <v>11456</v>
      </c>
      <c r="L2456" cm="1">
        <f t="array" ref="L2456">wordCount(K2456)</f>
        <v>8</v>
      </c>
      <c r="M2456">
        <f t="shared" si="76"/>
        <v>38</v>
      </c>
      <c r="N2456">
        <v>0.53846153846153844</v>
      </c>
      <c r="O2456" s="23" cm="1">
        <f t="array" ref="O2456">WordListCount(K2456,keywords!$A$2:$A$31)-WordListCount(K2456,keywords!$B$2:$B$31)</f>
        <v>0</v>
      </c>
      <c r="P2456" s="25">
        <f t="shared" si="77"/>
        <v>0.83074074074074078</v>
      </c>
      <c r="Q2456" s="23">
        <f>SUM($O$2:O2456)</f>
        <v>67</v>
      </c>
      <c r="Y2456" s="14"/>
      <c r="Z2456" s="13"/>
      <c r="AA2456"/>
    </row>
    <row r="2457" spans="1:27" x14ac:dyDescent="0.2">
      <c r="A2457" s="12" t="s">
        <v>7491</v>
      </c>
      <c r="B2457" t="s">
        <v>7492</v>
      </c>
      <c r="C2457" t="s">
        <v>7493</v>
      </c>
      <c r="D2457" t="s">
        <v>12</v>
      </c>
      <c r="E2457" t="s">
        <v>13</v>
      </c>
      <c r="F2457">
        <v>509</v>
      </c>
      <c r="G2457">
        <v>1425</v>
      </c>
      <c r="H2457" s="5" t="s">
        <v>22</v>
      </c>
      <c r="I2457" s="5">
        <v>0</v>
      </c>
      <c r="J2457" s="5">
        <v>0</v>
      </c>
      <c r="K2457" t="s">
        <v>9759</v>
      </c>
      <c r="L2457" cm="1">
        <f t="array" ref="L2457">wordCount(K2457)</f>
        <v>5</v>
      </c>
      <c r="M2457">
        <f t="shared" si="76"/>
        <v>29</v>
      </c>
      <c r="N2457">
        <v>0.77777777777777779</v>
      </c>
      <c r="O2457" s="23" cm="1">
        <f t="array" ref="O2457">WordListCount(K2457,keywords!$A$2:$A$31)-WordListCount(K2457,keywords!$B$2:$B$31)</f>
        <v>0</v>
      </c>
      <c r="P2457" s="25">
        <f t="shared" si="77"/>
        <v>0.83083333333333342</v>
      </c>
      <c r="Q2457" s="23">
        <f>SUM($O$2:O2457)</f>
        <v>67</v>
      </c>
      <c r="Y2457" s="14"/>
      <c r="Z2457" s="13"/>
      <c r="AA2457"/>
    </row>
    <row r="2458" spans="1:27" x14ac:dyDescent="0.2">
      <c r="A2458" s="12" t="s">
        <v>7494</v>
      </c>
      <c r="B2458" t="s">
        <v>7495</v>
      </c>
      <c r="C2458" t="s">
        <v>7496</v>
      </c>
      <c r="D2458" t="s">
        <v>7497</v>
      </c>
      <c r="E2458" t="s">
        <v>13</v>
      </c>
      <c r="F2458">
        <v>65</v>
      </c>
      <c r="G2458">
        <v>206</v>
      </c>
      <c r="H2458" s="5" t="s">
        <v>22</v>
      </c>
      <c r="I2458" s="5">
        <v>0</v>
      </c>
      <c r="J2458" s="5">
        <v>0</v>
      </c>
      <c r="K2458" t="s">
        <v>9760</v>
      </c>
      <c r="L2458" cm="1">
        <f t="array" ref="L2458">wordCount(K2458)</f>
        <v>9</v>
      </c>
      <c r="M2458">
        <f t="shared" si="76"/>
        <v>36</v>
      </c>
      <c r="N2458">
        <v>0.7142857142857143</v>
      </c>
      <c r="O2458" s="23" cm="1">
        <f t="array" ref="O2458">WordListCount(K2458,keywords!$A$2:$A$31)-WordListCount(K2458,keywords!$B$2:$B$31)</f>
        <v>-1</v>
      </c>
      <c r="P2458" s="25">
        <f t="shared" si="77"/>
        <v>0.83091435185185192</v>
      </c>
      <c r="Q2458" s="23">
        <f>SUM($O$2:O2458)</f>
        <v>66</v>
      </c>
      <c r="Y2458" s="14"/>
      <c r="Z2458" s="13"/>
      <c r="AA2458"/>
    </row>
    <row r="2459" spans="1:27" x14ac:dyDescent="0.2">
      <c r="A2459" s="12" t="s">
        <v>7498</v>
      </c>
      <c r="B2459" t="s">
        <v>7499</v>
      </c>
      <c r="C2459" t="s">
        <v>7500</v>
      </c>
      <c r="D2459" t="s">
        <v>7501</v>
      </c>
      <c r="E2459" t="s">
        <v>13</v>
      </c>
      <c r="F2459">
        <v>4291</v>
      </c>
      <c r="G2459">
        <v>39</v>
      </c>
      <c r="H2459" s="5" t="s">
        <v>22</v>
      </c>
      <c r="I2459" s="5">
        <v>0</v>
      </c>
      <c r="J2459" s="5">
        <v>0</v>
      </c>
      <c r="K2459" t="s">
        <v>11457</v>
      </c>
      <c r="L2459" cm="1">
        <f t="array" ref="L2459">wordCount(K2459)</f>
        <v>24</v>
      </c>
      <c r="M2459">
        <f t="shared" si="76"/>
        <v>113</v>
      </c>
      <c r="N2459">
        <v>0.4838709677419355</v>
      </c>
      <c r="O2459" s="23" cm="1">
        <f t="array" ref="O2459">WordListCount(K2459,keywords!$A$2:$A$31)-WordListCount(K2459,keywords!$B$2:$B$31)</f>
        <v>0</v>
      </c>
      <c r="P2459" s="25">
        <f t="shared" si="77"/>
        <v>0.8309375</v>
      </c>
      <c r="Q2459" s="23">
        <f>SUM($O$2:O2459)</f>
        <v>66</v>
      </c>
      <c r="Y2459" s="14"/>
      <c r="Z2459" s="13"/>
      <c r="AA2459"/>
    </row>
    <row r="2460" spans="1:27" x14ac:dyDescent="0.2">
      <c r="A2460" s="12" t="s">
        <v>7502</v>
      </c>
      <c r="B2460" t="s">
        <v>7503</v>
      </c>
      <c r="C2460" t="s">
        <v>7504</v>
      </c>
      <c r="D2460" t="s">
        <v>7505</v>
      </c>
      <c r="E2460" t="s">
        <v>13</v>
      </c>
      <c r="F2460">
        <v>77</v>
      </c>
      <c r="G2460">
        <v>146</v>
      </c>
      <c r="H2460" s="5" t="s">
        <v>22</v>
      </c>
      <c r="I2460" s="5">
        <v>0</v>
      </c>
      <c r="J2460" s="5">
        <v>0</v>
      </c>
      <c r="K2460" t="s">
        <v>9761</v>
      </c>
      <c r="L2460" cm="1">
        <f t="array" ref="L2460">wordCount(K2460)</f>
        <v>15</v>
      </c>
      <c r="M2460">
        <f t="shared" si="76"/>
        <v>87</v>
      </c>
      <c r="N2460">
        <v>0.6071428571428571</v>
      </c>
      <c r="O2460" s="23" cm="1">
        <f t="array" ref="O2460">WordListCount(K2460,keywords!$A$2:$A$31)-WordListCount(K2460,keywords!$B$2:$B$31)</f>
        <v>1</v>
      </c>
      <c r="P2460" s="25">
        <f t="shared" si="77"/>
        <v>0.8311574074074074</v>
      </c>
      <c r="Q2460" s="23">
        <f>SUM($O$2:O2460)</f>
        <v>67</v>
      </c>
      <c r="Y2460" s="14"/>
      <c r="Z2460" s="13"/>
      <c r="AA2460"/>
    </row>
    <row r="2461" spans="1:27" x14ac:dyDescent="0.2">
      <c r="A2461" s="12" t="s">
        <v>7506</v>
      </c>
      <c r="B2461" t="s">
        <v>7507</v>
      </c>
      <c r="C2461" t="s">
        <v>7508</v>
      </c>
      <c r="D2461" t="s">
        <v>12</v>
      </c>
      <c r="E2461" t="s">
        <v>13</v>
      </c>
      <c r="F2461">
        <v>16</v>
      </c>
      <c r="G2461">
        <v>8</v>
      </c>
      <c r="H2461" s="5" t="s">
        <v>22</v>
      </c>
      <c r="I2461" s="5">
        <v>0</v>
      </c>
      <c r="J2461" s="5">
        <v>0</v>
      </c>
      <c r="K2461" t="s">
        <v>11458</v>
      </c>
      <c r="L2461" cm="1">
        <f t="array" ref="L2461">wordCount(K2461)</f>
        <v>19</v>
      </c>
      <c r="M2461">
        <f t="shared" si="76"/>
        <v>99</v>
      </c>
      <c r="N2461">
        <v>0.51515151515151514</v>
      </c>
      <c r="O2461" s="23" cm="1">
        <f t="array" ref="O2461">WordListCount(K2461,keywords!$A$2:$A$31)-WordListCount(K2461,keywords!$B$2:$B$31)</f>
        <v>0</v>
      </c>
      <c r="P2461" s="25">
        <f t="shared" si="77"/>
        <v>0.83138888888888884</v>
      </c>
      <c r="Q2461" s="23">
        <f>SUM($O$2:O2461)</f>
        <v>67</v>
      </c>
      <c r="Y2461" s="14"/>
      <c r="Z2461" s="13"/>
      <c r="AA2461"/>
    </row>
    <row r="2462" spans="1:27" x14ac:dyDescent="0.2">
      <c r="A2462" s="12" t="s">
        <v>7509</v>
      </c>
      <c r="B2462" t="s">
        <v>7510</v>
      </c>
      <c r="C2462" t="s">
        <v>7511</v>
      </c>
      <c r="D2462" t="s">
        <v>7512</v>
      </c>
      <c r="E2462" t="s">
        <v>13</v>
      </c>
      <c r="F2462">
        <v>78</v>
      </c>
      <c r="G2462">
        <v>396</v>
      </c>
      <c r="H2462" s="5" t="s">
        <v>22</v>
      </c>
      <c r="I2462" s="5">
        <v>0</v>
      </c>
      <c r="J2462" s="5">
        <v>0</v>
      </c>
      <c r="K2462" t="s">
        <v>11459</v>
      </c>
      <c r="L2462" cm="1">
        <f t="array" ref="L2462">wordCount(K2462)</f>
        <v>21</v>
      </c>
      <c r="M2462">
        <f t="shared" si="76"/>
        <v>126</v>
      </c>
      <c r="N2462">
        <v>0.34782608695652173</v>
      </c>
      <c r="O2462" s="23" cm="1">
        <f t="array" ref="O2462">WordListCount(K2462,keywords!$A$2:$A$31)-WordListCount(K2462,keywords!$B$2:$B$31)</f>
        <v>0</v>
      </c>
      <c r="P2462" s="25">
        <f t="shared" si="77"/>
        <v>0.83174768518518516</v>
      </c>
      <c r="Q2462" s="23">
        <f>SUM($O$2:O2462)</f>
        <v>67</v>
      </c>
      <c r="Y2462" s="14"/>
      <c r="Z2462" s="13"/>
      <c r="AA2462"/>
    </row>
    <row r="2463" spans="1:27" x14ac:dyDescent="0.2">
      <c r="A2463" s="12" t="s">
        <v>7513</v>
      </c>
      <c r="B2463" t="s">
        <v>7514</v>
      </c>
      <c r="C2463" t="s">
        <v>7515</v>
      </c>
      <c r="D2463" t="s">
        <v>12</v>
      </c>
      <c r="E2463" t="s">
        <v>13</v>
      </c>
      <c r="F2463">
        <v>33</v>
      </c>
      <c r="G2463">
        <v>125</v>
      </c>
      <c r="H2463" s="5" t="s">
        <v>22</v>
      </c>
      <c r="I2463" s="5">
        <v>0</v>
      </c>
      <c r="J2463" s="5">
        <v>0</v>
      </c>
      <c r="K2463" t="s">
        <v>11460</v>
      </c>
      <c r="L2463" cm="1">
        <f t="array" ref="L2463">wordCount(K2463)</f>
        <v>24</v>
      </c>
      <c r="M2463">
        <f t="shared" si="76"/>
        <v>76</v>
      </c>
      <c r="N2463">
        <v>0.13333333333333333</v>
      </c>
      <c r="O2463" s="23" cm="1">
        <f t="array" ref="O2463">WordListCount(K2463,keywords!$A$2:$A$31)-WordListCount(K2463,keywords!$B$2:$B$31)</f>
        <v>1</v>
      </c>
      <c r="P2463" s="25">
        <f t="shared" si="77"/>
        <v>0.83178240740740739</v>
      </c>
      <c r="Q2463" s="23">
        <f>SUM($O$2:O2463)</f>
        <v>68</v>
      </c>
      <c r="Y2463" s="14"/>
      <c r="Z2463" s="13"/>
      <c r="AA2463"/>
    </row>
    <row r="2464" spans="1:27" x14ac:dyDescent="0.2">
      <c r="A2464" s="12" t="s">
        <v>7516</v>
      </c>
      <c r="B2464" t="s">
        <v>7517</v>
      </c>
      <c r="C2464" t="s">
        <v>7518</v>
      </c>
      <c r="D2464" t="s">
        <v>7519</v>
      </c>
      <c r="E2464" t="s">
        <v>13</v>
      </c>
      <c r="F2464">
        <v>3239</v>
      </c>
      <c r="G2464">
        <v>1965</v>
      </c>
      <c r="H2464" s="5" t="s">
        <v>22</v>
      </c>
      <c r="I2464" s="5">
        <v>0</v>
      </c>
      <c r="J2464" s="5">
        <v>0</v>
      </c>
      <c r="K2464" t="s">
        <v>11461</v>
      </c>
      <c r="L2464" cm="1">
        <f t="array" ref="L2464">wordCount(K2464)</f>
        <v>21</v>
      </c>
      <c r="M2464">
        <f t="shared" si="76"/>
        <v>100</v>
      </c>
      <c r="N2464">
        <v>0.44827586206896552</v>
      </c>
      <c r="O2464" s="23" cm="1">
        <f t="array" ref="O2464">WordListCount(K2464,keywords!$A$2:$A$31)-WordListCount(K2464,keywords!$B$2:$B$31)</f>
        <v>0</v>
      </c>
      <c r="P2464" s="25">
        <f t="shared" si="77"/>
        <v>0.83200231481481479</v>
      </c>
      <c r="Q2464" s="23">
        <f>SUM($O$2:O2464)</f>
        <v>68</v>
      </c>
      <c r="Y2464" s="14"/>
      <c r="Z2464" s="13"/>
      <c r="AA2464"/>
    </row>
    <row r="2465" spans="1:27" x14ac:dyDescent="0.2">
      <c r="A2465" s="12" t="s">
        <v>7520</v>
      </c>
      <c r="B2465" t="s">
        <v>7521</v>
      </c>
      <c r="C2465" t="s">
        <v>7522</v>
      </c>
      <c r="D2465" t="s">
        <v>7523</v>
      </c>
      <c r="E2465" t="s">
        <v>13</v>
      </c>
      <c r="F2465">
        <v>321</v>
      </c>
      <c r="G2465">
        <v>58</v>
      </c>
      <c r="H2465" s="5" t="s">
        <v>22</v>
      </c>
      <c r="I2465" s="5">
        <v>0</v>
      </c>
      <c r="J2465" s="5">
        <v>0</v>
      </c>
      <c r="K2465" t="s">
        <v>11462</v>
      </c>
      <c r="L2465" cm="1">
        <f t="array" ref="L2465">wordCount(K2465)</f>
        <v>22</v>
      </c>
      <c r="M2465">
        <f t="shared" si="76"/>
        <v>97</v>
      </c>
      <c r="N2465">
        <v>0.39130434782608697</v>
      </c>
      <c r="O2465" s="23" cm="1">
        <f t="array" ref="O2465">WordListCount(K2465,keywords!$A$2:$A$31)-WordListCount(K2465,keywords!$B$2:$B$31)</f>
        <v>0</v>
      </c>
      <c r="P2465" s="25">
        <f t="shared" si="77"/>
        <v>0.8321412037037037</v>
      </c>
      <c r="Q2465" s="23">
        <f>SUM($O$2:O2465)</f>
        <v>68</v>
      </c>
      <c r="Y2465" s="14"/>
      <c r="Z2465" s="13"/>
      <c r="AA2465"/>
    </row>
    <row r="2466" spans="1:27" x14ac:dyDescent="0.2">
      <c r="A2466" s="12" t="s">
        <v>7524</v>
      </c>
      <c r="B2466" t="s">
        <v>7525</v>
      </c>
      <c r="C2466" t="s">
        <v>500</v>
      </c>
      <c r="D2466" t="s">
        <v>501</v>
      </c>
      <c r="E2466" t="s">
        <v>13</v>
      </c>
      <c r="F2466">
        <v>293</v>
      </c>
      <c r="G2466">
        <v>0</v>
      </c>
      <c r="H2466" s="5" t="s">
        <v>125</v>
      </c>
      <c r="I2466" s="5">
        <v>0</v>
      </c>
      <c r="J2466" s="5">
        <v>0</v>
      </c>
      <c r="K2466" t="s">
        <v>9762</v>
      </c>
      <c r="L2466" cm="1">
        <f t="array" ref="L2466">wordCount(K2466)</f>
        <v>9</v>
      </c>
      <c r="M2466">
        <f t="shared" si="76"/>
        <v>58</v>
      </c>
      <c r="N2466">
        <v>0.58823529411764708</v>
      </c>
      <c r="O2466" s="23" cm="1">
        <f t="array" ref="O2466">WordListCount(K2466,keywords!$A$2:$A$31)-WordListCount(K2466,keywords!$B$2:$B$31)</f>
        <v>0</v>
      </c>
      <c r="P2466" s="25">
        <f t="shared" si="77"/>
        <v>0.83250000000000002</v>
      </c>
      <c r="Q2466" s="23">
        <f>SUM($O$2:O2466)</f>
        <v>68</v>
      </c>
      <c r="Y2466" s="14"/>
      <c r="Z2466" s="13"/>
      <c r="AA2466"/>
    </row>
    <row r="2467" spans="1:27" x14ac:dyDescent="0.2">
      <c r="A2467" s="12" t="s">
        <v>7526</v>
      </c>
      <c r="B2467" t="s">
        <v>7527</v>
      </c>
      <c r="C2467" t="s">
        <v>7528</v>
      </c>
      <c r="D2467" t="s">
        <v>7529</v>
      </c>
      <c r="E2467" t="s">
        <v>13</v>
      </c>
      <c r="F2467">
        <v>28</v>
      </c>
      <c r="G2467">
        <v>188</v>
      </c>
      <c r="H2467" s="5" t="s">
        <v>22</v>
      </c>
      <c r="I2467" s="5">
        <v>0</v>
      </c>
      <c r="J2467" s="5">
        <v>0</v>
      </c>
      <c r="K2467" t="s">
        <v>11463</v>
      </c>
      <c r="L2467" cm="1">
        <f t="array" ref="L2467">wordCount(K2467)</f>
        <v>12</v>
      </c>
      <c r="M2467">
        <f t="shared" si="76"/>
        <v>61</v>
      </c>
      <c r="N2467">
        <v>0.53333333333333333</v>
      </c>
      <c r="O2467" s="23" cm="1">
        <f t="array" ref="O2467">WordListCount(K2467,keywords!$A$2:$A$31)-WordListCount(K2467,keywords!$B$2:$B$31)</f>
        <v>0</v>
      </c>
      <c r="P2467" s="25">
        <f t="shared" si="77"/>
        <v>0.83253472222222225</v>
      </c>
      <c r="Q2467" s="23">
        <f>SUM($O$2:O2467)</f>
        <v>68</v>
      </c>
      <c r="Y2467" s="14"/>
      <c r="Z2467" s="13"/>
      <c r="AA2467"/>
    </row>
    <row r="2468" spans="1:27" x14ac:dyDescent="0.2">
      <c r="A2468" s="12" t="s">
        <v>7530</v>
      </c>
      <c r="B2468" t="s">
        <v>7531</v>
      </c>
      <c r="C2468" t="s">
        <v>7532</v>
      </c>
      <c r="D2468" t="s">
        <v>1343</v>
      </c>
      <c r="E2468" t="s">
        <v>13</v>
      </c>
      <c r="F2468">
        <v>195</v>
      </c>
      <c r="G2468">
        <v>173</v>
      </c>
      <c r="H2468" s="5" t="s">
        <v>22</v>
      </c>
      <c r="I2468" s="5">
        <v>0</v>
      </c>
      <c r="J2468" s="5">
        <v>0</v>
      </c>
      <c r="K2468" t="s">
        <v>9763</v>
      </c>
      <c r="L2468" cm="1">
        <f t="array" ref="L2468">wordCount(K2468)</f>
        <v>9</v>
      </c>
      <c r="M2468">
        <f t="shared" si="76"/>
        <v>44</v>
      </c>
      <c r="N2468">
        <v>0.55555555555555558</v>
      </c>
      <c r="O2468" s="23" cm="1">
        <f t="array" ref="O2468">WordListCount(K2468,keywords!$A$2:$A$31)-WordListCount(K2468,keywords!$B$2:$B$31)</f>
        <v>0</v>
      </c>
      <c r="P2468" s="25">
        <f t="shared" si="77"/>
        <v>0.83288194444444441</v>
      </c>
      <c r="Q2468" s="23">
        <f>SUM($O$2:O2468)</f>
        <v>68</v>
      </c>
      <c r="Y2468" s="14"/>
      <c r="Z2468" s="13"/>
      <c r="AA2468"/>
    </row>
    <row r="2469" spans="1:27" x14ac:dyDescent="0.2">
      <c r="A2469" s="12" t="s">
        <v>7533</v>
      </c>
      <c r="B2469" t="s">
        <v>7534</v>
      </c>
      <c r="C2469" t="s">
        <v>7535</v>
      </c>
      <c r="D2469" t="s">
        <v>7536</v>
      </c>
      <c r="E2469" t="s">
        <v>13</v>
      </c>
      <c r="F2469">
        <v>2</v>
      </c>
      <c r="G2469">
        <v>26</v>
      </c>
      <c r="H2469" s="5" t="s">
        <v>22</v>
      </c>
      <c r="I2469" s="5">
        <v>0</v>
      </c>
      <c r="J2469" s="5">
        <v>0</v>
      </c>
      <c r="K2469" t="s">
        <v>9764</v>
      </c>
      <c r="L2469" cm="1">
        <f t="array" ref="L2469">wordCount(K2469)</f>
        <v>13</v>
      </c>
      <c r="M2469">
        <f t="shared" si="76"/>
        <v>78</v>
      </c>
      <c r="N2469">
        <v>0.36842105263157893</v>
      </c>
      <c r="O2469" s="23" cm="1">
        <f t="array" ref="O2469">WordListCount(K2469,keywords!$A$2:$A$31)-WordListCount(K2469,keywords!$B$2:$B$31)</f>
        <v>0</v>
      </c>
      <c r="P2469" s="25">
        <f t="shared" si="77"/>
        <v>0.83296296296296291</v>
      </c>
      <c r="Q2469" s="23">
        <f>SUM($O$2:O2469)</f>
        <v>68</v>
      </c>
      <c r="Y2469" s="14"/>
      <c r="Z2469" s="13"/>
      <c r="AA2469"/>
    </row>
    <row r="2470" spans="1:27" x14ac:dyDescent="0.2">
      <c r="A2470" s="12" t="s">
        <v>7537</v>
      </c>
      <c r="B2470" t="s">
        <v>7538</v>
      </c>
      <c r="C2470" t="s">
        <v>7539</v>
      </c>
      <c r="D2470" t="s">
        <v>12</v>
      </c>
      <c r="E2470" t="s">
        <v>13</v>
      </c>
      <c r="F2470">
        <v>49</v>
      </c>
      <c r="G2470">
        <v>610</v>
      </c>
      <c r="H2470" s="5" t="s">
        <v>22</v>
      </c>
      <c r="I2470" s="5">
        <v>0</v>
      </c>
      <c r="J2470" s="5">
        <v>0</v>
      </c>
      <c r="K2470" t="s">
        <v>9765</v>
      </c>
      <c r="L2470" cm="1">
        <f t="array" ref="L2470">wordCount(K2470)</f>
        <v>7</v>
      </c>
      <c r="M2470">
        <f t="shared" si="76"/>
        <v>27</v>
      </c>
      <c r="N2470">
        <v>0.66666666666666663</v>
      </c>
      <c r="O2470" s="23" cm="1">
        <f t="array" ref="O2470">WordListCount(K2470,keywords!$A$2:$A$31)-WordListCount(K2470,keywords!$B$2:$B$31)</f>
        <v>-1</v>
      </c>
      <c r="P2470" s="25">
        <f t="shared" si="77"/>
        <v>0.83314814814814808</v>
      </c>
      <c r="Q2470" s="23">
        <f>SUM($O$2:O2470)</f>
        <v>67</v>
      </c>
      <c r="Y2470" s="14"/>
      <c r="Z2470" s="13"/>
      <c r="AA2470"/>
    </row>
    <row r="2471" spans="1:27" x14ac:dyDescent="0.2">
      <c r="A2471" s="12" t="s">
        <v>7540</v>
      </c>
      <c r="B2471" t="s">
        <v>7541</v>
      </c>
      <c r="C2471" t="s">
        <v>7542</v>
      </c>
      <c r="D2471" t="s">
        <v>12</v>
      </c>
      <c r="E2471" t="s">
        <v>13</v>
      </c>
      <c r="F2471">
        <v>235</v>
      </c>
      <c r="G2471">
        <v>2</v>
      </c>
      <c r="H2471" s="5" t="s">
        <v>22</v>
      </c>
      <c r="I2471" s="5">
        <v>0</v>
      </c>
      <c r="J2471" s="5">
        <v>0</v>
      </c>
      <c r="K2471" t="s">
        <v>9766</v>
      </c>
      <c r="L2471" cm="1">
        <f t="array" ref="L2471">wordCount(K2471)</f>
        <v>1</v>
      </c>
      <c r="M2471">
        <f t="shared" si="76"/>
        <v>96</v>
      </c>
      <c r="N2471">
        <v>0.92307692307692313</v>
      </c>
      <c r="O2471" s="23" cm="1">
        <f t="array" ref="O2471">WordListCount(K2471,keywords!$A$2:$A$31)-WordListCount(K2471,keywords!$B$2:$B$31)</f>
        <v>0</v>
      </c>
      <c r="P2471" s="25">
        <f t="shared" si="77"/>
        <v>0.83333333333333337</v>
      </c>
      <c r="Q2471" s="23">
        <f>SUM($O$2:O2471)</f>
        <v>67</v>
      </c>
      <c r="Y2471" s="14"/>
      <c r="Z2471" s="13"/>
      <c r="AA2471"/>
    </row>
    <row r="2472" spans="1:27" x14ac:dyDescent="0.2">
      <c r="A2472" s="12" t="s">
        <v>7543</v>
      </c>
      <c r="B2472" t="s">
        <v>7548</v>
      </c>
      <c r="C2472" t="s">
        <v>599</v>
      </c>
      <c r="D2472" t="s">
        <v>74</v>
      </c>
      <c r="E2472" t="s">
        <v>13</v>
      </c>
      <c r="F2472">
        <v>580</v>
      </c>
      <c r="G2472">
        <v>0</v>
      </c>
      <c r="H2472" s="5" t="s">
        <v>22</v>
      </c>
      <c r="I2472" s="5">
        <v>0</v>
      </c>
      <c r="J2472" s="5">
        <v>0</v>
      </c>
      <c r="K2472" t="s">
        <v>11465</v>
      </c>
      <c r="L2472" cm="1">
        <f t="array" ref="L2472">wordCount(K2472)</f>
        <v>11</v>
      </c>
      <c r="M2472">
        <f t="shared" si="76"/>
        <v>64</v>
      </c>
      <c r="N2472">
        <v>0.84615384615384615</v>
      </c>
      <c r="O2472" s="23" cm="1">
        <f t="array" ref="O2472">WordListCount(K2472,keywords!$A$2:$A$31)-WordListCount(K2472,keywords!$B$2:$B$31)</f>
        <v>0</v>
      </c>
      <c r="P2472" s="25">
        <f t="shared" si="77"/>
        <v>0.83334490740740741</v>
      </c>
      <c r="Q2472" s="23">
        <f>SUM($O$2:O2472)</f>
        <v>67</v>
      </c>
      <c r="Y2472" s="14"/>
      <c r="Z2472" s="13"/>
      <c r="AA2472"/>
    </row>
    <row r="2473" spans="1:27" x14ac:dyDescent="0.2">
      <c r="A2473" s="12" t="s">
        <v>7543</v>
      </c>
      <c r="B2473" t="s">
        <v>7545</v>
      </c>
      <c r="C2473" t="s">
        <v>7546</v>
      </c>
      <c r="D2473" t="s">
        <v>7547</v>
      </c>
      <c r="E2473" t="s">
        <v>13</v>
      </c>
      <c r="F2473">
        <v>1233</v>
      </c>
      <c r="G2473">
        <v>982</v>
      </c>
      <c r="H2473" s="5" t="s">
        <v>1162</v>
      </c>
      <c r="I2473" s="5">
        <v>0</v>
      </c>
      <c r="J2473" s="5">
        <v>0</v>
      </c>
      <c r="K2473" t="s">
        <v>11464</v>
      </c>
      <c r="L2473" cm="1">
        <f t="array" ref="L2473">wordCount(K2473)</f>
        <v>15</v>
      </c>
      <c r="M2473">
        <f t="shared" si="76"/>
        <v>74</v>
      </c>
      <c r="N2473">
        <v>0.56000000000000005</v>
      </c>
      <c r="O2473" s="23" cm="1">
        <f t="array" ref="O2473">WordListCount(K2473,keywords!$A$2:$A$31)-WordListCount(K2473,keywords!$B$2:$B$31)</f>
        <v>0</v>
      </c>
      <c r="P2473" s="25">
        <f t="shared" si="77"/>
        <v>0.83334490740740741</v>
      </c>
      <c r="Q2473" s="23">
        <f>SUM($O$2:O2473)</f>
        <v>67</v>
      </c>
      <c r="Y2473" s="14"/>
      <c r="Z2473" s="13"/>
      <c r="AA2473"/>
    </row>
    <row r="2474" spans="1:27" x14ac:dyDescent="0.2">
      <c r="A2474" s="12" t="s">
        <v>7543</v>
      </c>
      <c r="B2474" t="s">
        <v>7544</v>
      </c>
      <c r="C2474" t="s">
        <v>306</v>
      </c>
      <c r="D2474" t="s">
        <v>307</v>
      </c>
      <c r="E2474" t="s">
        <v>13</v>
      </c>
      <c r="F2474">
        <v>227</v>
      </c>
      <c r="G2474">
        <v>1</v>
      </c>
      <c r="H2474" s="5" t="s">
        <v>22</v>
      </c>
      <c r="I2474" s="5">
        <v>0</v>
      </c>
      <c r="J2474" s="5">
        <v>0</v>
      </c>
      <c r="K2474" t="s">
        <v>9767</v>
      </c>
      <c r="L2474" cm="1">
        <f t="array" ref="L2474">wordCount(K2474)</f>
        <v>7</v>
      </c>
      <c r="M2474">
        <f t="shared" si="76"/>
        <v>104</v>
      </c>
      <c r="N2474">
        <v>0.53846153846153844</v>
      </c>
      <c r="O2474" s="23" cm="1">
        <f t="array" ref="O2474">WordListCount(K2474,keywords!$A$2:$A$31)-WordListCount(K2474,keywords!$B$2:$B$31)</f>
        <v>0</v>
      </c>
      <c r="P2474" s="25">
        <f t="shared" si="77"/>
        <v>0.83334490740740741</v>
      </c>
      <c r="Q2474" s="23">
        <f>SUM($O$2:O2474)</f>
        <v>67</v>
      </c>
      <c r="Y2474" s="14"/>
      <c r="Z2474" s="13"/>
      <c r="AA2474"/>
    </row>
    <row r="2475" spans="1:27" x14ac:dyDescent="0.2">
      <c r="A2475" s="12" t="s">
        <v>7549</v>
      </c>
      <c r="B2475" t="s">
        <v>7550</v>
      </c>
      <c r="C2475" t="s">
        <v>589</v>
      </c>
      <c r="D2475" t="s">
        <v>590</v>
      </c>
      <c r="E2475" t="s">
        <v>13</v>
      </c>
      <c r="F2475">
        <v>385</v>
      </c>
      <c r="G2475">
        <v>72</v>
      </c>
      <c r="H2475" s="5" t="s">
        <v>22</v>
      </c>
      <c r="I2475" s="5">
        <v>0</v>
      </c>
      <c r="J2475" s="5">
        <v>0</v>
      </c>
      <c r="K2475" t="s">
        <v>11466</v>
      </c>
      <c r="L2475" cm="1">
        <f t="array" ref="L2475">wordCount(K2475)</f>
        <v>9</v>
      </c>
      <c r="M2475">
        <f t="shared" si="76"/>
        <v>56</v>
      </c>
      <c r="N2475">
        <v>0.81818181818181823</v>
      </c>
      <c r="O2475" s="23" cm="1">
        <f t="array" ref="O2475">WordListCount(K2475,keywords!$A$2:$A$31)-WordListCount(K2475,keywords!$B$2:$B$31)</f>
        <v>0</v>
      </c>
      <c r="P2475" s="25">
        <f t="shared" si="77"/>
        <v>0.83335648148148145</v>
      </c>
      <c r="Q2475" s="23">
        <f>SUM($O$2:O2475)</f>
        <v>67</v>
      </c>
      <c r="Y2475" s="14"/>
      <c r="Z2475" s="13"/>
      <c r="AA2475"/>
    </row>
    <row r="2476" spans="1:27" x14ac:dyDescent="0.2">
      <c r="A2476" s="12" t="s">
        <v>7551</v>
      </c>
      <c r="B2476" t="s">
        <v>7552</v>
      </c>
      <c r="C2476" t="s">
        <v>7553</v>
      </c>
      <c r="D2476" t="s">
        <v>12</v>
      </c>
      <c r="E2476" t="s">
        <v>13</v>
      </c>
      <c r="F2476">
        <v>326</v>
      </c>
      <c r="G2476">
        <v>249</v>
      </c>
      <c r="H2476" s="5" t="s">
        <v>22</v>
      </c>
      <c r="I2476" s="5">
        <v>0</v>
      </c>
      <c r="J2476" s="5">
        <v>0</v>
      </c>
      <c r="K2476" t="s">
        <v>9768</v>
      </c>
      <c r="L2476" cm="1">
        <f t="array" ref="L2476">wordCount(K2476)</f>
        <v>8</v>
      </c>
      <c r="M2476">
        <f t="shared" si="76"/>
        <v>54</v>
      </c>
      <c r="N2476">
        <v>0.72</v>
      </c>
      <c r="O2476" s="23" cm="1">
        <f t="array" ref="O2476">WordListCount(K2476,keywords!$A$2:$A$31)-WordListCount(K2476,keywords!$B$2:$B$31)</f>
        <v>0</v>
      </c>
      <c r="P2476" s="25">
        <f t="shared" si="77"/>
        <v>0.83336805555555549</v>
      </c>
      <c r="Q2476" s="23">
        <f>SUM($O$2:O2476)</f>
        <v>67</v>
      </c>
      <c r="Y2476" s="14"/>
      <c r="Z2476" s="13"/>
      <c r="AA2476"/>
    </row>
    <row r="2477" spans="1:27" x14ac:dyDescent="0.2">
      <c r="A2477" s="12" t="s">
        <v>7554</v>
      </c>
      <c r="B2477" t="s">
        <v>7555</v>
      </c>
      <c r="C2477" t="s">
        <v>604</v>
      </c>
      <c r="D2477" t="s">
        <v>605</v>
      </c>
      <c r="E2477" t="s">
        <v>13</v>
      </c>
      <c r="F2477">
        <v>168</v>
      </c>
      <c r="G2477">
        <v>115</v>
      </c>
      <c r="H2477" s="5" t="s">
        <v>22</v>
      </c>
      <c r="I2477" s="5">
        <v>0</v>
      </c>
      <c r="J2477" s="5">
        <v>0</v>
      </c>
      <c r="K2477" t="s">
        <v>11467</v>
      </c>
      <c r="L2477" cm="1">
        <f t="array" ref="L2477">wordCount(K2477)</f>
        <v>13</v>
      </c>
      <c r="M2477">
        <f t="shared" si="76"/>
        <v>68</v>
      </c>
      <c r="N2477">
        <v>0.75</v>
      </c>
      <c r="O2477" s="23" cm="1">
        <f t="array" ref="O2477">WordListCount(K2477,keywords!$A$2:$A$31)-WordListCount(K2477,keywords!$B$2:$B$31)</f>
        <v>0</v>
      </c>
      <c r="P2477" s="25">
        <f t="shared" si="77"/>
        <v>0.83339120370370379</v>
      </c>
      <c r="Q2477" s="23">
        <f>SUM($O$2:O2477)</f>
        <v>67</v>
      </c>
      <c r="Y2477" s="14"/>
      <c r="Z2477" s="13"/>
      <c r="AA2477"/>
    </row>
    <row r="2478" spans="1:27" x14ac:dyDescent="0.2">
      <c r="A2478" s="12" t="s">
        <v>7556</v>
      </c>
      <c r="B2478" t="s">
        <v>7557</v>
      </c>
      <c r="C2478" t="s">
        <v>1277</v>
      </c>
      <c r="D2478" t="s">
        <v>1278</v>
      </c>
      <c r="E2478" t="s">
        <v>13</v>
      </c>
      <c r="F2478">
        <v>7991</v>
      </c>
      <c r="G2478">
        <v>410</v>
      </c>
      <c r="H2478" s="5" t="s">
        <v>22</v>
      </c>
      <c r="I2478" s="5">
        <v>0</v>
      </c>
      <c r="J2478" s="5">
        <v>0</v>
      </c>
      <c r="K2478" t="s">
        <v>11468</v>
      </c>
      <c r="L2478" cm="1">
        <f t="array" ref="L2478">wordCount(K2478)</f>
        <v>16</v>
      </c>
      <c r="M2478">
        <f t="shared" si="76"/>
        <v>104</v>
      </c>
      <c r="N2478">
        <v>0.4</v>
      </c>
      <c r="O2478" s="23" cm="1">
        <f t="array" ref="O2478">WordListCount(K2478,keywords!$A$2:$A$31)-WordListCount(K2478,keywords!$B$2:$B$31)</f>
        <v>0</v>
      </c>
      <c r="P2478" s="25">
        <f t="shared" si="77"/>
        <v>0.83340277777777771</v>
      </c>
      <c r="Q2478" s="23">
        <f>SUM($O$2:O2478)</f>
        <v>67</v>
      </c>
      <c r="Y2478" s="14"/>
      <c r="Z2478" s="13"/>
      <c r="AA2478"/>
    </row>
    <row r="2479" spans="1:27" x14ac:dyDescent="0.2">
      <c r="A2479" s="12" t="s">
        <v>7558</v>
      </c>
      <c r="B2479" t="s">
        <v>7559</v>
      </c>
      <c r="C2479" t="s">
        <v>617</v>
      </c>
      <c r="D2479" t="s">
        <v>12</v>
      </c>
      <c r="E2479" t="s">
        <v>13</v>
      </c>
      <c r="F2479">
        <v>8723</v>
      </c>
      <c r="G2479">
        <v>268</v>
      </c>
      <c r="H2479" s="5" t="s">
        <v>22</v>
      </c>
      <c r="I2479" s="5">
        <v>0</v>
      </c>
      <c r="J2479" s="5">
        <v>0</v>
      </c>
      <c r="K2479" t="s">
        <v>11469</v>
      </c>
      <c r="L2479" cm="1">
        <f t="array" ref="L2479">wordCount(K2479)</f>
        <v>14</v>
      </c>
      <c r="M2479">
        <f t="shared" si="76"/>
        <v>101</v>
      </c>
      <c r="N2479">
        <v>0.8571428571428571</v>
      </c>
      <c r="O2479" s="23" cm="1">
        <f t="array" ref="O2479">WordListCount(K2479,keywords!$A$2:$A$31)-WordListCount(K2479,keywords!$B$2:$B$31)</f>
        <v>0</v>
      </c>
      <c r="P2479" s="25">
        <f t="shared" si="77"/>
        <v>0.83351851851851855</v>
      </c>
      <c r="Q2479" s="23">
        <f>SUM($O$2:O2479)</f>
        <v>67</v>
      </c>
      <c r="Y2479" s="14"/>
      <c r="Z2479" s="13"/>
      <c r="AA2479"/>
    </row>
    <row r="2480" spans="1:27" x14ac:dyDescent="0.2">
      <c r="A2480" s="12" t="s">
        <v>7560</v>
      </c>
      <c r="B2480" t="s">
        <v>7561</v>
      </c>
      <c r="C2480" t="s">
        <v>7562</v>
      </c>
      <c r="D2480" t="s">
        <v>12</v>
      </c>
      <c r="E2480" t="s">
        <v>13</v>
      </c>
      <c r="F2480">
        <v>306</v>
      </c>
      <c r="G2480">
        <v>580</v>
      </c>
      <c r="H2480" s="5" t="s">
        <v>22</v>
      </c>
      <c r="I2480" s="5">
        <v>0</v>
      </c>
      <c r="J2480" s="5">
        <v>0</v>
      </c>
      <c r="K2480" t="s">
        <v>11470</v>
      </c>
      <c r="L2480" cm="1">
        <f t="array" ref="L2480">wordCount(K2480)</f>
        <v>10</v>
      </c>
      <c r="M2480">
        <f t="shared" si="76"/>
        <v>43</v>
      </c>
      <c r="N2480">
        <v>0.55555555555555558</v>
      </c>
      <c r="O2480" s="23" cm="1">
        <f t="array" ref="O2480">WordListCount(K2480,keywords!$A$2:$A$31)-WordListCount(K2480,keywords!$B$2:$B$31)</f>
        <v>0</v>
      </c>
      <c r="P2480" s="25">
        <f t="shared" si="77"/>
        <v>0.83362268518518512</v>
      </c>
      <c r="Q2480" s="23">
        <f>SUM($O$2:O2480)</f>
        <v>67</v>
      </c>
      <c r="Y2480" s="14"/>
      <c r="Z2480" s="13"/>
      <c r="AA2480"/>
    </row>
    <row r="2481" spans="1:27" x14ac:dyDescent="0.2">
      <c r="A2481" s="12" t="s">
        <v>7563</v>
      </c>
      <c r="B2481" t="s">
        <v>7564</v>
      </c>
      <c r="C2481" t="s">
        <v>631</v>
      </c>
      <c r="D2481" t="s">
        <v>12</v>
      </c>
      <c r="E2481" t="s">
        <v>13</v>
      </c>
      <c r="F2481">
        <v>93</v>
      </c>
      <c r="G2481">
        <v>2</v>
      </c>
      <c r="H2481" s="5" t="s">
        <v>86</v>
      </c>
      <c r="I2481" s="5">
        <v>0</v>
      </c>
      <c r="J2481" s="5">
        <v>0</v>
      </c>
      <c r="K2481" t="s">
        <v>9769</v>
      </c>
      <c r="L2481" cm="1">
        <f t="array" ref="L2481">wordCount(K2481)</f>
        <v>8</v>
      </c>
      <c r="M2481">
        <f t="shared" si="76"/>
        <v>43</v>
      </c>
      <c r="N2481">
        <v>0.77777777777777779</v>
      </c>
      <c r="O2481" s="23" cm="1">
        <f t="array" ref="O2481">WordListCount(K2481,keywords!$A$2:$A$31)-WordListCount(K2481,keywords!$B$2:$B$31)</f>
        <v>0</v>
      </c>
      <c r="P2481" s="25">
        <f t="shared" si="77"/>
        <v>0.83368055555555554</v>
      </c>
      <c r="Q2481" s="23">
        <f>SUM($O$2:O2481)</f>
        <v>67</v>
      </c>
      <c r="Y2481" s="14"/>
      <c r="Z2481" s="13"/>
      <c r="AA2481"/>
    </row>
    <row r="2482" spans="1:27" x14ac:dyDescent="0.2">
      <c r="A2482" s="12" t="s">
        <v>7565</v>
      </c>
      <c r="B2482" t="s">
        <v>7566</v>
      </c>
      <c r="C2482" t="s">
        <v>2954</v>
      </c>
      <c r="D2482" t="s">
        <v>2955</v>
      </c>
      <c r="E2482" t="s">
        <v>13</v>
      </c>
      <c r="F2482">
        <v>234</v>
      </c>
      <c r="G2482">
        <v>1003</v>
      </c>
      <c r="H2482" s="5" t="s">
        <v>22</v>
      </c>
      <c r="I2482" s="5">
        <v>0</v>
      </c>
      <c r="J2482" s="5">
        <v>0</v>
      </c>
      <c r="K2482" t="s">
        <v>11471</v>
      </c>
      <c r="L2482" cm="1">
        <f t="array" ref="L2482">wordCount(K2482)</f>
        <v>26</v>
      </c>
      <c r="M2482">
        <f t="shared" si="76"/>
        <v>128</v>
      </c>
      <c r="N2482">
        <v>0.36842105263157893</v>
      </c>
      <c r="O2482" s="23" cm="1">
        <f t="array" ref="O2482">WordListCount(K2482,keywords!$A$2:$A$31)-WordListCount(K2482,keywords!$B$2:$B$31)</f>
        <v>0</v>
      </c>
      <c r="P2482" s="25">
        <f t="shared" si="77"/>
        <v>0.83379629629629637</v>
      </c>
      <c r="Q2482" s="23">
        <f>SUM($O$2:O2482)</f>
        <v>67</v>
      </c>
      <c r="Y2482" s="14"/>
      <c r="Z2482" s="13"/>
      <c r="AA2482"/>
    </row>
    <row r="2483" spans="1:27" x14ac:dyDescent="0.2">
      <c r="A2483" s="12" t="s">
        <v>7567</v>
      </c>
      <c r="B2483" t="s">
        <v>7568</v>
      </c>
      <c r="C2483" t="s">
        <v>651</v>
      </c>
      <c r="D2483" t="s">
        <v>652</v>
      </c>
      <c r="E2483" t="s">
        <v>13</v>
      </c>
      <c r="F2483">
        <v>13401</v>
      </c>
      <c r="G2483">
        <v>13241</v>
      </c>
      <c r="H2483" s="5" t="s">
        <v>22</v>
      </c>
      <c r="I2483" s="5">
        <v>0</v>
      </c>
      <c r="J2483" s="5">
        <v>0</v>
      </c>
      <c r="K2483" t="s">
        <v>9770</v>
      </c>
      <c r="L2483" cm="1">
        <f t="array" ref="L2483">wordCount(K2483)</f>
        <v>6</v>
      </c>
      <c r="M2483">
        <f t="shared" si="76"/>
        <v>36</v>
      </c>
      <c r="N2483">
        <v>0.88888888888888884</v>
      </c>
      <c r="O2483" s="23" cm="1">
        <f t="array" ref="O2483">WordListCount(K2483,keywords!$A$2:$A$31)-WordListCount(K2483,keywords!$B$2:$B$31)</f>
        <v>0</v>
      </c>
      <c r="P2483" s="25">
        <f t="shared" si="77"/>
        <v>0.83385416666666667</v>
      </c>
      <c r="Q2483" s="23">
        <f>SUM($O$2:O2483)</f>
        <v>67</v>
      </c>
      <c r="Y2483" s="14"/>
      <c r="Z2483" s="13"/>
      <c r="AA2483"/>
    </row>
    <row r="2484" spans="1:27" x14ac:dyDescent="0.2">
      <c r="A2484" s="12" t="s">
        <v>7569</v>
      </c>
      <c r="B2484" t="s">
        <v>7570</v>
      </c>
      <c r="C2484" t="s">
        <v>7571</v>
      </c>
      <c r="D2484" t="s">
        <v>74</v>
      </c>
      <c r="E2484" t="s">
        <v>13</v>
      </c>
      <c r="F2484">
        <v>2476</v>
      </c>
      <c r="G2484">
        <v>4848</v>
      </c>
      <c r="H2484" s="5" t="s">
        <v>22</v>
      </c>
      <c r="I2484" s="5">
        <v>0</v>
      </c>
      <c r="J2484" s="5">
        <v>0</v>
      </c>
      <c r="K2484" t="s">
        <v>9771</v>
      </c>
      <c r="L2484" cm="1">
        <f t="array" ref="L2484">wordCount(K2484)</f>
        <v>8</v>
      </c>
      <c r="M2484">
        <f t="shared" si="76"/>
        <v>46</v>
      </c>
      <c r="N2484">
        <v>0.88235294117647056</v>
      </c>
      <c r="O2484" s="23" cm="1">
        <f t="array" ref="O2484">WordListCount(K2484,keywords!$A$2:$A$31)-WordListCount(K2484,keywords!$B$2:$B$31)</f>
        <v>0</v>
      </c>
      <c r="P2484" s="25">
        <f t="shared" si="77"/>
        <v>0.83388888888888879</v>
      </c>
      <c r="Q2484" s="23">
        <f>SUM($O$2:O2484)</f>
        <v>67</v>
      </c>
      <c r="Y2484" s="14"/>
      <c r="Z2484" s="13"/>
      <c r="AA2484"/>
    </row>
    <row r="2485" spans="1:27" x14ac:dyDescent="0.2">
      <c r="A2485" s="12" t="s">
        <v>7572</v>
      </c>
      <c r="B2485" t="s">
        <v>7568</v>
      </c>
      <c r="C2485" t="s">
        <v>7573</v>
      </c>
      <c r="D2485" t="s">
        <v>7574</v>
      </c>
      <c r="E2485" t="s">
        <v>13</v>
      </c>
      <c r="F2485">
        <v>410</v>
      </c>
      <c r="G2485">
        <v>413</v>
      </c>
      <c r="H2485" s="5" t="s">
        <v>22</v>
      </c>
      <c r="I2485" s="5">
        <v>0</v>
      </c>
      <c r="J2485" s="5">
        <v>0</v>
      </c>
      <c r="K2485" t="s">
        <v>9770</v>
      </c>
      <c r="L2485" cm="1">
        <f t="array" ref="L2485">wordCount(K2485)</f>
        <v>6</v>
      </c>
      <c r="M2485">
        <f t="shared" si="76"/>
        <v>36</v>
      </c>
      <c r="N2485">
        <v>0.8571428571428571</v>
      </c>
      <c r="O2485" s="23" cm="1">
        <f t="array" ref="O2485">WordListCount(K2485,keywords!$A$2:$A$31)-WordListCount(K2485,keywords!$B$2:$B$31)</f>
        <v>0</v>
      </c>
      <c r="P2485" s="25">
        <f t="shared" si="77"/>
        <v>0.83409722222222227</v>
      </c>
      <c r="Q2485" s="23">
        <f>SUM($O$2:O2485)</f>
        <v>67</v>
      </c>
      <c r="Y2485" s="14"/>
      <c r="Z2485" s="13"/>
      <c r="AA2485"/>
    </row>
    <row r="2486" spans="1:27" x14ac:dyDescent="0.2">
      <c r="A2486" s="12" t="s">
        <v>7575</v>
      </c>
      <c r="B2486" t="s">
        <v>7576</v>
      </c>
      <c r="C2486" t="s">
        <v>7577</v>
      </c>
      <c r="D2486" t="s">
        <v>7578</v>
      </c>
      <c r="E2486" t="s">
        <v>13</v>
      </c>
      <c r="F2486">
        <v>422</v>
      </c>
      <c r="G2486">
        <v>399</v>
      </c>
      <c r="H2486" s="5" t="s">
        <v>22</v>
      </c>
      <c r="I2486" s="5">
        <v>0</v>
      </c>
      <c r="J2486" s="5">
        <v>0</v>
      </c>
      <c r="K2486" t="s">
        <v>9772</v>
      </c>
      <c r="L2486" cm="1">
        <f t="array" ref="L2486">wordCount(K2486)</f>
        <v>22</v>
      </c>
      <c r="M2486">
        <f t="shared" si="76"/>
        <v>103</v>
      </c>
      <c r="N2486">
        <v>0.5</v>
      </c>
      <c r="O2486" s="23" cm="1">
        <f t="array" ref="O2486">WordListCount(K2486,keywords!$A$2:$A$31)-WordListCount(K2486,keywords!$B$2:$B$31)</f>
        <v>0</v>
      </c>
      <c r="P2486" s="25">
        <f t="shared" si="77"/>
        <v>0.83415509259259257</v>
      </c>
      <c r="Q2486" s="23">
        <f>SUM($O$2:O2486)</f>
        <v>67</v>
      </c>
      <c r="Y2486" s="14"/>
      <c r="Z2486" s="13"/>
      <c r="AA2486"/>
    </row>
    <row r="2487" spans="1:27" x14ac:dyDescent="0.2">
      <c r="A2487" s="12" t="s">
        <v>7579</v>
      </c>
      <c r="B2487" t="s">
        <v>7580</v>
      </c>
      <c r="C2487" t="s">
        <v>713</v>
      </c>
      <c r="D2487" t="s">
        <v>714</v>
      </c>
      <c r="E2487" t="s">
        <v>13</v>
      </c>
      <c r="F2487">
        <v>4757</v>
      </c>
      <c r="G2487">
        <v>3442</v>
      </c>
      <c r="H2487" s="5" t="s">
        <v>22</v>
      </c>
      <c r="I2487" s="5">
        <v>0</v>
      </c>
      <c r="J2487" s="5">
        <v>0</v>
      </c>
      <c r="K2487" t="s">
        <v>9770</v>
      </c>
      <c r="L2487" cm="1">
        <f t="array" ref="L2487">wordCount(K2487)</f>
        <v>6</v>
      </c>
      <c r="M2487">
        <f t="shared" si="76"/>
        <v>36</v>
      </c>
      <c r="N2487">
        <v>0.8571428571428571</v>
      </c>
      <c r="O2487" s="23" cm="1">
        <f t="array" ref="O2487">WordListCount(K2487,keywords!$A$2:$A$31)-WordListCount(K2487,keywords!$B$2:$B$31)</f>
        <v>0</v>
      </c>
      <c r="P2487" s="25">
        <f t="shared" si="77"/>
        <v>0.83420138888888884</v>
      </c>
      <c r="Q2487" s="23">
        <f>SUM($O$2:O2487)</f>
        <v>67</v>
      </c>
      <c r="Y2487" s="14"/>
      <c r="Z2487" s="13"/>
      <c r="AA2487"/>
    </row>
    <row r="2488" spans="1:27" x14ac:dyDescent="0.2">
      <c r="A2488" s="12" t="s">
        <v>7581</v>
      </c>
      <c r="B2488" t="s">
        <v>7570</v>
      </c>
      <c r="C2488" t="s">
        <v>7582</v>
      </c>
      <c r="D2488" t="s">
        <v>12</v>
      </c>
      <c r="E2488" t="s">
        <v>13</v>
      </c>
      <c r="F2488">
        <v>296</v>
      </c>
      <c r="G2488">
        <v>29</v>
      </c>
      <c r="H2488" s="5" t="s">
        <v>22</v>
      </c>
      <c r="I2488" s="5">
        <v>0</v>
      </c>
      <c r="J2488" s="5">
        <v>0</v>
      </c>
      <c r="K2488" t="s">
        <v>9771</v>
      </c>
      <c r="L2488" cm="1">
        <f t="array" ref="L2488">wordCount(K2488)</f>
        <v>8</v>
      </c>
      <c r="M2488">
        <f t="shared" si="76"/>
        <v>46</v>
      </c>
      <c r="N2488">
        <v>0.88888888888888884</v>
      </c>
      <c r="O2488" s="23" cm="1">
        <f t="array" ref="O2488">WordListCount(K2488,keywords!$A$2:$A$31)-WordListCount(K2488,keywords!$B$2:$B$31)</f>
        <v>0</v>
      </c>
      <c r="P2488" s="25">
        <f t="shared" si="77"/>
        <v>0.83421296296296299</v>
      </c>
      <c r="Q2488" s="23">
        <f>SUM($O$2:O2488)</f>
        <v>67</v>
      </c>
      <c r="Y2488" s="14"/>
      <c r="Z2488" s="13"/>
      <c r="AA2488"/>
    </row>
    <row r="2489" spans="1:27" x14ac:dyDescent="0.2">
      <c r="A2489" s="12" t="s">
        <v>7583</v>
      </c>
      <c r="B2489" t="s">
        <v>7584</v>
      </c>
      <c r="C2489" t="s">
        <v>7585</v>
      </c>
      <c r="D2489" t="s">
        <v>790</v>
      </c>
      <c r="E2489" t="s">
        <v>13</v>
      </c>
      <c r="F2489">
        <v>2363</v>
      </c>
      <c r="G2489">
        <v>2741</v>
      </c>
      <c r="H2489" s="5" t="s">
        <v>42</v>
      </c>
      <c r="I2489" s="5">
        <v>0</v>
      </c>
      <c r="J2489" s="5">
        <v>0</v>
      </c>
      <c r="K2489" t="s">
        <v>11472</v>
      </c>
      <c r="L2489" cm="1">
        <f t="array" ref="L2489">wordCount(K2489)</f>
        <v>31</v>
      </c>
      <c r="M2489">
        <f t="shared" si="76"/>
        <v>137</v>
      </c>
      <c r="N2489">
        <v>0.34375</v>
      </c>
      <c r="O2489" s="23" cm="1">
        <f t="array" ref="O2489">WordListCount(K2489,keywords!$A$2:$A$31)-WordListCount(K2489,keywords!$B$2:$B$31)</f>
        <v>-1</v>
      </c>
      <c r="P2489" s="25">
        <f t="shared" si="77"/>
        <v>0.83424768518518511</v>
      </c>
      <c r="Q2489" s="23">
        <f>SUM($O$2:O2489)</f>
        <v>66</v>
      </c>
      <c r="Y2489" s="14"/>
      <c r="Z2489" s="13"/>
      <c r="AA2489"/>
    </row>
    <row r="2490" spans="1:27" x14ac:dyDescent="0.2">
      <c r="A2490" s="12" t="s">
        <v>7586</v>
      </c>
      <c r="B2490" t="s">
        <v>7587</v>
      </c>
      <c r="C2490" t="s">
        <v>7588</v>
      </c>
      <c r="D2490" t="s">
        <v>7589</v>
      </c>
      <c r="E2490" t="s">
        <v>13</v>
      </c>
      <c r="F2490">
        <v>61</v>
      </c>
      <c r="G2490">
        <v>127</v>
      </c>
      <c r="H2490" s="5" t="s">
        <v>22</v>
      </c>
      <c r="I2490" s="5">
        <v>0</v>
      </c>
      <c r="J2490" s="5">
        <v>0</v>
      </c>
      <c r="K2490" t="s">
        <v>9773</v>
      </c>
      <c r="L2490" cm="1">
        <f t="array" ref="L2490">wordCount(K2490)</f>
        <v>7</v>
      </c>
      <c r="M2490">
        <f t="shared" si="76"/>
        <v>28</v>
      </c>
      <c r="N2490">
        <v>0.5</v>
      </c>
      <c r="O2490" s="23" cm="1">
        <f t="array" ref="O2490">WordListCount(K2490,keywords!$A$2:$A$31)-WordListCount(K2490,keywords!$B$2:$B$31)</f>
        <v>0</v>
      </c>
      <c r="P2490" s="25">
        <f t="shared" si="77"/>
        <v>0.83438657407407402</v>
      </c>
      <c r="Q2490" s="23">
        <f>SUM($O$2:O2490)</f>
        <v>66</v>
      </c>
      <c r="Y2490" s="14"/>
      <c r="Z2490" s="13"/>
      <c r="AA2490"/>
    </row>
    <row r="2491" spans="1:27" x14ac:dyDescent="0.2">
      <c r="A2491" s="12" t="s">
        <v>7590</v>
      </c>
      <c r="B2491" t="s">
        <v>7591</v>
      </c>
      <c r="C2491" t="s">
        <v>3964</v>
      </c>
      <c r="D2491" t="s">
        <v>1552</v>
      </c>
      <c r="E2491" t="s">
        <v>13</v>
      </c>
      <c r="F2491">
        <v>32</v>
      </c>
      <c r="G2491">
        <v>141</v>
      </c>
      <c r="H2491" s="5" t="s">
        <v>22</v>
      </c>
      <c r="I2491" s="5">
        <v>0</v>
      </c>
      <c r="J2491" s="5">
        <v>0</v>
      </c>
      <c r="K2491" t="s">
        <v>9774</v>
      </c>
      <c r="L2491" cm="1">
        <f t="array" ref="L2491">wordCount(K2491)</f>
        <v>7</v>
      </c>
      <c r="M2491">
        <f t="shared" si="76"/>
        <v>37</v>
      </c>
      <c r="N2491">
        <v>1</v>
      </c>
      <c r="O2491" s="23" cm="1">
        <f t="array" ref="O2491">WordListCount(K2491,keywords!$A$2:$A$31)-WordListCount(K2491,keywords!$B$2:$B$31)</f>
        <v>0</v>
      </c>
      <c r="P2491" s="25">
        <f t="shared" si="77"/>
        <v>0.83442129629629624</v>
      </c>
      <c r="Q2491" s="23">
        <f>SUM($O$2:O2491)</f>
        <v>66</v>
      </c>
      <c r="Y2491" s="14"/>
      <c r="Z2491" s="13"/>
      <c r="AA2491"/>
    </row>
    <row r="2492" spans="1:27" x14ac:dyDescent="0.2">
      <c r="A2492" s="12" t="s">
        <v>7592</v>
      </c>
      <c r="B2492" t="s">
        <v>7593</v>
      </c>
      <c r="C2492" t="s">
        <v>7594</v>
      </c>
      <c r="D2492" t="s">
        <v>12</v>
      </c>
      <c r="E2492" t="s">
        <v>13</v>
      </c>
      <c r="F2492">
        <v>66</v>
      </c>
      <c r="G2492">
        <v>24</v>
      </c>
      <c r="H2492" s="5" t="s">
        <v>22</v>
      </c>
      <c r="I2492" s="5">
        <v>0</v>
      </c>
      <c r="J2492" s="5">
        <v>0</v>
      </c>
      <c r="K2492" t="s">
        <v>9775</v>
      </c>
      <c r="L2492" cm="1">
        <f t="array" ref="L2492">wordCount(K2492)</f>
        <v>4</v>
      </c>
      <c r="M2492">
        <f t="shared" si="76"/>
        <v>22</v>
      </c>
      <c r="N2492">
        <v>0.75</v>
      </c>
      <c r="O2492" s="23" cm="1">
        <f t="array" ref="O2492">WordListCount(K2492,keywords!$A$2:$A$31)-WordListCount(K2492,keywords!$B$2:$B$31)</f>
        <v>0</v>
      </c>
      <c r="P2492" s="25">
        <f t="shared" si="77"/>
        <v>0.83450231481481485</v>
      </c>
      <c r="Q2492" s="23">
        <f>SUM($O$2:O2492)</f>
        <v>66</v>
      </c>
      <c r="Y2492" s="14"/>
      <c r="Z2492" s="13"/>
      <c r="AA2492"/>
    </row>
    <row r="2493" spans="1:27" x14ac:dyDescent="0.2">
      <c r="A2493" s="12" t="s">
        <v>7592</v>
      </c>
      <c r="B2493" t="s">
        <v>7595</v>
      </c>
      <c r="C2493" t="s">
        <v>7596</v>
      </c>
      <c r="D2493" t="s">
        <v>7597</v>
      </c>
      <c r="E2493" t="s">
        <v>13</v>
      </c>
      <c r="F2493">
        <v>594</v>
      </c>
      <c r="G2493">
        <v>439</v>
      </c>
      <c r="H2493" s="5" t="s">
        <v>22</v>
      </c>
      <c r="I2493" s="5">
        <v>0</v>
      </c>
      <c r="J2493" s="5">
        <v>0</v>
      </c>
      <c r="K2493" t="s">
        <v>9776</v>
      </c>
      <c r="L2493" cm="1">
        <f t="array" ref="L2493">wordCount(K2493)</f>
        <v>17</v>
      </c>
      <c r="M2493">
        <f t="shared" si="76"/>
        <v>101</v>
      </c>
      <c r="N2493">
        <v>0.5714285714285714</v>
      </c>
      <c r="O2493" s="23" cm="1">
        <f t="array" ref="O2493">WordListCount(K2493,keywords!$A$2:$A$31)-WordListCount(K2493,keywords!$B$2:$B$31)</f>
        <v>0</v>
      </c>
      <c r="P2493" s="25">
        <f t="shared" si="77"/>
        <v>0.83450231481481485</v>
      </c>
      <c r="Q2493" s="23">
        <f>SUM($O$2:O2493)</f>
        <v>66</v>
      </c>
      <c r="Y2493" s="14"/>
      <c r="Z2493" s="13"/>
      <c r="AA2493"/>
    </row>
    <row r="2494" spans="1:27" x14ac:dyDescent="0.2">
      <c r="A2494" s="12" t="s">
        <v>7598</v>
      </c>
      <c r="B2494" t="s">
        <v>7599</v>
      </c>
      <c r="C2494" t="s">
        <v>7600</v>
      </c>
      <c r="D2494" t="s">
        <v>12</v>
      </c>
      <c r="E2494" t="s">
        <v>13</v>
      </c>
      <c r="F2494">
        <v>62</v>
      </c>
      <c r="G2494">
        <v>130</v>
      </c>
      <c r="H2494" s="5" t="s">
        <v>22</v>
      </c>
      <c r="I2494" s="5">
        <v>0</v>
      </c>
      <c r="J2494" s="5">
        <v>0</v>
      </c>
      <c r="K2494" t="s">
        <v>11473</v>
      </c>
      <c r="L2494" cm="1">
        <f t="array" ref="L2494">wordCount(K2494)</f>
        <v>18</v>
      </c>
      <c r="M2494">
        <f t="shared" si="76"/>
        <v>94</v>
      </c>
      <c r="N2494">
        <v>0.61290322580645162</v>
      </c>
      <c r="O2494" s="23" cm="1">
        <f t="array" ref="O2494">WordListCount(K2494,keywords!$A$2:$A$31)-WordListCount(K2494,keywords!$B$2:$B$31)</f>
        <v>0</v>
      </c>
      <c r="P2494" s="25">
        <f t="shared" si="77"/>
        <v>0.83462962962962972</v>
      </c>
      <c r="Q2494" s="23">
        <f>SUM($O$2:O2494)</f>
        <v>66</v>
      </c>
      <c r="Y2494" s="14"/>
      <c r="Z2494" s="13"/>
      <c r="AA2494"/>
    </row>
    <row r="2495" spans="1:27" x14ac:dyDescent="0.2">
      <c r="A2495" s="12" t="s">
        <v>7601</v>
      </c>
      <c r="B2495" t="s">
        <v>7602</v>
      </c>
      <c r="C2495" t="s">
        <v>7603</v>
      </c>
      <c r="D2495" t="s">
        <v>7604</v>
      </c>
      <c r="E2495" t="s">
        <v>13</v>
      </c>
      <c r="F2495">
        <v>1554</v>
      </c>
      <c r="G2495">
        <v>390</v>
      </c>
      <c r="H2495" s="5" t="s">
        <v>22</v>
      </c>
      <c r="I2495" s="5">
        <v>0</v>
      </c>
      <c r="J2495" s="5">
        <v>0</v>
      </c>
      <c r="K2495" t="s">
        <v>11474</v>
      </c>
      <c r="L2495" cm="1">
        <f t="array" ref="L2495">wordCount(K2495)</f>
        <v>13</v>
      </c>
      <c r="M2495">
        <f t="shared" si="76"/>
        <v>66</v>
      </c>
      <c r="N2495">
        <v>0.46153846153846156</v>
      </c>
      <c r="O2495" s="23" cm="1">
        <f t="array" ref="O2495">WordListCount(K2495,keywords!$A$2:$A$31)-WordListCount(K2495,keywords!$B$2:$B$31)</f>
        <v>0</v>
      </c>
      <c r="P2495" s="25">
        <f t="shared" si="77"/>
        <v>0.83471064814814822</v>
      </c>
      <c r="Q2495" s="23">
        <f>SUM($O$2:O2495)</f>
        <v>66</v>
      </c>
      <c r="Y2495" s="14"/>
      <c r="Z2495" s="13"/>
      <c r="AA2495"/>
    </row>
    <row r="2496" spans="1:27" x14ac:dyDescent="0.2">
      <c r="A2496" s="12" t="s">
        <v>7605</v>
      </c>
      <c r="B2496" t="s">
        <v>7570</v>
      </c>
      <c r="C2496" t="s">
        <v>7606</v>
      </c>
      <c r="D2496" t="s">
        <v>7607</v>
      </c>
      <c r="E2496" t="s">
        <v>13</v>
      </c>
      <c r="F2496">
        <v>901</v>
      </c>
      <c r="G2496">
        <v>771</v>
      </c>
      <c r="H2496" s="5" t="s">
        <v>22</v>
      </c>
      <c r="I2496" s="5">
        <v>0</v>
      </c>
      <c r="J2496" s="5">
        <v>0</v>
      </c>
      <c r="K2496" t="s">
        <v>9771</v>
      </c>
      <c r="L2496" cm="1">
        <f t="array" ref="L2496">wordCount(K2496)</f>
        <v>8</v>
      </c>
      <c r="M2496">
        <f t="shared" si="76"/>
        <v>46</v>
      </c>
      <c r="N2496">
        <v>0.88888888888888884</v>
      </c>
      <c r="O2496" s="23" cm="1">
        <f t="array" ref="O2496">WordListCount(K2496,keywords!$A$2:$A$31)-WordListCount(K2496,keywords!$B$2:$B$31)</f>
        <v>0</v>
      </c>
      <c r="P2496" s="25">
        <f t="shared" si="77"/>
        <v>0.83472222222222225</v>
      </c>
      <c r="Q2496" s="23">
        <f>SUM($O$2:O2496)</f>
        <v>66</v>
      </c>
      <c r="Y2496" s="14"/>
      <c r="Z2496" s="13"/>
      <c r="AA2496"/>
    </row>
    <row r="2497" spans="1:27" x14ac:dyDescent="0.2">
      <c r="A2497" s="12" t="s">
        <v>7608</v>
      </c>
      <c r="B2497" t="s">
        <v>7609</v>
      </c>
      <c r="C2497" t="s">
        <v>7610</v>
      </c>
      <c r="D2497" t="s">
        <v>12</v>
      </c>
      <c r="E2497" t="s">
        <v>13</v>
      </c>
      <c r="F2497">
        <v>13402</v>
      </c>
      <c r="G2497">
        <v>4249</v>
      </c>
      <c r="H2497" s="5" t="s">
        <v>22</v>
      </c>
      <c r="I2497" s="5">
        <v>0</v>
      </c>
      <c r="J2497" s="5">
        <v>0</v>
      </c>
      <c r="K2497" t="s">
        <v>9777</v>
      </c>
      <c r="L2497" cm="1">
        <f t="array" ref="L2497">wordCount(K2497)</f>
        <v>17</v>
      </c>
      <c r="M2497">
        <f t="shared" si="76"/>
        <v>91</v>
      </c>
      <c r="N2497">
        <v>0.4642857142857143</v>
      </c>
      <c r="O2497" s="23" cm="1">
        <f t="array" ref="O2497">WordListCount(K2497,keywords!$A$2:$A$31)-WordListCount(K2497,keywords!$B$2:$B$31)</f>
        <v>0</v>
      </c>
      <c r="P2497" s="25">
        <f t="shared" si="77"/>
        <v>0.83474537037037033</v>
      </c>
      <c r="Q2497" s="23">
        <f>SUM($O$2:O2497)</f>
        <v>66</v>
      </c>
      <c r="Y2497" s="14"/>
      <c r="Z2497" s="13"/>
      <c r="AA2497"/>
    </row>
    <row r="2498" spans="1:27" x14ac:dyDescent="0.2">
      <c r="A2498" s="12" t="s">
        <v>7611</v>
      </c>
      <c r="B2498" t="s">
        <v>7570</v>
      </c>
      <c r="C2498" t="s">
        <v>7612</v>
      </c>
      <c r="D2498" t="s">
        <v>1967</v>
      </c>
      <c r="E2498" t="s">
        <v>13</v>
      </c>
      <c r="F2498">
        <v>34</v>
      </c>
      <c r="G2498">
        <v>49</v>
      </c>
      <c r="H2498" s="5" t="s">
        <v>22</v>
      </c>
      <c r="I2498" s="5">
        <v>0</v>
      </c>
      <c r="J2498" s="5">
        <v>0</v>
      </c>
      <c r="K2498" t="s">
        <v>9771</v>
      </c>
      <c r="L2498" cm="1">
        <f t="array" ref="L2498">wordCount(K2498)</f>
        <v>8</v>
      </c>
      <c r="M2498">
        <f t="shared" ref="M2498:M2561" si="78">LEN(K2498)</f>
        <v>46</v>
      </c>
      <c r="N2498">
        <v>0.88888888888888884</v>
      </c>
      <c r="O2498" s="23" cm="1">
        <f t="array" ref="O2498">WordListCount(K2498,keywords!$A$2:$A$31)-WordListCount(K2498,keywords!$B$2:$B$31)</f>
        <v>0</v>
      </c>
      <c r="P2498" s="25">
        <f t="shared" ref="P2498:P2561" si="79">TIMEVALUE(RIGHT(A2498,8))</f>
        <v>0.83478009259259256</v>
      </c>
      <c r="Q2498" s="23">
        <f>SUM($O$2:O2498)</f>
        <v>66</v>
      </c>
      <c r="Y2498" s="14"/>
      <c r="Z2498" s="13"/>
      <c r="AA2498"/>
    </row>
    <row r="2499" spans="1:27" x14ac:dyDescent="0.2">
      <c r="A2499" s="12" t="s">
        <v>7613</v>
      </c>
      <c r="B2499" t="s">
        <v>7614</v>
      </c>
      <c r="C2499" t="s">
        <v>7615</v>
      </c>
      <c r="D2499" t="s">
        <v>7616</v>
      </c>
      <c r="E2499" t="s">
        <v>13</v>
      </c>
      <c r="F2499">
        <v>14</v>
      </c>
      <c r="G2499">
        <v>71</v>
      </c>
      <c r="H2499" s="5" t="s">
        <v>22</v>
      </c>
      <c r="I2499" s="5">
        <v>0</v>
      </c>
      <c r="J2499" s="5">
        <v>0</v>
      </c>
      <c r="K2499" t="s">
        <v>11475</v>
      </c>
      <c r="L2499" cm="1">
        <f t="array" ref="L2499">wordCount(K2499)</f>
        <v>14</v>
      </c>
      <c r="M2499">
        <f t="shared" si="78"/>
        <v>79</v>
      </c>
      <c r="N2499">
        <v>0.26666666666666666</v>
      </c>
      <c r="O2499" s="23" cm="1">
        <f t="array" ref="O2499">WordListCount(K2499,keywords!$A$2:$A$31)-WordListCount(K2499,keywords!$B$2:$B$31)</f>
        <v>0</v>
      </c>
      <c r="P2499" s="25">
        <f t="shared" si="79"/>
        <v>0.83481481481481479</v>
      </c>
      <c r="Q2499" s="23">
        <f>SUM($O$2:O2499)</f>
        <v>66</v>
      </c>
      <c r="Y2499" s="14"/>
      <c r="Z2499" s="13"/>
      <c r="AA2499"/>
    </row>
    <row r="2500" spans="1:27" x14ac:dyDescent="0.2">
      <c r="A2500" s="12" t="s">
        <v>7617</v>
      </c>
      <c r="B2500" t="s">
        <v>7618</v>
      </c>
      <c r="C2500" t="s">
        <v>21</v>
      </c>
      <c r="D2500" t="s">
        <v>12</v>
      </c>
      <c r="E2500" t="s">
        <v>13</v>
      </c>
      <c r="F2500">
        <v>44</v>
      </c>
      <c r="G2500">
        <v>9</v>
      </c>
      <c r="H2500" s="5" t="s">
        <v>22</v>
      </c>
      <c r="I2500" s="5">
        <v>0</v>
      </c>
      <c r="J2500" s="5">
        <v>0</v>
      </c>
      <c r="K2500" t="s">
        <v>9778</v>
      </c>
      <c r="L2500" cm="1">
        <f t="array" ref="L2500">wordCount(K2500)</f>
        <v>5</v>
      </c>
      <c r="M2500">
        <f t="shared" si="78"/>
        <v>28</v>
      </c>
      <c r="N2500">
        <v>0.875</v>
      </c>
      <c r="O2500" s="23" cm="1">
        <f t="array" ref="O2500">WordListCount(K2500,keywords!$A$2:$A$31)-WordListCount(K2500,keywords!$B$2:$B$31)</f>
        <v>0</v>
      </c>
      <c r="P2500" s="25">
        <f t="shared" si="79"/>
        <v>0.83486111111111105</v>
      </c>
      <c r="Q2500" s="23">
        <f>SUM($O$2:O2500)</f>
        <v>66</v>
      </c>
      <c r="Y2500" s="14"/>
      <c r="Z2500" s="13"/>
      <c r="AA2500"/>
    </row>
    <row r="2501" spans="1:27" x14ac:dyDescent="0.2">
      <c r="A2501" s="12" t="s">
        <v>7619</v>
      </c>
      <c r="B2501" t="s">
        <v>7620</v>
      </c>
      <c r="C2501" t="s">
        <v>657</v>
      </c>
      <c r="D2501" t="s">
        <v>658</v>
      </c>
      <c r="E2501" t="s">
        <v>13</v>
      </c>
      <c r="F2501">
        <v>3563</v>
      </c>
      <c r="G2501">
        <v>88</v>
      </c>
      <c r="H2501" s="5" t="s">
        <v>22</v>
      </c>
      <c r="I2501" s="5">
        <v>0</v>
      </c>
      <c r="J2501" s="5">
        <v>0</v>
      </c>
      <c r="K2501" t="s">
        <v>11476</v>
      </c>
      <c r="L2501" cm="1">
        <f t="array" ref="L2501">wordCount(K2501)</f>
        <v>13</v>
      </c>
      <c r="M2501">
        <f t="shared" si="78"/>
        <v>64</v>
      </c>
      <c r="N2501">
        <v>0.5</v>
      </c>
      <c r="O2501" s="23" cm="1">
        <f t="array" ref="O2501">WordListCount(K2501,keywords!$A$2:$A$31)-WordListCount(K2501,keywords!$B$2:$B$31)</f>
        <v>1</v>
      </c>
      <c r="P2501" s="25">
        <f t="shared" si="79"/>
        <v>0.83488425925925924</v>
      </c>
      <c r="Q2501" s="23">
        <f>SUM($O$2:O2501)</f>
        <v>67</v>
      </c>
      <c r="Y2501" s="14"/>
      <c r="Z2501" s="13"/>
      <c r="AA2501"/>
    </row>
    <row r="2502" spans="1:27" x14ac:dyDescent="0.2">
      <c r="A2502" s="12" t="s">
        <v>7621</v>
      </c>
      <c r="B2502" t="s">
        <v>7622</v>
      </c>
      <c r="C2502" t="s">
        <v>7623</v>
      </c>
      <c r="D2502" t="s">
        <v>7624</v>
      </c>
      <c r="E2502" t="s">
        <v>13</v>
      </c>
      <c r="F2502">
        <v>332</v>
      </c>
      <c r="G2502">
        <v>332</v>
      </c>
      <c r="H2502" s="5" t="s">
        <v>22</v>
      </c>
      <c r="I2502" s="5">
        <v>0</v>
      </c>
      <c r="J2502" s="5">
        <v>0</v>
      </c>
      <c r="K2502" t="s">
        <v>9779</v>
      </c>
      <c r="L2502" cm="1">
        <f t="array" ref="L2502">wordCount(K2502)</f>
        <v>5</v>
      </c>
      <c r="M2502">
        <f t="shared" si="78"/>
        <v>30</v>
      </c>
      <c r="N2502">
        <v>0.75</v>
      </c>
      <c r="O2502" s="23" cm="1">
        <f t="array" ref="O2502">WordListCount(K2502,keywords!$A$2:$A$31)-WordListCount(K2502,keywords!$B$2:$B$31)</f>
        <v>0</v>
      </c>
      <c r="P2502" s="25">
        <f t="shared" si="79"/>
        <v>0.8349537037037037</v>
      </c>
      <c r="Q2502" s="23">
        <f>SUM($O$2:O2502)</f>
        <v>67</v>
      </c>
      <c r="Y2502" s="14"/>
      <c r="Z2502" s="13"/>
      <c r="AA2502"/>
    </row>
    <row r="2503" spans="1:27" x14ac:dyDescent="0.2">
      <c r="A2503" s="12" t="s">
        <v>7625</v>
      </c>
      <c r="B2503" t="s">
        <v>7626</v>
      </c>
      <c r="C2503" t="s">
        <v>675</v>
      </c>
      <c r="D2503" t="s">
        <v>676</v>
      </c>
      <c r="E2503" t="s">
        <v>13</v>
      </c>
      <c r="F2503">
        <v>3258</v>
      </c>
      <c r="G2503">
        <v>2</v>
      </c>
      <c r="H2503" s="5" t="s">
        <v>677</v>
      </c>
      <c r="I2503" s="5">
        <v>0</v>
      </c>
      <c r="J2503" s="5">
        <v>0</v>
      </c>
      <c r="K2503" t="s">
        <v>11477</v>
      </c>
      <c r="L2503" cm="1">
        <f t="array" ref="L2503">wordCount(K2503)</f>
        <v>12</v>
      </c>
      <c r="M2503">
        <f t="shared" si="78"/>
        <v>82</v>
      </c>
      <c r="N2503">
        <v>0.72222222222222221</v>
      </c>
      <c r="O2503" s="23" cm="1">
        <f t="array" ref="O2503">WordListCount(K2503,keywords!$A$2:$A$31)-WordListCount(K2503,keywords!$B$2:$B$31)</f>
        <v>0</v>
      </c>
      <c r="P2503" s="25">
        <f t="shared" si="79"/>
        <v>0.83501157407407411</v>
      </c>
      <c r="Q2503" s="23">
        <f>SUM($O$2:O2503)</f>
        <v>67</v>
      </c>
      <c r="Y2503" s="14"/>
      <c r="Z2503" s="13"/>
      <c r="AA2503"/>
    </row>
    <row r="2504" spans="1:27" x14ac:dyDescent="0.2">
      <c r="A2504" s="12" t="s">
        <v>7627</v>
      </c>
      <c r="B2504" t="s">
        <v>7568</v>
      </c>
      <c r="C2504" t="s">
        <v>7628</v>
      </c>
      <c r="D2504" t="s">
        <v>12</v>
      </c>
      <c r="E2504" t="s">
        <v>13</v>
      </c>
      <c r="F2504">
        <v>69</v>
      </c>
      <c r="G2504">
        <v>82</v>
      </c>
      <c r="H2504" s="5" t="s">
        <v>22</v>
      </c>
      <c r="I2504" s="5">
        <v>0</v>
      </c>
      <c r="J2504" s="5">
        <v>0</v>
      </c>
      <c r="K2504" t="s">
        <v>9770</v>
      </c>
      <c r="L2504" cm="1">
        <f t="array" ref="L2504">wordCount(K2504)</f>
        <v>6</v>
      </c>
      <c r="M2504">
        <f t="shared" si="78"/>
        <v>36</v>
      </c>
      <c r="N2504">
        <v>0.8571428571428571</v>
      </c>
      <c r="O2504" s="23" cm="1">
        <f t="array" ref="O2504">WordListCount(K2504,keywords!$A$2:$A$31)-WordListCount(K2504,keywords!$B$2:$B$31)</f>
        <v>0</v>
      </c>
      <c r="P2504" s="25">
        <f t="shared" si="79"/>
        <v>0.83504629629629623</v>
      </c>
      <c r="Q2504" s="23">
        <f>SUM($O$2:O2504)</f>
        <v>67</v>
      </c>
      <c r="Y2504" s="14"/>
      <c r="Z2504" s="13"/>
      <c r="AA2504"/>
    </row>
    <row r="2505" spans="1:27" x14ac:dyDescent="0.2">
      <c r="A2505" s="12" t="s">
        <v>7629</v>
      </c>
      <c r="B2505" t="s">
        <v>7630</v>
      </c>
      <c r="C2505" t="s">
        <v>7631</v>
      </c>
      <c r="D2505" t="s">
        <v>516</v>
      </c>
      <c r="E2505" t="s">
        <v>13</v>
      </c>
      <c r="F2505">
        <v>286</v>
      </c>
      <c r="G2505">
        <v>354</v>
      </c>
      <c r="H2505" s="5" t="s">
        <v>22</v>
      </c>
      <c r="I2505" s="5">
        <v>0</v>
      </c>
      <c r="J2505" s="5">
        <v>0</v>
      </c>
      <c r="K2505" t="s">
        <v>11478</v>
      </c>
      <c r="L2505" cm="1">
        <f t="array" ref="L2505">wordCount(K2505)</f>
        <v>17</v>
      </c>
      <c r="M2505">
        <f t="shared" si="78"/>
        <v>72</v>
      </c>
      <c r="N2505">
        <v>0.7142857142857143</v>
      </c>
      <c r="O2505" s="23" cm="1">
        <f t="array" ref="O2505">WordListCount(K2505,keywords!$A$2:$A$31)-WordListCount(K2505,keywords!$B$2:$B$31)</f>
        <v>0</v>
      </c>
      <c r="P2505" s="25">
        <f t="shared" si="79"/>
        <v>0.83508101851851846</v>
      </c>
      <c r="Q2505" s="23">
        <f>SUM($O$2:O2505)</f>
        <v>67</v>
      </c>
      <c r="Y2505" s="14"/>
      <c r="Z2505" s="13"/>
      <c r="AA2505"/>
    </row>
    <row r="2506" spans="1:27" x14ac:dyDescent="0.2">
      <c r="A2506" s="12" t="s">
        <v>7632</v>
      </c>
      <c r="B2506" t="s">
        <v>7633</v>
      </c>
      <c r="C2506" t="s">
        <v>7634</v>
      </c>
      <c r="D2506" t="s">
        <v>7635</v>
      </c>
      <c r="E2506" t="s">
        <v>13</v>
      </c>
      <c r="F2506">
        <v>469</v>
      </c>
      <c r="G2506">
        <v>17</v>
      </c>
      <c r="H2506" s="5" t="s">
        <v>22</v>
      </c>
      <c r="I2506" s="5">
        <v>0</v>
      </c>
      <c r="J2506" s="5">
        <v>0</v>
      </c>
      <c r="K2506" t="s">
        <v>11479</v>
      </c>
      <c r="L2506" cm="1">
        <f t="array" ref="L2506">wordCount(K2506)</f>
        <v>21</v>
      </c>
      <c r="M2506">
        <f t="shared" si="78"/>
        <v>92</v>
      </c>
      <c r="N2506">
        <v>0.36842105263157893</v>
      </c>
      <c r="O2506" s="23" cm="1">
        <f t="array" ref="O2506">WordListCount(K2506,keywords!$A$2:$A$31)-WordListCount(K2506,keywords!$B$2:$B$31)</f>
        <v>0</v>
      </c>
      <c r="P2506" s="25">
        <f t="shared" si="79"/>
        <v>0.83531250000000001</v>
      </c>
      <c r="Q2506" s="23">
        <f>SUM($O$2:O2506)</f>
        <v>67</v>
      </c>
      <c r="Y2506" s="14"/>
      <c r="Z2506" s="13"/>
      <c r="AA2506"/>
    </row>
    <row r="2507" spans="1:27" x14ac:dyDescent="0.2">
      <c r="A2507" s="12" t="s">
        <v>7636</v>
      </c>
      <c r="B2507" t="s">
        <v>7637</v>
      </c>
      <c r="C2507" t="s">
        <v>4946</v>
      </c>
      <c r="D2507" t="s">
        <v>1383</v>
      </c>
      <c r="E2507" t="s">
        <v>13</v>
      </c>
      <c r="F2507">
        <v>2590</v>
      </c>
      <c r="G2507">
        <v>1707</v>
      </c>
      <c r="H2507" s="5" t="s">
        <v>22</v>
      </c>
      <c r="I2507" s="5">
        <v>0</v>
      </c>
      <c r="J2507" s="5">
        <v>0</v>
      </c>
      <c r="K2507" t="s">
        <v>9780</v>
      </c>
      <c r="L2507" cm="1">
        <f t="array" ref="L2507">wordCount(K2507)</f>
        <v>7</v>
      </c>
      <c r="M2507">
        <f t="shared" si="78"/>
        <v>40</v>
      </c>
      <c r="N2507">
        <v>0.83333333333333337</v>
      </c>
      <c r="O2507" s="23" cm="1">
        <f t="array" ref="O2507">WordListCount(K2507,keywords!$A$2:$A$31)-WordListCount(K2507,keywords!$B$2:$B$31)</f>
        <v>0</v>
      </c>
      <c r="P2507" s="25">
        <f t="shared" si="79"/>
        <v>0.83548611111111104</v>
      </c>
      <c r="Q2507" s="23">
        <f>SUM($O$2:O2507)</f>
        <v>67</v>
      </c>
      <c r="Y2507" s="14"/>
      <c r="Z2507" s="13"/>
      <c r="AA2507"/>
    </row>
    <row r="2508" spans="1:27" x14ac:dyDescent="0.2">
      <c r="A2508" s="12" t="s">
        <v>7636</v>
      </c>
      <c r="B2508" t="s">
        <v>7638</v>
      </c>
      <c r="C2508" t="s">
        <v>4927</v>
      </c>
      <c r="D2508" t="s">
        <v>12</v>
      </c>
      <c r="E2508" t="s">
        <v>13</v>
      </c>
      <c r="F2508">
        <v>12</v>
      </c>
      <c r="G2508">
        <v>5</v>
      </c>
      <c r="H2508" s="5" t="s">
        <v>42</v>
      </c>
      <c r="I2508" s="5">
        <v>0</v>
      </c>
      <c r="J2508" s="5">
        <v>0</v>
      </c>
      <c r="K2508" t="s">
        <v>9906</v>
      </c>
      <c r="L2508" cm="1">
        <f t="array" ref="L2508">wordCount(K2508)</f>
        <v>12</v>
      </c>
      <c r="M2508">
        <f t="shared" si="78"/>
        <v>74</v>
      </c>
      <c r="N2508">
        <v>0.92307692307692313</v>
      </c>
      <c r="O2508" s="23" cm="1">
        <f t="array" ref="O2508">WordListCount(K2508,keywords!$A$2:$A$31)-WordListCount(K2508,keywords!$B$2:$B$31)</f>
        <v>0</v>
      </c>
      <c r="P2508" s="25">
        <f t="shared" si="79"/>
        <v>0.83548611111111104</v>
      </c>
      <c r="Q2508" s="23">
        <f>SUM($O$2:O2508)</f>
        <v>67</v>
      </c>
      <c r="Y2508" s="14"/>
      <c r="Z2508" s="13"/>
      <c r="AA2508"/>
    </row>
    <row r="2509" spans="1:27" x14ac:dyDescent="0.2">
      <c r="A2509" s="12" t="s">
        <v>7639</v>
      </c>
      <c r="B2509" t="s">
        <v>7640</v>
      </c>
      <c r="C2509" t="s">
        <v>7634</v>
      </c>
      <c r="D2509" t="s">
        <v>7635</v>
      </c>
      <c r="E2509" t="s">
        <v>13</v>
      </c>
      <c r="F2509">
        <v>469</v>
      </c>
      <c r="G2509">
        <v>17</v>
      </c>
      <c r="H2509" s="5" t="s">
        <v>22</v>
      </c>
      <c r="I2509" s="5">
        <v>0</v>
      </c>
      <c r="J2509" s="5">
        <v>0</v>
      </c>
      <c r="K2509" t="s">
        <v>11480</v>
      </c>
      <c r="L2509" cm="1">
        <f t="array" ref="L2509">wordCount(K2509)</f>
        <v>18</v>
      </c>
      <c r="M2509">
        <f t="shared" si="78"/>
        <v>86</v>
      </c>
      <c r="N2509">
        <v>0.25</v>
      </c>
      <c r="O2509" s="23" cm="1">
        <f t="array" ref="O2509">WordListCount(K2509,keywords!$A$2:$A$31)-WordListCount(K2509,keywords!$B$2:$B$31)</f>
        <v>0</v>
      </c>
      <c r="P2509" s="25">
        <f t="shared" si="79"/>
        <v>0.83554398148148146</v>
      </c>
      <c r="Q2509" s="23">
        <f>SUM($O$2:O2509)</f>
        <v>67</v>
      </c>
      <c r="Y2509" s="14"/>
      <c r="Z2509" s="13"/>
      <c r="AA2509"/>
    </row>
    <row r="2510" spans="1:27" x14ac:dyDescent="0.2">
      <c r="A2510" s="12" t="s">
        <v>7641</v>
      </c>
      <c r="B2510" t="s">
        <v>7642</v>
      </c>
      <c r="C2510" t="s">
        <v>634</v>
      </c>
      <c r="D2510" t="s">
        <v>635</v>
      </c>
      <c r="E2510" t="s">
        <v>13</v>
      </c>
      <c r="F2510">
        <v>2134</v>
      </c>
      <c r="G2510">
        <v>4158</v>
      </c>
      <c r="H2510" s="5" t="s">
        <v>22</v>
      </c>
      <c r="I2510" s="5">
        <v>0</v>
      </c>
      <c r="J2510" s="5">
        <v>0</v>
      </c>
      <c r="K2510" t="s">
        <v>9781</v>
      </c>
      <c r="L2510" cm="1">
        <f t="array" ref="L2510">wordCount(K2510)</f>
        <v>21</v>
      </c>
      <c r="M2510">
        <f t="shared" si="78"/>
        <v>102</v>
      </c>
      <c r="N2510">
        <v>0.66666666666666663</v>
      </c>
      <c r="O2510" s="23" cm="1">
        <f t="array" ref="O2510">WordListCount(K2510,keywords!$A$2:$A$31)-WordListCount(K2510,keywords!$B$2:$B$31)</f>
        <v>2</v>
      </c>
      <c r="P2510" s="25">
        <f t="shared" si="79"/>
        <v>0.83561342592592591</v>
      </c>
      <c r="Q2510" s="23">
        <f>SUM($O$2:O2510)</f>
        <v>69</v>
      </c>
      <c r="Y2510" s="14"/>
      <c r="Z2510" s="13"/>
      <c r="AA2510"/>
    </row>
    <row r="2511" spans="1:27" x14ac:dyDescent="0.2">
      <c r="A2511" s="12" t="s">
        <v>7643</v>
      </c>
      <c r="B2511" t="s">
        <v>7644</v>
      </c>
      <c r="C2511" t="s">
        <v>7645</v>
      </c>
      <c r="D2511" t="s">
        <v>12</v>
      </c>
      <c r="E2511" t="s">
        <v>13</v>
      </c>
      <c r="F2511">
        <v>1</v>
      </c>
      <c r="G2511">
        <v>21</v>
      </c>
      <c r="H2511" s="5" t="s">
        <v>22</v>
      </c>
      <c r="I2511" s="5">
        <v>0</v>
      </c>
      <c r="J2511" s="5">
        <v>0</v>
      </c>
      <c r="K2511" t="s">
        <v>9782</v>
      </c>
      <c r="L2511" cm="1">
        <f t="array" ref="L2511">wordCount(K2511)</f>
        <v>9</v>
      </c>
      <c r="M2511">
        <f t="shared" si="78"/>
        <v>50</v>
      </c>
      <c r="N2511">
        <v>0.66666666666666663</v>
      </c>
      <c r="O2511" s="23" cm="1">
        <f t="array" ref="O2511">WordListCount(K2511,keywords!$A$2:$A$31)-WordListCount(K2511,keywords!$B$2:$B$31)</f>
        <v>0</v>
      </c>
      <c r="P2511" s="25">
        <f t="shared" si="79"/>
        <v>0.83618055555555548</v>
      </c>
      <c r="Q2511" s="23">
        <f>SUM($O$2:O2511)</f>
        <v>69</v>
      </c>
      <c r="Y2511" s="14"/>
      <c r="Z2511" s="13"/>
      <c r="AA2511"/>
    </row>
    <row r="2512" spans="1:27" x14ac:dyDescent="0.2">
      <c r="A2512" s="12" t="s">
        <v>7646</v>
      </c>
      <c r="B2512" t="s">
        <v>7647</v>
      </c>
      <c r="C2512" t="s">
        <v>7648</v>
      </c>
      <c r="D2512" t="s">
        <v>7649</v>
      </c>
      <c r="E2512" t="s">
        <v>13</v>
      </c>
      <c r="F2512">
        <v>140</v>
      </c>
      <c r="G2512">
        <v>438</v>
      </c>
      <c r="H2512" s="5" t="s">
        <v>22</v>
      </c>
      <c r="I2512" s="5">
        <v>0</v>
      </c>
      <c r="J2512" s="5">
        <v>0</v>
      </c>
      <c r="K2512" t="s">
        <v>9783</v>
      </c>
      <c r="L2512" cm="1">
        <f t="array" ref="L2512">wordCount(K2512)</f>
        <v>11</v>
      </c>
      <c r="M2512">
        <f t="shared" si="78"/>
        <v>57</v>
      </c>
      <c r="N2512">
        <v>0.52631578947368418</v>
      </c>
      <c r="O2512" s="23" cm="1">
        <f t="array" ref="O2512">WordListCount(K2512,keywords!$A$2:$A$31)-WordListCount(K2512,keywords!$B$2:$B$31)</f>
        <v>0</v>
      </c>
      <c r="P2512" s="25">
        <f t="shared" si="79"/>
        <v>0.83627314814814813</v>
      </c>
      <c r="Q2512" s="23">
        <f>SUM($O$2:O2512)</f>
        <v>69</v>
      </c>
      <c r="Y2512" s="14"/>
      <c r="Z2512" s="13"/>
      <c r="AA2512"/>
    </row>
    <row r="2513" spans="1:27" x14ac:dyDescent="0.2">
      <c r="A2513" s="12" t="s">
        <v>7650</v>
      </c>
      <c r="B2513" t="s">
        <v>7651</v>
      </c>
      <c r="C2513" t="s">
        <v>7652</v>
      </c>
      <c r="D2513" t="s">
        <v>12</v>
      </c>
      <c r="E2513" t="s">
        <v>13</v>
      </c>
      <c r="F2513">
        <v>35</v>
      </c>
      <c r="G2513">
        <v>52</v>
      </c>
      <c r="H2513" s="5" t="s">
        <v>22</v>
      </c>
      <c r="I2513" s="5">
        <v>0</v>
      </c>
      <c r="J2513" s="5">
        <v>0</v>
      </c>
      <c r="K2513" t="s">
        <v>11481</v>
      </c>
      <c r="L2513" cm="1">
        <f t="array" ref="L2513">wordCount(K2513)</f>
        <v>12</v>
      </c>
      <c r="M2513">
        <f t="shared" si="78"/>
        <v>49</v>
      </c>
      <c r="N2513">
        <v>0.7857142857142857</v>
      </c>
      <c r="O2513" s="23" cm="1">
        <f t="array" ref="O2513">WordListCount(K2513,keywords!$A$2:$A$31)-WordListCount(K2513,keywords!$B$2:$B$31)</f>
        <v>1</v>
      </c>
      <c r="P2513" s="25">
        <f t="shared" si="79"/>
        <v>0.83629629629629632</v>
      </c>
      <c r="Q2513" s="23">
        <f>SUM($O$2:O2513)</f>
        <v>70</v>
      </c>
      <c r="Y2513" s="14"/>
      <c r="Z2513" s="13"/>
      <c r="AA2513"/>
    </row>
    <row r="2514" spans="1:27" x14ac:dyDescent="0.2">
      <c r="A2514" s="12" t="s">
        <v>7653</v>
      </c>
      <c r="B2514" t="s">
        <v>7654</v>
      </c>
      <c r="C2514" t="s">
        <v>73</v>
      </c>
      <c r="D2514" t="s">
        <v>74</v>
      </c>
      <c r="E2514" t="s">
        <v>13</v>
      </c>
      <c r="F2514">
        <v>87</v>
      </c>
      <c r="G2514">
        <v>237</v>
      </c>
      <c r="H2514" s="5" t="s">
        <v>22</v>
      </c>
      <c r="I2514" s="5">
        <v>0</v>
      </c>
      <c r="J2514" s="5">
        <v>0</v>
      </c>
      <c r="K2514" t="s">
        <v>9663</v>
      </c>
      <c r="L2514" cm="1">
        <f t="array" ref="L2514">wordCount(K2514)</f>
        <v>7</v>
      </c>
      <c r="M2514">
        <f t="shared" si="78"/>
        <v>37</v>
      </c>
      <c r="N2514">
        <v>1</v>
      </c>
      <c r="O2514" s="23" cm="1">
        <f t="array" ref="O2514">WordListCount(K2514,keywords!$A$2:$A$31)-WordListCount(K2514,keywords!$B$2:$B$31)</f>
        <v>0</v>
      </c>
      <c r="P2514" s="25">
        <f t="shared" si="79"/>
        <v>0.83630787037037047</v>
      </c>
      <c r="Q2514" s="23">
        <f>SUM($O$2:O2514)</f>
        <v>70</v>
      </c>
      <c r="Y2514" s="14"/>
      <c r="Z2514" s="13"/>
      <c r="AA2514"/>
    </row>
    <row r="2515" spans="1:27" x14ac:dyDescent="0.2">
      <c r="A2515" s="12" t="s">
        <v>7655</v>
      </c>
      <c r="B2515" t="s">
        <v>7656</v>
      </c>
      <c r="C2515" t="s">
        <v>7657</v>
      </c>
      <c r="D2515" t="s">
        <v>7658</v>
      </c>
      <c r="E2515" t="s">
        <v>13</v>
      </c>
      <c r="F2515">
        <v>450</v>
      </c>
      <c r="G2515">
        <v>1820</v>
      </c>
      <c r="H2515" s="5" t="s">
        <v>125</v>
      </c>
      <c r="I2515" s="5">
        <v>0</v>
      </c>
      <c r="J2515" s="5">
        <v>0</v>
      </c>
      <c r="K2515" t="s">
        <v>9784</v>
      </c>
      <c r="L2515" cm="1">
        <f t="array" ref="L2515">wordCount(K2515)</f>
        <v>8</v>
      </c>
      <c r="M2515">
        <f t="shared" si="78"/>
        <v>49</v>
      </c>
      <c r="N2515">
        <v>0.66666666666666663</v>
      </c>
      <c r="O2515" s="23" cm="1">
        <f t="array" ref="O2515">WordListCount(K2515,keywords!$A$2:$A$31)-WordListCount(K2515,keywords!$B$2:$B$31)</f>
        <v>0</v>
      </c>
      <c r="P2515" s="25">
        <f t="shared" si="79"/>
        <v>0.83631944444444439</v>
      </c>
      <c r="Q2515" s="23">
        <f>SUM($O$2:O2515)</f>
        <v>70</v>
      </c>
      <c r="Y2515" s="14"/>
      <c r="Z2515" s="13"/>
      <c r="AA2515"/>
    </row>
    <row r="2516" spans="1:27" x14ac:dyDescent="0.2">
      <c r="A2516" s="12" t="s">
        <v>7659</v>
      </c>
      <c r="B2516" t="s">
        <v>7660</v>
      </c>
      <c r="C2516" t="s">
        <v>1355</v>
      </c>
      <c r="D2516" t="s">
        <v>1356</v>
      </c>
      <c r="E2516" t="s">
        <v>13</v>
      </c>
      <c r="F2516">
        <v>64</v>
      </c>
      <c r="G2516">
        <v>34</v>
      </c>
      <c r="H2516" s="5" t="s">
        <v>382</v>
      </c>
      <c r="I2516" s="5">
        <v>0</v>
      </c>
      <c r="J2516" s="5">
        <v>0</v>
      </c>
      <c r="K2516" t="s">
        <v>9785</v>
      </c>
      <c r="L2516" cm="1">
        <f t="array" ref="L2516">wordCount(K2516)</f>
        <v>3</v>
      </c>
      <c r="M2516">
        <f t="shared" si="78"/>
        <v>17</v>
      </c>
      <c r="N2516">
        <v>0.6</v>
      </c>
      <c r="O2516" s="23" cm="1">
        <f t="array" ref="O2516">WordListCount(K2516,keywords!$A$2:$A$31)-WordListCount(K2516,keywords!$B$2:$B$31)</f>
        <v>0</v>
      </c>
      <c r="P2516" s="25">
        <f t="shared" si="79"/>
        <v>0.83642361111111108</v>
      </c>
      <c r="Q2516" s="23">
        <f>SUM($O$2:O2516)</f>
        <v>70</v>
      </c>
      <c r="Y2516" s="14"/>
      <c r="Z2516" s="13"/>
      <c r="AA2516"/>
    </row>
    <row r="2517" spans="1:27" x14ac:dyDescent="0.2">
      <c r="A2517" s="12" t="s">
        <v>7661</v>
      </c>
      <c r="B2517" t="s">
        <v>7662</v>
      </c>
      <c r="C2517" t="s">
        <v>5841</v>
      </c>
      <c r="D2517" t="s">
        <v>12</v>
      </c>
      <c r="E2517" t="s">
        <v>13</v>
      </c>
      <c r="F2517">
        <v>15</v>
      </c>
      <c r="G2517">
        <v>0</v>
      </c>
      <c r="H2517" s="5" t="s">
        <v>42</v>
      </c>
      <c r="I2517" s="5">
        <v>0</v>
      </c>
      <c r="J2517" s="5">
        <v>0</v>
      </c>
      <c r="K2517" t="s">
        <v>11482</v>
      </c>
      <c r="L2517" cm="1">
        <f t="array" ref="L2517">wordCount(K2517)</f>
        <v>10</v>
      </c>
      <c r="M2517">
        <f t="shared" si="78"/>
        <v>56</v>
      </c>
      <c r="N2517">
        <v>0.6</v>
      </c>
      <c r="O2517" s="23" cm="1">
        <f t="array" ref="O2517">WordListCount(K2517,keywords!$A$2:$A$31)-WordListCount(K2517,keywords!$B$2:$B$31)</f>
        <v>0</v>
      </c>
      <c r="P2517" s="25">
        <f t="shared" si="79"/>
        <v>0.83658564814814806</v>
      </c>
      <c r="Q2517" s="23">
        <f>SUM($O$2:O2517)</f>
        <v>70</v>
      </c>
      <c r="Y2517" s="14"/>
      <c r="Z2517" s="13"/>
      <c r="AA2517"/>
    </row>
    <row r="2518" spans="1:27" x14ac:dyDescent="0.2">
      <c r="A2518" s="12" t="s">
        <v>7663</v>
      </c>
      <c r="B2518" t="s">
        <v>7664</v>
      </c>
      <c r="C2518" t="s">
        <v>7665</v>
      </c>
      <c r="D2518" t="s">
        <v>12</v>
      </c>
      <c r="E2518" t="s">
        <v>13</v>
      </c>
      <c r="F2518">
        <v>54</v>
      </c>
      <c r="G2518">
        <v>147</v>
      </c>
      <c r="H2518" s="5" t="s">
        <v>22</v>
      </c>
      <c r="I2518" s="5">
        <v>0</v>
      </c>
      <c r="J2518" s="5">
        <v>0</v>
      </c>
      <c r="K2518" t="s">
        <v>11483</v>
      </c>
      <c r="L2518" cm="1">
        <f t="array" ref="L2518">wordCount(K2518)</f>
        <v>11</v>
      </c>
      <c r="M2518">
        <f t="shared" si="78"/>
        <v>63</v>
      </c>
      <c r="N2518">
        <v>0.61904761904761907</v>
      </c>
      <c r="O2518" s="23" cm="1">
        <f t="array" ref="O2518">WordListCount(K2518,keywords!$A$2:$A$31)-WordListCount(K2518,keywords!$B$2:$B$31)</f>
        <v>0</v>
      </c>
      <c r="P2518" s="25">
        <f t="shared" si="79"/>
        <v>0.83660879629629636</v>
      </c>
      <c r="Q2518" s="23">
        <f>SUM($O$2:O2518)</f>
        <v>70</v>
      </c>
      <c r="Y2518" s="14"/>
      <c r="Z2518" s="13"/>
      <c r="AA2518"/>
    </row>
    <row r="2519" spans="1:27" x14ac:dyDescent="0.2">
      <c r="A2519" s="12" t="s">
        <v>7663</v>
      </c>
      <c r="B2519" t="s">
        <v>7666</v>
      </c>
      <c r="C2519" t="s">
        <v>7667</v>
      </c>
      <c r="D2519" t="s">
        <v>12</v>
      </c>
      <c r="E2519" t="s">
        <v>13</v>
      </c>
      <c r="F2519">
        <v>50</v>
      </c>
      <c r="G2519">
        <v>242</v>
      </c>
      <c r="H2519" s="5" t="s">
        <v>22</v>
      </c>
      <c r="I2519" s="5">
        <v>0</v>
      </c>
      <c r="J2519" s="5">
        <v>0</v>
      </c>
      <c r="K2519" t="s">
        <v>9786</v>
      </c>
      <c r="L2519" cm="1">
        <f t="array" ref="L2519">wordCount(K2519)</f>
        <v>9</v>
      </c>
      <c r="M2519">
        <f t="shared" si="78"/>
        <v>40</v>
      </c>
      <c r="N2519">
        <v>0.53846153846153844</v>
      </c>
      <c r="O2519" s="23" cm="1">
        <f t="array" ref="O2519">WordListCount(K2519,keywords!$A$2:$A$31)-WordListCount(K2519,keywords!$B$2:$B$31)</f>
        <v>0</v>
      </c>
      <c r="P2519" s="25">
        <f t="shared" si="79"/>
        <v>0.83660879629629636</v>
      </c>
      <c r="Q2519" s="23">
        <f>SUM($O$2:O2519)</f>
        <v>70</v>
      </c>
      <c r="Y2519" s="14"/>
      <c r="Z2519" s="13"/>
      <c r="AA2519"/>
    </row>
    <row r="2520" spans="1:27" x14ac:dyDescent="0.2">
      <c r="A2520" s="12" t="s">
        <v>7668</v>
      </c>
      <c r="B2520" t="s">
        <v>7609</v>
      </c>
      <c r="C2520" t="s">
        <v>651</v>
      </c>
      <c r="D2520" t="s">
        <v>652</v>
      </c>
      <c r="E2520" t="s">
        <v>13</v>
      </c>
      <c r="F2520">
        <v>13402</v>
      </c>
      <c r="G2520">
        <v>13241</v>
      </c>
      <c r="H2520" s="5" t="s">
        <v>22</v>
      </c>
      <c r="I2520" s="5">
        <v>0</v>
      </c>
      <c r="J2520" s="5">
        <v>0</v>
      </c>
      <c r="K2520" t="s">
        <v>9777</v>
      </c>
      <c r="L2520" cm="1">
        <f t="array" ref="L2520">wordCount(K2520)</f>
        <v>17</v>
      </c>
      <c r="M2520">
        <f t="shared" si="78"/>
        <v>91</v>
      </c>
      <c r="N2520">
        <v>0.94444444444444442</v>
      </c>
      <c r="O2520" s="23" cm="1">
        <f t="array" ref="O2520">WordListCount(K2520,keywords!$A$2:$A$31)-WordListCount(K2520,keywords!$B$2:$B$31)</f>
        <v>0</v>
      </c>
      <c r="P2520" s="25">
        <f t="shared" si="79"/>
        <v>0.83699074074074076</v>
      </c>
      <c r="Q2520" s="23">
        <f>SUM($O$2:O2520)</f>
        <v>70</v>
      </c>
      <c r="Y2520" s="14"/>
      <c r="Z2520" s="13"/>
      <c r="AA2520"/>
    </row>
    <row r="2521" spans="1:27" x14ac:dyDescent="0.2">
      <c r="A2521" s="12" t="s">
        <v>7669</v>
      </c>
      <c r="B2521" t="s">
        <v>7670</v>
      </c>
      <c r="C2521" t="s">
        <v>7671</v>
      </c>
      <c r="D2521" t="s">
        <v>7672</v>
      </c>
      <c r="E2521" t="s">
        <v>13</v>
      </c>
      <c r="F2521">
        <v>843</v>
      </c>
      <c r="G2521">
        <v>493</v>
      </c>
      <c r="H2521" s="5" t="s">
        <v>22</v>
      </c>
      <c r="I2521" s="5">
        <v>0</v>
      </c>
      <c r="J2521" s="5">
        <v>0</v>
      </c>
      <c r="K2521" t="s">
        <v>9787</v>
      </c>
      <c r="L2521" cm="1">
        <f t="array" ref="L2521">wordCount(K2521)</f>
        <v>10</v>
      </c>
      <c r="M2521">
        <f t="shared" si="78"/>
        <v>58</v>
      </c>
      <c r="N2521">
        <v>0.65217391304347827</v>
      </c>
      <c r="O2521" s="23" cm="1">
        <f t="array" ref="O2521">WordListCount(K2521,keywords!$A$2:$A$31)-WordListCount(K2521,keywords!$B$2:$B$31)</f>
        <v>0</v>
      </c>
      <c r="P2521" s="25">
        <f t="shared" si="79"/>
        <v>0.83729166666666666</v>
      </c>
      <c r="Q2521" s="23">
        <f>SUM($O$2:O2521)</f>
        <v>70</v>
      </c>
      <c r="Y2521" s="14"/>
      <c r="Z2521" s="13"/>
      <c r="AA2521"/>
    </row>
    <row r="2522" spans="1:27" x14ac:dyDescent="0.2">
      <c r="A2522" s="12" t="s">
        <v>7673</v>
      </c>
      <c r="B2522" t="s">
        <v>7674</v>
      </c>
      <c r="C2522" t="s">
        <v>2804</v>
      </c>
      <c r="D2522" t="s">
        <v>12</v>
      </c>
      <c r="E2522" t="s">
        <v>13</v>
      </c>
      <c r="F2522">
        <v>38</v>
      </c>
      <c r="G2522">
        <v>274</v>
      </c>
      <c r="H2522" s="5" t="s">
        <v>918</v>
      </c>
      <c r="I2522" s="5">
        <v>0</v>
      </c>
      <c r="J2522" s="5">
        <v>0</v>
      </c>
      <c r="K2522" t="s">
        <v>9788</v>
      </c>
      <c r="L2522" cm="1">
        <f t="array" ref="L2522">wordCount(K2522)</f>
        <v>3</v>
      </c>
      <c r="M2522">
        <f t="shared" si="78"/>
        <v>26</v>
      </c>
      <c r="N2522">
        <v>0.86363636363636365</v>
      </c>
      <c r="O2522" s="23" cm="1">
        <f t="array" ref="O2522">WordListCount(K2522,keywords!$A$2:$A$31)-WordListCount(K2522,keywords!$B$2:$B$31)</f>
        <v>0</v>
      </c>
      <c r="P2522" s="25">
        <f t="shared" si="79"/>
        <v>0.83751157407407406</v>
      </c>
      <c r="Q2522" s="23">
        <f>SUM($O$2:O2522)</f>
        <v>70</v>
      </c>
      <c r="Y2522" s="14"/>
      <c r="Z2522" s="13"/>
      <c r="AA2522"/>
    </row>
    <row r="2523" spans="1:27" x14ac:dyDescent="0.2">
      <c r="A2523" s="12" t="s">
        <v>7673</v>
      </c>
      <c r="B2523" t="s">
        <v>7675</v>
      </c>
      <c r="C2523" t="s">
        <v>205</v>
      </c>
      <c r="D2523" t="s">
        <v>12</v>
      </c>
      <c r="E2523" t="s">
        <v>13</v>
      </c>
      <c r="F2523">
        <v>2868</v>
      </c>
      <c r="G2523">
        <v>6</v>
      </c>
      <c r="H2523" s="5" t="s">
        <v>22</v>
      </c>
      <c r="I2523" s="5">
        <v>0</v>
      </c>
      <c r="J2523" s="5">
        <v>0</v>
      </c>
      <c r="K2523" t="s">
        <v>9789</v>
      </c>
      <c r="L2523" cm="1">
        <f t="array" ref="L2523">wordCount(K2523)</f>
        <v>8</v>
      </c>
      <c r="M2523">
        <f t="shared" si="78"/>
        <v>55</v>
      </c>
      <c r="N2523">
        <v>0.77777777777777779</v>
      </c>
      <c r="O2523" s="23" cm="1">
        <f t="array" ref="O2523">WordListCount(K2523,keywords!$A$2:$A$31)-WordListCount(K2523,keywords!$B$2:$B$31)</f>
        <v>0</v>
      </c>
      <c r="P2523" s="25">
        <f t="shared" si="79"/>
        <v>0.83751157407407406</v>
      </c>
      <c r="Q2523" s="23">
        <f>SUM($O$2:O2523)</f>
        <v>70</v>
      </c>
      <c r="Y2523" s="14"/>
      <c r="Z2523" s="13"/>
      <c r="AA2523"/>
    </row>
    <row r="2524" spans="1:27" x14ac:dyDescent="0.2">
      <c r="A2524" s="12" t="s">
        <v>7676</v>
      </c>
      <c r="B2524" t="s">
        <v>7677</v>
      </c>
      <c r="C2524" t="s">
        <v>511</v>
      </c>
      <c r="D2524" t="s">
        <v>512</v>
      </c>
      <c r="E2524" t="s">
        <v>13</v>
      </c>
      <c r="F2524">
        <v>1898</v>
      </c>
      <c r="G2524">
        <v>540</v>
      </c>
      <c r="H2524" s="5" t="s">
        <v>22</v>
      </c>
      <c r="I2524" s="5">
        <v>0</v>
      </c>
      <c r="J2524" s="5">
        <v>0</v>
      </c>
      <c r="K2524" t="s">
        <v>11484</v>
      </c>
      <c r="L2524" cm="1">
        <f t="array" ref="L2524">wordCount(K2524)</f>
        <v>8</v>
      </c>
      <c r="M2524">
        <f t="shared" si="78"/>
        <v>41</v>
      </c>
      <c r="N2524">
        <v>0.875</v>
      </c>
      <c r="O2524" s="23" cm="1">
        <f t="array" ref="O2524">WordListCount(K2524,keywords!$A$2:$A$31)-WordListCount(K2524,keywords!$B$2:$B$31)</f>
        <v>0</v>
      </c>
      <c r="P2524" s="25">
        <f t="shared" si="79"/>
        <v>0.83753472222222225</v>
      </c>
      <c r="Q2524" s="23">
        <f>SUM($O$2:O2524)</f>
        <v>70</v>
      </c>
      <c r="Y2524" s="14"/>
      <c r="Z2524" s="13"/>
      <c r="AA2524"/>
    </row>
    <row r="2525" spans="1:27" x14ac:dyDescent="0.2">
      <c r="A2525" s="12" t="s">
        <v>7678</v>
      </c>
      <c r="B2525" t="s">
        <v>7679</v>
      </c>
      <c r="C2525" t="s">
        <v>7680</v>
      </c>
      <c r="D2525" t="s">
        <v>12</v>
      </c>
      <c r="E2525" t="s">
        <v>13</v>
      </c>
      <c r="F2525">
        <v>162</v>
      </c>
      <c r="G2525">
        <v>58</v>
      </c>
      <c r="H2525" s="5" t="s">
        <v>59</v>
      </c>
      <c r="I2525" s="5">
        <v>0</v>
      </c>
      <c r="J2525" s="5">
        <v>0</v>
      </c>
      <c r="K2525" t="s">
        <v>9790</v>
      </c>
      <c r="L2525" cm="1">
        <f t="array" ref="L2525">wordCount(K2525)</f>
        <v>14</v>
      </c>
      <c r="M2525">
        <f t="shared" si="78"/>
        <v>73</v>
      </c>
      <c r="N2525">
        <v>0.64</v>
      </c>
      <c r="O2525" s="23" cm="1">
        <f t="array" ref="O2525">WordListCount(K2525,keywords!$A$2:$A$31)-WordListCount(K2525,keywords!$B$2:$B$31)</f>
        <v>0</v>
      </c>
      <c r="P2525" s="25">
        <f t="shared" si="79"/>
        <v>0.83759259259259267</v>
      </c>
      <c r="Q2525" s="23">
        <f>SUM($O$2:O2525)</f>
        <v>70</v>
      </c>
      <c r="Y2525" s="14"/>
      <c r="Z2525" s="13"/>
      <c r="AA2525"/>
    </row>
    <row r="2526" spans="1:27" x14ac:dyDescent="0.2">
      <c r="A2526" s="12" t="s">
        <v>7681</v>
      </c>
      <c r="B2526" t="s">
        <v>7682</v>
      </c>
      <c r="C2526" t="s">
        <v>7683</v>
      </c>
      <c r="D2526" t="s">
        <v>1967</v>
      </c>
      <c r="E2526" t="s">
        <v>13</v>
      </c>
      <c r="F2526">
        <v>104</v>
      </c>
      <c r="G2526">
        <v>493</v>
      </c>
      <c r="H2526" s="5" t="s">
        <v>22</v>
      </c>
      <c r="I2526" s="5">
        <v>0</v>
      </c>
      <c r="J2526" s="5">
        <v>0</v>
      </c>
      <c r="K2526" t="s">
        <v>11485</v>
      </c>
      <c r="L2526" cm="1">
        <f t="array" ref="L2526">wordCount(K2526)</f>
        <v>17</v>
      </c>
      <c r="M2526">
        <f t="shared" si="78"/>
        <v>89</v>
      </c>
      <c r="N2526">
        <v>0.31818181818181818</v>
      </c>
      <c r="O2526" s="23" cm="1">
        <f t="array" ref="O2526">WordListCount(K2526,keywords!$A$2:$A$31)-WordListCount(K2526,keywords!$B$2:$B$31)</f>
        <v>0</v>
      </c>
      <c r="P2526" s="25">
        <f t="shared" si="79"/>
        <v>0.83761574074074074</v>
      </c>
      <c r="Q2526" s="23">
        <f>SUM($O$2:O2526)</f>
        <v>70</v>
      </c>
      <c r="Y2526" s="14"/>
      <c r="Z2526" s="13"/>
      <c r="AA2526"/>
    </row>
    <row r="2527" spans="1:27" x14ac:dyDescent="0.2">
      <c r="A2527" s="12" t="s">
        <v>7684</v>
      </c>
      <c r="B2527" t="s">
        <v>7688</v>
      </c>
      <c r="C2527" t="s">
        <v>5867</v>
      </c>
      <c r="D2527" t="s">
        <v>112</v>
      </c>
      <c r="E2527" t="s">
        <v>13</v>
      </c>
      <c r="F2527">
        <v>548</v>
      </c>
      <c r="G2527">
        <v>932</v>
      </c>
      <c r="H2527" s="5" t="s">
        <v>42</v>
      </c>
      <c r="I2527" s="5">
        <v>0</v>
      </c>
      <c r="J2527" s="5">
        <v>0</v>
      </c>
      <c r="K2527" t="s">
        <v>9791</v>
      </c>
      <c r="L2527" cm="1">
        <f t="array" ref="L2527">wordCount(K2527)</f>
        <v>3</v>
      </c>
      <c r="M2527">
        <f t="shared" si="78"/>
        <v>14</v>
      </c>
      <c r="N2527">
        <v>0.8571428571428571</v>
      </c>
      <c r="O2527" s="23" cm="1">
        <f t="array" ref="O2527">WordListCount(K2527,keywords!$A$2:$A$31)-WordListCount(K2527,keywords!$B$2:$B$31)</f>
        <v>0</v>
      </c>
      <c r="P2527" s="25">
        <f t="shared" si="79"/>
        <v>0.83766203703703701</v>
      </c>
      <c r="Q2527" s="23">
        <f>SUM($O$2:O2527)</f>
        <v>70</v>
      </c>
      <c r="Y2527" s="14"/>
      <c r="Z2527" s="13"/>
      <c r="AA2527"/>
    </row>
    <row r="2528" spans="1:27" x14ac:dyDescent="0.2">
      <c r="A2528" s="12" t="s">
        <v>7684</v>
      </c>
      <c r="B2528" t="s">
        <v>7685</v>
      </c>
      <c r="C2528" t="s">
        <v>7686</v>
      </c>
      <c r="D2528" t="s">
        <v>7687</v>
      </c>
      <c r="E2528" t="s">
        <v>13</v>
      </c>
      <c r="F2528">
        <v>119</v>
      </c>
      <c r="G2528">
        <v>73</v>
      </c>
      <c r="H2528" s="5" t="s">
        <v>22</v>
      </c>
      <c r="I2528" s="5">
        <v>0</v>
      </c>
      <c r="J2528" s="5">
        <v>0</v>
      </c>
      <c r="K2528" t="s">
        <v>11486</v>
      </c>
      <c r="L2528" cm="1">
        <f t="array" ref="L2528">wordCount(K2528)</f>
        <v>6</v>
      </c>
      <c r="M2528">
        <f t="shared" si="78"/>
        <v>32</v>
      </c>
      <c r="N2528">
        <v>0.76923076923076927</v>
      </c>
      <c r="O2528" s="23" cm="1">
        <f t="array" ref="O2528">WordListCount(K2528,keywords!$A$2:$A$31)-WordListCount(K2528,keywords!$B$2:$B$31)</f>
        <v>0</v>
      </c>
      <c r="P2528" s="25">
        <f t="shared" si="79"/>
        <v>0.83766203703703701</v>
      </c>
      <c r="Q2528" s="23">
        <f>SUM($O$2:O2528)</f>
        <v>70</v>
      </c>
      <c r="Y2528" s="14"/>
      <c r="Z2528" s="13"/>
      <c r="AA2528"/>
    </row>
    <row r="2529" spans="1:27" x14ac:dyDescent="0.2">
      <c r="A2529" s="12" t="s">
        <v>7689</v>
      </c>
      <c r="B2529" t="s">
        <v>7690</v>
      </c>
      <c r="C2529" t="s">
        <v>7691</v>
      </c>
      <c r="D2529" t="s">
        <v>7692</v>
      </c>
      <c r="E2529" t="s">
        <v>13</v>
      </c>
      <c r="F2529">
        <v>1021</v>
      </c>
      <c r="G2529">
        <v>4434</v>
      </c>
      <c r="H2529" s="5" t="s">
        <v>22</v>
      </c>
      <c r="I2529" s="5">
        <v>0</v>
      </c>
      <c r="J2529" s="5">
        <v>0</v>
      </c>
      <c r="K2529" t="s">
        <v>9792</v>
      </c>
      <c r="L2529" cm="1">
        <f t="array" ref="L2529">wordCount(K2529)</f>
        <v>5</v>
      </c>
      <c r="M2529">
        <f t="shared" si="78"/>
        <v>28</v>
      </c>
      <c r="N2529">
        <v>0.90909090909090906</v>
      </c>
      <c r="O2529" s="23" cm="1">
        <f t="array" ref="O2529">WordListCount(K2529,keywords!$A$2:$A$31)-WordListCount(K2529,keywords!$B$2:$B$31)</f>
        <v>0</v>
      </c>
      <c r="P2529" s="25">
        <f t="shared" si="79"/>
        <v>0.8377662037037038</v>
      </c>
      <c r="Q2529" s="23">
        <f>SUM($O$2:O2529)</f>
        <v>70</v>
      </c>
      <c r="Y2529" s="14"/>
      <c r="Z2529" s="13"/>
      <c r="AA2529"/>
    </row>
    <row r="2530" spans="1:27" x14ac:dyDescent="0.2">
      <c r="A2530" s="12" t="s">
        <v>7693</v>
      </c>
      <c r="B2530" t="s">
        <v>7694</v>
      </c>
      <c r="C2530" t="s">
        <v>7695</v>
      </c>
      <c r="D2530" t="s">
        <v>12</v>
      </c>
      <c r="E2530" t="s">
        <v>13</v>
      </c>
      <c r="F2530">
        <v>27</v>
      </c>
      <c r="G2530">
        <v>27</v>
      </c>
      <c r="H2530" s="5" t="s">
        <v>22</v>
      </c>
      <c r="I2530" s="5">
        <v>0</v>
      </c>
      <c r="J2530" s="5">
        <v>0</v>
      </c>
      <c r="K2530" t="s">
        <v>9793</v>
      </c>
      <c r="L2530" cm="1">
        <f t="array" ref="L2530">wordCount(K2530)</f>
        <v>9</v>
      </c>
      <c r="M2530">
        <f t="shared" si="78"/>
        <v>50</v>
      </c>
      <c r="N2530">
        <v>0.625</v>
      </c>
      <c r="O2530" s="23" cm="1">
        <f t="array" ref="O2530">WordListCount(K2530,keywords!$A$2:$A$31)-WordListCount(K2530,keywords!$B$2:$B$31)</f>
        <v>0</v>
      </c>
      <c r="P2530" s="25">
        <f t="shared" si="79"/>
        <v>0.83787037037037038</v>
      </c>
      <c r="Q2530" s="23">
        <f>SUM($O$2:O2530)</f>
        <v>70</v>
      </c>
      <c r="Y2530" s="14"/>
      <c r="Z2530" s="13"/>
      <c r="AA2530"/>
    </row>
    <row r="2531" spans="1:27" x14ac:dyDescent="0.2">
      <c r="A2531" s="12" t="s">
        <v>7696</v>
      </c>
      <c r="B2531" t="s">
        <v>7697</v>
      </c>
      <c r="C2531" t="s">
        <v>7698</v>
      </c>
      <c r="D2531" t="s">
        <v>7699</v>
      </c>
      <c r="E2531" t="s">
        <v>47</v>
      </c>
      <c r="F2531">
        <v>60056</v>
      </c>
      <c r="G2531">
        <v>1201</v>
      </c>
      <c r="H2531" s="5" t="s">
        <v>22</v>
      </c>
      <c r="I2531" s="5">
        <v>0</v>
      </c>
      <c r="J2531" s="5">
        <v>0</v>
      </c>
      <c r="K2531" t="s">
        <v>11487</v>
      </c>
      <c r="L2531" cm="1">
        <f t="array" ref="L2531">wordCount(K2531)</f>
        <v>9</v>
      </c>
      <c r="M2531">
        <f t="shared" si="78"/>
        <v>29</v>
      </c>
      <c r="N2531">
        <v>0.61111111111111116</v>
      </c>
      <c r="O2531" s="23" cm="1">
        <f t="array" ref="O2531">WordListCount(K2531,keywords!$A$2:$A$31)-WordListCount(K2531,keywords!$B$2:$B$31)</f>
        <v>0</v>
      </c>
      <c r="P2531" s="25">
        <f t="shared" si="79"/>
        <v>0.83822916666666669</v>
      </c>
      <c r="Q2531" s="23">
        <f>SUM($O$2:O2531)</f>
        <v>70</v>
      </c>
      <c r="Y2531" s="14"/>
      <c r="Z2531" s="13"/>
      <c r="AA2531"/>
    </row>
    <row r="2532" spans="1:27" x14ac:dyDescent="0.2">
      <c r="A2532" s="12" t="s">
        <v>7700</v>
      </c>
      <c r="B2532" t="s">
        <v>7701</v>
      </c>
      <c r="C2532" t="s">
        <v>7702</v>
      </c>
      <c r="D2532" t="s">
        <v>12</v>
      </c>
      <c r="E2532" t="s">
        <v>13</v>
      </c>
      <c r="F2532">
        <v>50</v>
      </c>
      <c r="G2532">
        <v>130</v>
      </c>
      <c r="H2532" s="5" t="s">
        <v>283</v>
      </c>
      <c r="I2532" s="5">
        <v>0</v>
      </c>
      <c r="J2532" s="5">
        <v>0</v>
      </c>
      <c r="K2532" t="s">
        <v>9794</v>
      </c>
      <c r="L2532" cm="1">
        <f t="array" ref="L2532">wordCount(K2532)</f>
        <v>4</v>
      </c>
      <c r="M2532">
        <f t="shared" si="78"/>
        <v>16</v>
      </c>
      <c r="N2532">
        <v>0.66666666666666663</v>
      </c>
      <c r="O2532" s="23" cm="1">
        <f t="array" ref="O2532">WordListCount(K2532,keywords!$A$2:$A$31)-WordListCount(K2532,keywords!$B$2:$B$31)</f>
        <v>0</v>
      </c>
      <c r="P2532" s="25">
        <f t="shared" si="79"/>
        <v>0.83846064814814814</v>
      </c>
      <c r="Q2532" s="23">
        <f>SUM($O$2:O2532)</f>
        <v>70</v>
      </c>
      <c r="Y2532" s="14"/>
      <c r="Z2532" s="13"/>
      <c r="AA2532"/>
    </row>
    <row r="2533" spans="1:27" x14ac:dyDescent="0.2">
      <c r="A2533" s="12" t="s">
        <v>7703</v>
      </c>
      <c r="B2533" t="s">
        <v>7704</v>
      </c>
      <c r="C2533" t="s">
        <v>7705</v>
      </c>
      <c r="D2533" t="s">
        <v>7706</v>
      </c>
      <c r="E2533" t="s">
        <v>13</v>
      </c>
      <c r="F2533">
        <v>23</v>
      </c>
      <c r="G2533">
        <v>18</v>
      </c>
      <c r="H2533" s="5" t="s">
        <v>125</v>
      </c>
      <c r="I2533" s="5">
        <v>0</v>
      </c>
      <c r="J2533" s="5">
        <v>0</v>
      </c>
      <c r="K2533" t="s">
        <v>9795</v>
      </c>
      <c r="L2533" cm="1">
        <f t="array" ref="L2533">wordCount(K2533)</f>
        <v>5</v>
      </c>
      <c r="M2533">
        <f t="shared" si="78"/>
        <v>40</v>
      </c>
      <c r="N2533">
        <v>0.54545454545454541</v>
      </c>
      <c r="O2533" s="23" cm="1">
        <f t="array" ref="O2533">WordListCount(K2533,keywords!$A$2:$A$31)-WordListCount(K2533,keywords!$B$2:$B$31)</f>
        <v>0</v>
      </c>
      <c r="P2533" s="25">
        <f t="shared" si="79"/>
        <v>0.83873842592592596</v>
      </c>
      <c r="Q2533" s="23">
        <f>SUM($O$2:O2533)</f>
        <v>70</v>
      </c>
      <c r="Y2533" s="14"/>
      <c r="Z2533" s="13"/>
      <c r="AA2533"/>
    </row>
    <row r="2534" spans="1:27" x14ac:dyDescent="0.2">
      <c r="A2534" s="12" t="s">
        <v>7707</v>
      </c>
      <c r="B2534" t="s">
        <v>7708</v>
      </c>
      <c r="C2534" t="s">
        <v>7709</v>
      </c>
      <c r="D2534" t="s">
        <v>12</v>
      </c>
      <c r="E2534" t="s">
        <v>13</v>
      </c>
      <c r="F2534">
        <v>3036</v>
      </c>
      <c r="G2534">
        <v>611</v>
      </c>
      <c r="H2534" s="5" t="s">
        <v>22</v>
      </c>
      <c r="I2534" s="5">
        <v>0</v>
      </c>
      <c r="J2534" s="5">
        <v>0</v>
      </c>
      <c r="K2534" t="s">
        <v>9796</v>
      </c>
      <c r="L2534" cm="1">
        <f t="array" ref="L2534">wordCount(K2534)</f>
        <v>10</v>
      </c>
      <c r="M2534">
        <f t="shared" si="78"/>
        <v>49</v>
      </c>
      <c r="N2534">
        <v>0.61111111111111116</v>
      </c>
      <c r="O2534" s="23" cm="1">
        <f t="array" ref="O2534">WordListCount(K2534,keywords!$A$2:$A$31)-WordListCount(K2534,keywords!$B$2:$B$31)</f>
        <v>0</v>
      </c>
      <c r="P2534" s="25">
        <f t="shared" si="79"/>
        <v>0.83923611111111107</v>
      </c>
      <c r="Q2534" s="23">
        <f>SUM($O$2:O2534)</f>
        <v>70</v>
      </c>
      <c r="Y2534" s="14"/>
      <c r="Z2534" s="13"/>
      <c r="AA2534"/>
    </row>
    <row r="2535" spans="1:27" x14ac:dyDescent="0.2">
      <c r="A2535" s="12" t="s">
        <v>7710</v>
      </c>
      <c r="B2535" t="s">
        <v>7711</v>
      </c>
      <c r="C2535" t="s">
        <v>7712</v>
      </c>
      <c r="D2535" t="s">
        <v>12</v>
      </c>
      <c r="E2535" t="s">
        <v>13</v>
      </c>
      <c r="F2535">
        <v>298</v>
      </c>
      <c r="G2535">
        <v>262</v>
      </c>
      <c r="H2535" s="5" t="s">
        <v>22</v>
      </c>
      <c r="I2535" s="5">
        <v>0</v>
      </c>
      <c r="J2535" s="5">
        <v>0</v>
      </c>
      <c r="K2535" t="s">
        <v>9797</v>
      </c>
      <c r="L2535" cm="1">
        <f t="array" ref="L2535">wordCount(K2535)</f>
        <v>9</v>
      </c>
      <c r="M2535">
        <f t="shared" si="78"/>
        <v>50</v>
      </c>
      <c r="N2535">
        <v>0.5714285714285714</v>
      </c>
      <c r="O2535" s="23" cm="1">
        <f t="array" ref="O2535">WordListCount(K2535,keywords!$A$2:$A$31)-WordListCount(K2535,keywords!$B$2:$B$31)</f>
        <v>0</v>
      </c>
      <c r="P2535" s="25">
        <f t="shared" si="79"/>
        <v>0.83954861111111112</v>
      </c>
      <c r="Q2535" s="23">
        <f>SUM($O$2:O2535)</f>
        <v>70</v>
      </c>
      <c r="Y2535" s="14"/>
      <c r="Z2535" s="13"/>
      <c r="AA2535"/>
    </row>
    <row r="2536" spans="1:27" x14ac:dyDescent="0.2">
      <c r="A2536" s="12" t="s">
        <v>7713</v>
      </c>
      <c r="B2536" t="s">
        <v>7714</v>
      </c>
      <c r="C2536" t="s">
        <v>3878</v>
      </c>
      <c r="D2536" t="s">
        <v>3879</v>
      </c>
      <c r="E2536" t="s">
        <v>13</v>
      </c>
      <c r="F2536">
        <v>187</v>
      </c>
      <c r="G2536">
        <v>361</v>
      </c>
      <c r="H2536" s="5" t="s">
        <v>22</v>
      </c>
      <c r="I2536" s="5">
        <v>0</v>
      </c>
      <c r="J2536" s="5">
        <v>0</v>
      </c>
      <c r="K2536" t="s">
        <v>9798</v>
      </c>
      <c r="L2536" cm="1">
        <f t="array" ref="L2536">wordCount(K2536)</f>
        <v>3</v>
      </c>
      <c r="M2536">
        <f t="shared" si="78"/>
        <v>12</v>
      </c>
      <c r="N2536">
        <v>0.8571428571428571</v>
      </c>
      <c r="O2536" s="23" cm="1">
        <f t="array" ref="O2536">WordListCount(K2536,keywords!$A$2:$A$31)-WordListCount(K2536,keywords!$B$2:$B$31)</f>
        <v>0</v>
      </c>
      <c r="P2536" s="25">
        <f t="shared" si="79"/>
        <v>0.83971064814814822</v>
      </c>
      <c r="Q2536" s="23">
        <f>SUM($O$2:O2536)</f>
        <v>70</v>
      </c>
      <c r="Y2536" s="14"/>
      <c r="Z2536" s="13"/>
      <c r="AA2536"/>
    </row>
    <row r="2537" spans="1:27" x14ac:dyDescent="0.2">
      <c r="A2537" s="12" t="s">
        <v>7715</v>
      </c>
      <c r="B2537" t="s">
        <v>7716</v>
      </c>
      <c r="C2537" t="s">
        <v>7717</v>
      </c>
      <c r="D2537" t="s">
        <v>12</v>
      </c>
      <c r="E2537" t="s">
        <v>13</v>
      </c>
      <c r="F2537">
        <v>19</v>
      </c>
      <c r="G2537">
        <v>276</v>
      </c>
      <c r="H2537" s="5" t="s">
        <v>22</v>
      </c>
      <c r="I2537" s="5">
        <v>0</v>
      </c>
      <c r="J2537" s="5">
        <v>0</v>
      </c>
      <c r="K2537" t="s">
        <v>9799</v>
      </c>
      <c r="L2537" cm="1">
        <f t="array" ref="L2537">wordCount(K2537)</f>
        <v>5</v>
      </c>
      <c r="M2537">
        <f t="shared" si="78"/>
        <v>22</v>
      </c>
      <c r="N2537">
        <v>0.63636363636363635</v>
      </c>
      <c r="O2537" s="23" cm="1">
        <f t="array" ref="O2537">WordListCount(K2537,keywords!$A$2:$A$31)-WordListCount(K2537,keywords!$B$2:$B$31)</f>
        <v>0</v>
      </c>
      <c r="P2537" s="25">
        <f t="shared" si="79"/>
        <v>0.83975694444444438</v>
      </c>
      <c r="Q2537" s="23">
        <f>SUM($O$2:O2537)</f>
        <v>70</v>
      </c>
      <c r="Y2537" s="14"/>
      <c r="Z2537" s="13"/>
      <c r="AA2537"/>
    </row>
    <row r="2538" spans="1:27" x14ac:dyDescent="0.2">
      <c r="A2538" s="12" t="s">
        <v>7718</v>
      </c>
      <c r="B2538" t="s">
        <v>7719</v>
      </c>
      <c r="C2538" t="s">
        <v>7720</v>
      </c>
      <c r="D2538" t="s">
        <v>7721</v>
      </c>
      <c r="E2538" t="s">
        <v>13</v>
      </c>
      <c r="F2538">
        <v>1314</v>
      </c>
      <c r="G2538">
        <v>224</v>
      </c>
      <c r="H2538" s="5" t="s">
        <v>22</v>
      </c>
      <c r="I2538" s="5">
        <v>0</v>
      </c>
      <c r="J2538" s="5">
        <v>0</v>
      </c>
      <c r="K2538" t="s">
        <v>9800</v>
      </c>
      <c r="L2538" cm="1">
        <f t="array" ref="L2538">wordCount(K2538)</f>
        <v>7</v>
      </c>
      <c r="M2538">
        <f t="shared" si="78"/>
        <v>39</v>
      </c>
      <c r="N2538">
        <v>0.625</v>
      </c>
      <c r="O2538" s="23" cm="1">
        <f t="array" ref="O2538">WordListCount(K2538,keywords!$A$2:$A$31)-WordListCount(K2538,keywords!$B$2:$B$31)</f>
        <v>0</v>
      </c>
      <c r="P2538" s="25">
        <f t="shared" si="79"/>
        <v>0.84017361111111111</v>
      </c>
      <c r="Q2538" s="23">
        <f>SUM($O$2:O2538)</f>
        <v>70</v>
      </c>
      <c r="Y2538" s="14"/>
      <c r="Z2538" s="13"/>
      <c r="AA2538"/>
    </row>
    <row r="2539" spans="1:27" x14ac:dyDescent="0.2">
      <c r="A2539" s="12" t="s">
        <v>7722</v>
      </c>
      <c r="B2539" t="s">
        <v>7725</v>
      </c>
      <c r="C2539" t="s">
        <v>7726</v>
      </c>
      <c r="D2539" t="s">
        <v>12</v>
      </c>
      <c r="E2539" t="s">
        <v>13</v>
      </c>
      <c r="F2539">
        <v>435</v>
      </c>
      <c r="G2539">
        <v>497</v>
      </c>
      <c r="H2539" s="5" t="s">
        <v>22</v>
      </c>
      <c r="I2539" s="5">
        <v>0</v>
      </c>
      <c r="J2539" s="5">
        <v>0</v>
      </c>
      <c r="K2539" t="s">
        <v>9802</v>
      </c>
      <c r="L2539" cm="1">
        <f t="array" ref="L2539">wordCount(K2539)</f>
        <v>6</v>
      </c>
      <c r="M2539">
        <f t="shared" si="78"/>
        <v>29</v>
      </c>
      <c r="N2539">
        <v>0.72222222222222221</v>
      </c>
      <c r="O2539" s="23" cm="1">
        <f t="array" ref="O2539">WordListCount(K2539,keywords!$A$2:$A$31)-WordListCount(K2539,keywords!$B$2:$B$31)</f>
        <v>0</v>
      </c>
      <c r="P2539" s="25">
        <f t="shared" si="79"/>
        <v>0.84030092592592587</v>
      </c>
      <c r="Q2539" s="23">
        <f>SUM($O$2:O2539)</f>
        <v>70</v>
      </c>
      <c r="Y2539" s="14"/>
      <c r="Z2539" s="13"/>
      <c r="AA2539"/>
    </row>
    <row r="2540" spans="1:27" x14ac:dyDescent="0.2">
      <c r="A2540" s="12" t="s">
        <v>7722</v>
      </c>
      <c r="B2540" t="s">
        <v>7723</v>
      </c>
      <c r="C2540" t="s">
        <v>7724</v>
      </c>
      <c r="D2540" t="s">
        <v>1146</v>
      </c>
      <c r="E2540" t="s">
        <v>13</v>
      </c>
      <c r="F2540">
        <v>28369</v>
      </c>
      <c r="G2540">
        <v>186</v>
      </c>
      <c r="H2540" s="5" t="s">
        <v>22</v>
      </c>
      <c r="I2540" s="5">
        <v>0</v>
      </c>
      <c r="J2540" s="5">
        <v>0</v>
      </c>
      <c r="K2540" t="s">
        <v>9801</v>
      </c>
      <c r="L2540" cm="1">
        <f t="array" ref="L2540">wordCount(K2540)</f>
        <v>4</v>
      </c>
      <c r="M2540">
        <f t="shared" si="78"/>
        <v>18</v>
      </c>
      <c r="N2540">
        <v>0.73333333333333328</v>
      </c>
      <c r="O2540" s="23" cm="1">
        <f t="array" ref="O2540">WordListCount(K2540,keywords!$A$2:$A$31)-WordListCount(K2540,keywords!$B$2:$B$31)</f>
        <v>0</v>
      </c>
      <c r="P2540" s="25">
        <f t="shared" si="79"/>
        <v>0.84030092592592587</v>
      </c>
      <c r="Q2540" s="23">
        <f>SUM($O$2:O2540)</f>
        <v>70</v>
      </c>
      <c r="Y2540" s="14"/>
      <c r="Z2540" s="13"/>
      <c r="AA2540"/>
    </row>
    <row r="2541" spans="1:27" x14ac:dyDescent="0.2">
      <c r="A2541" s="12" t="s">
        <v>7727</v>
      </c>
      <c r="B2541" t="s">
        <v>7728</v>
      </c>
      <c r="C2541" t="s">
        <v>119</v>
      </c>
      <c r="D2541" t="s">
        <v>120</v>
      </c>
      <c r="E2541" t="s">
        <v>13</v>
      </c>
      <c r="F2541">
        <v>16</v>
      </c>
      <c r="G2541">
        <v>39</v>
      </c>
      <c r="H2541" s="5" t="s">
        <v>22</v>
      </c>
      <c r="I2541" s="5">
        <v>0</v>
      </c>
      <c r="J2541" s="5">
        <v>0</v>
      </c>
      <c r="K2541" t="s">
        <v>9914</v>
      </c>
      <c r="L2541" cm="1">
        <f t="array" ref="L2541">wordCount(K2541)</f>
        <v>10</v>
      </c>
      <c r="M2541">
        <f t="shared" si="78"/>
        <v>49</v>
      </c>
      <c r="N2541">
        <v>0.9</v>
      </c>
      <c r="O2541" s="23" cm="1">
        <f t="array" ref="O2541">WordListCount(K2541,keywords!$A$2:$A$31)-WordListCount(K2541,keywords!$B$2:$B$31)</f>
        <v>0</v>
      </c>
      <c r="P2541" s="25">
        <f t="shared" si="79"/>
        <v>0.84031250000000002</v>
      </c>
      <c r="Q2541" s="23">
        <f>SUM($O$2:O2541)</f>
        <v>70</v>
      </c>
      <c r="Y2541" s="14"/>
      <c r="Z2541" s="13"/>
      <c r="AA2541"/>
    </row>
    <row r="2542" spans="1:27" x14ac:dyDescent="0.2">
      <c r="A2542" s="12" t="s">
        <v>7729</v>
      </c>
      <c r="B2542" t="s">
        <v>7730</v>
      </c>
      <c r="C2542" t="s">
        <v>7731</v>
      </c>
      <c r="D2542" t="s">
        <v>12</v>
      </c>
      <c r="E2542" t="s">
        <v>13</v>
      </c>
      <c r="F2542">
        <v>372</v>
      </c>
      <c r="G2542">
        <v>572</v>
      </c>
      <c r="H2542" s="5" t="s">
        <v>360</v>
      </c>
      <c r="I2542" s="5">
        <v>0</v>
      </c>
      <c r="J2542" s="5">
        <v>0</v>
      </c>
      <c r="K2542" t="s">
        <v>9803</v>
      </c>
      <c r="L2542" cm="1">
        <f t="array" ref="L2542">wordCount(K2542)</f>
        <v>12</v>
      </c>
      <c r="M2542">
        <f t="shared" si="78"/>
        <v>41</v>
      </c>
      <c r="N2542">
        <v>0.46666666666666667</v>
      </c>
      <c r="O2542" s="23" cm="1">
        <f t="array" ref="O2542">WordListCount(K2542,keywords!$A$2:$A$31)-WordListCount(K2542,keywords!$B$2:$B$31)</f>
        <v>0</v>
      </c>
      <c r="P2542" s="25">
        <f t="shared" si="79"/>
        <v>0.84034722222222225</v>
      </c>
      <c r="Q2542" s="23">
        <f>SUM($O$2:O2542)</f>
        <v>70</v>
      </c>
      <c r="Y2542" s="14"/>
      <c r="Z2542" s="13"/>
      <c r="AA2542"/>
    </row>
    <row r="2543" spans="1:27" x14ac:dyDescent="0.2">
      <c r="A2543" s="12" t="s">
        <v>7732</v>
      </c>
      <c r="B2543" t="s">
        <v>7733</v>
      </c>
      <c r="C2543" t="s">
        <v>119</v>
      </c>
      <c r="D2543" t="s">
        <v>120</v>
      </c>
      <c r="E2543" t="s">
        <v>13</v>
      </c>
      <c r="F2543">
        <v>16</v>
      </c>
      <c r="G2543">
        <v>39</v>
      </c>
      <c r="H2543" s="5" t="s">
        <v>22</v>
      </c>
      <c r="I2543" s="5">
        <v>0</v>
      </c>
      <c r="J2543" s="5">
        <v>0</v>
      </c>
      <c r="K2543" t="s">
        <v>9914</v>
      </c>
      <c r="L2543" cm="1">
        <f t="array" ref="L2543">wordCount(K2543)</f>
        <v>10</v>
      </c>
      <c r="M2543">
        <f t="shared" si="78"/>
        <v>49</v>
      </c>
      <c r="N2543">
        <v>0.9</v>
      </c>
      <c r="O2543" s="23" cm="1">
        <f t="array" ref="O2543">WordListCount(K2543,keywords!$A$2:$A$31)-WordListCount(K2543,keywords!$B$2:$B$31)</f>
        <v>0</v>
      </c>
      <c r="P2543" s="25">
        <f t="shared" si="79"/>
        <v>0.84037037037037043</v>
      </c>
      <c r="Q2543" s="23">
        <f>SUM($O$2:O2543)</f>
        <v>70</v>
      </c>
      <c r="Y2543" s="14"/>
      <c r="Z2543" s="13"/>
      <c r="AA2543"/>
    </row>
    <row r="2544" spans="1:27" x14ac:dyDescent="0.2">
      <c r="A2544" s="33" t="s">
        <v>7734</v>
      </c>
      <c r="B2544" s="34" t="s">
        <v>7735</v>
      </c>
      <c r="C2544" s="34" t="s">
        <v>123</v>
      </c>
      <c r="D2544" s="34" t="s">
        <v>124</v>
      </c>
      <c r="E2544" s="34" t="s">
        <v>13</v>
      </c>
      <c r="F2544" s="34">
        <v>838</v>
      </c>
      <c r="G2544" s="34">
        <v>898</v>
      </c>
      <c r="H2544" s="35" t="s">
        <v>125</v>
      </c>
      <c r="I2544" s="35">
        <v>0</v>
      </c>
      <c r="J2544" s="35">
        <v>0</v>
      </c>
      <c r="K2544" s="34" t="s">
        <v>9804</v>
      </c>
      <c r="L2544" s="34" cm="1">
        <f t="array" ref="L2544">wordCount(K2544)</f>
        <v>20</v>
      </c>
      <c r="M2544" s="34">
        <f t="shared" si="78"/>
        <v>90</v>
      </c>
      <c r="N2544" s="34">
        <v>0.8</v>
      </c>
      <c r="O2544" s="36" cm="1">
        <f t="array" ref="O2544">WordListCount(K2544,keywords!$A$2:$A$31)-WordListCount(K2544,keywords!$B$2:$B$31)</f>
        <v>0</v>
      </c>
      <c r="P2544" s="37">
        <f t="shared" si="79"/>
        <v>0.84040509259259266</v>
      </c>
      <c r="Q2544" s="23">
        <f>SUM($O$2:O2544)</f>
        <v>70</v>
      </c>
    </row>
    <row r="2545" spans="1:27" x14ac:dyDescent="0.2">
      <c r="A2545" s="12" t="s">
        <v>7736</v>
      </c>
      <c r="B2545" t="s">
        <v>7737</v>
      </c>
      <c r="C2545" t="s">
        <v>119</v>
      </c>
      <c r="D2545" t="s">
        <v>120</v>
      </c>
      <c r="E2545" t="s">
        <v>13</v>
      </c>
      <c r="F2545">
        <v>16</v>
      </c>
      <c r="G2545">
        <v>39</v>
      </c>
      <c r="H2545" s="5" t="s">
        <v>22</v>
      </c>
      <c r="I2545" s="5">
        <v>0</v>
      </c>
      <c r="J2545" s="5">
        <v>0</v>
      </c>
      <c r="K2545" t="s">
        <v>9914</v>
      </c>
      <c r="L2545" cm="1">
        <f t="array" ref="L2545">wordCount(K2545)</f>
        <v>10</v>
      </c>
      <c r="M2545">
        <f t="shared" si="78"/>
        <v>49</v>
      </c>
      <c r="N2545">
        <v>0.9</v>
      </c>
      <c r="O2545" s="23" cm="1">
        <f t="array" ref="O2545">WordListCount(K2545,keywords!$A$2:$A$31)-WordListCount(K2545,keywords!$B$2:$B$31)</f>
        <v>0</v>
      </c>
      <c r="P2545" s="25">
        <f t="shared" si="79"/>
        <v>0.84042824074074074</v>
      </c>
      <c r="Q2545" s="23">
        <f>SUM($O$2:O2545)</f>
        <v>70</v>
      </c>
      <c r="Y2545" s="14"/>
      <c r="Z2545" s="13"/>
      <c r="AA2545"/>
    </row>
    <row r="2546" spans="1:27" x14ac:dyDescent="0.2">
      <c r="A2546" s="12" t="s">
        <v>7738</v>
      </c>
      <c r="B2546" t="s">
        <v>7739</v>
      </c>
      <c r="C2546" t="s">
        <v>119</v>
      </c>
      <c r="D2546" t="s">
        <v>120</v>
      </c>
      <c r="E2546" t="s">
        <v>13</v>
      </c>
      <c r="F2546">
        <v>16</v>
      </c>
      <c r="G2546">
        <v>39</v>
      </c>
      <c r="H2546" s="5" t="s">
        <v>22</v>
      </c>
      <c r="I2546" s="5">
        <v>0</v>
      </c>
      <c r="J2546" s="5">
        <v>0</v>
      </c>
      <c r="K2546" t="s">
        <v>9914</v>
      </c>
      <c r="L2546" cm="1">
        <f t="array" ref="L2546">wordCount(K2546)</f>
        <v>10</v>
      </c>
      <c r="M2546">
        <f t="shared" si="78"/>
        <v>49</v>
      </c>
      <c r="N2546">
        <v>0.9</v>
      </c>
      <c r="O2546" s="23" cm="1">
        <f t="array" ref="O2546">WordListCount(K2546,keywords!$A$2:$A$31)-WordListCount(K2546,keywords!$B$2:$B$31)</f>
        <v>0</v>
      </c>
      <c r="P2546" s="25">
        <f t="shared" si="79"/>
        <v>0.84048611111111116</v>
      </c>
      <c r="Q2546" s="23">
        <f>SUM($O$2:O2546)</f>
        <v>70</v>
      </c>
      <c r="Y2546" s="14"/>
      <c r="Z2546" s="13"/>
      <c r="AA2546"/>
    </row>
    <row r="2547" spans="1:27" x14ac:dyDescent="0.2">
      <c r="A2547" s="12" t="s">
        <v>7740</v>
      </c>
      <c r="B2547" t="s">
        <v>7741</v>
      </c>
      <c r="C2547" t="s">
        <v>119</v>
      </c>
      <c r="D2547" t="s">
        <v>120</v>
      </c>
      <c r="E2547" t="s">
        <v>13</v>
      </c>
      <c r="F2547">
        <v>16</v>
      </c>
      <c r="G2547">
        <v>39</v>
      </c>
      <c r="H2547" s="5" t="s">
        <v>22</v>
      </c>
      <c r="I2547" s="5">
        <v>0</v>
      </c>
      <c r="J2547" s="5">
        <v>0</v>
      </c>
      <c r="K2547" t="s">
        <v>9914</v>
      </c>
      <c r="L2547" cm="1">
        <f t="array" ref="L2547">wordCount(K2547)</f>
        <v>10</v>
      </c>
      <c r="M2547">
        <f t="shared" si="78"/>
        <v>49</v>
      </c>
      <c r="N2547">
        <v>0.9</v>
      </c>
      <c r="O2547" s="23" cm="1">
        <f t="array" ref="O2547">WordListCount(K2547,keywords!$A$2:$A$31)-WordListCount(K2547,keywords!$B$2:$B$31)</f>
        <v>0</v>
      </c>
      <c r="P2547" s="25">
        <f t="shared" si="79"/>
        <v>0.84057870370370369</v>
      </c>
      <c r="Q2547" s="23">
        <f>SUM($O$2:O2547)</f>
        <v>70</v>
      </c>
      <c r="Y2547" s="14"/>
      <c r="Z2547" s="13"/>
      <c r="AA2547"/>
    </row>
    <row r="2548" spans="1:27" x14ac:dyDescent="0.2">
      <c r="A2548" s="12" t="s">
        <v>7742</v>
      </c>
      <c r="B2548" t="s">
        <v>7743</v>
      </c>
      <c r="C2548" t="s">
        <v>7744</v>
      </c>
      <c r="D2548" t="s">
        <v>197</v>
      </c>
      <c r="E2548" t="s">
        <v>13</v>
      </c>
      <c r="F2548">
        <v>362</v>
      </c>
      <c r="G2548">
        <v>25</v>
      </c>
      <c r="H2548" s="5" t="s">
        <v>22</v>
      </c>
      <c r="I2548" s="5">
        <v>0</v>
      </c>
      <c r="J2548" s="5">
        <v>0</v>
      </c>
      <c r="K2548" t="s">
        <v>11488</v>
      </c>
      <c r="L2548" cm="1">
        <f t="array" ref="L2548">wordCount(K2548)</f>
        <v>10</v>
      </c>
      <c r="M2548">
        <f t="shared" si="78"/>
        <v>47</v>
      </c>
      <c r="N2548">
        <v>0.76923076923076927</v>
      </c>
      <c r="O2548" s="23" cm="1">
        <f t="array" ref="O2548">WordListCount(K2548,keywords!$A$2:$A$31)-WordListCount(K2548,keywords!$B$2:$B$31)</f>
        <v>0</v>
      </c>
      <c r="P2548" s="25">
        <f t="shared" si="79"/>
        <v>0.84061342592592592</v>
      </c>
      <c r="Q2548" s="23">
        <f>SUM($O$2:O2548)</f>
        <v>70</v>
      </c>
      <c r="Y2548" s="14"/>
      <c r="Z2548" s="13"/>
      <c r="AA2548"/>
    </row>
    <row r="2549" spans="1:27" x14ac:dyDescent="0.2">
      <c r="A2549" s="12" t="s">
        <v>7745</v>
      </c>
      <c r="B2549" t="s">
        <v>7746</v>
      </c>
      <c r="C2549" t="s">
        <v>7747</v>
      </c>
      <c r="D2549" t="s">
        <v>1091</v>
      </c>
      <c r="E2549" t="s">
        <v>13</v>
      </c>
      <c r="F2549">
        <v>46</v>
      </c>
      <c r="G2549">
        <v>142</v>
      </c>
      <c r="H2549" s="5" t="s">
        <v>22</v>
      </c>
      <c r="I2549" s="5">
        <v>0</v>
      </c>
      <c r="J2549" s="5">
        <v>0</v>
      </c>
      <c r="K2549" t="s">
        <v>9805</v>
      </c>
      <c r="L2549" cm="1">
        <f t="array" ref="L2549">wordCount(K2549)</f>
        <v>6</v>
      </c>
      <c r="M2549">
        <f t="shared" si="78"/>
        <v>32</v>
      </c>
      <c r="N2549">
        <v>0.8</v>
      </c>
      <c r="O2549" s="23" cm="1">
        <f t="array" ref="O2549">WordListCount(K2549,keywords!$A$2:$A$31)-WordListCount(K2549,keywords!$B$2:$B$31)</f>
        <v>0</v>
      </c>
      <c r="P2549" s="25">
        <f t="shared" si="79"/>
        <v>0.84067129629629633</v>
      </c>
      <c r="Q2549" s="23">
        <f>SUM($O$2:O2549)</f>
        <v>70</v>
      </c>
      <c r="Y2549" s="14"/>
      <c r="Z2549" s="13"/>
      <c r="AA2549"/>
    </row>
    <row r="2550" spans="1:27" x14ac:dyDescent="0.2">
      <c r="A2550" s="12" t="s">
        <v>7748</v>
      </c>
      <c r="B2550" t="s">
        <v>7749</v>
      </c>
      <c r="C2550" t="s">
        <v>7750</v>
      </c>
      <c r="D2550" t="s">
        <v>1296</v>
      </c>
      <c r="E2550" t="s">
        <v>13</v>
      </c>
      <c r="F2550">
        <v>1419</v>
      </c>
      <c r="G2550">
        <v>373</v>
      </c>
      <c r="H2550" s="5" t="s">
        <v>22</v>
      </c>
      <c r="I2550" s="5">
        <v>0</v>
      </c>
      <c r="J2550" s="5">
        <v>0</v>
      </c>
      <c r="K2550" t="s">
        <v>11489</v>
      </c>
      <c r="L2550" cm="1">
        <f t="array" ref="L2550">wordCount(K2550)</f>
        <v>9</v>
      </c>
      <c r="M2550">
        <f t="shared" si="78"/>
        <v>39</v>
      </c>
      <c r="N2550">
        <v>0.7857142857142857</v>
      </c>
      <c r="O2550" s="23" cm="1">
        <f t="array" ref="O2550">WordListCount(K2550,keywords!$A$2:$A$31)-WordListCount(K2550,keywords!$B$2:$B$31)</f>
        <v>0</v>
      </c>
      <c r="P2550" s="25">
        <f t="shared" si="79"/>
        <v>0.84082175925925917</v>
      </c>
      <c r="Q2550" s="23">
        <f>SUM($O$2:O2550)</f>
        <v>70</v>
      </c>
      <c r="Y2550" s="14"/>
      <c r="Z2550" s="13"/>
      <c r="AA2550"/>
    </row>
    <row r="2551" spans="1:27" x14ac:dyDescent="0.2">
      <c r="A2551" s="12" t="s">
        <v>7751</v>
      </c>
      <c r="B2551" t="s">
        <v>7752</v>
      </c>
      <c r="C2551" t="s">
        <v>7753</v>
      </c>
      <c r="D2551" t="s">
        <v>7754</v>
      </c>
      <c r="E2551" t="s">
        <v>13</v>
      </c>
      <c r="F2551">
        <v>120</v>
      </c>
      <c r="G2551">
        <v>778</v>
      </c>
      <c r="H2551" s="5" t="s">
        <v>22</v>
      </c>
      <c r="I2551" s="5">
        <v>0</v>
      </c>
      <c r="J2551" s="5">
        <v>0</v>
      </c>
      <c r="K2551" t="s">
        <v>11490</v>
      </c>
      <c r="L2551" cm="1">
        <f t="array" ref="L2551">wordCount(K2551)</f>
        <v>20</v>
      </c>
      <c r="M2551">
        <f t="shared" si="78"/>
        <v>81</v>
      </c>
      <c r="N2551">
        <v>0.56521739130434778</v>
      </c>
      <c r="O2551" s="23" cm="1">
        <f t="array" ref="O2551">WordListCount(K2551,keywords!$A$2:$A$31)-WordListCount(K2551,keywords!$B$2:$B$31)</f>
        <v>1</v>
      </c>
      <c r="P2551" s="25">
        <f t="shared" si="79"/>
        <v>0.84086805555555555</v>
      </c>
      <c r="Q2551" s="23">
        <f>SUM($O$2:O2551)</f>
        <v>71</v>
      </c>
      <c r="Y2551" s="14"/>
      <c r="Z2551" s="13"/>
      <c r="AA2551"/>
    </row>
    <row r="2552" spans="1:27" x14ac:dyDescent="0.2">
      <c r="A2552" s="12" t="s">
        <v>7755</v>
      </c>
      <c r="B2552" t="s">
        <v>7756</v>
      </c>
      <c r="C2552" t="s">
        <v>7757</v>
      </c>
      <c r="D2552" t="s">
        <v>12</v>
      </c>
      <c r="E2552" t="s">
        <v>13</v>
      </c>
      <c r="F2552">
        <v>1569</v>
      </c>
      <c r="G2552">
        <v>1822</v>
      </c>
      <c r="H2552" s="5" t="s">
        <v>22</v>
      </c>
      <c r="I2552" s="5">
        <v>0</v>
      </c>
      <c r="J2552" s="5">
        <v>0</v>
      </c>
      <c r="K2552" t="s">
        <v>11491</v>
      </c>
      <c r="L2552" cm="1">
        <f t="array" ref="L2552">wordCount(K2552)</f>
        <v>19</v>
      </c>
      <c r="M2552">
        <f t="shared" si="78"/>
        <v>85</v>
      </c>
      <c r="N2552">
        <v>0.55555555555555558</v>
      </c>
      <c r="O2552" s="23" cm="1">
        <f t="array" ref="O2552">WordListCount(K2552,keywords!$A$2:$A$31)-WordListCount(K2552,keywords!$B$2:$B$31)</f>
        <v>1</v>
      </c>
      <c r="P2552" s="25">
        <f t="shared" si="79"/>
        <v>0.84090277777777789</v>
      </c>
      <c r="Q2552" s="23">
        <f>SUM($O$2:O2552)</f>
        <v>72</v>
      </c>
      <c r="Y2552" s="14"/>
      <c r="Z2552" s="13"/>
      <c r="AA2552"/>
    </row>
    <row r="2553" spans="1:27" x14ac:dyDescent="0.2">
      <c r="A2553" s="12" t="s">
        <v>7758</v>
      </c>
      <c r="B2553" t="s">
        <v>7759</v>
      </c>
      <c r="C2553" t="s">
        <v>7760</v>
      </c>
      <c r="D2553" t="s">
        <v>12</v>
      </c>
      <c r="E2553" t="s">
        <v>13</v>
      </c>
      <c r="F2553">
        <v>10</v>
      </c>
      <c r="G2553">
        <v>56</v>
      </c>
      <c r="H2553" s="5" t="s">
        <v>22</v>
      </c>
      <c r="I2553" s="5">
        <v>0</v>
      </c>
      <c r="J2553" s="5">
        <v>0</v>
      </c>
      <c r="K2553" t="s">
        <v>11492</v>
      </c>
      <c r="L2553" cm="1">
        <f t="array" ref="L2553">wordCount(K2553)</f>
        <v>5</v>
      </c>
      <c r="M2553">
        <f t="shared" si="78"/>
        <v>26</v>
      </c>
      <c r="N2553">
        <v>0.92307692307692313</v>
      </c>
      <c r="O2553" s="23" cm="1">
        <f t="array" ref="O2553">WordListCount(K2553,keywords!$A$2:$A$31)-WordListCount(K2553,keywords!$B$2:$B$31)</f>
        <v>0</v>
      </c>
      <c r="P2553" s="25">
        <f t="shared" si="79"/>
        <v>0.84100694444444446</v>
      </c>
      <c r="Q2553" s="23">
        <f>SUM($O$2:O2553)</f>
        <v>72</v>
      </c>
      <c r="Y2553" s="14"/>
      <c r="Z2553" s="13"/>
      <c r="AA2553"/>
    </row>
    <row r="2554" spans="1:27" x14ac:dyDescent="0.2">
      <c r="A2554" s="12" t="s">
        <v>7761</v>
      </c>
      <c r="B2554" t="s">
        <v>7762</v>
      </c>
      <c r="C2554" t="s">
        <v>7763</v>
      </c>
      <c r="D2554" t="s">
        <v>2955</v>
      </c>
      <c r="E2554" t="s">
        <v>13</v>
      </c>
      <c r="F2554">
        <v>13</v>
      </c>
      <c r="G2554">
        <v>27</v>
      </c>
      <c r="H2554" s="5" t="s">
        <v>22</v>
      </c>
      <c r="I2554" s="5">
        <v>0</v>
      </c>
      <c r="J2554" s="5">
        <v>0</v>
      </c>
      <c r="K2554" t="s">
        <v>11493</v>
      </c>
      <c r="L2554" cm="1">
        <f t="array" ref="L2554">wordCount(K2554)</f>
        <v>16</v>
      </c>
      <c r="M2554">
        <f t="shared" si="78"/>
        <v>89</v>
      </c>
      <c r="N2554">
        <v>0.23529411764705882</v>
      </c>
      <c r="O2554" s="23" cm="1">
        <f t="array" ref="O2554">WordListCount(K2554,keywords!$A$2:$A$31)-WordListCount(K2554,keywords!$B$2:$B$31)</f>
        <v>0</v>
      </c>
      <c r="P2554" s="25">
        <f t="shared" si="79"/>
        <v>0.84113425925925922</v>
      </c>
      <c r="Q2554" s="23">
        <f>SUM($O$2:O2554)</f>
        <v>72</v>
      </c>
      <c r="Y2554" s="14"/>
      <c r="Z2554" s="13"/>
      <c r="AA2554"/>
    </row>
    <row r="2555" spans="1:27" x14ac:dyDescent="0.2">
      <c r="A2555" s="12" t="s">
        <v>7764</v>
      </c>
      <c r="B2555" t="s">
        <v>7765</v>
      </c>
      <c r="C2555" t="s">
        <v>7766</v>
      </c>
      <c r="D2555" t="s">
        <v>7767</v>
      </c>
      <c r="E2555" t="s">
        <v>13</v>
      </c>
      <c r="F2555">
        <v>4286</v>
      </c>
      <c r="G2555">
        <v>3819</v>
      </c>
      <c r="H2555" s="5" t="s">
        <v>393</v>
      </c>
      <c r="I2555" s="5">
        <v>0</v>
      </c>
      <c r="J2555" s="5">
        <v>0</v>
      </c>
      <c r="K2555" t="s">
        <v>11494</v>
      </c>
      <c r="L2555" cm="1">
        <f t="array" ref="L2555">wordCount(K2555)</f>
        <v>19</v>
      </c>
      <c r="M2555">
        <f t="shared" si="78"/>
        <v>102</v>
      </c>
      <c r="N2555">
        <v>0.38461538461538464</v>
      </c>
      <c r="O2555" s="23" cm="1">
        <f t="array" ref="O2555">WordListCount(K2555,keywords!$A$2:$A$31)-WordListCount(K2555,keywords!$B$2:$B$31)</f>
        <v>1</v>
      </c>
      <c r="P2555" s="25">
        <f t="shared" si="79"/>
        <v>0.84115740740740741</v>
      </c>
      <c r="Q2555" s="23">
        <f>SUM($O$2:O2555)</f>
        <v>73</v>
      </c>
      <c r="Y2555" s="14"/>
      <c r="Z2555" s="13"/>
      <c r="AA2555"/>
    </row>
    <row r="2556" spans="1:27" x14ac:dyDescent="0.2">
      <c r="A2556" s="12" t="s">
        <v>7768</v>
      </c>
      <c r="B2556" t="s">
        <v>7769</v>
      </c>
      <c r="C2556" t="s">
        <v>7770</v>
      </c>
      <c r="D2556" t="s">
        <v>12</v>
      </c>
      <c r="E2556" t="s">
        <v>13</v>
      </c>
      <c r="F2556">
        <v>13</v>
      </c>
      <c r="G2556">
        <v>15</v>
      </c>
      <c r="H2556" s="5" t="s">
        <v>22</v>
      </c>
      <c r="I2556" s="5">
        <v>0</v>
      </c>
      <c r="J2556" s="5">
        <v>0</v>
      </c>
      <c r="K2556" t="s">
        <v>11495</v>
      </c>
      <c r="L2556" cm="1">
        <f t="array" ref="L2556">wordCount(K2556)</f>
        <v>14</v>
      </c>
      <c r="M2556">
        <f t="shared" si="78"/>
        <v>85</v>
      </c>
      <c r="N2556">
        <v>0.51851851851851849</v>
      </c>
      <c r="O2556" s="23" cm="1">
        <f t="array" ref="O2556">WordListCount(K2556,keywords!$A$2:$A$31)-WordListCount(K2556,keywords!$B$2:$B$31)</f>
        <v>1</v>
      </c>
      <c r="P2556" s="25">
        <f t="shared" si="79"/>
        <v>0.84155092592592595</v>
      </c>
      <c r="Q2556" s="23">
        <f>SUM($O$2:O2556)</f>
        <v>74</v>
      </c>
      <c r="Y2556" s="14"/>
      <c r="Z2556" s="13"/>
      <c r="AA2556"/>
    </row>
    <row r="2557" spans="1:27" x14ac:dyDescent="0.2">
      <c r="A2557" s="12" t="s">
        <v>7771</v>
      </c>
      <c r="B2557" t="s">
        <v>7772</v>
      </c>
      <c r="C2557" t="s">
        <v>7773</v>
      </c>
      <c r="D2557" t="s">
        <v>344</v>
      </c>
      <c r="E2557" t="s">
        <v>13</v>
      </c>
      <c r="F2557">
        <v>27</v>
      </c>
      <c r="G2557">
        <v>54</v>
      </c>
      <c r="H2557" s="5" t="s">
        <v>22</v>
      </c>
      <c r="I2557" s="5">
        <v>0</v>
      </c>
      <c r="J2557" s="5">
        <v>0</v>
      </c>
      <c r="K2557" t="s">
        <v>11496</v>
      </c>
      <c r="L2557" cm="1">
        <f t="array" ref="L2557">wordCount(K2557)</f>
        <v>22</v>
      </c>
      <c r="M2557">
        <f t="shared" si="78"/>
        <v>108</v>
      </c>
      <c r="N2557">
        <v>0.32</v>
      </c>
      <c r="O2557" s="23" cm="1">
        <f t="array" ref="O2557">WordListCount(K2557,keywords!$A$2:$A$31)-WordListCount(K2557,keywords!$B$2:$B$31)</f>
        <v>1</v>
      </c>
      <c r="P2557" s="25">
        <f t="shared" si="79"/>
        <v>0.84163194444444445</v>
      </c>
      <c r="Q2557" s="23">
        <f>SUM($O$2:O2557)</f>
        <v>75</v>
      </c>
      <c r="Y2557" s="14"/>
      <c r="Z2557" s="13"/>
      <c r="AA2557"/>
    </row>
    <row r="2558" spans="1:27" x14ac:dyDescent="0.2">
      <c r="A2558" s="12" t="s">
        <v>7774</v>
      </c>
      <c r="B2558" t="s">
        <v>7775</v>
      </c>
      <c r="C2558" t="s">
        <v>7744</v>
      </c>
      <c r="D2558" t="s">
        <v>197</v>
      </c>
      <c r="E2558" t="s">
        <v>13</v>
      </c>
      <c r="F2558">
        <v>362</v>
      </c>
      <c r="G2558">
        <v>25</v>
      </c>
      <c r="H2558" s="5" t="s">
        <v>22</v>
      </c>
      <c r="I2558" s="5">
        <v>0</v>
      </c>
      <c r="J2558" s="5">
        <v>0</v>
      </c>
      <c r="K2558" t="s">
        <v>11497</v>
      </c>
      <c r="L2558" cm="1">
        <f t="array" ref="L2558">wordCount(K2558)</f>
        <v>11</v>
      </c>
      <c r="M2558">
        <f t="shared" si="78"/>
        <v>58</v>
      </c>
      <c r="N2558">
        <v>0.75</v>
      </c>
      <c r="O2558" s="23" cm="1">
        <f t="array" ref="O2558">WordListCount(K2558,keywords!$A$2:$A$31)-WordListCount(K2558,keywords!$B$2:$B$31)</f>
        <v>0</v>
      </c>
      <c r="P2558" s="25">
        <f t="shared" si="79"/>
        <v>0.84166666666666667</v>
      </c>
      <c r="Q2558" s="23">
        <f>SUM($O$2:O2558)</f>
        <v>75</v>
      </c>
      <c r="Y2558" s="14"/>
      <c r="Z2558" s="13"/>
      <c r="AA2558"/>
    </row>
    <row r="2559" spans="1:27" x14ac:dyDescent="0.2">
      <c r="A2559" s="12" t="s">
        <v>7776</v>
      </c>
      <c r="B2559" t="s">
        <v>7777</v>
      </c>
      <c r="C2559" t="s">
        <v>241</v>
      </c>
      <c r="D2559" t="s">
        <v>242</v>
      </c>
      <c r="E2559" t="s">
        <v>13</v>
      </c>
      <c r="F2559">
        <v>9229</v>
      </c>
      <c r="G2559">
        <v>7170</v>
      </c>
      <c r="H2559" s="5" t="s">
        <v>22</v>
      </c>
      <c r="I2559" s="5">
        <v>0</v>
      </c>
      <c r="J2559" s="5">
        <v>0</v>
      </c>
      <c r="K2559" t="s">
        <v>9106</v>
      </c>
      <c r="L2559" cm="1">
        <f t="array" ref="L2559">wordCount(K2559)</f>
        <v>11</v>
      </c>
      <c r="M2559">
        <f t="shared" si="78"/>
        <v>58</v>
      </c>
      <c r="N2559">
        <v>1</v>
      </c>
      <c r="O2559" s="23" cm="1">
        <f t="array" ref="O2559">WordListCount(K2559,keywords!$A$2:$A$31)-WordListCount(K2559,keywords!$B$2:$B$31)</f>
        <v>0</v>
      </c>
      <c r="P2559" s="25">
        <f t="shared" si="79"/>
        <v>0.84193287037037035</v>
      </c>
      <c r="Q2559" s="23">
        <f>SUM($O$2:O2559)</f>
        <v>75</v>
      </c>
      <c r="Y2559" s="14"/>
      <c r="Z2559" s="13"/>
      <c r="AA2559"/>
    </row>
    <row r="2560" spans="1:27" x14ac:dyDescent="0.2">
      <c r="A2560" s="12" t="s">
        <v>7778</v>
      </c>
      <c r="B2560" t="s">
        <v>7779</v>
      </c>
      <c r="C2560" t="s">
        <v>7780</v>
      </c>
      <c r="D2560" t="s">
        <v>74</v>
      </c>
      <c r="E2560" t="s">
        <v>13</v>
      </c>
      <c r="F2560">
        <v>161</v>
      </c>
      <c r="G2560">
        <v>487</v>
      </c>
      <c r="H2560" s="5" t="s">
        <v>22</v>
      </c>
      <c r="I2560" s="5">
        <v>0</v>
      </c>
      <c r="J2560" s="5">
        <v>0</v>
      </c>
      <c r="K2560" t="s">
        <v>11498</v>
      </c>
      <c r="L2560" cm="1">
        <f t="array" ref="L2560">wordCount(K2560)</f>
        <v>11</v>
      </c>
      <c r="M2560">
        <f t="shared" si="78"/>
        <v>38</v>
      </c>
      <c r="N2560">
        <v>0.79166666666666663</v>
      </c>
      <c r="O2560" s="23" cm="1">
        <f t="array" ref="O2560">WordListCount(K2560,keywords!$A$2:$A$31)-WordListCount(K2560,keywords!$B$2:$B$31)</f>
        <v>0</v>
      </c>
      <c r="P2560" s="25">
        <f t="shared" si="79"/>
        <v>0.84197916666666661</v>
      </c>
      <c r="Q2560" s="23">
        <f>SUM($O$2:O2560)</f>
        <v>75</v>
      </c>
      <c r="Y2560" s="14"/>
      <c r="Z2560" s="13"/>
      <c r="AA2560"/>
    </row>
    <row r="2561" spans="1:27" x14ac:dyDescent="0.2">
      <c r="A2561" s="12" t="s">
        <v>7781</v>
      </c>
      <c r="B2561" t="s">
        <v>7782</v>
      </c>
      <c r="C2561" t="s">
        <v>5695</v>
      </c>
      <c r="D2561" t="s">
        <v>231</v>
      </c>
      <c r="E2561" t="s">
        <v>13</v>
      </c>
      <c r="F2561">
        <v>178</v>
      </c>
      <c r="G2561">
        <v>135</v>
      </c>
      <c r="H2561" s="5" t="s">
        <v>22</v>
      </c>
      <c r="I2561" s="5">
        <v>0</v>
      </c>
      <c r="J2561" s="5">
        <v>0</v>
      </c>
      <c r="K2561" t="s">
        <v>9806</v>
      </c>
      <c r="L2561" cm="1">
        <f t="array" ref="L2561">wordCount(K2561)</f>
        <v>14</v>
      </c>
      <c r="M2561">
        <f t="shared" si="78"/>
        <v>88</v>
      </c>
      <c r="N2561">
        <v>0.31578947368421051</v>
      </c>
      <c r="O2561" s="23" cm="1">
        <f t="array" ref="O2561">WordListCount(K2561,keywords!$A$2:$A$31)-WordListCount(K2561,keywords!$B$2:$B$31)</f>
        <v>0</v>
      </c>
      <c r="P2561" s="25">
        <f t="shared" si="79"/>
        <v>0.84201388888888884</v>
      </c>
      <c r="Q2561" s="23">
        <f>SUM($O$2:O2561)</f>
        <v>75</v>
      </c>
      <c r="Y2561" s="14"/>
      <c r="Z2561" s="13"/>
      <c r="AA2561"/>
    </row>
    <row r="2562" spans="1:27" x14ac:dyDescent="0.2">
      <c r="A2562" s="12" t="s">
        <v>7783</v>
      </c>
      <c r="B2562" t="s">
        <v>7784</v>
      </c>
      <c r="C2562" t="s">
        <v>7785</v>
      </c>
      <c r="D2562" t="s">
        <v>12</v>
      </c>
      <c r="E2562" t="s">
        <v>13</v>
      </c>
      <c r="F2562">
        <v>63</v>
      </c>
      <c r="G2562">
        <v>1</v>
      </c>
      <c r="H2562" s="5" t="s">
        <v>22</v>
      </c>
      <c r="I2562" s="5">
        <v>0</v>
      </c>
      <c r="J2562" s="5">
        <v>0</v>
      </c>
      <c r="K2562" t="s">
        <v>11499</v>
      </c>
      <c r="L2562" cm="1">
        <f t="array" ref="L2562">wordCount(K2562)</f>
        <v>16</v>
      </c>
      <c r="M2562">
        <f t="shared" ref="M2562:M2625" si="80">LEN(K2562)</f>
        <v>83</v>
      </c>
      <c r="N2562">
        <v>0.43478260869565216</v>
      </c>
      <c r="O2562" s="23" cm="1">
        <f t="array" ref="O2562">WordListCount(K2562,keywords!$A$2:$A$31)-WordListCount(K2562,keywords!$B$2:$B$31)</f>
        <v>0</v>
      </c>
      <c r="P2562" s="25">
        <f t="shared" ref="P2562:P2625" si="81">TIMEVALUE(RIGHT(A2562,8))</f>
        <v>0.84208333333333341</v>
      </c>
      <c r="Q2562" s="23">
        <f>SUM($O$2:O2562)</f>
        <v>75</v>
      </c>
      <c r="Y2562" s="14"/>
      <c r="Z2562" s="13"/>
      <c r="AA2562"/>
    </row>
    <row r="2563" spans="1:27" x14ac:dyDescent="0.2">
      <c r="A2563" s="12" t="s">
        <v>7786</v>
      </c>
      <c r="B2563" t="s">
        <v>7787</v>
      </c>
      <c r="C2563" t="s">
        <v>7788</v>
      </c>
      <c r="D2563" t="s">
        <v>12</v>
      </c>
      <c r="E2563" t="s">
        <v>13</v>
      </c>
      <c r="F2563">
        <v>32</v>
      </c>
      <c r="G2563">
        <v>97</v>
      </c>
      <c r="H2563" s="5" t="s">
        <v>22</v>
      </c>
      <c r="I2563" s="5">
        <v>0</v>
      </c>
      <c r="J2563" s="5">
        <v>0</v>
      </c>
      <c r="K2563" t="s">
        <v>11500</v>
      </c>
      <c r="L2563" cm="1">
        <f t="array" ref="L2563">wordCount(K2563)</f>
        <v>8</v>
      </c>
      <c r="M2563">
        <f t="shared" si="80"/>
        <v>35</v>
      </c>
      <c r="N2563">
        <v>0.54545454545454541</v>
      </c>
      <c r="O2563" s="23" cm="1">
        <f t="array" ref="O2563">WordListCount(K2563,keywords!$A$2:$A$31)-WordListCount(K2563,keywords!$B$2:$B$31)</f>
        <v>1</v>
      </c>
      <c r="P2563" s="25">
        <f t="shared" si="81"/>
        <v>0.84224537037037039</v>
      </c>
      <c r="Q2563" s="23">
        <f>SUM($O$2:O2563)</f>
        <v>76</v>
      </c>
      <c r="Y2563" s="14"/>
      <c r="Z2563" s="13"/>
      <c r="AA2563"/>
    </row>
    <row r="2564" spans="1:27" x14ac:dyDescent="0.2">
      <c r="A2564" s="12" t="s">
        <v>7789</v>
      </c>
      <c r="B2564" t="s">
        <v>7790</v>
      </c>
      <c r="C2564" t="s">
        <v>7791</v>
      </c>
      <c r="D2564" t="s">
        <v>7792</v>
      </c>
      <c r="E2564" t="s">
        <v>13</v>
      </c>
      <c r="F2564">
        <v>351</v>
      </c>
      <c r="G2564">
        <v>1742</v>
      </c>
      <c r="H2564" s="5" t="s">
        <v>22</v>
      </c>
      <c r="I2564" s="5">
        <v>0</v>
      </c>
      <c r="J2564" s="5">
        <v>0</v>
      </c>
      <c r="K2564" t="s">
        <v>11501</v>
      </c>
      <c r="L2564" cm="1">
        <f t="array" ref="L2564">wordCount(K2564)</f>
        <v>6</v>
      </c>
      <c r="M2564">
        <f t="shared" si="80"/>
        <v>37</v>
      </c>
      <c r="N2564">
        <v>0.66666666666666663</v>
      </c>
      <c r="O2564" s="23" cm="1">
        <f t="array" ref="O2564">WordListCount(K2564,keywords!$A$2:$A$31)-WordListCount(K2564,keywords!$B$2:$B$31)</f>
        <v>0</v>
      </c>
      <c r="P2564" s="25">
        <f t="shared" si="81"/>
        <v>0.84255787037037033</v>
      </c>
      <c r="Q2564" s="23">
        <f>SUM($O$2:O2564)</f>
        <v>76</v>
      </c>
      <c r="Y2564" s="14"/>
      <c r="Z2564" s="13"/>
      <c r="AA2564"/>
    </row>
    <row r="2565" spans="1:27" x14ac:dyDescent="0.2">
      <c r="A2565" s="12" t="s">
        <v>7793</v>
      </c>
      <c r="B2565" t="s">
        <v>7794</v>
      </c>
      <c r="C2565" t="s">
        <v>7795</v>
      </c>
      <c r="D2565" t="s">
        <v>7796</v>
      </c>
      <c r="E2565" t="s">
        <v>13</v>
      </c>
      <c r="F2565">
        <v>538</v>
      </c>
      <c r="G2565">
        <v>602</v>
      </c>
      <c r="H2565" s="5" t="s">
        <v>22</v>
      </c>
      <c r="I2565" s="5">
        <v>0</v>
      </c>
      <c r="J2565" s="5">
        <v>0</v>
      </c>
      <c r="K2565" t="s">
        <v>11502</v>
      </c>
      <c r="L2565" cm="1">
        <f t="array" ref="L2565">wordCount(K2565)</f>
        <v>16</v>
      </c>
      <c r="M2565">
        <f t="shared" si="80"/>
        <v>84</v>
      </c>
      <c r="N2565">
        <v>0.3888888888888889</v>
      </c>
      <c r="O2565" s="23" cm="1">
        <f t="array" ref="O2565">WordListCount(K2565,keywords!$A$2:$A$31)-WordListCount(K2565,keywords!$B$2:$B$31)</f>
        <v>0</v>
      </c>
      <c r="P2565" s="25">
        <f t="shared" si="81"/>
        <v>0.84284722222222219</v>
      </c>
      <c r="Q2565" s="23">
        <f>SUM($O$2:O2565)</f>
        <v>76</v>
      </c>
      <c r="Y2565" s="14"/>
      <c r="Z2565" s="13"/>
      <c r="AA2565"/>
    </row>
    <row r="2566" spans="1:27" x14ac:dyDescent="0.2">
      <c r="A2566" s="12" t="s">
        <v>7797</v>
      </c>
      <c r="B2566" t="s">
        <v>7798</v>
      </c>
      <c r="C2566" t="s">
        <v>7799</v>
      </c>
      <c r="D2566" t="s">
        <v>12</v>
      </c>
      <c r="E2566" t="s">
        <v>13</v>
      </c>
      <c r="F2566">
        <v>799</v>
      </c>
      <c r="G2566">
        <v>218</v>
      </c>
      <c r="H2566" s="5" t="s">
        <v>22</v>
      </c>
      <c r="I2566" s="5">
        <v>0</v>
      </c>
      <c r="J2566" s="5">
        <v>0</v>
      </c>
      <c r="K2566" t="s">
        <v>9807</v>
      </c>
      <c r="L2566" cm="1">
        <f t="array" ref="L2566">wordCount(K2566)</f>
        <v>15</v>
      </c>
      <c r="M2566">
        <f t="shared" si="80"/>
        <v>88</v>
      </c>
      <c r="N2566">
        <v>0.66666666666666663</v>
      </c>
      <c r="O2566" s="23" cm="1">
        <f t="array" ref="O2566">WordListCount(K2566,keywords!$A$2:$A$31)-WordListCount(K2566,keywords!$B$2:$B$31)</f>
        <v>0</v>
      </c>
      <c r="P2566" s="25">
        <f t="shared" si="81"/>
        <v>0.84341435185185187</v>
      </c>
      <c r="Q2566" s="23">
        <f>SUM($O$2:O2566)</f>
        <v>76</v>
      </c>
      <c r="Y2566" s="14"/>
      <c r="Z2566" s="13"/>
      <c r="AA2566"/>
    </row>
    <row r="2567" spans="1:27" x14ac:dyDescent="0.2">
      <c r="A2567" s="12" t="s">
        <v>7800</v>
      </c>
      <c r="B2567" t="s">
        <v>7801</v>
      </c>
      <c r="C2567" t="s">
        <v>7802</v>
      </c>
      <c r="D2567" t="s">
        <v>7803</v>
      </c>
      <c r="E2567" t="s">
        <v>13</v>
      </c>
      <c r="F2567">
        <v>742</v>
      </c>
      <c r="G2567">
        <v>940</v>
      </c>
      <c r="H2567" s="5" t="s">
        <v>22</v>
      </c>
      <c r="I2567" s="5">
        <v>0</v>
      </c>
      <c r="J2567" s="5">
        <v>0</v>
      </c>
      <c r="K2567" t="s">
        <v>11503</v>
      </c>
      <c r="L2567" cm="1">
        <f t="array" ref="L2567">wordCount(K2567)</f>
        <v>17</v>
      </c>
      <c r="M2567">
        <f t="shared" si="80"/>
        <v>88</v>
      </c>
      <c r="N2567">
        <v>0.58064516129032262</v>
      </c>
      <c r="O2567" s="23" cm="1">
        <f t="array" ref="O2567">WordListCount(K2567,keywords!$A$2:$A$31)-WordListCount(K2567,keywords!$B$2:$B$31)</f>
        <v>0</v>
      </c>
      <c r="P2567" s="25">
        <f t="shared" si="81"/>
        <v>0.84343749999999995</v>
      </c>
      <c r="Q2567" s="23">
        <f>SUM($O$2:O2567)</f>
        <v>76</v>
      </c>
      <c r="Y2567" s="14"/>
      <c r="Z2567" s="13"/>
      <c r="AA2567"/>
    </row>
    <row r="2568" spans="1:27" x14ac:dyDescent="0.2">
      <c r="A2568" s="12" t="s">
        <v>7804</v>
      </c>
      <c r="B2568" t="s">
        <v>7805</v>
      </c>
      <c r="C2568" t="s">
        <v>7806</v>
      </c>
      <c r="D2568" t="s">
        <v>7807</v>
      </c>
      <c r="E2568" t="s">
        <v>13</v>
      </c>
      <c r="F2568">
        <v>199</v>
      </c>
      <c r="G2568">
        <v>1865</v>
      </c>
      <c r="H2568" s="5" t="s">
        <v>22</v>
      </c>
      <c r="I2568" s="5">
        <v>0</v>
      </c>
      <c r="J2568" s="5">
        <v>0</v>
      </c>
      <c r="K2568" t="s">
        <v>11504</v>
      </c>
      <c r="L2568" cm="1">
        <f t="array" ref="L2568">wordCount(K2568)</f>
        <v>5</v>
      </c>
      <c r="M2568">
        <f t="shared" si="80"/>
        <v>27</v>
      </c>
      <c r="N2568">
        <v>0.88888888888888884</v>
      </c>
      <c r="O2568" s="23" cm="1">
        <f t="array" ref="O2568">WordListCount(K2568,keywords!$A$2:$A$31)-WordListCount(K2568,keywords!$B$2:$B$31)</f>
        <v>0</v>
      </c>
      <c r="P2568" s="25">
        <f t="shared" si="81"/>
        <v>0.84349537037037037</v>
      </c>
      <c r="Q2568" s="23">
        <f>SUM($O$2:O2568)</f>
        <v>76</v>
      </c>
      <c r="Y2568" s="14"/>
      <c r="Z2568" s="13"/>
      <c r="AA2568"/>
    </row>
    <row r="2569" spans="1:27" x14ac:dyDescent="0.2">
      <c r="A2569" s="12" t="s">
        <v>7808</v>
      </c>
      <c r="B2569" t="s">
        <v>7809</v>
      </c>
      <c r="C2569" t="s">
        <v>7810</v>
      </c>
      <c r="D2569" t="s">
        <v>124</v>
      </c>
      <c r="E2569" t="s">
        <v>13</v>
      </c>
      <c r="F2569">
        <v>133</v>
      </c>
      <c r="G2569">
        <v>304</v>
      </c>
      <c r="H2569" s="5" t="s">
        <v>22</v>
      </c>
      <c r="I2569" s="5">
        <v>0</v>
      </c>
      <c r="J2569" s="5">
        <v>0</v>
      </c>
      <c r="K2569" t="s">
        <v>11505</v>
      </c>
      <c r="L2569" cm="1">
        <f t="array" ref="L2569">wordCount(K2569)</f>
        <v>13</v>
      </c>
      <c r="M2569">
        <f t="shared" si="80"/>
        <v>73</v>
      </c>
      <c r="N2569">
        <v>0.5</v>
      </c>
      <c r="O2569" s="23" cm="1">
        <f t="array" ref="O2569">WordListCount(K2569,keywords!$A$2:$A$31)-WordListCount(K2569,keywords!$B$2:$B$31)</f>
        <v>0</v>
      </c>
      <c r="P2569" s="25">
        <f t="shared" si="81"/>
        <v>0.84363425925925928</v>
      </c>
      <c r="Q2569" s="23">
        <f>SUM($O$2:O2569)</f>
        <v>76</v>
      </c>
      <c r="Y2569" s="14"/>
      <c r="Z2569" s="13"/>
      <c r="AA2569"/>
    </row>
    <row r="2570" spans="1:27" x14ac:dyDescent="0.2">
      <c r="A2570" s="12" t="s">
        <v>7811</v>
      </c>
      <c r="B2570" t="s">
        <v>7812</v>
      </c>
      <c r="C2570" t="s">
        <v>7813</v>
      </c>
      <c r="D2570" t="s">
        <v>7814</v>
      </c>
      <c r="E2570" t="s">
        <v>13</v>
      </c>
      <c r="F2570">
        <v>812</v>
      </c>
      <c r="G2570">
        <v>325</v>
      </c>
      <c r="H2570" s="5" t="s">
        <v>22</v>
      </c>
      <c r="I2570" s="5">
        <v>0</v>
      </c>
      <c r="J2570" s="5">
        <v>0</v>
      </c>
      <c r="K2570" t="s">
        <v>11506</v>
      </c>
      <c r="L2570" cm="1">
        <f t="array" ref="L2570">wordCount(K2570)</f>
        <v>8</v>
      </c>
      <c r="M2570">
        <f t="shared" si="80"/>
        <v>37</v>
      </c>
      <c r="N2570">
        <v>0.625</v>
      </c>
      <c r="O2570" s="23" cm="1">
        <f t="array" ref="O2570">WordListCount(K2570,keywords!$A$2:$A$31)-WordListCount(K2570,keywords!$B$2:$B$31)</f>
        <v>0</v>
      </c>
      <c r="P2570" s="25">
        <f t="shared" si="81"/>
        <v>0.84368055555555566</v>
      </c>
      <c r="Q2570" s="23">
        <f>SUM($O$2:O2570)</f>
        <v>76</v>
      </c>
      <c r="Y2570" s="14"/>
      <c r="Z2570" s="13"/>
      <c r="AA2570"/>
    </row>
    <row r="2571" spans="1:27" x14ac:dyDescent="0.2">
      <c r="A2571" s="12" t="s">
        <v>7815</v>
      </c>
      <c r="B2571" t="s">
        <v>7816</v>
      </c>
      <c r="C2571" t="s">
        <v>7817</v>
      </c>
      <c r="D2571" t="s">
        <v>7818</v>
      </c>
      <c r="E2571" t="s">
        <v>13</v>
      </c>
      <c r="F2571">
        <v>1465</v>
      </c>
      <c r="G2571">
        <v>174</v>
      </c>
      <c r="H2571" s="5" t="s">
        <v>22</v>
      </c>
      <c r="I2571" s="5">
        <v>0</v>
      </c>
      <c r="J2571" s="5">
        <v>0</v>
      </c>
      <c r="K2571" t="s">
        <v>11507</v>
      </c>
      <c r="L2571" cm="1">
        <f t="array" ref="L2571">wordCount(K2571)</f>
        <v>4</v>
      </c>
      <c r="M2571">
        <f t="shared" si="80"/>
        <v>24</v>
      </c>
      <c r="N2571">
        <v>0.4</v>
      </c>
      <c r="O2571" s="23" cm="1">
        <f t="array" ref="O2571">WordListCount(K2571,keywords!$A$2:$A$31)-WordListCount(K2571,keywords!$B$2:$B$31)</f>
        <v>0</v>
      </c>
      <c r="P2571" s="25">
        <f t="shared" si="81"/>
        <v>0.84375</v>
      </c>
      <c r="Q2571" s="23">
        <f>SUM($O$2:O2571)</f>
        <v>76</v>
      </c>
      <c r="Y2571" s="14"/>
      <c r="Z2571" s="13"/>
      <c r="AA2571"/>
    </row>
    <row r="2572" spans="1:27" x14ac:dyDescent="0.2">
      <c r="A2572" s="12" t="s">
        <v>7819</v>
      </c>
      <c r="B2572" t="s">
        <v>7820</v>
      </c>
      <c r="C2572" t="s">
        <v>179</v>
      </c>
      <c r="D2572" t="s">
        <v>180</v>
      </c>
      <c r="E2572" t="s">
        <v>13</v>
      </c>
      <c r="F2572">
        <v>971</v>
      </c>
      <c r="G2572">
        <v>180</v>
      </c>
      <c r="H2572" s="5" t="s">
        <v>22</v>
      </c>
      <c r="I2572" s="5">
        <v>0</v>
      </c>
      <c r="J2572" s="5">
        <v>0</v>
      </c>
      <c r="K2572" t="s">
        <v>11508</v>
      </c>
      <c r="L2572" cm="1">
        <f t="array" ref="L2572">wordCount(K2572)</f>
        <v>17</v>
      </c>
      <c r="M2572">
        <f t="shared" si="80"/>
        <v>96</v>
      </c>
      <c r="N2572">
        <v>0.53846153846153844</v>
      </c>
      <c r="O2572" s="23" cm="1">
        <f t="array" ref="O2572">WordListCount(K2572,keywords!$A$2:$A$31)-WordListCount(K2572,keywords!$B$2:$B$31)</f>
        <v>0</v>
      </c>
      <c r="P2572" s="25">
        <f t="shared" si="81"/>
        <v>0.84377314814814808</v>
      </c>
      <c r="Q2572" s="23">
        <f>SUM($O$2:O2572)</f>
        <v>76</v>
      </c>
      <c r="Y2572" s="14"/>
      <c r="Z2572" s="13"/>
      <c r="AA2572"/>
    </row>
    <row r="2573" spans="1:27" x14ac:dyDescent="0.2">
      <c r="A2573" s="12" t="s">
        <v>7821</v>
      </c>
      <c r="B2573" t="s">
        <v>7822</v>
      </c>
      <c r="C2573" t="s">
        <v>7823</v>
      </c>
      <c r="D2573" t="s">
        <v>12</v>
      </c>
      <c r="E2573" t="s">
        <v>13</v>
      </c>
      <c r="F2573">
        <v>5</v>
      </c>
      <c r="G2573">
        <v>7</v>
      </c>
      <c r="H2573" s="5" t="s">
        <v>22</v>
      </c>
      <c r="I2573" s="5">
        <v>0</v>
      </c>
      <c r="J2573" s="5">
        <v>0</v>
      </c>
      <c r="K2573" t="s">
        <v>11509</v>
      </c>
      <c r="L2573" cm="1">
        <f t="array" ref="L2573">wordCount(K2573)</f>
        <v>7</v>
      </c>
      <c r="M2573">
        <f t="shared" si="80"/>
        <v>27</v>
      </c>
      <c r="N2573">
        <v>0.66666666666666663</v>
      </c>
      <c r="O2573" s="23" cm="1">
        <f t="array" ref="O2573">WordListCount(K2573,keywords!$A$2:$A$31)-WordListCount(K2573,keywords!$B$2:$B$31)</f>
        <v>0</v>
      </c>
      <c r="P2573" s="25">
        <f t="shared" si="81"/>
        <v>0.84415509259259258</v>
      </c>
      <c r="Q2573" s="23">
        <f>SUM($O$2:O2573)</f>
        <v>76</v>
      </c>
      <c r="Y2573" s="14"/>
      <c r="Z2573" s="13"/>
      <c r="AA2573"/>
    </row>
    <row r="2574" spans="1:27" x14ac:dyDescent="0.2">
      <c r="A2574" s="12" t="s">
        <v>7824</v>
      </c>
      <c r="B2574" t="s">
        <v>7825</v>
      </c>
      <c r="C2574" t="s">
        <v>7826</v>
      </c>
      <c r="D2574" t="s">
        <v>7827</v>
      </c>
      <c r="E2574" t="s">
        <v>13</v>
      </c>
      <c r="F2574">
        <v>1405</v>
      </c>
      <c r="G2574">
        <v>946</v>
      </c>
      <c r="H2574" s="5" t="s">
        <v>22</v>
      </c>
      <c r="I2574" s="5">
        <v>0</v>
      </c>
      <c r="J2574" s="5">
        <v>0</v>
      </c>
      <c r="K2574" t="s">
        <v>9808</v>
      </c>
      <c r="L2574" cm="1">
        <f t="array" ref="L2574">wordCount(K2574)</f>
        <v>7</v>
      </c>
      <c r="M2574">
        <f t="shared" si="80"/>
        <v>33</v>
      </c>
      <c r="N2574">
        <v>0.72222222222222221</v>
      </c>
      <c r="O2574" s="23" cm="1">
        <f t="array" ref="O2574">WordListCount(K2574,keywords!$A$2:$A$31)-WordListCount(K2574,keywords!$B$2:$B$31)</f>
        <v>0</v>
      </c>
      <c r="P2574" s="25">
        <f t="shared" si="81"/>
        <v>0.84446759259259263</v>
      </c>
      <c r="Q2574" s="23">
        <f>SUM($O$2:O2574)</f>
        <v>76</v>
      </c>
      <c r="Y2574" s="14"/>
      <c r="Z2574" s="13"/>
      <c r="AA2574"/>
    </row>
    <row r="2575" spans="1:27" x14ac:dyDescent="0.2">
      <c r="A2575" s="12" t="s">
        <v>7828</v>
      </c>
      <c r="B2575" t="s">
        <v>7829</v>
      </c>
      <c r="C2575" t="s">
        <v>7830</v>
      </c>
      <c r="D2575" t="s">
        <v>7831</v>
      </c>
      <c r="E2575" t="s">
        <v>13</v>
      </c>
      <c r="F2575">
        <v>492</v>
      </c>
      <c r="G2575">
        <v>153</v>
      </c>
      <c r="H2575" s="5" t="s">
        <v>22</v>
      </c>
      <c r="I2575" s="5">
        <v>0</v>
      </c>
      <c r="J2575" s="5">
        <v>0</v>
      </c>
      <c r="K2575" t="s">
        <v>9809</v>
      </c>
      <c r="L2575" cm="1">
        <f t="array" ref="L2575">wordCount(K2575)</f>
        <v>4</v>
      </c>
      <c r="M2575">
        <f t="shared" si="80"/>
        <v>24</v>
      </c>
      <c r="N2575">
        <v>0.6</v>
      </c>
      <c r="O2575" s="23" cm="1">
        <f t="array" ref="O2575">WordListCount(K2575,keywords!$A$2:$A$31)-WordListCount(K2575,keywords!$B$2:$B$31)</f>
        <v>0</v>
      </c>
      <c r="P2575" s="25">
        <f t="shared" si="81"/>
        <v>0.84449074074074071</v>
      </c>
      <c r="Q2575" s="23">
        <f>SUM($O$2:O2575)</f>
        <v>76</v>
      </c>
      <c r="Y2575" s="14"/>
      <c r="Z2575" s="13"/>
      <c r="AA2575"/>
    </row>
    <row r="2576" spans="1:27" x14ac:dyDescent="0.2">
      <c r="A2576" s="12" t="s">
        <v>7832</v>
      </c>
      <c r="B2576" t="s">
        <v>7833</v>
      </c>
      <c r="C2576" t="s">
        <v>7834</v>
      </c>
      <c r="D2576" t="s">
        <v>7835</v>
      </c>
      <c r="E2576" t="s">
        <v>13</v>
      </c>
      <c r="F2576">
        <v>79</v>
      </c>
      <c r="G2576">
        <v>235</v>
      </c>
      <c r="H2576" s="5" t="s">
        <v>22</v>
      </c>
      <c r="I2576" s="5">
        <v>0</v>
      </c>
      <c r="J2576" s="5">
        <v>0</v>
      </c>
      <c r="K2576" t="s">
        <v>11510</v>
      </c>
      <c r="L2576" cm="1">
        <f t="array" ref="L2576">wordCount(K2576)</f>
        <v>18</v>
      </c>
      <c r="M2576">
        <f t="shared" si="80"/>
        <v>78</v>
      </c>
      <c r="N2576">
        <v>0.36842105263157893</v>
      </c>
      <c r="O2576" s="23" cm="1">
        <f t="array" ref="O2576">WordListCount(K2576,keywords!$A$2:$A$31)-WordListCount(K2576,keywords!$B$2:$B$31)</f>
        <v>0</v>
      </c>
      <c r="P2576" s="25">
        <f t="shared" si="81"/>
        <v>0.8451157407407407</v>
      </c>
      <c r="Q2576" s="23">
        <f>SUM($O$2:O2576)</f>
        <v>76</v>
      </c>
      <c r="Y2576" s="14"/>
      <c r="Z2576" s="13"/>
      <c r="AA2576"/>
    </row>
    <row r="2577" spans="1:27" x14ac:dyDescent="0.2">
      <c r="A2577" s="12" t="s">
        <v>7836</v>
      </c>
      <c r="B2577" t="s">
        <v>7837</v>
      </c>
      <c r="C2577" t="s">
        <v>7838</v>
      </c>
      <c r="D2577" t="s">
        <v>12</v>
      </c>
      <c r="E2577" t="s">
        <v>13</v>
      </c>
      <c r="F2577">
        <v>357</v>
      </c>
      <c r="G2577">
        <v>559</v>
      </c>
      <c r="H2577" s="5" t="s">
        <v>22</v>
      </c>
      <c r="I2577" s="5">
        <v>0</v>
      </c>
      <c r="J2577" s="5">
        <v>0</v>
      </c>
      <c r="K2577" t="s">
        <v>9810</v>
      </c>
      <c r="L2577" cm="1">
        <f t="array" ref="L2577">wordCount(K2577)</f>
        <v>10</v>
      </c>
      <c r="M2577">
        <f t="shared" si="80"/>
        <v>58</v>
      </c>
      <c r="N2577">
        <v>0.69230769230769229</v>
      </c>
      <c r="O2577" s="23" cm="1">
        <f t="array" ref="O2577">WordListCount(K2577,keywords!$A$2:$A$31)-WordListCount(K2577,keywords!$B$2:$B$31)</f>
        <v>0</v>
      </c>
      <c r="P2577" s="25">
        <f t="shared" si="81"/>
        <v>0.84516203703703707</v>
      </c>
      <c r="Q2577" s="23">
        <f>SUM($O$2:O2577)</f>
        <v>76</v>
      </c>
      <c r="Y2577" s="14"/>
      <c r="Z2577" s="13"/>
      <c r="AA2577"/>
    </row>
    <row r="2578" spans="1:27" x14ac:dyDescent="0.2">
      <c r="A2578" s="33" t="s">
        <v>7839</v>
      </c>
      <c r="B2578" s="34" t="s">
        <v>7840</v>
      </c>
      <c r="C2578" s="34" t="s">
        <v>123</v>
      </c>
      <c r="D2578" s="34" t="s">
        <v>124</v>
      </c>
      <c r="E2578" s="34" t="s">
        <v>13</v>
      </c>
      <c r="F2578" s="34">
        <v>838</v>
      </c>
      <c r="G2578" s="34">
        <v>898</v>
      </c>
      <c r="H2578" s="35" t="s">
        <v>125</v>
      </c>
      <c r="I2578" s="35">
        <v>0</v>
      </c>
      <c r="J2578" s="35">
        <v>0</v>
      </c>
      <c r="K2578" s="34" t="s">
        <v>9811</v>
      </c>
      <c r="L2578" s="34" cm="1">
        <f t="array" ref="L2578">wordCount(K2578)</f>
        <v>21</v>
      </c>
      <c r="M2578" s="34">
        <f t="shared" si="80"/>
        <v>98</v>
      </c>
      <c r="N2578" s="34">
        <v>0.81818181818181823</v>
      </c>
      <c r="O2578" s="36" cm="1">
        <f t="array" ref="O2578">WordListCount(K2578,keywords!$A$2:$A$31)-WordListCount(K2578,keywords!$B$2:$B$31)</f>
        <v>0</v>
      </c>
      <c r="P2578" s="37">
        <f t="shared" si="81"/>
        <v>0.84519675925925919</v>
      </c>
      <c r="Q2578" s="23">
        <f>SUM($O$2:O2578)</f>
        <v>76</v>
      </c>
    </row>
    <row r="2579" spans="1:27" x14ac:dyDescent="0.2">
      <c r="A2579" s="12" t="s">
        <v>7841</v>
      </c>
      <c r="B2579" t="s">
        <v>7842</v>
      </c>
      <c r="C2579" t="s">
        <v>7843</v>
      </c>
      <c r="D2579" t="s">
        <v>12</v>
      </c>
      <c r="E2579" t="s">
        <v>13</v>
      </c>
      <c r="F2579">
        <v>23</v>
      </c>
      <c r="G2579">
        <v>47</v>
      </c>
      <c r="H2579" s="5" t="s">
        <v>22</v>
      </c>
      <c r="I2579" s="5">
        <v>0</v>
      </c>
      <c r="J2579" s="5">
        <v>0</v>
      </c>
      <c r="K2579" t="s">
        <v>11511</v>
      </c>
      <c r="L2579" cm="1">
        <f t="array" ref="L2579">wordCount(K2579)</f>
        <v>18</v>
      </c>
      <c r="M2579">
        <f t="shared" si="80"/>
        <v>70</v>
      </c>
      <c r="N2579">
        <v>0.52173913043478259</v>
      </c>
      <c r="O2579" s="23" cm="1">
        <f t="array" ref="O2579">WordListCount(K2579,keywords!$A$2:$A$31)-WordListCount(K2579,keywords!$B$2:$B$31)</f>
        <v>0</v>
      </c>
      <c r="P2579" s="25">
        <f t="shared" si="81"/>
        <v>0.84526620370370376</v>
      </c>
      <c r="Q2579" s="23">
        <f>SUM($O$2:O2579)</f>
        <v>76</v>
      </c>
      <c r="Y2579" s="14"/>
      <c r="Z2579" s="13"/>
      <c r="AA2579"/>
    </row>
    <row r="2580" spans="1:27" x14ac:dyDescent="0.2">
      <c r="A2580" s="12" t="s">
        <v>7844</v>
      </c>
      <c r="B2580" t="s">
        <v>7845</v>
      </c>
      <c r="C2580" t="s">
        <v>1795</v>
      </c>
      <c r="D2580" t="s">
        <v>1796</v>
      </c>
      <c r="E2580" t="s">
        <v>13</v>
      </c>
      <c r="F2580">
        <v>1227</v>
      </c>
      <c r="G2580">
        <v>99</v>
      </c>
      <c r="H2580" s="5" t="s">
        <v>22</v>
      </c>
      <c r="I2580" s="5">
        <v>0</v>
      </c>
      <c r="J2580" s="5">
        <v>0</v>
      </c>
      <c r="K2580" t="s">
        <v>9812</v>
      </c>
      <c r="L2580" cm="1">
        <f t="array" ref="L2580">wordCount(K2580)</f>
        <v>14</v>
      </c>
      <c r="M2580">
        <f t="shared" si="80"/>
        <v>59</v>
      </c>
      <c r="N2580">
        <v>0.66666666666666663</v>
      </c>
      <c r="O2580" s="23" cm="1">
        <f t="array" ref="O2580">WordListCount(K2580,keywords!$A$2:$A$31)-WordListCount(K2580,keywords!$B$2:$B$31)</f>
        <v>0</v>
      </c>
      <c r="P2580" s="25">
        <f t="shared" si="81"/>
        <v>0.84546296296296297</v>
      </c>
      <c r="Q2580" s="23">
        <f>SUM($O$2:O2580)</f>
        <v>76</v>
      </c>
      <c r="Y2580" s="14"/>
      <c r="Z2580" s="13"/>
      <c r="AA2580"/>
    </row>
    <row r="2581" spans="1:27" x14ac:dyDescent="0.2">
      <c r="A2581" s="12" t="s">
        <v>7846</v>
      </c>
      <c r="B2581" t="s">
        <v>7847</v>
      </c>
      <c r="C2581" t="s">
        <v>610</v>
      </c>
      <c r="D2581" t="s">
        <v>611</v>
      </c>
      <c r="E2581" t="s">
        <v>13</v>
      </c>
      <c r="F2581">
        <v>11598</v>
      </c>
      <c r="G2581">
        <v>1533</v>
      </c>
      <c r="H2581" s="5" t="s">
        <v>59</v>
      </c>
      <c r="I2581" s="5">
        <v>0</v>
      </c>
      <c r="J2581" s="5">
        <v>0</v>
      </c>
      <c r="K2581" t="s">
        <v>9813</v>
      </c>
      <c r="L2581" cm="1">
        <f t="array" ref="L2581">wordCount(K2581)</f>
        <v>5</v>
      </c>
      <c r="M2581">
        <f t="shared" si="80"/>
        <v>27</v>
      </c>
      <c r="N2581">
        <v>0.7142857142857143</v>
      </c>
      <c r="O2581" s="23" cm="1">
        <f t="array" ref="O2581">WordListCount(K2581,keywords!$A$2:$A$31)-WordListCount(K2581,keywords!$B$2:$B$31)</f>
        <v>0</v>
      </c>
      <c r="P2581" s="25">
        <f t="shared" si="81"/>
        <v>0.84559027777777773</v>
      </c>
      <c r="Q2581" s="23">
        <f>SUM($O$2:O2581)</f>
        <v>76</v>
      </c>
      <c r="Y2581" s="14"/>
      <c r="Z2581" s="13"/>
      <c r="AA2581"/>
    </row>
    <row r="2582" spans="1:27" x14ac:dyDescent="0.2">
      <c r="A2582" s="12" t="s">
        <v>7848</v>
      </c>
      <c r="B2582" t="s">
        <v>7849</v>
      </c>
      <c r="C2582" t="s">
        <v>7850</v>
      </c>
      <c r="D2582" t="s">
        <v>12</v>
      </c>
      <c r="E2582" t="s">
        <v>13</v>
      </c>
      <c r="F2582">
        <v>1</v>
      </c>
      <c r="G2582">
        <v>28</v>
      </c>
      <c r="H2582" s="5" t="s">
        <v>14</v>
      </c>
      <c r="I2582" s="5">
        <v>0</v>
      </c>
      <c r="J2582" s="5">
        <v>0</v>
      </c>
      <c r="K2582" t="s">
        <v>11512</v>
      </c>
      <c r="L2582" cm="1">
        <f t="array" ref="L2582">wordCount(K2582)</f>
        <v>10</v>
      </c>
      <c r="M2582">
        <f t="shared" si="80"/>
        <v>61</v>
      </c>
      <c r="N2582">
        <v>9.0909090909090912E-2</v>
      </c>
      <c r="O2582" s="23" cm="1">
        <f t="array" ref="O2582">WordListCount(K2582,keywords!$A$2:$A$31)-WordListCount(K2582,keywords!$B$2:$B$31)</f>
        <v>0</v>
      </c>
      <c r="P2582" s="25">
        <f t="shared" si="81"/>
        <v>0.84575231481481483</v>
      </c>
      <c r="Q2582" s="23">
        <f>SUM($O$2:O2582)</f>
        <v>76</v>
      </c>
      <c r="Y2582" s="14"/>
      <c r="Z2582" s="13"/>
      <c r="AA2582"/>
    </row>
    <row r="2583" spans="1:27" x14ac:dyDescent="0.2">
      <c r="A2583" s="12" t="s">
        <v>7851</v>
      </c>
      <c r="B2583" t="s">
        <v>7852</v>
      </c>
      <c r="C2583" t="s">
        <v>172</v>
      </c>
      <c r="D2583" t="s">
        <v>12</v>
      </c>
      <c r="E2583" t="s">
        <v>13</v>
      </c>
      <c r="F2583">
        <v>3</v>
      </c>
      <c r="G2583">
        <v>1</v>
      </c>
      <c r="H2583" s="5" t="s">
        <v>22</v>
      </c>
      <c r="I2583" s="5">
        <v>0</v>
      </c>
      <c r="J2583" s="5">
        <v>0</v>
      </c>
      <c r="K2583" t="s">
        <v>11513</v>
      </c>
      <c r="L2583" cm="1">
        <f t="array" ref="L2583">wordCount(K2583)</f>
        <v>11</v>
      </c>
      <c r="M2583">
        <f t="shared" si="80"/>
        <v>63</v>
      </c>
      <c r="N2583">
        <v>0.68181818181818177</v>
      </c>
      <c r="O2583" s="23" cm="1">
        <f t="array" ref="O2583">WordListCount(K2583,keywords!$A$2:$A$31)-WordListCount(K2583,keywords!$B$2:$B$31)</f>
        <v>0</v>
      </c>
      <c r="P2583" s="25">
        <f t="shared" si="81"/>
        <v>0.84579861111111121</v>
      </c>
      <c r="Q2583" s="23">
        <f>SUM($O$2:O2583)</f>
        <v>76</v>
      </c>
      <c r="Y2583" s="14"/>
      <c r="Z2583" s="13"/>
      <c r="AA2583"/>
    </row>
    <row r="2584" spans="1:27" x14ac:dyDescent="0.2">
      <c r="A2584" s="12" t="s">
        <v>7853</v>
      </c>
      <c r="B2584" t="s">
        <v>7854</v>
      </c>
      <c r="C2584" t="s">
        <v>7855</v>
      </c>
      <c r="D2584" t="s">
        <v>1091</v>
      </c>
      <c r="E2584" t="s">
        <v>13</v>
      </c>
      <c r="F2584">
        <v>393</v>
      </c>
      <c r="G2584">
        <v>781</v>
      </c>
      <c r="H2584" s="5" t="s">
        <v>22</v>
      </c>
      <c r="I2584" s="5">
        <v>0</v>
      </c>
      <c r="J2584" s="5">
        <v>0</v>
      </c>
      <c r="K2584" t="s">
        <v>11514</v>
      </c>
      <c r="L2584" cm="1">
        <f t="array" ref="L2584">wordCount(K2584)</f>
        <v>23</v>
      </c>
      <c r="M2584">
        <f t="shared" si="80"/>
        <v>112</v>
      </c>
      <c r="N2584">
        <v>0.5</v>
      </c>
      <c r="O2584" s="23" cm="1">
        <f t="array" ref="O2584">WordListCount(K2584,keywords!$A$2:$A$31)-WordListCount(K2584,keywords!$B$2:$B$31)</f>
        <v>-1</v>
      </c>
      <c r="P2584" s="25">
        <f t="shared" si="81"/>
        <v>0.84592592592592597</v>
      </c>
      <c r="Q2584" s="23">
        <f>SUM($O$2:O2584)</f>
        <v>75</v>
      </c>
      <c r="Y2584" s="14"/>
      <c r="Z2584" s="13"/>
      <c r="AA2584"/>
    </row>
    <row r="2585" spans="1:27" x14ac:dyDescent="0.2">
      <c r="A2585" s="12" t="s">
        <v>7856</v>
      </c>
      <c r="B2585" t="s">
        <v>7857</v>
      </c>
      <c r="C2585" t="s">
        <v>7858</v>
      </c>
      <c r="D2585" t="s">
        <v>1328</v>
      </c>
      <c r="E2585" t="s">
        <v>13</v>
      </c>
      <c r="F2585">
        <v>4935</v>
      </c>
      <c r="G2585">
        <v>497</v>
      </c>
      <c r="H2585" s="5" t="s">
        <v>22</v>
      </c>
      <c r="I2585" s="5">
        <v>0</v>
      </c>
      <c r="J2585" s="5">
        <v>0</v>
      </c>
      <c r="K2585" t="s">
        <v>11515</v>
      </c>
      <c r="L2585" cm="1">
        <f t="array" ref="L2585">wordCount(K2585)</f>
        <v>28</v>
      </c>
      <c r="M2585">
        <f t="shared" si="80"/>
        <v>117</v>
      </c>
      <c r="N2585">
        <v>0.32142857142857145</v>
      </c>
      <c r="O2585" s="23" cm="1">
        <f t="array" ref="O2585">WordListCount(K2585,keywords!$A$2:$A$31)-WordListCount(K2585,keywords!$B$2:$B$31)</f>
        <v>0</v>
      </c>
      <c r="P2585" s="25">
        <f t="shared" si="81"/>
        <v>0.84605324074074073</v>
      </c>
      <c r="Q2585" s="23">
        <f>SUM($O$2:O2585)</f>
        <v>75</v>
      </c>
      <c r="Y2585" s="14"/>
      <c r="Z2585" s="13"/>
      <c r="AA2585"/>
    </row>
    <row r="2586" spans="1:27" x14ac:dyDescent="0.2">
      <c r="A2586" s="12" t="s">
        <v>7859</v>
      </c>
      <c r="B2586" t="s">
        <v>7860</v>
      </c>
      <c r="C2586" t="s">
        <v>5695</v>
      </c>
      <c r="D2586" t="s">
        <v>231</v>
      </c>
      <c r="E2586" t="s">
        <v>13</v>
      </c>
      <c r="F2586">
        <v>178</v>
      </c>
      <c r="G2586">
        <v>135</v>
      </c>
      <c r="H2586" s="5" t="s">
        <v>22</v>
      </c>
      <c r="I2586" s="5">
        <v>0</v>
      </c>
      <c r="J2586" s="5">
        <v>0</v>
      </c>
      <c r="K2586" t="s">
        <v>11516</v>
      </c>
      <c r="L2586" cm="1">
        <f t="array" ref="L2586">wordCount(K2586)</f>
        <v>17</v>
      </c>
      <c r="M2586">
        <f t="shared" si="80"/>
        <v>83</v>
      </c>
      <c r="N2586">
        <v>0.19047619047619047</v>
      </c>
      <c r="O2586" s="23" cm="1">
        <f t="array" ref="O2586">WordListCount(K2586,keywords!$A$2:$A$31)-WordListCount(K2586,keywords!$B$2:$B$31)</f>
        <v>0</v>
      </c>
      <c r="P2586" s="25">
        <f t="shared" si="81"/>
        <v>0.84608796296296296</v>
      </c>
      <c r="Q2586" s="23">
        <f>SUM($O$2:O2586)</f>
        <v>75</v>
      </c>
      <c r="Y2586" s="14"/>
      <c r="Z2586" s="13"/>
      <c r="AA2586"/>
    </row>
    <row r="2587" spans="1:27" x14ac:dyDescent="0.2">
      <c r="A2587" s="12" t="s">
        <v>7861</v>
      </c>
      <c r="B2587" t="s">
        <v>7862</v>
      </c>
      <c r="C2587" t="s">
        <v>7863</v>
      </c>
      <c r="D2587" t="s">
        <v>5941</v>
      </c>
      <c r="E2587" t="s">
        <v>13</v>
      </c>
      <c r="F2587">
        <v>302</v>
      </c>
      <c r="G2587">
        <v>383</v>
      </c>
      <c r="H2587" s="5" t="s">
        <v>22</v>
      </c>
      <c r="I2587" s="5">
        <v>0</v>
      </c>
      <c r="J2587" s="5">
        <v>0</v>
      </c>
      <c r="K2587" t="s">
        <v>11517</v>
      </c>
      <c r="L2587" cm="1">
        <f t="array" ref="L2587">wordCount(K2587)</f>
        <v>15</v>
      </c>
      <c r="M2587">
        <f t="shared" si="80"/>
        <v>103</v>
      </c>
      <c r="N2587">
        <v>0.36842105263157893</v>
      </c>
      <c r="O2587" s="23" cm="1">
        <f t="array" ref="O2587">WordListCount(K2587,keywords!$A$2:$A$31)-WordListCount(K2587,keywords!$B$2:$B$31)</f>
        <v>0</v>
      </c>
      <c r="P2587" s="25">
        <f t="shared" si="81"/>
        <v>0.84619212962962964</v>
      </c>
      <c r="Q2587" s="23">
        <f>SUM($O$2:O2587)</f>
        <v>75</v>
      </c>
      <c r="Y2587" s="14"/>
      <c r="Z2587" s="13"/>
      <c r="AA2587"/>
    </row>
    <row r="2588" spans="1:27" x14ac:dyDescent="0.2">
      <c r="A2588" s="12" t="s">
        <v>7864</v>
      </c>
      <c r="B2588" t="s">
        <v>7865</v>
      </c>
      <c r="C2588" t="s">
        <v>7866</v>
      </c>
      <c r="D2588" t="s">
        <v>12</v>
      </c>
      <c r="E2588" t="s">
        <v>13</v>
      </c>
      <c r="F2588">
        <v>647</v>
      </c>
      <c r="G2588">
        <v>460</v>
      </c>
      <c r="H2588" s="5" t="s">
        <v>22</v>
      </c>
      <c r="I2588" s="5">
        <v>0</v>
      </c>
      <c r="J2588" s="5">
        <v>0</v>
      </c>
      <c r="K2588" t="s">
        <v>11518</v>
      </c>
      <c r="L2588" cm="1">
        <f t="array" ref="L2588">wordCount(K2588)</f>
        <v>18</v>
      </c>
      <c r="M2588">
        <f t="shared" si="80"/>
        <v>109</v>
      </c>
      <c r="N2588">
        <v>0.5</v>
      </c>
      <c r="O2588" s="23" cm="1">
        <f t="array" ref="O2588">WordListCount(K2588,keywords!$A$2:$A$31)-WordListCount(K2588,keywords!$B$2:$B$31)</f>
        <v>0</v>
      </c>
      <c r="P2588" s="25">
        <f t="shared" si="81"/>
        <v>0.84628472222222229</v>
      </c>
      <c r="Q2588" s="23">
        <f>SUM($O$2:O2588)</f>
        <v>75</v>
      </c>
      <c r="Y2588" s="14"/>
      <c r="Z2588" s="13"/>
      <c r="AA2588"/>
    </row>
    <row r="2589" spans="1:27" x14ac:dyDescent="0.2">
      <c r="A2589" s="12" t="s">
        <v>7867</v>
      </c>
      <c r="B2589" t="s">
        <v>7868</v>
      </c>
      <c r="C2589" t="s">
        <v>610</v>
      </c>
      <c r="D2589" t="s">
        <v>611</v>
      </c>
      <c r="E2589" t="s">
        <v>13</v>
      </c>
      <c r="F2589">
        <v>11598</v>
      </c>
      <c r="G2589">
        <v>1533</v>
      </c>
      <c r="H2589" s="5" t="s">
        <v>59</v>
      </c>
      <c r="I2589" s="5">
        <v>0</v>
      </c>
      <c r="J2589" s="5">
        <v>0</v>
      </c>
      <c r="K2589" t="s">
        <v>9814</v>
      </c>
      <c r="L2589" cm="1">
        <f t="array" ref="L2589">wordCount(K2589)</f>
        <v>5</v>
      </c>
      <c r="M2589">
        <f t="shared" si="80"/>
        <v>21</v>
      </c>
      <c r="N2589">
        <v>0.7142857142857143</v>
      </c>
      <c r="O2589" s="23" cm="1">
        <f t="array" ref="O2589">WordListCount(K2589,keywords!$A$2:$A$31)-WordListCount(K2589,keywords!$B$2:$B$31)</f>
        <v>0</v>
      </c>
      <c r="P2589" s="25">
        <f t="shared" si="81"/>
        <v>0.84662037037037041</v>
      </c>
      <c r="Q2589" s="23">
        <f>SUM($O$2:O2589)</f>
        <v>75</v>
      </c>
      <c r="Y2589" s="14"/>
      <c r="Z2589" s="13"/>
      <c r="AA2589"/>
    </row>
    <row r="2590" spans="1:27" x14ac:dyDescent="0.2">
      <c r="A2590" s="12" t="s">
        <v>7869</v>
      </c>
      <c r="B2590" t="s">
        <v>7870</v>
      </c>
      <c r="C2590" t="s">
        <v>7717</v>
      </c>
      <c r="D2590" t="s">
        <v>12</v>
      </c>
      <c r="E2590" t="s">
        <v>13</v>
      </c>
      <c r="F2590">
        <v>19</v>
      </c>
      <c r="G2590">
        <v>277</v>
      </c>
      <c r="H2590" s="5" t="s">
        <v>22</v>
      </c>
      <c r="I2590" s="5">
        <v>0</v>
      </c>
      <c r="J2590" s="5">
        <v>0</v>
      </c>
      <c r="K2590" t="s">
        <v>9815</v>
      </c>
      <c r="L2590" cm="1">
        <f t="array" ref="L2590">wordCount(K2590)</f>
        <v>11</v>
      </c>
      <c r="M2590">
        <f t="shared" si="80"/>
        <v>74</v>
      </c>
      <c r="N2590">
        <v>0.6428571428571429</v>
      </c>
      <c r="O2590" s="23" cm="1">
        <f t="array" ref="O2590">WordListCount(K2590,keywords!$A$2:$A$31)-WordListCount(K2590,keywords!$B$2:$B$31)</f>
        <v>0</v>
      </c>
      <c r="P2590" s="25">
        <f t="shared" si="81"/>
        <v>0.84671296296296295</v>
      </c>
      <c r="Q2590" s="23">
        <f>SUM($O$2:O2590)</f>
        <v>75</v>
      </c>
      <c r="Y2590" s="14"/>
      <c r="Z2590" s="13"/>
      <c r="AA2590"/>
    </row>
    <row r="2591" spans="1:27" x14ac:dyDescent="0.2">
      <c r="A2591" s="12" t="s">
        <v>7871</v>
      </c>
      <c r="B2591" t="s">
        <v>7872</v>
      </c>
      <c r="C2591" t="s">
        <v>7873</v>
      </c>
      <c r="D2591" t="s">
        <v>7874</v>
      </c>
      <c r="E2591" t="s">
        <v>13</v>
      </c>
      <c r="F2591">
        <v>485</v>
      </c>
      <c r="G2591">
        <v>478</v>
      </c>
      <c r="H2591" s="5" t="s">
        <v>22</v>
      </c>
      <c r="I2591" s="5">
        <v>0</v>
      </c>
      <c r="J2591" s="5">
        <v>0</v>
      </c>
      <c r="K2591" t="s">
        <v>9816</v>
      </c>
      <c r="L2591" cm="1">
        <f t="array" ref="L2591">wordCount(K2591)</f>
        <v>5</v>
      </c>
      <c r="M2591">
        <f t="shared" si="80"/>
        <v>32</v>
      </c>
      <c r="N2591">
        <v>0.72222222222222221</v>
      </c>
      <c r="O2591" s="23" cm="1">
        <f t="array" ref="O2591">WordListCount(K2591,keywords!$A$2:$A$31)-WordListCount(K2591,keywords!$B$2:$B$31)</f>
        <v>0</v>
      </c>
      <c r="P2591" s="25">
        <f t="shared" si="81"/>
        <v>0.84681712962962974</v>
      </c>
      <c r="Q2591" s="23">
        <f>SUM($O$2:O2591)</f>
        <v>75</v>
      </c>
      <c r="Y2591" s="14"/>
      <c r="Z2591" s="13"/>
      <c r="AA2591"/>
    </row>
    <row r="2592" spans="1:27" x14ac:dyDescent="0.2">
      <c r="A2592" s="12" t="s">
        <v>7875</v>
      </c>
      <c r="B2592" t="s">
        <v>7876</v>
      </c>
      <c r="C2592" t="s">
        <v>7877</v>
      </c>
      <c r="D2592" t="s">
        <v>7878</v>
      </c>
      <c r="E2592" t="s">
        <v>13</v>
      </c>
      <c r="F2592">
        <v>1880</v>
      </c>
      <c r="G2592">
        <v>562</v>
      </c>
      <c r="H2592" s="5" t="s">
        <v>22</v>
      </c>
      <c r="I2592" s="5">
        <v>0</v>
      </c>
      <c r="J2592" s="5">
        <v>0</v>
      </c>
      <c r="K2592" t="s">
        <v>11519</v>
      </c>
      <c r="L2592" cm="1">
        <f t="array" ref="L2592">wordCount(K2592)</f>
        <v>8</v>
      </c>
      <c r="M2592">
        <f t="shared" si="80"/>
        <v>44</v>
      </c>
      <c r="N2592">
        <v>0.8</v>
      </c>
      <c r="O2592" s="23" cm="1">
        <f t="array" ref="O2592">WordListCount(K2592,keywords!$A$2:$A$31)-WordListCount(K2592,keywords!$B$2:$B$31)</f>
        <v>0</v>
      </c>
      <c r="P2592" s="25">
        <f t="shared" si="81"/>
        <v>0.84687499999999993</v>
      </c>
      <c r="Q2592" s="23">
        <f>SUM($O$2:O2592)</f>
        <v>75</v>
      </c>
      <c r="Y2592" s="14"/>
      <c r="Z2592" s="13"/>
      <c r="AA2592"/>
    </row>
    <row r="2593" spans="1:27" x14ac:dyDescent="0.2">
      <c r="A2593" s="12" t="s">
        <v>7879</v>
      </c>
      <c r="B2593" t="s">
        <v>7880</v>
      </c>
      <c r="C2593" t="s">
        <v>7881</v>
      </c>
      <c r="D2593" t="s">
        <v>12</v>
      </c>
      <c r="E2593" t="s">
        <v>13</v>
      </c>
      <c r="F2593">
        <v>3305</v>
      </c>
      <c r="G2593">
        <v>197</v>
      </c>
      <c r="H2593" s="5" t="s">
        <v>22</v>
      </c>
      <c r="I2593" s="5">
        <v>0</v>
      </c>
      <c r="J2593" s="5">
        <v>0</v>
      </c>
      <c r="K2593" t="s">
        <v>11520</v>
      </c>
      <c r="L2593" cm="1">
        <f t="array" ref="L2593">wordCount(K2593)</f>
        <v>21</v>
      </c>
      <c r="M2593">
        <f t="shared" si="80"/>
        <v>100</v>
      </c>
      <c r="N2593">
        <v>0.36</v>
      </c>
      <c r="O2593" s="23" cm="1">
        <f t="array" ref="O2593">WordListCount(K2593,keywords!$A$2:$A$31)-WordListCount(K2593,keywords!$B$2:$B$31)</f>
        <v>0</v>
      </c>
      <c r="P2593" s="25">
        <f t="shared" si="81"/>
        <v>0.8472453703703704</v>
      </c>
      <c r="Q2593" s="23">
        <f>SUM($O$2:O2593)</f>
        <v>75</v>
      </c>
      <c r="Y2593" s="14"/>
      <c r="Z2593" s="13"/>
      <c r="AA2593"/>
    </row>
    <row r="2594" spans="1:27" x14ac:dyDescent="0.2">
      <c r="A2594" s="12" t="s">
        <v>7882</v>
      </c>
      <c r="B2594" t="s">
        <v>7883</v>
      </c>
      <c r="C2594" t="s">
        <v>208</v>
      </c>
      <c r="D2594" t="s">
        <v>209</v>
      </c>
      <c r="E2594" t="s">
        <v>13</v>
      </c>
      <c r="F2594">
        <v>1181</v>
      </c>
      <c r="G2594">
        <v>767</v>
      </c>
      <c r="H2594" s="5" t="s">
        <v>22</v>
      </c>
      <c r="I2594" s="5">
        <v>0</v>
      </c>
      <c r="J2594" s="5">
        <v>0</v>
      </c>
      <c r="K2594" t="s">
        <v>11521</v>
      </c>
      <c r="L2594" cm="1">
        <f t="array" ref="L2594">wordCount(K2594)</f>
        <v>12</v>
      </c>
      <c r="M2594">
        <f t="shared" si="80"/>
        <v>70</v>
      </c>
      <c r="N2594">
        <v>0.4375</v>
      </c>
      <c r="O2594" s="23" cm="1">
        <f t="array" ref="O2594">WordListCount(K2594,keywords!$A$2:$A$31)-WordListCount(K2594,keywords!$B$2:$B$31)</f>
        <v>0</v>
      </c>
      <c r="P2594" s="25">
        <f t="shared" si="81"/>
        <v>0.84738425925925931</v>
      </c>
      <c r="Q2594" s="23">
        <f>SUM($O$2:O2594)</f>
        <v>75</v>
      </c>
      <c r="Y2594" s="14"/>
      <c r="Z2594" s="13"/>
      <c r="AA2594"/>
    </row>
    <row r="2595" spans="1:27" x14ac:dyDescent="0.2">
      <c r="A2595" s="12" t="s">
        <v>7884</v>
      </c>
      <c r="B2595" t="s">
        <v>7885</v>
      </c>
      <c r="C2595" t="s">
        <v>7886</v>
      </c>
      <c r="D2595" t="s">
        <v>7887</v>
      </c>
      <c r="E2595" t="s">
        <v>13</v>
      </c>
      <c r="F2595">
        <v>22</v>
      </c>
      <c r="G2595">
        <v>109</v>
      </c>
      <c r="H2595" s="5" t="s">
        <v>96</v>
      </c>
      <c r="I2595" s="5">
        <v>0</v>
      </c>
      <c r="J2595" s="5">
        <v>0</v>
      </c>
      <c r="K2595" t="s">
        <v>9817</v>
      </c>
      <c r="L2595" cm="1">
        <f t="array" ref="L2595">wordCount(K2595)</f>
        <v>10</v>
      </c>
      <c r="M2595">
        <f t="shared" si="80"/>
        <v>53</v>
      </c>
      <c r="N2595">
        <v>0.16666666666666666</v>
      </c>
      <c r="O2595" s="23" cm="1">
        <f t="array" ref="O2595">WordListCount(K2595,keywords!$A$2:$A$31)-WordListCount(K2595,keywords!$B$2:$B$31)</f>
        <v>1</v>
      </c>
      <c r="P2595" s="25">
        <f t="shared" si="81"/>
        <v>0.8475462962962963</v>
      </c>
      <c r="Q2595" s="23">
        <f>SUM($O$2:O2595)</f>
        <v>76</v>
      </c>
      <c r="Y2595" s="14"/>
      <c r="Z2595" s="13"/>
      <c r="AA2595"/>
    </row>
    <row r="2596" spans="1:27" x14ac:dyDescent="0.2">
      <c r="A2596" s="12" t="s">
        <v>7888</v>
      </c>
      <c r="B2596" t="s">
        <v>7889</v>
      </c>
      <c r="C2596" t="s">
        <v>2416</v>
      </c>
      <c r="D2596" t="s">
        <v>790</v>
      </c>
      <c r="E2596" t="s">
        <v>13</v>
      </c>
      <c r="F2596">
        <v>10</v>
      </c>
      <c r="G2596">
        <v>59</v>
      </c>
      <c r="H2596" s="5" t="s">
        <v>1823</v>
      </c>
      <c r="I2596" s="5">
        <v>0</v>
      </c>
      <c r="J2596" s="5">
        <v>0</v>
      </c>
      <c r="K2596" t="s">
        <v>11522</v>
      </c>
      <c r="L2596" cm="1">
        <f t="array" ref="L2596">wordCount(K2596)</f>
        <v>5</v>
      </c>
      <c r="M2596">
        <f t="shared" si="80"/>
        <v>23</v>
      </c>
      <c r="N2596">
        <v>0.86363636363636365</v>
      </c>
      <c r="O2596" s="23" cm="1">
        <f t="array" ref="O2596">WordListCount(K2596,keywords!$A$2:$A$31)-WordListCount(K2596,keywords!$B$2:$B$31)</f>
        <v>-1</v>
      </c>
      <c r="P2596" s="25">
        <f t="shared" si="81"/>
        <v>0.84770833333333329</v>
      </c>
      <c r="Q2596" s="23">
        <f>SUM($O$2:O2596)</f>
        <v>75</v>
      </c>
      <c r="Y2596" s="14"/>
      <c r="Z2596" s="13"/>
      <c r="AA2596"/>
    </row>
    <row r="2597" spans="1:27" x14ac:dyDescent="0.2">
      <c r="A2597" s="12" t="s">
        <v>7890</v>
      </c>
      <c r="B2597" t="s">
        <v>7891</v>
      </c>
      <c r="C2597" t="s">
        <v>7892</v>
      </c>
      <c r="D2597" t="s">
        <v>7893</v>
      </c>
      <c r="E2597" t="s">
        <v>13</v>
      </c>
      <c r="F2597">
        <v>9</v>
      </c>
      <c r="G2597">
        <v>8</v>
      </c>
      <c r="H2597" s="5" t="s">
        <v>22</v>
      </c>
      <c r="I2597" s="5">
        <v>0</v>
      </c>
      <c r="J2597" s="5">
        <v>0</v>
      </c>
      <c r="K2597" t="s">
        <v>11523</v>
      </c>
      <c r="L2597" cm="1">
        <f t="array" ref="L2597">wordCount(K2597)</f>
        <v>15</v>
      </c>
      <c r="M2597">
        <f t="shared" si="80"/>
        <v>72</v>
      </c>
      <c r="N2597">
        <v>0.41176470588235292</v>
      </c>
      <c r="O2597" s="23" cm="1">
        <f t="array" ref="O2597">WordListCount(K2597,keywords!$A$2:$A$31)-WordListCount(K2597,keywords!$B$2:$B$31)</f>
        <v>0</v>
      </c>
      <c r="P2597" s="25">
        <f t="shared" si="81"/>
        <v>0.8478472222222222</v>
      </c>
      <c r="Q2597" s="23">
        <f>SUM($O$2:O2597)</f>
        <v>75</v>
      </c>
      <c r="Y2597" s="14"/>
      <c r="Z2597" s="13"/>
      <c r="AA2597"/>
    </row>
    <row r="2598" spans="1:27" x14ac:dyDescent="0.2">
      <c r="A2598" s="12" t="s">
        <v>7894</v>
      </c>
      <c r="B2598" t="s">
        <v>7895</v>
      </c>
      <c r="C2598" t="s">
        <v>5636</v>
      </c>
      <c r="D2598" t="s">
        <v>344</v>
      </c>
      <c r="E2598" t="s">
        <v>13</v>
      </c>
      <c r="F2598">
        <v>55</v>
      </c>
      <c r="G2598">
        <v>305</v>
      </c>
      <c r="H2598" s="5" t="s">
        <v>22</v>
      </c>
      <c r="I2598" s="5">
        <v>0</v>
      </c>
      <c r="J2598" s="5">
        <v>0</v>
      </c>
      <c r="K2598" t="s">
        <v>9818</v>
      </c>
      <c r="L2598" cm="1">
        <f t="array" ref="L2598">wordCount(K2598)</f>
        <v>8</v>
      </c>
      <c r="M2598">
        <f t="shared" si="80"/>
        <v>35</v>
      </c>
      <c r="N2598">
        <v>0.65</v>
      </c>
      <c r="O2598" s="23" cm="1">
        <f t="array" ref="O2598">WordListCount(K2598,keywords!$A$2:$A$31)-WordListCount(K2598,keywords!$B$2:$B$31)</f>
        <v>0</v>
      </c>
      <c r="P2598" s="25">
        <f t="shared" si="81"/>
        <v>0.84790509259259261</v>
      </c>
      <c r="Q2598" s="23">
        <f>SUM($O$2:O2598)</f>
        <v>75</v>
      </c>
      <c r="Y2598" s="14"/>
      <c r="Z2598" s="13"/>
      <c r="AA2598"/>
    </row>
    <row r="2599" spans="1:27" x14ac:dyDescent="0.2">
      <c r="A2599" s="12" t="s">
        <v>7896</v>
      </c>
      <c r="B2599" t="s">
        <v>7897</v>
      </c>
      <c r="C2599" t="s">
        <v>7898</v>
      </c>
      <c r="D2599" t="s">
        <v>12</v>
      </c>
      <c r="E2599" t="s">
        <v>13</v>
      </c>
      <c r="F2599">
        <v>37</v>
      </c>
      <c r="G2599">
        <v>425</v>
      </c>
      <c r="H2599" s="5" t="s">
        <v>22</v>
      </c>
      <c r="I2599" s="5">
        <v>0</v>
      </c>
      <c r="J2599" s="5">
        <v>0</v>
      </c>
      <c r="K2599" t="s">
        <v>11524</v>
      </c>
      <c r="L2599" cm="1">
        <f t="array" ref="L2599">wordCount(K2599)</f>
        <v>7</v>
      </c>
      <c r="M2599">
        <f t="shared" si="80"/>
        <v>33</v>
      </c>
      <c r="N2599">
        <v>0.78260869565217395</v>
      </c>
      <c r="O2599" s="23" cm="1">
        <f t="array" ref="O2599">WordListCount(K2599,keywords!$A$2:$A$31)-WordListCount(K2599,keywords!$B$2:$B$31)</f>
        <v>0</v>
      </c>
      <c r="P2599" s="25">
        <f t="shared" si="81"/>
        <v>0.84805555555555545</v>
      </c>
      <c r="Q2599" s="23">
        <f>SUM($O$2:O2599)</f>
        <v>75</v>
      </c>
      <c r="Y2599" s="14"/>
      <c r="Z2599" s="13"/>
      <c r="AA2599"/>
    </row>
    <row r="2600" spans="1:27" x14ac:dyDescent="0.2">
      <c r="A2600" s="12" t="s">
        <v>7899</v>
      </c>
      <c r="B2600" t="s">
        <v>7900</v>
      </c>
      <c r="C2600" t="s">
        <v>7901</v>
      </c>
      <c r="D2600" t="s">
        <v>1440</v>
      </c>
      <c r="E2600" t="s">
        <v>13</v>
      </c>
      <c r="F2600">
        <v>17</v>
      </c>
      <c r="G2600">
        <v>112</v>
      </c>
      <c r="H2600" s="5" t="s">
        <v>22</v>
      </c>
      <c r="I2600" s="5">
        <v>0</v>
      </c>
      <c r="J2600" s="5">
        <v>0</v>
      </c>
      <c r="K2600" t="s">
        <v>11525</v>
      </c>
      <c r="L2600" cm="1">
        <f t="array" ref="L2600">wordCount(K2600)</f>
        <v>10</v>
      </c>
      <c r="M2600">
        <f t="shared" si="80"/>
        <v>39</v>
      </c>
      <c r="N2600">
        <v>0.33333333333333331</v>
      </c>
      <c r="O2600" s="23" cm="1">
        <f t="array" ref="O2600">WordListCount(K2600,keywords!$A$2:$A$31)-WordListCount(K2600,keywords!$B$2:$B$31)</f>
        <v>0</v>
      </c>
      <c r="P2600" s="25">
        <f t="shared" si="81"/>
        <v>0.84870370370370374</v>
      </c>
      <c r="Q2600" s="23">
        <f>SUM($O$2:O2600)</f>
        <v>75</v>
      </c>
      <c r="Y2600" s="14"/>
      <c r="Z2600" s="13"/>
      <c r="AA2600"/>
    </row>
    <row r="2601" spans="1:27" x14ac:dyDescent="0.2">
      <c r="A2601" s="12" t="s">
        <v>7902</v>
      </c>
      <c r="B2601" t="s">
        <v>7903</v>
      </c>
      <c r="C2601" t="s">
        <v>7904</v>
      </c>
      <c r="D2601" t="s">
        <v>7905</v>
      </c>
      <c r="E2601" t="s">
        <v>13</v>
      </c>
      <c r="F2601">
        <v>870</v>
      </c>
      <c r="G2601">
        <v>1275</v>
      </c>
      <c r="H2601" s="5" t="s">
        <v>22</v>
      </c>
      <c r="I2601" s="5">
        <v>0</v>
      </c>
      <c r="J2601" s="5">
        <v>0</v>
      </c>
      <c r="K2601" t="s">
        <v>9819</v>
      </c>
      <c r="L2601" cm="1">
        <f t="array" ref="L2601">wordCount(K2601)</f>
        <v>9</v>
      </c>
      <c r="M2601">
        <f t="shared" si="80"/>
        <v>54</v>
      </c>
      <c r="N2601">
        <v>0.4375</v>
      </c>
      <c r="O2601" s="23" cm="1">
        <f t="array" ref="O2601">WordListCount(K2601,keywords!$A$2:$A$31)-WordListCount(K2601,keywords!$B$2:$B$31)</f>
        <v>0</v>
      </c>
      <c r="P2601" s="25">
        <f t="shared" si="81"/>
        <v>0.84879629629629638</v>
      </c>
      <c r="Q2601" s="23">
        <f>SUM($O$2:O2601)</f>
        <v>75</v>
      </c>
      <c r="Y2601" s="14"/>
      <c r="Z2601" s="13"/>
      <c r="AA2601"/>
    </row>
    <row r="2602" spans="1:27" x14ac:dyDescent="0.2">
      <c r="A2602" s="12" t="s">
        <v>7906</v>
      </c>
      <c r="B2602" t="s">
        <v>7907</v>
      </c>
      <c r="C2602" t="s">
        <v>7908</v>
      </c>
      <c r="D2602" t="s">
        <v>12</v>
      </c>
      <c r="E2602" t="s">
        <v>13</v>
      </c>
      <c r="F2602">
        <v>3283</v>
      </c>
      <c r="G2602">
        <v>4499</v>
      </c>
      <c r="H2602" s="5" t="s">
        <v>14</v>
      </c>
      <c r="I2602" s="5">
        <v>0</v>
      </c>
      <c r="J2602" s="5">
        <v>0</v>
      </c>
      <c r="K2602" t="s">
        <v>11526</v>
      </c>
      <c r="L2602" cm="1">
        <f t="array" ref="L2602">wordCount(K2602)</f>
        <v>15</v>
      </c>
      <c r="M2602">
        <f t="shared" si="80"/>
        <v>82</v>
      </c>
      <c r="N2602">
        <v>0.43478260869565216</v>
      </c>
      <c r="O2602" s="23" cm="1">
        <f t="array" ref="O2602">WordListCount(K2602,keywords!$A$2:$A$31)-WordListCount(K2602,keywords!$B$2:$B$31)</f>
        <v>0</v>
      </c>
      <c r="P2602" s="25">
        <f t="shared" si="81"/>
        <v>0.84887731481481488</v>
      </c>
      <c r="Q2602" s="23">
        <f>SUM($O$2:O2602)</f>
        <v>75</v>
      </c>
      <c r="Y2602" s="14"/>
      <c r="Z2602" s="13"/>
      <c r="AA2602"/>
    </row>
    <row r="2603" spans="1:27" x14ac:dyDescent="0.2">
      <c r="A2603" s="12" t="s">
        <v>7909</v>
      </c>
      <c r="B2603" t="s">
        <v>7910</v>
      </c>
      <c r="C2603" t="s">
        <v>7892</v>
      </c>
      <c r="D2603" t="s">
        <v>7893</v>
      </c>
      <c r="E2603" t="s">
        <v>13</v>
      </c>
      <c r="F2603">
        <v>9</v>
      </c>
      <c r="G2603">
        <v>8</v>
      </c>
      <c r="H2603" s="5" t="s">
        <v>22</v>
      </c>
      <c r="I2603" s="5">
        <v>0</v>
      </c>
      <c r="J2603" s="5">
        <v>0</v>
      </c>
      <c r="K2603" t="s">
        <v>11527</v>
      </c>
      <c r="L2603" cm="1">
        <f t="array" ref="L2603">wordCount(K2603)</f>
        <v>16</v>
      </c>
      <c r="M2603">
        <f t="shared" si="80"/>
        <v>78</v>
      </c>
      <c r="N2603">
        <v>0.91666666666666663</v>
      </c>
      <c r="O2603" s="23" cm="1">
        <f t="array" ref="O2603">WordListCount(K2603,keywords!$A$2:$A$31)-WordListCount(K2603,keywords!$B$2:$B$31)</f>
        <v>0</v>
      </c>
      <c r="P2603" s="25">
        <f t="shared" si="81"/>
        <v>0.8491550925925927</v>
      </c>
      <c r="Q2603" s="23">
        <f>SUM($O$2:O2603)</f>
        <v>75</v>
      </c>
      <c r="Y2603" s="14"/>
      <c r="Z2603" s="13"/>
      <c r="AA2603"/>
    </row>
    <row r="2604" spans="1:27" x14ac:dyDescent="0.2">
      <c r="A2604" s="12" t="s">
        <v>7911</v>
      </c>
      <c r="B2604" t="s">
        <v>7912</v>
      </c>
      <c r="C2604" t="s">
        <v>7913</v>
      </c>
      <c r="D2604" t="s">
        <v>564</v>
      </c>
      <c r="E2604" t="s">
        <v>13</v>
      </c>
      <c r="F2604">
        <v>86</v>
      </c>
      <c r="G2604">
        <v>93</v>
      </c>
      <c r="H2604" s="5" t="s">
        <v>22</v>
      </c>
      <c r="I2604" s="5">
        <v>0</v>
      </c>
      <c r="J2604" s="5">
        <v>0</v>
      </c>
      <c r="K2604" t="s">
        <v>11528</v>
      </c>
      <c r="L2604" cm="1">
        <f t="array" ref="L2604">wordCount(K2604)</f>
        <v>4</v>
      </c>
      <c r="M2604">
        <f t="shared" si="80"/>
        <v>25</v>
      </c>
      <c r="N2604">
        <v>0.86956521739130432</v>
      </c>
      <c r="O2604" s="23" cm="1">
        <f t="array" ref="O2604">WordListCount(K2604,keywords!$A$2:$A$31)-WordListCount(K2604,keywords!$B$2:$B$31)</f>
        <v>0</v>
      </c>
      <c r="P2604" s="25">
        <f t="shared" si="81"/>
        <v>0.84925925925925927</v>
      </c>
      <c r="Q2604" s="23">
        <f>SUM($O$2:O2604)</f>
        <v>75</v>
      </c>
      <c r="Y2604" s="14"/>
      <c r="Z2604" s="13"/>
      <c r="AA2604"/>
    </row>
    <row r="2605" spans="1:27" x14ac:dyDescent="0.2">
      <c r="A2605" s="12" t="s">
        <v>7914</v>
      </c>
      <c r="B2605" t="s">
        <v>7915</v>
      </c>
      <c r="C2605" t="s">
        <v>7916</v>
      </c>
      <c r="D2605" t="s">
        <v>74</v>
      </c>
      <c r="E2605" t="s">
        <v>13</v>
      </c>
      <c r="F2605">
        <v>96</v>
      </c>
      <c r="G2605">
        <v>78</v>
      </c>
      <c r="H2605" s="5" t="s">
        <v>22</v>
      </c>
      <c r="I2605" s="5">
        <v>0</v>
      </c>
      <c r="J2605" s="5">
        <v>0</v>
      </c>
      <c r="K2605" t="s">
        <v>9820</v>
      </c>
      <c r="L2605" cm="1">
        <f t="array" ref="L2605">wordCount(K2605)</f>
        <v>4</v>
      </c>
      <c r="M2605">
        <f t="shared" si="80"/>
        <v>21</v>
      </c>
      <c r="N2605">
        <v>0.625</v>
      </c>
      <c r="O2605" s="23" cm="1">
        <f t="array" ref="O2605">WordListCount(K2605,keywords!$A$2:$A$31)-WordListCount(K2605,keywords!$B$2:$B$31)</f>
        <v>-1</v>
      </c>
      <c r="P2605" s="25">
        <f t="shared" si="81"/>
        <v>0.84950231481481486</v>
      </c>
      <c r="Q2605" s="23">
        <f>SUM($O$2:O2605)</f>
        <v>74</v>
      </c>
      <c r="Y2605" s="14"/>
      <c r="Z2605" s="13"/>
      <c r="AA2605"/>
    </row>
    <row r="2606" spans="1:27" x14ac:dyDescent="0.2">
      <c r="A2606" s="12" t="s">
        <v>7917</v>
      </c>
      <c r="B2606" t="s">
        <v>7918</v>
      </c>
      <c r="C2606" t="s">
        <v>459</v>
      </c>
      <c r="D2606" t="s">
        <v>12</v>
      </c>
      <c r="E2606" t="s">
        <v>13</v>
      </c>
      <c r="F2606">
        <v>12</v>
      </c>
      <c r="G2606">
        <v>1</v>
      </c>
      <c r="H2606" s="5" t="s">
        <v>22</v>
      </c>
      <c r="I2606" s="5">
        <v>0</v>
      </c>
      <c r="J2606" s="5">
        <v>0</v>
      </c>
      <c r="K2606" t="s">
        <v>9821</v>
      </c>
      <c r="L2606" cm="1">
        <f t="array" ref="L2606">wordCount(K2606)</f>
        <v>15</v>
      </c>
      <c r="M2606">
        <f t="shared" si="80"/>
        <v>103</v>
      </c>
      <c r="N2606">
        <v>0.8125</v>
      </c>
      <c r="O2606" s="23" cm="1">
        <f t="array" ref="O2606">WordListCount(K2606,keywords!$A$2:$A$31)-WordListCount(K2606,keywords!$B$2:$B$31)</f>
        <v>0</v>
      </c>
      <c r="P2606" s="25">
        <f t="shared" si="81"/>
        <v>0.84960648148148143</v>
      </c>
      <c r="Q2606" s="23">
        <f>SUM($O$2:O2606)</f>
        <v>74</v>
      </c>
      <c r="Y2606" s="14"/>
      <c r="Z2606" s="13"/>
      <c r="AA2606"/>
    </row>
    <row r="2607" spans="1:27" x14ac:dyDescent="0.2">
      <c r="A2607" s="12" t="s">
        <v>7919</v>
      </c>
      <c r="B2607" t="s">
        <v>7920</v>
      </c>
      <c r="C2607" t="s">
        <v>7921</v>
      </c>
      <c r="D2607" t="s">
        <v>1552</v>
      </c>
      <c r="E2607" t="s">
        <v>13</v>
      </c>
      <c r="F2607">
        <v>28332</v>
      </c>
      <c r="G2607">
        <v>38</v>
      </c>
      <c r="H2607" s="5" t="s">
        <v>22</v>
      </c>
      <c r="I2607" s="5">
        <v>0</v>
      </c>
      <c r="J2607" s="5">
        <v>0</v>
      </c>
      <c r="K2607" t="s">
        <v>11529</v>
      </c>
      <c r="L2607" cm="1">
        <f t="array" ref="L2607">wordCount(K2607)</f>
        <v>12</v>
      </c>
      <c r="M2607">
        <f t="shared" si="80"/>
        <v>55</v>
      </c>
      <c r="N2607">
        <v>0.63636363636363635</v>
      </c>
      <c r="O2607" s="23" cm="1">
        <f t="array" ref="O2607">WordListCount(K2607,keywords!$A$2:$A$31)-WordListCount(K2607,keywords!$B$2:$B$31)</f>
        <v>0</v>
      </c>
      <c r="P2607" s="25">
        <f t="shared" si="81"/>
        <v>0.84978009259259257</v>
      </c>
      <c r="Q2607" s="23">
        <f>SUM($O$2:O2607)</f>
        <v>74</v>
      </c>
      <c r="Y2607" s="14"/>
      <c r="Z2607" s="13"/>
      <c r="AA2607"/>
    </row>
    <row r="2608" spans="1:27" x14ac:dyDescent="0.2">
      <c r="A2608" s="12" t="s">
        <v>7922</v>
      </c>
      <c r="B2608" t="s">
        <v>7923</v>
      </c>
      <c r="C2608" t="s">
        <v>7924</v>
      </c>
      <c r="D2608" t="s">
        <v>12</v>
      </c>
      <c r="E2608" t="s">
        <v>13</v>
      </c>
      <c r="F2608">
        <v>91</v>
      </c>
      <c r="G2608">
        <v>334</v>
      </c>
      <c r="H2608" s="5" t="s">
        <v>22</v>
      </c>
      <c r="I2608" s="5">
        <v>0</v>
      </c>
      <c r="J2608" s="5">
        <v>0</v>
      </c>
      <c r="K2608" t="s">
        <v>11530</v>
      </c>
      <c r="L2608" cm="1">
        <f t="array" ref="L2608">wordCount(K2608)</f>
        <v>26</v>
      </c>
      <c r="M2608">
        <f t="shared" si="80"/>
        <v>96</v>
      </c>
      <c r="N2608">
        <v>0.42857142857142855</v>
      </c>
      <c r="O2608" s="23" cm="1">
        <f t="array" ref="O2608">WordListCount(K2608,keywords!$A$2:$A$31)-WordListCount(K2608,keywords!$B$2:$B$31)</f>
        <v>0</v>
      </c>
      <c r="P2608" s="25">
        <f t="shared" si="81"/>
        <v>0.84982638888888884</v>
      </c>
      <c r="Q2608" s="23">
        <f>SUM($O$2:O2608)</f>
        <v>74</v>
      </c>
      <c r="Y2608" s="14"/>
      <c r="Z2608" s="13"/>
      <c r="AA2608"/>
    </row>
    <row r="2609" spans="1:27" x14ac:dyDescent="0.2">
      <c r="A2609" s="12" t="s">
        <v>7925</v>
      </c>
      <c r="B2609" t="s">
        <v>7926</v>
      </c>
      <c r="C2609" t="s">
        <v>7927</v>
      </c>
      <c r="D2609" t="s">
        <v>505</v>
      </c>
      <c r="E2609" t="s">
        <v>13</v>
      </c>
      <c r="F2609">
        <v>304</v>
      </c>
      <c r="G2609">
        <v>560</v>
      </c>
      <c r="H2609" s="5" t="s">
        <v>22</v>
      </c>
      <c r="I2609" s="5">
        <v>0</v>
      </c>
      <c r="J2609" s="5">
        <v>0</v>
      </c>
      <c r="K2609" t="s">
        <v>11531</v>
      </c>
      <c r="L2609" cm="1">
        <f t="array" ref="L2609">wordCount(K2609)</f>
        <v>7</v>
      </c>
      <c r="M2609">
        <f t="shared" si="80"/>
        <v>34</v>
      </c>
      <c r="N2609">
        <v>0.75</v>
      </c>
      <c r="O2609" s="23" cm="1">
        <f t="array" ref="O2609">WordListCount(K2609,keywords!$A$2:$A$31)-WordListCount(K2609,keywords!$B$2:$B$31)</f>
        <v>0</v>
      </c>
      <c r="P2609" s="25">
        <f t="shared" si="81"/>
        <v>0.84994212962962967</v>
      </c>
      <c r="Q2609" s="23">
        <f>SUM($O$2:O2609)</f>
        <v>74</v>
      </c>
      <c r="Y2609" s="14"/>
      <c r="Z2609" s="13"/>
      <c r="AA2609"/>
    </row>
    <row r="2610" spans="1:27" x14ac:dyDescent="0.2">
      <c r="A2610" s="12" t="s">
        <v>7928</v>
      </c>
      <c r="B2610" t="s">
        <v>7929</v>
      </c>
      <c r="C2610" t="s">
        <v>7930</v>
      </c>
      <c r="D2610" t="s">
        <v>505</v>
      </c>
      <c r="E2610" t="s">
        <v>13</v>
      </c>
      <c r="F2610">
        <v>1905</v>
      </c>
      <c r="G2610">
        <v>743</v>
      </c>
      <c r="H2610" s="5" t="s">
        <v>22</v>
      </c>
      <c r="I2610" s="5">
        <v>0</v>
      </c>
      <c r="J2610" s="5">
        <v>0</v>
      </c>
      <c r="K2610" t="s">
        <v>9822</v>
      </c>
      <c r="L2610" cm="1">
        <f t="array" ref="L2610">wordCount(K2610)</f>
        <v>4</v>
      </c>
      <c r="M2610">
        <f t="shared" si="80"/>
        <v>25</v>
      </c>
      <c r="N2610">
        <v>0.7142857142857143</v>
      </c>
      <c r="O2610" s="23" cm="1">
        <f t="array" ref="O2610">WordListCount(K2610,keywords!$A$2:$A$31)-WordListCount(K2610,keywords!$B$2:$B$31)</f>
        <v>0</v>
      </c>
      <c r="P2610" s="25">
        <f t="shared" si="81"/>
        <v>0.85</v>
      </c>
      <c r="Q2610" s="23">
        <f>SUM($O$2:O2610)</f>
        <v>74</v>
      </c>
      <c r="Y2610" s="14"/>
      <c r="Z2610" s="13"/>
      <c r="AA2610"/>
    </row>
    <row r="2611" spans="1:27" x14ac:dyDescent="0.2">
      <c r="A2611" s="12" t="s">
        <v>7931</v>
      </c>
      <c r="B2611" t="s">
        <v>7932</v>
      </c>
      <c r="C2611" t="s">
        <v>7933</v>
      </c>
      <c r="D2611" t="s">
        <v>12</v>
      </c>
      <c r="E2611" t="s">
        <v>13</v>
      </c>
      <c r="F2611">
        <v>943</v>
      </c>
      <c r="G2611">
        <v>611</v>
      </c>
      <c r="H2611" s="5" t="s">
        <v>22</v>
      </c>
      <c r="I2611" s="5">
        <v>0</v>
      </c>
      <c r="J2611" s="5">
        <v>0</v>
      </c>
      <c r="K2611" t="s">
        <v>9823</v>
      </c>
      <c r="L2611" cm="1">
        <f t="array" ref="L2611">wordCount(K2611)</f>
        <v>9</v>
      </c>
      <c r="M2611">
        <f t="shared" si="80"/>
        <v>48</v>
      </c>
      <c r="N2611">
        <v>0.30769230769230771</v>
      </c>
      <c r="O2611" s="23" cm="1">
        <f t="array" ref="O2611">WordListCount(K2611,keywords!$A$2:$A$31)-WordListCount(K2611,keywords!$B$2:$B$31)</f>
        <v>0</v>
      </c>
      <c r="P2611" s="25">
        <f t="shared" si="81"/>
        <v>0.85041666666666671</v>
      </c>
      <c r="Q2611" s="23">
        <f>SUM($O$2:O2611)</f>
        <v>74</v>
      </c>
      <c r="Y2611" s="14"/>
      <c r="Z2611" s="13"/>
      <c r="AA2611"/>
    </row>
    <row r="2612" spans="1:27" x14ac:dyDescent="0.2">
      <c r="A2612" s="12" t="s">
        <v>7934</v>
      </c>
      <c r="B2612" t="s">
        <v>7936</v>
      </c>
      <c r="C2612" t="s">
        <v>7937</v>
      </c>
      <c r="D2612" t="s">
        <v>7938</v>
      </c>
      <c r="E2612" t="s">
        <v>13</v>
      </c>
      <c r="F2612">
        <v>207</v>
      </c>
      <c r="G2612">
        <v>316</v>
      </c>
      <c r="H2612" s="5" t="s">
        <v>22</v>
      </c>
      <c r="I2612" s="5">
        <v>0</v>
      </c>
      <c r="J2612" s="5">
        <v>0</v>
      </c>
      <c r="K2612" t="s">
        <v>9824</v>
      </c>
      <c r="L2612" cm="1">
        <f t="array" ref="L2612">wordCount(K2612)</f>
        <v>6</v>
      </c>
      <c r="M2612">
        <f t="shared" si="80"/>
        <v>35</v>
      </c>
      <c r="N2612">
        <v>0.76923076923076927</v>
      </c>
      <c r="O2612" s="23" cm="1">
        <f t="array" ref="O2612">WordListCount(K2612,keywords!$A$2:$A$31)-WordListCount(K2612,keywords!$B$2:$B$31)</f>
        <v>0</v>
      </c>
      <c r="P2612" s="25">
        <f t="shared" si="81"/>
        <v>0.8504976851851852</v>
      </c>
      <c r="Q2612" s="23">
        <f>SUM($O$2:O2612)</f>
        <v>74</v>
      </c>
      <c r="Y2612" s="14"/>
      <c r="Z2612" s="13"/>
      <c r="AA2612"/>
    </row>
    <row r="2613" spans="1:27" x14ac:dyDescent="0.2">
      <c r="A2613" s="12" t="s">
        <v>7934</v>
      </c>
      <c r="B2613" t="s">
        <v>7935</v>
      </c>
      <c r="C2613" t="s">
        <v>7913</v>
      </c>
      <c r="D2613" t="s">
        <v>564</v>
      </c>
      <c r="E2613" t="s">
        <v>13</v>
      </c>
      <c r="F2613">
        <v>86</v>
      </c>
      <c r="G2613">
        <v>93</v>
      </c>
      <c r="H2613" s="5" t="s">
        <v>22</v>
      </c>
      <c r="I2613" s="5">
        <v>0</v>
      </c>
      <c r="J2613" s="5">
        <v>0</v>
      </c>
      <c r="K2613" t="s">
        <v>11532</v>
      </c>
      <c r="L2613" cm="1">
        <f t="array" ref="L2613">wordCount(K2613)</f>
        <v>10</v>
      </c>
      <c r="M2613">
        <f t="shared" si="80"/>
        <v>46</v>
      </c>
      <c r="N2613">
        <v>0.76470588235294112</v>
      </c>
      <c r="O2613" s="23" cm="1">
        <f t="array" ref="O2613">WordListCount(K2613,keywords!$A$2:$A$31)-WordListCount(K2613,keywords!$B$2:$B$31)</f>
        <v>0</v>
      </c>
      <c r="P2613" s="25">
        <f t="shared" si="81"/>
        <v>0.8504976851851852</v>
      </c>
      <c r="Q2613" s="23">
        <f>SUM($O$2:O2613)</f>
        <v>74</v>
      </c>
      <c r="Y2613" s="14"/>
      <c r="Z2613" s="13"/>
      <c r="AA2613"/>
    </row>
    <row r="2614" spans="1:27" x14ac:dyDescent="0.2">
      <c r="A2614" s="12" t="s">
        <v>7939</v>
      </c>
      <c r="B2614" t="s">
        <v>7940</v>
      </c>
      <c r="C2614" t="s">
        <v>511</v>
      </c>
      <c r="D2614" t="s">
        <v>512</v>
      </c>
      <c r="E2614" t="s">
        <v>13</v>
      </c>
      <c r="F2614">
        <v>1896</v>
      </c>
      <c r="G2614">
        <v>540</v>
      </c>
      <c r="H2614" s="5" t="s">
        <v>22</v>
      </c>
      <c r="I2614" s="5">
        <v>0</v>
      </c>
      <c r="J2614" s="5">
        <v>0</v>
      </c>
      <c r="K2614" t="s">
        <v>11533</v>
      </c>
      <c r="L2614" cm="1">
        <f t="array" ref="L2614">wordCount(K2614)</f>
        <v>8</v>
      </c>
      <c r="M2614">
        <f t="shared" si="80"/>
        <v>42</v>
      </c>
      <c r="N2614">
        <v>0.875</v>
      </c>
      <c r="O2614" s="23" cm="1">
        <f t="array" ref="O2614">WordListCount(K2614,keywords!$A$2:$A$31)-WordListCount(K2614,keywords!$B$2:$B$31)</f>
        <v>0</v>
      </c>
      <c r="P2614" s="25">
        <f t="shared" si="81"/>
        <v>0.8507407407407408</v>
      </c>
      <c r="Q2614" s="23">
        <f>SUM($O$2:O2614)</f>
        <v>74</v>
      </c>
      <c r="Y2614" s="14"/>
      <c r="Z2614" s="13"/>
      <c r="AA2614"/>
    </row>
    <row r="2615" spans="1:27" x14ac:dyDescent="0.2">
      <c r="A2615" s="12" t="s">
        <v>7941</v>
      </c>
      <c r="B2615" t="s">
        <v>7942</v>
      </c>
      <c r="C2615" t="s">
        <v>3228</v>
      </c>
      <c r="D2615" t="s">
        <v>12</v>
      </c>
      <c r="E2615" t="s">
        <v>13</v>
      </c>
      <c r="F2615">
        <v>297</v>
      </c>
      <c r="G2615">
        <v>110</v>
      </c>
      <c r="H2615" s="5" t="s">
        <v>22</v>
      </c>
      <c r="I2615" s="5">
        <v>0</v>
      </c>
      <c r="J2615" s="5">
        <v>0</v>
      </c>
      <c r="K2615" t="s">
        <v>11534</v>
      </c>
      <c r="L2615" cm="1">
        <f t="array" ref="L2615">wordCount(K2615)</f>
        <v>21</v>
      </c>
      <c r="M2615">
        <f t="shared" si="80"/>
        <v>94</v>
      </c>
      <c r="N2615">
        <v>0.39285714285714285</v>
      </c>
      <c r="O2615" s="23" cm="1">
        <f t="array" ref="O2615">WordListCount(K2615,keywords!$A$2:$A$31)-WordListCount(K2615,keywords!$B$2:$B$31)</f>
        <v>-1</v>
      </c>
      <c r="P2615" s="25">
        <f t="shared" si="81"/>
        <v>0.8507986111111111</v>
      </c>
      <c r="Q2615" s="23">
        <f>SUM($O$2:O2615)</f>
        <v>73</v>
      </c>
      <c r="Y2615" s="14"/>
      <c r="Z2615" s="13"/>
      <c r="AA2615"/>
    </row>
    <row r="2616" spans="1:27" x14ac:dyDescent="0.2">
      <c r="A2616" s="12" t="s">
        <v>7943</v>
      </c>
      <c r="B2616" t="s">
        <v>7944</v>
      </c>
      <c r="C2616" t="s">
        <v>7945</v>
      </c>
      <c r="D2616" t="s">
        <v>7946</v>
      </c>
      <c r="E2616" t="s">
        <v>13</v>
      </c>
      <c r="F2616">
        <v>17</v>
      </c>
      <c r="G2616">
        <v>63</v>
      </c>
      <c r="H2616" s="5" t="s">
        <v>22</v>
      </c>
      <c r="I2616" s="5">
        <v>0</v>
      </c>
      <c r="J2616" s="5">
        <v>0</v>
      </c>
      <c r="K2616" t="s">
        <v>11535</v>
      </c>
      <c r="L2616" cm="1">
        <f t="array" ref="L2616">wordCount(K2616)</f>
        <v>7</v>
      </c>
      <c r="M2616">
        <f t="shared" si="80"/>
        <v>37</v>
      </c>
      <c r="N2616">
        <v>0.25</v>
      </c>
      <c r="O2616" s="23" cm="1">
        <f t="array" ref="O2616">WordListCount(K2616,keywords!$A$2:$A$31)-WordListCount(K2616,keywords!$B$2:$B$31)</f>
        <v>0</v>
      </c>
      <c r="P2616" s="25">
        <f t="shared" si="81"/>
        <v>0.85137731481481482</v>
      </c>
      <c r="Q2616" s="23">
        <f>SUM($O$2:O2616)</f>
        <v>73</v>
      </c>
      <c r="Y2616" s="14"/>
      <c r="Z2616" s="13"/>
      <c r="AA2616"/>
    </row>
    <row r="2617" spans="1:27" x14ac:dyDescent="0.2">
      <c r="A2617" s="12" t="s">
        <v>7947</v>
      </c>
      <c r="B2617" t="s">
        <v>7948</v>
      </c>
      <c r="C2617" t="s">
        <v>7949</v>
      </c>
      <c r="D2617" t="s">
        <v>1913</v>
      </c>
      <c r="E2617" t="s">
        <v>13</v>
      </c>
      <c r="F2617">
        <v>78</v>
      </c>
      <c r="G2617">
        <v>400</v>
      </c>
      <c r="H2617" s="5" t="s">
        <v>22</v>
      </c>
      <c r="I2617" s="5">
        <v>0</v>
      </c>
      <c r="J2617" s="5">
        <v>0</v>
      </c>
      <c r="K2617" t="s">
        <v>11536</v>
      </c>
      <c r="L2617" cm="1">
        <f t="array" ref="L2617">wordCount(K2617)</f>
        <v>5</v>
      </c>
      <c r="M2617">
        <f t="shared" si="80"/>
        <v>26</v>
      </c>
      <c r="N2617">
        <v>0.83333333333333337</v>
      </c>
      <c r="O2617" s="23" cm="1">
        <f t="array" ref="O2617">WordListCount(K2617,keywords!$A$2:$A$31)-WordListCount(K2617,keywords!$B$2:$B$31)</f>
        <v>0</v>
      </c>
      <c r="P2617" s="25">
        <f t="shared" si="81"/>
        <v>0.8515625</v>
      </c>
      <c r="Q2617" s="23">
        <f>SUM($O$2:O2617)</f>
        <v>73</v>
      </c>
      <c r="Y2617" s="14"/>
      <c r="Z2617" s="13"/>
      <c r="AA2617"/>
    </row>
    <row r="2618" spans="1:27" x14ac:dyDescent="0.2">
      <c r="A2618" s="12" t="s">
        <v>7950</v>
      </c>
      <c r="B2618" t="s">
        <v>7951</v>
      </c>
      <c r="C2618" t="s">
        <v>7952</v>
      </c>
      <c r="D2618" t="s">
        <v>12</v>
      </c>
      <c r="E2618" t="s">
        <v>13</v>
      </c>
      <c r="F2618">
        <v>2545</v>
      </c>
      <c r="G2618">
        <v>984</v>
      </c>
      <c r="H2618" s="5" t="s">
        <v>22</v>
      </c>
      <c r="I2618" s="5">
        <v>0</v>
      </c>
      <c r="J2618" s="5">
        <v>0</v>
      </c>
      <c r="K2618" t="s">
        <v>11537</v>
      </c>
      <c r="L2618" cm="1">
        <f t="array" ref="L2618">wordCount(K2618)</f>
        <v>13</v>
      </c>
      <c r="M2618">
        <f t="shared" si="80"/>
        <v>76</v>
      </c>
      <c r="N2618">
        <v>0.4</v>
      </c>
      <c r="O2618" s="23" cm="1">
        <f t="array" ref="O2618">WordListCount(K2618,keywords!$A$2:$A$31)-WordListCount(K2618,keywords!$B$2:$B$31)</f>
        <v>0</v>
      </c>
      <c r="P2618" s="25">
        <f t="shared" si="81"/>
        <v>0.85173611111111114</v>
      </c>
      <c r="Q2618" s="23">
        <f>SUM($O$2:O2618)</f>
        <v>73</v>
      </c>
      <c r="Y2618" s="14"/>
      <c r="Z2618" s="13"/>
      <c r="AA2618"/>
    </row>
    <row r="2619" spans="1:27" x14ac:dyDescent="0.2">
      <c r="A2619" s="12" t="s">
        <v>7953</v>
      </c>
      <c r="B2619" t="s">
        <v>7954</v>
      </c>
      <c r="C2619" t="s">
        <v>7955</v>
      </c>
      <c r="D2619" t="s">
        <v>7956</v>
      </c>
      <c r="E2619" t="s">
        <v>13</v>
      </c>
      <c r="F2619">
        <v>229</v>
      </c>
      <c r="G2619">
        <v>573</v>
      </c>
      <c r="H2619" s="5" t="s">
        <v>22</v>
      </c>
      <c r="I2619" s="5">
        <v>0</v>
      </c>
      <c r="J2619" s="5">
        <v>0</v>
      </c>
      <c r="K2619" t="s">
        <v>11538</v>
      </c>
      <c r="L2619" cm="1">
        <f t="array" ref="L2619">wordCount(K2619)</f>
        <v>15</v>
      </c>
      <c r="M2619">
        <f t="shared" si="80"/>
        <v>82</v>
      </c>
      <c r="N2619">
        <v>0.52631578947368418</v>
      </c>
      <c r="O2619" s="23" cm="1">
        <f t="array" ref="O2619">WordListCount(K2619,keywords!$A$2:$A$31)-WordListCount(K2619,keywords!$B$2:$B$31)</f>
        <v>0</v>
      </c>
      <c r="P2619" s="25">
        <f t="shared" si="81"/>
        <v>0.85192129629629632</v>
      </c>
      <c r="Q2619" s="23">
        <f>SUM($O$2:O2619)</f>
        <v>73</v>
      </c>
      <c r="Y2619" s="14"/>
      <c r="Z2619" s="13"/>
      <c r="AA2619"/>
    </row>
    <row r="2620" spans="1:27" x14ac:dyDescent="0.2">
      <c r="A2620" s="12" t="s">
        <v>7957</v>
      </c>
      <c r="B2620" t="s">
        <v>7958</v>
      </c>
      <c r="C2620" t="s">
        <v>6311</v>
      </c>
      <c r="D2620" t="s">
        <v>426</v>
      </c>
      <c r="E2620" t="s">
        <v>13</v>
      </c>
      <c r="F2620">
        <v>35834</v>
      </c>
      <c r="G2620">
        <v>1551</v>
      </c>
      <c r="H2620" s="5" t="s">
        <v>22</v>
      </c>
      <c r="I2620" s="5">
        <v>0</v>
      </c>
      <c r="J2620" s="5">
        <v>0</v>
      </c>
      <c r="K2620" t="s">
        <v>9825</v>
      </c>
      <c r="L2620" cm="1">
        <f t="array" ref="L2620">wordCount(K2620)</f>
        <v>12</v>
      </c>
      <c r="M2620">
        <f t="shared" si="80"/>
        <v>64</v>
      </c>
      <c r="N2620">
        <v>0.35294117647058826</v>
      </c>
      <c r="O2620" s="23" cm="1">
        <f t="array" ref="O2620">WordListCount(K2620,keywords!$A$2:$A$31)-WordListCount(K2620,keywords!$B$2:$B$31)</f>
        <v>0</v>
      </c>
      <c r="P2620" s="25">
        <f t="shared" si="81"/>
        <v>0.85225694444444444</v>
      </c>
      <c r="Q2620" s="23">
        <f>SUM($O$2:O2620)</f>
        <v>73</v>
      </c>
      <c r="Y2620" s="14"/>
      <c r="Z2620" s="13"/>
      <c r="AA2620"/>
    </row>
    <row r="2621" spans="1:27" x14ac:dyDescent="0.2">
      <c r="A2621" s="12" t="s">
        <v>7959</v>
      </c>
      <c r="B2621" t="s">
        <v>7963</v>
      </c>
      <c r="C2621" t="s">
        <v>7964</v>
      </c>
      <c r="D2621" t="s">
        <v>2479</v>
      </c>
      <c r="E2621" t="s">
        <v>13</v>
      </c>
      <c r="F2621">
        <v>14</v>
      </c>
      <c r="G2621">
        <v>157</v>
      </c>
      <c r="H2621" s="5" t="s">
        <v>22</v>
      </c>
      <c r="I2621" s="5">
        <v>0</v>
      </c>
      <c r="J2621" s="5">
        <v>0</v>
      </c>
      <c r="K2621" t="s">
        <v>9827</v>
      </c>
      <c r="L2621" cm="1">
        <f t="array" ref="L2621">wordCount(K2621)</f>
        <v>4</v>
      </c>
      <c r="M2621">
        <f t="shared" si="80"/>
        <v>22</v>
      </c>
      <c r="N2621">
        <v>0.7</v>
      </c>
      <c r="O2621" s="23" cm="1">
        <f t="array" ref="O2621">WordListCount(K2621,keywords!$A$2:$A$31)-WordListCount(K2621,keywords!$B$2:$B$31)</f>
        <v>0</v>
      </c>
      <c r="P2621" s="25">
        <f t="shared" si="81"/>
        <v>0.85267361111111117</v>
      </c>
      <c r="Q2621" s="23">
        <f>SUM($O$2:O2621)</f>
        <v>73</v>
      </c>
      <c r="Y2621" s="14"/>
      <c r="Z2621" s="13"/>
      <c r="AA2621"/>
    </row>
    <row r="2622" spans="1:27" x14ac:dyDescent="0.2">
      <c r="A2622" s="12" t="s">
        <v>7959</v>
      </c>
      <c r="B2622" t="s">
        <v>7960</v>
      </c>
      <c r="C2622" t="s">
        <v>7961</v>
      </c>
      <c r="D2622" t="s">
        <v>7962</v>
      </c>
      <c r="E2622" t="s">
        <v>13</v>
      </c>
      <c r="F2622">
        <v>98</v>
      </c>
      <c r="G2622">
        <v>159</v>
      </c>
      <c r="H2622" s="5" t="s">
        <v>22</v>
      </c>
      <c r="I2622" s="5">
        <v>0</v>
      </c>
      <c r="J2622" s="5">
        <v>0</v>
      </c>
      <c r="K2622" t="s">
        <v>9826</v>
      </c>
      <c r="L2622" cm="1">
        <f t="array" ref="L2622">wordCount(K2622)</f>
        <v>14</v>
      </c>
      <c r="M2622">
        <f t="shared" si="80"/>
        <v>63</v>
      </c>
      <c r="N2622">
        <v>0.78787878787878785</v>
      </c>
      <c r="O2622" s="23" cm="1">
        <f t="array" ref="O2622">WordListCount(K2622,keywords!$A$2:$A$31)-WordListCount(K2622,keywords!$B$2:$B$31)</f>
        <v>0</v>
      </c>
      <c r="P2622" s="25">
        <f t="shared" si="81"/>
        <v>0.85267361111111117</v>
      </c>
      <c r="Q2622" s="23">
        <f>SUM($O$2:O2622)</f>
        <v>73</v>
      </c>
      <c r="Y2622" s="14"/>
      <c r="Z2622" s="13"/>
      <c r="AA2622"/>
    </row>
    <row r="2623" spans="1:27" x14ac:dyDescent="0.2">
      <c r="A2623" s="12" t="s">
        <v>7965</v>
      </c>
      <c r="B2623" t="s">
        <v>7966</v>
      </c>
      <c r="C2623" t="s">
        <v>7967</v>
      </c>
      <c r="D2623" t="s">
        <v>2523</v>
      </c>
      <c r="E2623" t="s">
        <v>13</v>
      </c>
      <c r="F2623">
        <v>210</v>
      </c>
      <c r="G2623">
        <v>103</v>
      </c>
      <c r="H2623" s="5" t="s">
        <v>22</v>
      </c>
      <c r="I2623" s="5">
        <v>0</v>
      </c>
      <c r="J2623" s="5">
        <v>0</v>
      </c>
      <c r="K2623" t="s">
        <v>11539</v>
      </c>
      <c r="L2623" cm="1">
        <f t="array" ref="L2623">wordCount(K2623)</f>
        <v>14</v>
      </c>
      <c r="M2623">
        <f t="shared" si="80"/>
        <v>70</v>
      </c>
      <c r="N2623">
        <v>0.3125</v>
      </c>
      <c r="O2623" s="23" cm="1">
        <f t="array" ref="O2623">WordListCount(K2623,keywords!$A$2:$A$31)-WordListCount(K2623,keywords!$B$2:$B$31)</f>
        <v>0</v>
      </c>
      <c r="P2623" s="25">
        <f t="shared" si="81"/>
        <v>0.85280092592592593</v>
      </c>
      <c r="Q2623" s="23">
        <f>SUM($O$2:O2623)</f>
        <v>73</v>
      </c>
      <c r="Y2623" s="14"/>
      <c r="Z2623" s="13"/>
      <c r="AA2623"/>
    </row>
    <row r="2624" spans="1:27" x14ac:dyDescent="0.2">
      <c r="A2624" s="12" t="s">
        <v>7968</v>
      </c>
      <c r="B2624" t="s">
        <v>7969</v>
      </c>
      <c r="C2624" t="s">
        <v>7970</v>
      </c>
      <c r="D2624" t="s">
        <v>12</v>
      </c>
      <c r="E2624" t="s">
        <v>13</v>
      </c>
      <c r="F2624">
        <v>133</v>
      </c>
      <c r="G2624">
        <v>176</v>
      </c>
      <c r="H2624" s="5" t="s">
        <v>22</v>
      </c>
      <c r="I2624" s="5">
        <v>0</v>
      </c>
      <c r="J2624" s="5">
        <v>0</v>
      </c>
      <c r="K2624" t="s">
        <v>11540</v>
      </c>
      <c r="L2624" cm="1">
        <f t="array" ref="L2624">wordCount(K2624)</f>
        <v>25</v>
      </c>
      <c r="M2624">
        <f t="shared" si="80"/>
        <v>128</v>
      </c>
      <c r="N2624">
        <v>0.48648648648648651</v>
      </c>
      <c r="O2624" s="23" cm="1">
        <f t="array" ref="O2624">WordListCount(K2624,keywords!$A$2:$A$31)-WordListCount(K2624,keywords!$B$2:$B$31)</f>
        <v>-1</v>
      </c>
      <c r="P2624" s="25">
        <f t="shared" si="81"/>
        <v>0.8531481481481481</v>
      </c>
      <c r="Q2624" s="23">
        <f>SUM($O$2:O2624)</f>
        <v>72</v>
      </c>
      <c r="Y2624" s="14"/>
      <c r="Z2624" s="13"/>
      <c r="AA2624"/>
    </row>
    <row r="2625" spans="1:27" x14ac:dyDescent="0.2">
      <c r="A2625" s="12" t="s">
        <v>7971</v>
      </c>
      <c r="B2625" t="s">
        <v>7972</v>
      </c>
      <c r="C2625" t="s">
        <v>4487</v>
      </c>
      <c r="D2625" t="s">
        <v>12</v>
      </c>
      <c r="E2625" t="s">
        <v>13</v>
      </c>
      <c r="F2625">
        <v>891</v>
      </c>
      <c r="G2625">
        <v>1448</v>
      </c>
      <c r="H2625" s="5" t="s">
        <v>22</v>
      </c>
      <c r="I2625" s="5">
        <v>0</v>
      </c>
      <c r="J2625" s="5">
        <v>0</v>
      </c>
      <c r="K2625" t="s">
        <v>11541</v>
      </c>
      <c r="L2625" cm="1">
        <f t="array" ref="L2625">wordCount(K2625)</f>
        <v>9</v>
      </c>
      <c r="M2625">
        <f t="shared" si="80"/>
        <v>35</v>
      </c>
      <c r="N2625">
        <v>0.41666666666666669</v>
      </c>
      <c r="O2625" s="23" cm="1">
        <f t="array" ref="O2625">WordListCount(K2625,keywords!$A$2:$A$31)-WordListCount(K2625,keywords!$B$2:$B$31)</f>
        <v>0</v>
      </c>
      <c r="P2625" s="25">
        <f t="shared" si="81"/>
        <v>0.8533680555555555</v>
      </c>
      <c r="Q2625" s="23">
        <f>SUM($O$2:O2625)</f>
        <v>72</v>
      </c>
      <c r="Y2625" s="14"/>
      <c r="Z2625" s="13"/>
      <c r="AA2625"/>
    </row>
    <row r="2626" spans="1:27" x14ac:dyDescent="0.2">
      <c r="A2626" s="12" t="s">
        <v>7973</v>
      </c>
      <c r="B2626" t="s">
        <v>7974</v>
      </c>
      <c r="C2626" t="s">
        <v>3777</v>
      </c>
      <c r="D2626" t="s">
        <v>3778</v>
      </c>
      <c r="E2626" t="s">
        <v>13</v>
      </c>
      <c r="F2626">
        <v>43</v>
      </c>
      <c r="G2626">
        <v>38</v>
      </c>
      <c r="H2626" s="5" t="s">
        <v>22</v>
      </c>
      <c r="I2626" s="5">
        <v>0</v>
      </c>
      <c r="J2626" s="5">
        <v>0</v>
      </c>
      <c r="K2626" t="s">
        <v>11542</v>
      </c>
      <c r="L2626" cm="1">
        <f t="array" ref="L2626">wordCount(K2626)</f>
        <v>14</v>
      </c>
      <c r="M2626">
        <f t="shared" ref="M2626:M2689" si="82">LEN(K2626)</f>
        <v>69</v>
      </c>
      <c r="N2626">
        <v>0.35</v>
      </c>
      <c r="O2626" s="23" cm="1">
        <f t="array" ref="O2626">WordListCount(K2626,keywords!$A$2:$A$31)-WordListCount(K2626,keywords!$B$2:$B$31)</f>
        <v>0</v>
      </c>
      <c r="P2626" s="25">
        <f t="shared" ref="P2626:P2689" si="83">TIMEVALUE(RIGHT(A2626,8))</f>
        <v>0.85351851851851857</v>
      </c>
      <c r="Q2626" s="23">
        <f>SUM($O$2:O2626)</f>
        <v>72</v>
      </c>
      <c r="Y2626" s="14"/>
      <c r="Z2626" s="13"/>
      <c r="AA2626"/>
    </row>
    <row r="2627" spans="1:27" x14ac:dyDescent="0.2">
      <c r="A2627" s="12" t="s">
        <v>7975</v>
      </c>
      <c r="B2627" t="s">
        <v>7976</v>
      </c>
      <c r="C2627" t="s">
        <v>7977</v>
      </c>
      <c r="D2627" t="s">
        <v>12</v>
      </c>
      <c r="E2627" t="s">
        <v>13</v>
      </c>
      <c r="F2627">
        <v>1361</v>
      </c>
      <c r="G2627">
        <v>1748</v>
      </c>
      <c r="H2627" s="5" t="s">
        <v>22</v>
      </c>
      <c r="I2627" s="5">
        <v>0</v>
      </c>
      <c r="J2627" s="5">
        <v>0</v>
      </c>
      <c r="K2627" t="s">
        <v>11543</v>
      </c>
      <c r="L2627" cm="1">
        <f t="array" ref="L2627">wordCount(K2627)</f>
        <v>13</v>
      </c>
      <c r="M2627">
        <f t="shared" si="82"/>
        <v>74</v>
      </c>
      <c r="N2627">
        <v>0.66666666666666663</v>
      </c>
      <c r="O2627" s="23" cm="1">
        <f t="array" ref="O2627">WordListCount(K2627,keywords!$A$2:$A$31)-WordListCount(K2627,keywords!$B$2:$B$31)</f>
        <v>0</v>
      </c>
      <c r="P2627" s="25">
        <f t="shared" si="83"/>
        <v>0.85355324074074079</v>
      </c>
      <c r="Q2627" s="23">
        <f>SUM($O$2:O2627)</f>
        <v>72</v>
      </c>
      <c r="Y2627" s="14"/>
      <c r="Z2627" s="13"/>
      <c r="AA2627"/>
    </row>
    <row r="2628" spans="1:27" x14ac:dyDescent="0.2">
      <c r="A2628" s="12" t="s">
        <v>7978</v>
      </c>
      <c r="B2628" t="s">
        <v>7979</v>
      </c>
      <c r="C2628" t="s">
        <v>7980</v>
      </c>
      <c r="D2628" t="s">
        <v>74</v>
      </c>
      <c r="E2628" t="s">
        <v>13</v>
      </c>
      <c r="F2628">
        <v>1078</v>
      </c>
      <c r="G2628">
        <v>93</v>
      </c>
      <c r="H2628" s="5" t="s">
        <v>22</v>
      </c>
      <c r="I2628" s="5">
        <v>0</v>
      </c>
      <c r="J2628" s="5">
        <v>0</v>
      </c>
      <c r="K2628" t="s">
        <v>11544</v>
      </c>
      <c r="L2628" cm="1">
        <f t="array" ref="L2628">wordCount(K2628)</f>
        <v>16</v>
      </c>
      <c r="M2628">
        <f t="shared" si="82"/>
        <v>91</v>
      </c>
      <c r="N2628">
        <v>0.23076923076923078</v>
      </c>
      <c r="O2628" s="23" cm="1">
        <f t="array" ref="O2628">WordListCount(K2628,keywords!$A$2:$A$31)-WordListCount(K2628,keywords!$B$2:$B$31)</f>
        <v>0</v>
      </c>
      <c r="P2628" s="25">
        <f t="shared" si="83"/>
        <v>0.85359953703703706</v>
      </c>
      <c r="Q2628" s="23">
        <f>SUM($O$2:O2628)</f>
        <v>72</v>
      </c>
      <c r="Y2628" s="14"/>
      <c r="Z2628" s="13"/>
      <c r="AA2628"/>
    </row>
    <row r="2629" spans="1:27" x14ac:dyDescent="0.2">
      <c r="A2629" s="12" t="s">
        <v>7981</v>
      </c>
      <c r="B2629" t="s">
        <v>7982</v>
      </c>
      <c r="C2629" t="s">
        <v>7648</v>
      </c>
      <c r="D2629" t="s">
        <v>7649</v>
      </c>
      <c r="E2629" t="s">
        <v>13</v>
      </c>
      <c r="F2629">
        <v>141</v>
      </c>
      <c r="G2629">
        <v>439</v>
      </c>
      <c r="H2629" s="5" t="s">
        <v>22</v>
      </c>
      <c r="I2629" s="5">
        <v>0</v>
      </c>
      <c r="J2629" s="5">
        <v>0</v>
      </c>
      <c r="K2629" t="s">
        <v>11708</v>
      </c>
      <c r="L2629" cm="1">
        <f t="array" ref="L2629">wordCount(K2629)</f>
        <v>1</v>
      </c>
      <c r="M2629">
        <f t="shared" si="82"/>
        <v>9</v>
      </c>
      <c r="N2629">
        <v>0.91666666666666663</v>
      </c>
      <c r="O2629" s="23" cm="1">
        <f t="array" ref="O2629">WordListCount(K2629,keywords!$A$2:$A$31)-WordListCount(K2629,keywords!$B$2:$B$31)</f>
        <v>0</v>
      </c>
      <c r="P2629" s="25">
        <f t="shared" si="83"/>
        <v>0.85364583333333333</v>
      </c>
      <c r="Q2629" s="23">
        <f>SUM($O$2:O2629)</f>
        <v>72</v>
      </c>
      <c r="Y2629" s="14"/>
      <c r="Z2629" s="13"/>
      <c r="AA2629"/>
    </row>
    <row r="2630" spans="1:27" x14ac:dyDescent="0.2">
      <c r="A2630" s="12" t="s">
        <v>7983</v>
      </c>
      <c r="B2630" t="s">
        <v>7984</v>
      </c>
      <c r="C2630" t="s">
        <v>1149</v>
      </c>
      <c r="D2630" t="s">
        <v>597</v>
      </c>
      <c r="E2630" t="s">
        <v>13</v>
      </c>
      <c r="F2630">
        <v>299</v>
      </c>
      <c r="G2630">
        <v>310</v>
      </c>
      <c r="H2630" s="5" t="s">
        <v>22</v>
      </c>
      <c r="I2630" s="5">
        <v>0</v>
      </c>
      <c r="J2630" s="5">
        <v>0</v>
      </c>
      <c r="K2630" t="s">
        <v>9828</v>
      </c>
      <c r="L2630" cm="1">
        <f t="array" ref="L2630">wordCount(K2630)</f>
        <v>14</v>
      </c>
      <c r="M2630">
        <f t="shared" si="82"/>
        <v>81</v>
      </c>
      <c r="N2630">
        <v>0.1875</v>
      </c>
      <c r="O2630" s="23" cm="1">
        <f t="array" ref="O2630">WordListCount(K2630,keywords!$A$2:$A$31)-WordListCount(K2630,keywords!$B$2:$B$31)</f>
        <v>0</v>
      </c>
      <c r="P2630" s="25">
        <f t="shared" si="83"/>
        <v>0.8536921296296297</v>
      </c>
      <c r="Q2630" s="23">
        <f>SUM($O$2:O2630)</f>
        <v>72</v>
      </c>
      <c r="Y2630" s="14"/>
      <c r="Z2630" s="13"/>
      <c r="AA2630"/>
    </row>
    <row r="2631" spans="1:27" x14ac:dyDescent="0.2">
      <c r="A2631" s="12" t="s">
        <v>7985</v>
      </c>
      <c r="B2631" t="s">
        <v>7986</v>
      </c>
      <c r="C2631" t="s">
        <v>7987</v>
      </c>
      <c r="D2631" t="s">
        <v>344</v>
      </c>
      <c r="E2631" t="s">
        <v>13</v>
      </c>
      <c r="F2631">
        <v>227</v>
      </c>
      <c r="G2631">
        <v>1740</v>
      </c>
      <c r="H2631" s="5" t="s">
        <v>22</v>
      </c>
      <c r="I2631" s="5">
        <v>0</v>
      </c>
      <c r="J2631" s="5">
        <v>0</v>
      </c>
      <c r="K2631" t="s">
        <v>11545</v>
      </c>
      <c r="L2631" cm="1">
        <f t="array" ref="L2631">wordCount(K2631)</f>
        <v>18</v>
      </c>
      <c r="M2631">
        <f t="shared" si="82"/>
        <v>84</v>
      </c>
      <c r="N2631">
        <v>0.1875</v>
      </c>
      <c r="O2631" s="23" cm="1">
        <f t="array" ref="O2631">WordListCount(K2631,keywords!$A$2:$A$31)-WordListCount(K2631,keywords!$B$2:$B$31)</f>
        <v>0</v>
      </c>
      <c r="P2631" s="25">
        <f t="shared" si="83"/>
        <v>0.85372685185185182</v>
      </c>
      <c r="Q2631" s="23">
        <f>SUM($O$2:O2631)</f>
        <v>72</v>
      </c>
      <c r="Y2631" s="14"/>
      <c r="Z2631" s="13"/>
      <c r="AA2631"/>
    </row>
    <row r="2632" spans="1:27" x14ac:dyDescent="0.2">
      <c r="A2632" s="12" t="s">
        <v>7985</v>
      </c>
      <c r="B2632" t="s">
        <v>7988</v>
      </c>
      <c r="C2632" t="s">
        <v>7989</v>
      </c>
      <c r="D2632" t="s">
        <v>12</v>
      </c>
      <c r="E2632" t="s">
        <v>13</v>
      </c>
      <c r="F2632">
        <v>57</v>
      </c>
      <c r="G2632">
        <v>41</v>
      </c>
      <c r="H2632" s="5" t="s">
        <v>22</v>
      </c>
      <c r="I2632" s="5">
        <v>0</v>
      </c>
      <c r="J2632" s="5">
        <v>0</v>
      </c>
      <c r="K2632" t="s">
        <v>11546</v>
      </c>
      <c r="L2632" cm="1">
        <f t="array" ref="L2632">wordCount(K2632)</f>
        <v>18</v>
      </c>
      <c r="M2632">
        <f t="shared" si="82"/>
        <v>84</v>
      </c>
      <c r="N2632">
        <v>0.48148148148148145</v>
      </c>
      <c r="O2632" s="23" cm="1">
        <f t="array" ref="O2632">WordListCount(K2632,keywords!$A$2:$A$31)-WordListCount(K2632,keywords!$B$2:$B$31)</f>
        <v>0</v>
      </c>
      <c r="P2632" s="25">
        <f t="shared" si="83"/>
        <v>0.85372685185185182</v>
      </c>
      <c r="Q2632" s="23">
        <f>SUM($O$2:O2632)</f>
        <v>72</v>
      </c>
      <c r="Y2632" s="14"/>
      <c r="Z2632" s="13"/>
      <c r="AA2632"/>
    </row>
    <row r="2633" spans="1:27" x14ac:dyDescent="0.2">
      <c r="A2633" s="12" t="s">
        <v>7990</v>
      </c>
      <c r="B2633" t="s">
        <v>7991</v>
      </c>
      <c r="C2633" t="s">
        <v>7992</v>
      </c>
      <c r="D2633" t="s">
        <v>7993</v>
      </c>
      <c r="E2633" t="s">
        <v>13</v>
      </c>
      <c r="F2633">
        <v>613</v>
      </c>
      <c r="G2633">
        <v>220</v>
      </c>
      <c r="H2633" s="5" t="s">
        <v>22</v>
      </c>
      <c r="I2633" s="5">
        <v>0</v>
      </c>
      <c r="J2633" s="5">
        <v>0</v>
      </c>
      <c r="K2633" t="s">
        <v>9829</v>
      </c>
      <c r="L2633" cm="1">
        <f t="array" ref="L2633">wordCount(K2633)</f>
        <v>7</v>
      </c>
      <c r="M2633">
        <f t="shared" si="82"/>
        <v>29</v>
      </c>
      <c r="N2633">
        <v>0.80952380952380953</v>
      </c>
      <c r="O2633" s="23" cm="1">
        <f t="array" ref="O2633">WordListCount(K2633,keywords!$A$2:$A$31)-WordListCount(K2633,keywords!$B$2:$B$31)</f>
        <v>0</v>
      </c>
      <c r="P2633" s="25">
        <f t="shared" si="83"/>
        <v>0.8537731481481482</v>
      </c>
      <c r="Q2633" s="23">
        <f>SUM($O$2:O2633)</f>
        <v>72</v>
      </c>
      <c r="Y2633" s="14"/>
      <c r="Z2633" s="13"/>
      <c r="AA2633"/>
    </row>
    <row r="2634" spans="1:27" x14ac:dyDescent="0.2">
      <c r="A2634" s="12" t="s">
        <v>7994</v>
      </c>
      <c r="B2634" t="s">
        <v>7995</v>
      </c>
      <c r="C2634" t="s">
        <v>7996</v>
      </c>
      <c r="D2634" t="s">
        <v>7997</v>
      </c>
      <c r="E2634" t="s">
        <v>13</v>
      </c>
      <c r="F2634">
        <v>2105</v>
      </c>
      <c r="G2634">
        <v>3280</v>
      </c>
      <c r="H2634" s="5" t="s">
        <v>22</v>
      </c>
      <c r="I2634" s="5">
        <v>0</v>
      </c>
      <c r="J2634" s="5">
        <v>0</v>
      </c>
      <c r="K2634" t="s">
        <v>11547</v>
      </c>
      <c r="L2634" cm="1">
        <f t="array" ref="L2634">wordCount(K2634)</f>
        <v>9</v>
      </c>
      <c r="M2634">
        <f t="shared" si="82"/>
        <v>49</v>
      </c>
      <c r="N2634">
        <v>0.125</v>
      </c>
      <c r="O2634" s="23" cm="1">
        <f t="array" ref="O2634">WordListCount(K2634,keywords!$A$2:$A$31)-WordListCount(K2634,keywords!$B$2:$B$31)</f>
        <v>0</v>
      </c>
      <c r="P2634" s="25">
        <f t="shared" si="83"/>
        <v>0.85400462962962964</v>
      </c>
      <c r="Q2634" s="23">
        <f>SUM($O$2:O2634)</f>
        <v>72</v>
      </c>
      <c r="Y2634" s="14"/>
      <c r="Z2634" s="13"/>
      <c r="AA2634"/>
    </row>
    <row r="2635" spans="1:27" x14ac:dyDescent="0.2">
      <c r="A2635" s="12" t="s">
        <v>7998</v>
      </c>
      <c r="B2635" t="s">
        <v>7999</v>
      </c>
      <c r="C2635" t="s">
        <v>8000</v>
      </c>
      <c r="D2635" t="s">
        <v>12</v>
      </c>
      <c r="E2635" t="s">
        <v>13</v>
      </c>
      <c r="F2635">
        <v>0</v>
      </c>
      <c r="G2635">
        <v>10</v>
      </c>
      <c r="H2635" s="5" t="s">
        <v>22</v>
      </c>
      <c r="I2635" s="5">
        <v>0</v>
      </c>
      <c r="J2635" s="5">
        <v>0</v>
      </c>
      <c r="K2635" t="s">
        <v>11548</v>
      </c>
      <c r="L2635" cm="1">
        <f t="array" ref="L2635">wordCount(K2635)</f>
        <v>6</v>
      </c>
      <c r="M2635">
        <f t="shared" si="82"/>
        <v>40</v>
      </c>
      <c r="N2635">
        <v>0.73684210526315785</v>
      </c>
      <c r="O2635" s="23" cm="1">
        <f t="array" ref="O2635">WordListCount(K2635,keywords!$A$2:$A$31)-WordListCount(K2635,keywords!$B$2:$B$31)</f>
        <v>0</v>
      </c>
      <c r="P2635" s="25">
        <f t="shared" si="83"/>
        <v>0.85412037037037036</v>
      </c>
      <c r="Q2635" s="23">
        <f>SUM($O$2:O2635)</f>
        <v>72</v>
      </c>
      <c r="Y2635" s="14"/>
      <c r="Z2635" s="13"/>
      <c r="AA2635"/>
    </row>
    <row r="2636" spans="1:27" x14ac:dyDescent="0.2">
      <c r="A2636" s="12" t="s">
        <v>8001</v>
      </c>
      <c r="B2636" t="s">
        <v>8002</v>
      </c>
      <c r="C2636" t="s">
        <v>862</v>
      </c>
      <c r="D2636" t="s">
        <v>597</v>
      </c>
      <c r="E2636" t="s">
        <v>13</v>
      </c>
      <c r="F2636">
        <v>1032</v>
      </c>
      <c r="G2636">
        <v>189</v>
      </c>
      <c r="H2636" s="5" t="s">
        <v>22</v>
      </c>
      <c r="I2636" s="5">
        <v>0</v>
      </c>
      <c r="J2636" s="5">
        <v>0</v>
      </c>
      <c r="K2636" t="s">
        <v>9830</v>
      </c>
      <c r="L2636" cm="1">
        <f t="array" ref="L2636">wordCount(K2636)</f>
        <v>8</v>
      </c>
      <c r="M2636">
        <f t="shared" si="82"/>
        <v>49</v>
      </c>
      <c r="N2636">
        <v>0.63636363636363635</v>
      </c>
      <c r="O2636" s="23" cm="1">
        <f t="array" ref="O2636">WordListCount(K2636,keywords!$A$2:$A$31)-WordListCount(K2636,keywords!$B$2:$B$31)</f>
        <v>0</v>
      </c>
      <c r="P2636" s="25">
        <f t="shared" si="83"/>
        <v>0.85418981481481471</v>
      </c>
      <c r="Q2636" s="23">
        <f>SUM($O$2:O2636)</f>
        <v>72</v>
      </c>
      <c r="Y2636" s="14"/>
      <c r="Z2636" s="13"/>
      <c r="AA2636"/>
    </row>
    <row r="2637" spans="1:27" x14ac:dyDescent="0.2">
      <c r="A2637" s="12" t="s">
        <v>8001</v>
      </c>
      <c r="B2637" t="s">
        <v>8003</v>
      </c>
      <c r="C2637" t="s">
        <v>306</v>
      </c>
      <c r="D2637" t="s">
        <v>307</v>
      </c>
      <c r="E2637" t="s">
        <v>13</v>
      </c>
      <c r="F2637">
        <v>227</v>
      </c>
      <c r="G2637">
        <v>1</v>
      </c>
      <c r="H2637" s="5" t="s">
        <v>22</v>
      </c>
      <c r="I2637" s="5">
        <v>0</v>
      </c>
      <c r="J2637" s="5">
        <v>0</v>
      </c>
      <c r="K2637" t="s">
        <v>9831</v>
      </c>
      <c r="L2637" cm="1">
        <f t="array" ref="L2637">wordCount(K2637)</f>
        <v>7</v>
      </c>
      <c r="M2637">
        <f t="shared" si="82"/>
        <v>104</v>
      </c>
      <c r="N2637">
        <v>0.53846153846153844</v>
      </c>
      <c r="O2637" s="23" cm="1">
        <f t="array" ref="O2637">WordListCount(K2637,keywords!$A$2:$A$31)-WordListCount(K2637,keywords!$B$2:$B$31)</f>
        <v>0</v>
      </c>
      <c r="P2637" s="25">
        <f t="shared" si="83"/>
        <v>0.85418981481481471</v>
      </c>
      <c r="Q2637" s="23">
        <f>SUM($O$2:O2637)</f>
        <v>72</v>
      </c>
      <c r="Y2637" s="14"/>
      <c r="Z2637" s="13"/>
      <c r="AA2637"/>
    </row>
    <row r="2638" spans="1:27" x14ac:dyDescent="0.2">
      <c r="A2638" s="12" t="s">
        <v>8004</v>
      </c>
      <c r="B2638" t="s">
        <v>8005</v>
      </c>
      <c r="C2638" t="s">
        <v>8006</v>
      </c>
      <c r="D2638" t="s">
        <v>1967</v>
      </c>
      <c r="E2638" t="s">
        <v>13</v>
      </c>
      <c r="F2638">
        <v>3752</v>
      </c>
      <c r="G2638">
        <v>1</v>
      </c>
      <c r="H2638" s="5" t="s">
        <v>22</v>
      </c>
      <c r="I2638" s="5">
        <v>0</v>
      </c>
      <c r="J2638" s="5">
        <v>0</v>
      </c>
      <c r="K2638" t="s">
        <v>9832</v>
      </c>
      <c r="L2638" cm="1">
        <f t="array" ref="L2638">wordCount(K2638)</f>
        <v>12</v>
      </c>
      <c r="M2638">
        <f t="shared" si="82"/>
        <v>81</v>
      </c>
      <c r="N2638">
        <v>0.47826086956521741</v>
      </c>
      <c r="O2638" s="23" cm="1">
        <f t="array" ref="O2638">WordListCount(K2638,keywords!$A$2:$A$31)-WordListCount(K2638,keywords!$B$2:$B$31)</f>
        <v>0</v>
      </c>
      <c r="P2638" s="25">
        <f t="shared" si="83"/>
        <v>0.85425925925925927</v>
      </c>
      <c r="Q2638" s="23">
        <f>SUM($O$2:O2638)</f>
        <v>72</v>
      </c>
      <c r="Y2638" s="14"/>
      <c r="Z2638" s="13"/>
      <c r="AA2638"/>
    </row>
    <row r="2639" spans="1:27" x14ac:dyDescent="0.2">
      <c r="A2639" s="12" t="s">
        <v>8004</v>
      </c>
      <c r="B2639" t="s">
        <v>8007</v>
      </c>
      <c r="C2639" t="s">
        <v>7980</v>
      </c>
      <c r="D2639" t="s">
        <v>74</v>
      </c>
      <c r="E2639" t="s">
        <v>13</v>
      </c>
      <c r="F2639">
        <v>1078</v>
      </c>
      <c r="G2639">
        <v>93</v>
      </c>
      <c r="H2639" s="5" t="s">
        <v>22</v>
      </c>
      <c r="I2639" s="5">
        <v>0</v>
      </c>
      <c r="J2639" s="5">
        <v>0</v>
      </c>
      <c r="K2639" t="s">
        <v>11549</v>
      </c>
      <c r="L2639" cm="1">
        <f t="array" ref="L2639">wordCount(K2639)</f>
        <v>16</v>
      </c>
      <c r="M2639">
        <f t="shared" si="82"/>
        <v>96</v>
      </c>
      <c r="N2639">
        <v>0.36842105263157893</v>
      </c>
      <c r="O2639" s="23" cm="1">
        <f t="array" ref="O2639">WordListCount(K2639,keywords!$A$2:$A$31)-WordListCount(K2639,keywords!$B$2:$B$31)</f>
        <v>-1</v>
      </c>
      <c r="P2639" s="25">
        <f t="shared" si="83"/>
        <v>0.85425925925925927</v>
      </c>
      <c r="Q2639" s="23">
        <f>SUM($O$2:O2639)</f>
        <v>71</v>
      </c>
      <c r="Y2639" s="14"/>
      <c r="Z2639" s="13"/>
      <c r="AA2639"/>
    </row>
    <row r="2640" spans="1:27" x14ac:dyDescent="0.2">
      <c r="A2640" s="12" t="s">
        <v>8008</v>
      </c>
      <c r="B2640" t="s">
        <v>8009</v>
      </c>
      <c r="C2640" t="s">
        <v>8010</v>
      </c>
      <c r="D2640" t="s">
        <v>8011</v>
      </c>
      <c r="E2640" t="s">
        <v>13</v>
      </c>
      <c r="F2640">
        <v>88165</v>
      </c>
      <c r="G2640">
        <v>85370</v>
      </c>
      <c r="H2640" s="5" t="s">
        <v>22</v>
      </c>
      <c r="I2640" s="5">
        <v>0</v>
      </c>
      <c r="J2640" s="5">
        <v>0</v>
      </c>
      <c r="K2640" t="s">
        <v>11550</v>
      </c>
      <c r="L2640" cm="1">
        <f t="array" ref="L2640">wordCount(K2640)</f>
        <v>8</v>
      </c>
      <c r="M2640">
        <f t="shared" si="82"/>
        <v>34</v>
      </c>
      <c r="N2640">
        <v>0.69230769230769229</v>
      </c>
      <c r="O2640" s="23" cm="1">
        <f t="array" ref="O2640">WordListCount(K2640,keywords!$A$2:$A$31)-WordListCount(K2640,keywords!$B$2:$B$31)</f>
        <v>0</v>
      </c>
      <c r="P2640" s="25">
        <f t="shared" si="83"/>
        <v>0.85427083333333342</v>
      </c>
      <c r="Q2640" s="23">
        <f>SUM($O$2:O2640)</f>
        <v>71</v>
      </c>
      <c r="Y2640" s="14"/>
      <c r="Z2640" s="13"/>
      <c r="AA2640"/>
    </row>
    <row r="2641" spans="1:27" x14ac:dyDescent="0.2">
      <c r="A2641" s="12" t="s">
        <v>8012</v>
      </c>
      <c r="B2641" t="s">
        <v>7376</v>
      </c>
      <c r="C2641" t="s">
        <v>6189</v>
      </c>
      <c r="D2641" t="s">
        <v>3303</v>
      </c>
      <c r="E2641" t="s">
        <v>13</v>
      </c>
      <c r="F2641">
        <v>487</v>
      </c>
      <c r="G2641">
        <v>1191</v>
      </c>
      <c r="H2641" s="5" t="s">
        <v>22</v>
      </c>
      <c r="I2641" s="5">
        <v>0</v>
      </c>
      <c r="J2641" s="5">
        <v>0</v>
      </c>
      <c r="K2641" t="s">
        <v>10842</v>
      </c>
      <c r="L2641" cm="1">
        <f t="array" ref="L2641">wordCount(K2641)</f>
        <v>22</v>
      </c>
      <c r="M2641">
        <f t="shared" si="82"/>
        <v>113</v>
      </c>
      <c r="N2641">
        <v>1</v>
      </c>
      <c r="O2641" s="23" cm="1">
        <f t="array" ref="O2641">WordListCount(K2641,keywords!$A$2:$A$31)-WordListCount(K2641,keywords!$B$2:$B$31)</f>
        <v>-1</v>
      </c>
      <c r="P2641" s="25">
        <f t="shared" si="83"/>
        <v>0.8542939814814815</v>
      </c>
      <c r="Q2641" s="23">
        <f>SUM($O$2:O2641)</f>
        <v>70</v>
      </c>
      <c r="Y2641" s="14"/>
      <c r="Z2641" s="13"/>
      <c r="AA2641"/>
    </row>
    <row r="2642" spans="1:27" x14ac:dyDescent="0.2">
      <c r="A2642" s="12" t="s">
        <v>8013</v>
      </c>
      <c r="B2642" t="s">
        <v>555</v>
      </c>
      <c r="C2642" t="s">
        <v>687</v>
      </c>
      <c r="D2642" t="s">
        <v>12</v>
      </c>
      <c r="E2642" t="s">
        <v>13</v>
      </c>
      <c r="F2642">
        <v>38</v>
      </c>
      <c r="G2642">
        <v>14</v>
      </c>
      <c r="H2642" s="5" t="s">
        <v>42</v>
      </c>
      <c r="I2642" s="5">
        <v>0</v>
      </c>
      <c r="J2642" s="5">
        <v>0</v>
      </c>
      <c r="K2642" t="s">
        <v>9906</v>
      </c>
      <c r="L2642" cm="1">
        <f t="array" ref="L2642">wordCount(K2642)</f>
        <v>12</v>
      </c>
      <c r="M2642">
        <f t="shared" si="82"/>
        <v>74</v>
      </c>
      <c r="N2642">
        <v>0.92307692307692313</v>
      </c>
      <c r="O2642" s="23" cm="1">
        <f t="array" ref="O2642">WordListCount(K2642,keywords!$A$2:$A$31)-WordListCount(K2642,keywords!$B$2:$B$31)</f>
        <v>0</v>
      </c>
      <c r="P2642" s="25">
        <f t="shared" si="83"/>
        <v>0.85436342592592596</v>
      </c>
      <c r="Q2642" s="23">
        <f>SUM($O$2:O2642)</f>
        <v>70</v>
      </c>
      <c r="Y2642" s="14"/>
      <c r="Z2642" s="13"/>
      <c r="AA2642"/>
    </row>
    <row r="2643" spans="1:27" x14ac:dyDescent="0.2">
      <c r="A2643" s="12" t="s">
        <v>8014</v>
      </c>
      <c r="B2643" t="s">
        <v>8015</v>
      </c>
      <c r="C2643" t="s">
        <v>496</v>
      </c>
      <c r="D2643" t="s">
        <v>497</v>
      </c>
      <c r="E2643" t="s">
        <v>13</v>
      </c>
      <c r="F2643">
        <v>366</v>
      </c>
      <c r="G2643">
        <v>225</v>
      </c>
      <c r="H2643" s="5" t="s">
        <v>22</v>
      </c>
      <c r="I2643" s="5">
        <v>0</v>
      </c>
      <c r="J2643" s="5">
        <v>0</v>
      </c>
      <c r="K2643" t="s">
        <v>11551</v>
      </c>
      <c r="L2643" cm="1">
        <f t="array" ref="L2643">wordCount(K2643)</f>
        <v>24</v>
      </c>
      <c r="M2643">
        <f t="shared" si="82"/>
        <v>103</v>
      </c>
      <c r="N2643">
        <v>0.79166666666666663</v>
      </c>
      <c r="O2643" s="23" cm="1">
        <f t="array" ref="O2643">WordListCount(K2643,keywords!$A$2:$A$31)-WordListCount(K2643,keywords!$B$2:$B$31)</f>
        <v>0</v>
      </c>
      <c r="P2643" s="25">
        <f t="shared" si="83"/>
        <v>0.85453703703703709</v>
      </c>
      <c r="Q2643" s="23">
        <f>SUM($O$2:O2643)</f>
        <v>70</v>
      </c>
      <c r="Y2643" s="14"/>
      <c r="Z2643" s="13"/>
      <c r="AA2643"/>
    </row>
    <row r="2644" spans="1:27" x14ac:dyDescent="0.2">
      <c r="A2644" s="12" t="s">
        <v>8016</v>
      </c>
      <c r="B2644" t="s">
        <v>8017</v>
      </c>
      <c r="C2644" t="s">
        <v>8018</v>
      </c>
      <c r="D2644" t="s">
        <v>1998</v>
      </c>
      <c r="E2644" t="s">
        <v>13</v>
      </c>
      <c r="F2644">
        <v>1282</v>
      </c>
      <c r="G2644">
        <v>270</v>
      </c>
      <c r="H2644" s="5" t="s">
        <v>22</v>
      </c>
      <c r="I2644" s="5">
        <v>0</v>
      </c>
      <c r="J2644" s="5">
        <v>0</v>
      </c>
      <c r="K2644" t="s">
        <v>9833</v>
      </c>
      <c r="L2644" cm="1">
        <f t="array" ref="L2644">wordCount(K2644)</f>
        <v>6</v>
      </c>
      <c r="M2644">
        <f t="shared" si="82"/>
        <v>31</v>
      </c>
      <c r="N2644">
        <v>0.82352941176470584</v>
      </c>
      <c r="O2644" s="23" cm="1">
        <f t="array" ref="O2644">WordListCount(K2644,keywords!$A$2:$A$31)-WordListCount(K2644,keywords!$B$2:$B$31)</f>
        <v>0</v>
      </c>
      <c r="P2644" s="25">
        <f t="shared" si="83"/>
        <v>0.85465277777777782</v>
      </c>
      <c r="Q2644" s="23">
        <f>SUM($O$2:O2644)</f>
        <v>70</v>
      </c>
      <c r="Y2644" s="14"/>
      <c r="Z2644" s="13"/>
      <c r="AA2644"/>
    </row>
    <row r="2645" spans="1:27" x14ac:dyDescent="0.2">
      <c r="A2645" s="12" t="s">
        <v>8019</v>
      </c>
      <c r="B2645" t="s">
        <v>8020</v>
      </c>
      <c r="C2645" t="s">
        <v>8021</v>
      </c>
      <c r="D2645" t="s">
        <v>8022</v>
      </c>
      <c r="E2645" t="s">
        <v>13</v>
      </c>
      <c r="F2645">
        <v>452</v>
      </c>
      <c r="G2645">
        <v>694</v>
      </c>
      <c r="H2645" s="5" t="s">
        <v>22</v>
      </c>
      <c r="I2645" s="5">
        <v>0</v>
      </c>
      <c r="J2645" s="5">
        <v>0</v>
      </c>
      <c r="K2645" t="s">
        <v>11552</v>
      </c>
      <c r="L2645" cm="1">
        <f t="array" ref="L2645">wordCount(K2645)</f>
        <v>14</v>
      </c>
      <c r="M2645">
        <f t="shared" si="82"/>
        <v>94</v>
      </c>
      <c r="N2645">
        <v>0.40909090909090912</v>
      </c>
      <c r="O2645" s="23" cm="1">
        <f t="array" ref="O2645">WordListCount(K2645,keywords!$A$2:$A$31)-WordListCount(K2645,keywords!$B$2:$B$31)</f>
        <v>0</v>
      </c>
      <c r="P2645" s="25">
        <f t="shared" si="83"/>
        <v>0.85482638888888884</v>
      </c>
      <c r="Q2645" s="23">
        <f>SUM($O$2:O2645)</f>
        <v>70</v>
      </c>
      <c r="Y2645" s="14"/>
      <c r="Z2645" s="13"/>
      <c r="AA2645"/>
    </row>
    <row r="2646" spans="1:27" x14ac:dyDescent="0.2">
      <c r="A2646" s="12" t="s">
        <v>8023</v>
      </c>
      <c r="B2646" t="s">
        <v>8024</v>
      </c>
      <c r="C2646" t="s">
        <v>8025</v>
      </c>
      <c r="D2646" t="s">
        <v>8026</v>
      </c>
      <c r="E2646" t="s">
        <v>13</v>
      </c>
      <c r="F2646">
        <v>112</v>
      </c>
      <c r="G2646">
        <v>162</v>
      </c>
      <c r="H2646" s="5" t="s">
        <v>22</v>
      </c>
      <c r="I2646" s="5">
        <v>0</v>
      </c>
      <c r="J2646" s="5">
        <v>0</v>
      </c>
      <c r="K2646" t="s">
        <v>11553</v>
      </c>
      <c r="L2646" cm="1">
        <f t="array" ref="L2646">wordCount(K2646)</f>
        <v>13</v>
      </c>
      <c r="M2646">
        <f t="shared" si="82"/>
        <v>64</v>
      </c>
      <c r="N2646">
        <v>0.6071428571428571</v>
      </c>
      <c r="O2646" s="23" cm="1">
        <f t="array" ref="O2646">WordListCount(K2646,keywords!$A$2:$A$31)-WordListCount(K2646,keywords!$B$2:$B$31)</f>
        <v>0</v>
      </c>
      <c r="P2646" s="25">
        <f t="shared" si="83"/>
        <v>0.85493055555555564</v>
      </c>
      <c r="Q2646" s="23">
        <f>SUM($O$2:O2646)</f>
        <v>70</v>
      </c>
      <c r="Y2646" s="14"/>
      <c r="Z2646" s="13"/>
      <c r="AA2646"/>
    </row>
    <row r="2647" spans="1:27" x14ac:dyDescent="0.2">
      <c r="A2647" s="12" t="s">
        <v>8027</v>
      </c>
      <c r="B2647" t="s">
        <v>8028</v>
      </c>
      <c r="C2647" t="s">
        <v>318</v>
      </c>
      <c r="D2647" t="s">
        <v>319</v>
      </c>
      <c r="E2647" t="s">
        <v>13</v>
      </c>
      <c r="F2647">
        <v>51</v>
      </c>
      <c r="G2647">
        <v>62</v>
      </c>
      <c r="H2647" s="5" t="s">
        <v>22</v>
      </c>
      <c r="I2647" s="5">
        <v>0</v>
      </c>
      <c r="J2647" s="5">
        <v>0</v>
      </c>
      <c r="K2647" t="s">
        <v>11554</v>
      </c>
      <c r="L2647" cm="1">
        <f t="array" ref="L2647">wordCount(K2647)</f>
        <v>14</v>
      </c>
      <c r="M2647">
        <f t="shared" si="82"/>
        <v>75</v>
      </c>
      <c r="N2647">
        <v>0.82352941176470584</v>
      </c>
      <c r="O2647" s="23" cm="1">
        <f t="array" ref="O2647">WordListCount(K2647,keywords!$A$2:$A$31)-WordListCount(K2647,keywords!$B$2:$B$31)</f>
        <v>0</v>
      </c>
      <c r="P2647" s="25">
        <f t="shared" si="83"/>
        <v>0.85502314814814817</v>
      </c>
      <c r="Q2647" s="23">
        <f>SUM($O$2:O2647)</f>
        <v>70</v>
      </c>
      <c r="Y2647" s="14"/>
      <c r="Z2647" s="13"/>
      <c r="AA2647"/>
    </row>
    <row r="2648" spans="1:27" x14ac:dyDescent="0.2">
      <c r="A2648" s="12" t="s">
        <v>8029</v>
      </c>
      <c r="B2648" t="s">
        <v>8030</v>
      </c>
      <c r="C2648" t="s">
        <v>8031</v>
      </c>
      <c r="D2648" t="s">
        <v>8032</v>
      </c>
      <c r="E2648" t="s">
        <v>13</v>
      </c>
      <c r="F2648">
        <v>1</v>
      </c>
      <c r="G2648">
        <v>3</v>
      </c>
      <c r="H2648" s="5" t="s">
        <v>22</v>
      </c>
      <c r="I2648" s="5">
        <v>0</v>
      </c>
      <c r="J2648" s="5">
        <v>0</v>
      </c>
      <c r="K2648" t="s">
        <v>11555</v>
      </c>
      <c r="L2648" cm="1">
        <f t="array" ref="L2648">wordCount(K2648)</f>
        <v>4</v>
      </c>
      <c r="M2648">
        <f t="shared" si="82"/>
        <v>8</v>
      </c>
      <c r="N2648">
        <v>0.91666666666666663</v>
      </c>
      <c r="O2648" s="23" cm="1">
        <f t="array" ref="O2648">WordListCount(K2648,keywords!$A$2:$A$31)-WordListCount(K2648,keywords!$B$2:$B$31)</f>
        <v>0</v>
      </c>
      <c r="P2648" s="25">
        <f t="shared" si="83"/>
        <v>0.85531250000000003</v>
      </c>
      <c r="Q2648" s="23">
        <f>SUM($O$2:O2648)</f>
        <v>70</v>
      </c>
      <c r="Y2648" s="14"/>
      <c r="Z2648" s="13"/>
      <c r="AA2648"/>
    </row>
    <row r="2649" spans="1:27" x14ac:dyDescent="0.2">
      <c r="A2649" s="12" t="s">
        <v>8033</v>
      </c>
      <c r="B2649" t="s">
        <v>8034</v>
      </c>
      <c r="C2649" t="s">
        <v>1149</v>
      </c>
      <c r="D2649" t="s">
        <v>597</v>
      </c>
      <c r="E2649" t="s">
        <v>13</v>
      </c>
      <c r="F2649">
        <v>299</v>
      </c>
      <c r="G2649">
        <v>310</v>
      </c>
      <c r="H2649" s="5" t="s">
        <v>22</v>
      </c>
      <c r="I2649" s="5">
        <v>0</v>
      </c>
      <c r="J2649" s="5">
        <v>0</v>
      </c>
      <c r="K2649" t="s">
        <v>9834</v>
      </c>
      <c r="L2649" cm="1">
        <f t="array" ref="L2649">wordCount(K2649)</f>
        <v>16</v>
      </c>
      <c r="M2649">
        <f t="shared" si="82"/>
        <v>107</v>
      </c>
      <c r="N2649">
        <v>0.5</v>
      </c>
      <c r="O2649" s="23" cm="1">
        <f t="array" ref="O2649">WordListCount(K2649,keywords!$A$2:$A$31)-WordListCount(K2649,keywords!$B$2:$B$31)</f>
        <v>0</v>
      </c>
      <c r="P2649" s="25">
        <f t="shared" si="83"/>
        <v>0.85540509259259256</v>
      </c>
      <c r="Q2649" s="23">
        <f>SUM($O$2:O2649)</f>
        <v>70</v>
      </c>
      <c r="Y2649" s="14"/>
      <c r="Z2649" s="13"/>
      <c r="AA2649"/>
    </row>
    <row r="2650" spans="1:27" x14ac:dyDescent="0.2">
      <c r="A2650" s="12" t="s">
        <v>8035</v>
      </c>
      <c r="B2650" t="s">
        <v>8036</v>
      </c>
      <c r="C2650" t="s">
        <v>8037</v>
      </c>
      <c r="D2650" t="s">
        <v>12</v>
      </c>
      <c r="E2650" t="s">
        <v>13</v>
      </c>
      <c r="F2650">
        <v>101</v>
      </c>
      <c r="G2650">
        <v>198</v>
      </c>
      <c r="H2650" s="5" t="s">
        <v>22</v>
      </c>
      <c r="I2650" s="5">
        <v>0</v>
      </c>
      <c r="J2650" s="5">
        <v>0</v>
      </c>
      <c r="K2650" t="s">
        <v>11556</v>
      </c>
      <c r="L2650" cm="1">
        <f t="array" ref="L2650">wordCount(K2650)</f>
        <v>13</v>
      </c>
      <c r="M2650">
        <f t="shared" si="82"/>
        <v>78</v>
      </c>
      <c r="N2650">
        <v>0.40909090909090912</v>
      </c>
      <c r="O2650" s="23" cm="1">
        <f t="array" ref="O2650">WordListCount(K2650,keywords!$A$2:$A$31)-WordListCount(K2650,keywords!$B$2:$B$31)</f>
        <v>0</v>
      </c>
      <c r="P2650" s="25">
        <f t="shared" si="83"/>
        <v>0.85541666666666671</v>
      </c>
      <c r="Q2650" s="23">
        <f>SUM($O$2:O2650)</f>
        <v>70</v>
      </c>
      <c r="Y2650" s="14"/>
      <c r="Z2650" s="13"/>
      <c r="AA2650"/>
    </row>
    <row r="2651" spans="1:27" x14ac:dyDescent="0.2">
      <c r="A2651" s="12" t="s">
        <v>8038</v>
      </c>
      <c r="B2651" t="s">
        <v>8039</v>
      </c>
      <c r="C2651" t="s">
        <v>340</v>
      </c>
      <c r="D2651" t="s">
        <v>12</v>
      </c>
      <c r="E2651" t="s">
        <v>13</v>
      </c>
      <c r="F2651">
        <v>19</v>
      </c>
      <c r="G2651">
        <v>75</v>
      </c>
      <c r="H2651" s="5" t="s">
        <v>22</v>
      </c>
      <c r="I2651" s="5">
        <v>0</v>
      </c>
      <c r="J2651" s="5">
        <v>0</v>
      </c>
      <c r="K2651" t="s">
        <v>9835</v>
      </c>
      <c r="L2651" cm="1">
        <f t="array" ref="L2651">wordCount(K2651)</f>
        <v>12</v>
      </c>
      <c r="M2651">
        <f t="shared" si="82"/>
        <v>68</v>
      </c>
      <c r="N2651">
        <v>0.4</v>
      </c>
      <c r="O2651" s="23" cm="1">
        <f t="array" ref="O2651">WordListCount(K2651,keywords!$A$2:$A$31)-WordListCount(K2651,keywords!$B$2:$B$31)</f>
        <v>0</v>
      </c>
      <c r="P2651" s="25">
        <f t="shared" si="83"/>
        <v>0.85547453703703702</v>
      </c>
      <c r="Q2651" s="23">
        <f>SUM($O$2:O2651)</f>
        <v>70</v>
      </c>
      <c r="Y2651" s="14"/>
      <c r="Z2651" s="13"/>
      <c r="AA2651"/>
    </row>
    <row r="2652" spans="1:27" x14ac:dyDescent="0.2">
      <c r="A2652" s="12" t="s">
        <v>8040</v>
      </c>
      <c r="B2652" t="s">
        <v>8041</v>
      </c>
      <c r="C2652" t="s">
        <v>8042</v>
      </c>
      <c r="D2652" t="s">
        <v>12</v>
      </c>
      <c r="E2652" t="s">
        <v>13</v>
      </c>
      <c r="F2652">
        <v>162</v>
      </c>
      <c r="G2652">
        <v>516</v>
      </c>
      <c r="H2652" s="5" t="s">
        <v>22</v>
      </c>
      <c r="I2652" s="5">
        <v>0</v>
      </c>
      <c r="J2652" s="5">
        <v>0</v>
      </c>
      <c r="K2652" t="s">
        <v>11557</v>
      </c>
      <c r="L2652" cm="1">
        <f t="array" ref="L2652">wordCount(K2652)</f>
        <v>12</v>
      </c>
      <c r="M2652">
        <f t="shared" si="82"/>
        <v>56</v>
      </c>
      <c r="N2652">
        <v>0.6875</v>
      </c>
      <c r="O2652" s="23" cm="1">
        <f t="array" ref="O2652">WordListCount(K2652,keywords!$A$2:$A$31)-WordListCount(K2652,keywords!$B$2:$B$31)</f>
        <v>0</v>
      </c>
      <c r="P2652" s="25">
        <f t="shared" si="83"/>
        <v>0.85550925925925936</v>
      </c>
      <c r="Q2652" s="23">
        <f>SUM($O$2:O2652)</f>
        <v>70</v>
      </c>
      <c r="Y2652" s="14"/>
      <c r="Z2652" s="13"/>
      <c r="AA2652"/>
    </row>
    <row r="2653" spans="1:27" x14ac:dyDescent="0.2">
      <c r="A2653" s="12" t="s">
        <v>8043</v>
      </c>
      <c r="B2653" t="s">
        <v>8044</v>
      </c>
      <c r="C2653" t="s">
        <v>8045</v>
      </c>
      <c r="D2653" t="s">
        <v>8046</v>
      </c>
      <c r="E2653" t="s">
        <v>13</v>
      </c>
      <c r="F2653">
        <v>483</v>
      </c>
      <c r="G2653">
        <v>496</v>
      </c>
      <c r="H2653" s="5" t="s">
        <v>22</v>
      </c>
      <c r="I2653" s="5">
        <v>0</v>
      </c>
      <c r="J2653" s="5">
        <v>0</v>
      </c>
      <c r="K2653" t="s">
        <v>11558</v>
      </c>
      <c r="L2653" cm="1">
        <f t="array" ref="L2653">wordCount(K2653)</f>
        <v>10</v>
      </c>
      <c r="M2653">
        <f t="shared" si="82"/>
        <v>36</v>
      </c>
      <c r="N2653">
        <v>0.68421052631578949</v>
      </c>
      <c r="O2653" s="23" cm="1">
        <f t="array" ref="O2653">WordListCount(K2653,keywords!$A$2:$A$31)-WordListCount(K2653,keywords!$B$2:$B$31)</f>
        <v>0</v>
      </c>
      <c r="P2653" s="25">
        <f t="shared" si="83"/>
        <v>0.8555787037037037</v>
      </c>
      <c r="Q2653" s="23">
        <f>SUM($O$2:O2653)</f>
        <v>70</v>
      </c>
      <c r="Y2653" s="14"/>
      <c r="Z2653" s="13"/>
      <c r="AA2653"/>
    </row>
    <row r="2654" spans="1:27" x14ac:dyDescent="0.2">
      <c r="A2654" s="12" t="s">
        <v>8047</v>
      </c>
      <c r="B2654" t="s">
        <v>8048</v>
      </c>
      <c r="C2654" t="s">
        <v>7405</v>
      </c>
      <c r="D2654" t="s">
        <v>12</v>
      </c>
      <c r="E2654" t="s">
        <v>13</v>
      </c>
      <c r="F2654">
        <v>774</v>
      </c>
      <c r="G2654">
        <v>927</v>
      </c>
      <c r="H2654" s="5" t="s">
        <v>22</v>
      </c>
      <c r="I2654" s="5">
        <v>0</v>
      </c>
      <c r="J2654" s="5">
        <v>0</v>
      </c>
      <c r="K2654" t="s">
        <v>11559</v>
      </c>
      <c r="L2654" cm="1">
        <f t="array" ref="L2654">wordCount(K2654)</f>
        <v>3</v>
      </c>
      <c r="M2654">
        <f t="shared" si="82"/>
        <v>20</v>
      </c>
      <c r="N2654">
        <v>0.85</v>
      </c>
      <c r="O2654" s="23" cm="1">
        <f t="array" ref="O2654">WordListCount(K2654,keywords!$A$2:$A$31)-WordListCount(K2654,keywords!$B$2:$B$31)</f>
        <v>0</v>
      </c>
      <c r="P2654" s="25">
        <f t="shared" si="83"/>
        <v>0.85577546296296303</v>
      </c>
      <c r="Q2654" s="23">
        <f>SUM($O$2:O2654)</f>
        <v>70</v>
      </c>
      <c r="Y2654" s="14"/>
      <c r="Z2654" s="13"/>
      <c r="AA2654"/>
    </row>
    <row r="2655" spans="1:27" x14ac:dyDescent="0.2">
      <c r="A2655" s="12" t="s">
        <v>8049</v>
      </c>
      <c r="B2655" t="s">
        <v>8050</v>
      </c>
      <c r="C2655" t="s">
        <v>8051</v>
      </c>
      <c r="D2655" t="s">
        <v>12</v>
      </c>
      <c r="E2655" t="s">
        <v>13</v>
      </c>
      <c r="F2655">
        <v>17</v>
      </c>
      <c r="G2655">
        <v>146</v>
      </c>
      <c r="H2655" s="5" t="s">
        <v>22</v>
      </c>
      <c r="I2655" s="5">
        <v>0</v>
      </c>
      <c r="J2655" s="5">
        <v>0</v>
      </c>
      <c r="K2655" t="s">
        <v>11560</v>
      </c>
      <c r="L2655" cm="1">
        <f t="array" ref="L2655">wordCount(K2655)</f>
        <v>13</v>
      </c>
      <c r="M2655">
        <f t="shared" si="82"/>
        <v>78</v>
      </c>
      <c r="N2655">
        <v>0.55000000000000004</v>
      </c>
      <c r="O2655" s="23" cm="1">
        <f t="array" ref="O2655">WordListCount(K2655,keywords!$A$2:$A$31)-WordListCount(K2655,keywords!$B$2:$B$31)</f>
        <v>-1</v>
      </c>
      <c r="P2655" s="25">
        <f t="shared" si="83"/>
        <v>0.85667824074074073</v>
      </c>
      <c r="Q2655" s="23">
        <f>SUM($O$2:O2655)</f>
        <v>69</v>
      </c>
      <c r="Y2655" s="14"/>
      <c r="Z2655" s="13"/>
      <c r="AA2655"/>
    </row>
    <row r="2656" spans="1:27" x14ac:dyDescent="0.2">
      <c r="A2656" s="12" t="s">
        <v>8052</v>
      </c>
      <c r="B2656" t="s">
        <v>8053</v>
      </c>
      <c r="C2656" t="s">
        <v>8054</v>
      </c>
      <c r="D2656" t="s">
        <v>8055</v>
      </c>
      <c r="E2656" t="s">
        <v>13</v>
      </c>
      <c r="F2656">
        <v>380</v>
      </c>
      <c r="G2656">
        <v>140</v>
      </c>
      <c r="H2656" s="5" t="s">
        <v>22</v>
      </c>
      <c r="I2656" s="5">
        <v>0</v>
      </c>
      <c r="J2656" s="5">
        <v>0</v>
      </c>
      <c r="K2656" t="s">
        <v>9836</v>
      </c>
      <c r="L2656" cm="1">
        <f t="array" ref="L2656">wordCount(K2656)</f>
        <v>12</v>
      </c>
      <c r="M2656">
        <f t="shared" si="82"/>
        <v>49</v>
      </c>
      <c r="N2656">
        <v>0.62962962962962965</v>
      </c>
      <c r="O2656" s="23" cm="1">
        <f t="array" ref="O2656">WordListCount(K2656,keywords!$A$2:$A$31)-WordListCount(K2656,keywords!$B$2:$B$31)</f>
        <v>0</v>
      </c>
      <c r="P2656" s="25">
        <f t="shared" si="83"/>
        <v>0.85688657407407398</v>
      </c>
      <c r="Q2656" s="23">
        <f>SUM($O$2:O2656)</f>
        <v>69</v>
      </c>
      <c r="Y2656" s="14"/>
      <c r="Z2656" s="13"/>
      <c r="AA2656"/>
    </row>
    <row r="2657" spans="1:27" x14ac:dyDescent="0.2">
      <c r="A2657" s="12" t="s">
        <v>8056</v>
      </c>
      <c r="B2657" t="s">
        <v>8057</v>
      </c>
      <c r="C2657" t="s">
        <v>8058</v>
      </c>
      <c r="D2657" t="s">
        <v>135</v>
      </c>
      <c r="E2657" t="s">
        <v>13</v>
      </c>
      <c r="F2657">
        <v>4696</v>
      </c>
      <c r="G2657">
        <v>2751</v>
      </c>
      <c r="H2657" s="5" t="s">
        <v>22</v>
      </c>
      <c r="I2657" s="5">
        <v>0</v>
      </c>
      <c r="J2657" s="5">
        <v>0</v>
      </c>
      <c r="K2657" t="s">
        <v>9837</v>
      </c>
      <c r="L2657" cm="1">
        <f t="array" ref="L2657">wordCount(K2657)</f>
        <v>7</v>
      </c>
      <c r="M2657">
        <f t="shared" si="82"/>
        <v>33</v>
      </c>
      <c r="N2657">
        <v>0.5</v>
      </c>
      <c r="O2657" s="23" cm="1">
        <f t="array" ref="O2657">WordListCount(K2657,keywords!$A$2:$A$31)-WordListCount(K2657,keywords!$B$2:$B$31)</f>
        <v>0</v>
      </c>
      <c r="P2657" s="25">
        <f t="shared" si="83"/>
        <v>0.85701388888888896</v>
      </c>
      <c r="Q2657" s="23">
        <f>SUM($O$2:O2657)</f>
        <v>69</v>
      </c>
      <c r="Y2657" s="14"/>
      <c r="Z2657" s="13"/>
      <c r="AA2657"/>
    </row>
    <row r="2658" spans="1:27" x14ac:dyDescent="0.2">
      <c r="A2658" s="12" t="s">
        <v>8059</v>
      </c>
      <c r="B2658" t="s">
        <v>8060</v>
      </c>
      <c r="C2658" t="s">
        <v>8061</v>
      </c>
      <c r="D2658" t="s">
        <v>74</v>
      </c>
      <c r="E2658" t="s">
        <v>13</v>
      </c>
      <c r="F2658">
        <v>13712</v>
      </c>
      <c r="G2658">
        <v>1730</v>
      </c>
      <c r="H2658" s="5" t="s">
        <v>22</v>
      </c>
      <c r="I2658" s="5">
        <v>0</v>
      </c>
      <c r="J2658" s="5">
        <v>0</v>
      </c>
      <c r="K2658" t="s">
        <v>11561</v>
      </c>
      <c r="L2658" cm="1">
        <f t="array" ref="L2658">wordCount(K2658)</f>
        <v>12</v>
      </c>
      <c r="M2658">
        <f t="shared" si="82"/>
        <v>59</v>
      </c>
      <c r="N2658">
        <v>0.5</v>
      </c>
      <c r="O2658" s="23" cm="1">
        <f t="array" ref="O2658">WordListCount(K2658,keywords!$A$2:$A$31)-WordListCount(K2658,keywords!$B$2:$B$31)</f>
        <v>0</v>
      </c>
      <c r="P2658" s="25">
        <f t="shared" si="83"/>
        <v>0.85704861111111119</v>
      </c>
      <c r="Q2658" s="23">
        <f>SUM($O$2:O2658)</f>
        <v>69</v>
      </c>
      <c r="Y2658" s="14"/>
      <c r="Z2658" s="13"/>
      <c r="AA2658"/>
    </row>
    <row r="2659" spans="1:27" x14ac:dyDescent="0.2">
      <c r="A2659" s="12" t="s">
        <v>8062</v>
      </c>
      <c r="B2659" t="s">
        <v>8063</v>
      </c>
      <c r="C2659" t="s">
        <v>8064</v>
      </c>
      <c r="D2659" t="s">
        <v>12</v>
      </c>
      <c r="E2659" t="s">
        <v>13</v>
      </c>
      <c r="F2659">
        <v>3</v>
      </c>
      <c r="G2659">
        <v>59</v>
      </c>
      <c r="H2659" s="5" t="s">
        <v>22</v>
      </c>
      <c r="I2659" s="5">
        <v>0</v>
      </c>
      <c r="J2659" s="5">
        <v>0</v>
      </c>
      <c r="K2659" t="s">
        <v>11562</v>
      </c>
      <c r="L2659" cm="1">
        <f t="array" ref="L2659">wordCount(K2659)</f>
        <v>12</v>
      </c>
      <c r="M2659">
        <f t="shared" si="82"/>
        <v>57</v>
      </c>
      <c r="N2659">
        <v>0.67741935483870963</v>
      </c>
      <c r="O2659" s="23" cm="1">
        <f t="array" ref="O2659">WordListCount(K2659,keywords!$A$2:$A$31)-WordListCount(K2659,keywords!$B$2:$B$31)</f>
        <v>-2</v>
      </c>
      <c r="P2659" s="25">
        <f t="shared" si="83"/>
        <v>0.85729166666666667</v>
      </c>
      <c r="Q2659" s="23">
        <f>SUM($O$2:O2659)</f>
        <v>67</v>
      </c>
      <c r="Y2659" s="14"/>
      <c r="Z2659" s="13"/>
      <c r="AA2659"/>
    </row>
    <row r="2660" spans="1:27" x14ac:dyDescent="0.2">
      <c r="A2660" s="12" t="s">
        <v>8065</v>
      </c>
      <c r="B2660" t="s">
        <v>8066</v>
      </c>
      <c r="C2660" t="s">
        <v>8067</v>
      </c>
      <c r="D2660" t="s">
        <v>1328</v>
      </c>
      <c r="E2660" t="s">
        <v>13</v>
      </c>
      <c r="F2660">
        <v>240</v>
      </c>
      <c r="G2660">
        <v>171</v>
      </c>
      <c r="H2660" s="5" t="s">
        <v>22</v>
      </c>
      <c r="I2660" s="5">
        <v>0</v>
      </c>
      <c r="J2660" s="5">
        <v>0</v>
      </c>
      <c r="K2660" t="s">
        <v>9838</v>
      </c>
      <c r="L2660" cm="1">
        <f t="array" ref="L2660">wordCount(K2660)</f>
        <v>5</v>
      </c>
      <c r="M2660">
        <f t="shared" si="82"/>
        <v>18</v>
      </c>
      <c r="N2660">
        <v>0.83333333333333337</v>
      </c>
      <c r="O2660" s="23" cm="1">
        <f t="array" ref="O2660">WordListCount(K2660,keywords!$A$2:$A$31)-WordListCount(K2660,keywords!$B$2:$B$31)</f>
        <v>0</v>
      </c>
      <c r="P2660" s="25">
        <f t="shared" si="83"/>
        <v>0.85740740740740751</v>
      </c>
      <c r="Q2660" s="23">
        <f>SUM($O$2:O2660)</f>
        <v>67</v>
      </c>
      <c r="Y2660" s="14"/>
      <c r="Z2660" s="13"/>
      <c r="AA2660"/>
    </row>
    <row r="2661" spans="1:27" x14ac:dyDescent="0.2">
      <c r="A2661" s="12" t="s">
        <v>8068</v>
      </c>
      <c r="B2661" t="s">
        <v>8069</v>
      </c>
      <c r="C2661" t="s">
        <v>8070</v>
      </c>
      <c r="D2661" t="s">
        <v>8071</v>
      </c>
      <c r="E2661" t="s">
        <v>13</v>
      </c>
      <c r="F2661">
        <v>2725</v>
      </c>
      <c r="G2661">
        <v>3875</v>
      </c>
      <c r="H2661" s="5" t="s">
        <v>22</v>
      </c>
      <c r="I2661" s="5">
        <v>0</v>
      </c>
      <c r="J2661" s="5">
        <v>0</v>
      </c>
      <c r="K2661" t="s">
        <v>11563</v>
      </c>
      <c r="L2661" cm="1">
        <f t="array" ref="L2661">wordCount(K2661)</f>
        <v>5</v>
      </c>
      <c r="M2661">
        <f t="shared" si="82"/>
        <v>25</v>
      </c>
      <c r="N2661">
        <v>0.66666666666666663</v>
      </c>
      <c r="O2661" s="23" cm="1">
        <f t="array" ref="O2661">WordListCount(K2661,keywords!$A$2:$A$31)-WordListCount(K2661,keywords!$B$2:$B$31)</f>
        <v>0</v>
      </c>
      <c r="P2661" s="25">
        <f t="shared" si="83"/>
        <v>0.85751157407407408</v>
      </c>
      <c r="Q2661" s="23">
        <f>SUM($O$2:O2661)</f>
        <v>67</v>
      </c>
      <c r="Y2661" s="14"/>
      <c r="Z2661" s="13"/>
      <c r="AA2661"/>
    </row>
    <row r="2662" spans="1:27" x14ac:dyDescent="0.2">
      <c r="A2662" s="12" t="s">
        <v>8072</v>
      </c>
      <c r="B2662" t="s">
        <v>8073</v>
      </c>
      <c r="C2662" t="s">
        <v>8074</v>
      </c>
      <c r="D2662" t="s">
        <v>12</v>
      </c>
      <c r="E2662" t="s">
        <v>13</v>
      </c>
      <c r="F2662">
        <v>660</v>
      </c>
      <c r="G2662">
        <v>215</v>
      </c>
      <c r="H2662" s="5" t="s">
        <v>22</v>
      </c>
      <c r="I2662" s="5">
        <v>0</v>
      </c>
      <c r="J2662" s="5">
        <v>0</v>
      </c>
      <c r="K2662" t="s">
        <v>9839</v>
      </c>
      <c r="L2662" cm="1">
        <f t="array" ref="L2662">wordCount(K2662)</f>
        <v>4</v>
      </c>
      <c r="M2662">
        <f t="shared" si="82"/>
        <v>20</v>
      </c>
      <c r="N2662">
        <v>0.89473684210526316</v>
      </c>
      <c r="O2662" s="23" cm="1">
        <f t="array" ref="O2662">WordListCount(K2662,keywords!$A$2:$A$31)-WordListCount(K2662,keywords!$B$2:$B$31)</f>
        <v>0</v>
      </c>
      <c r="P2662" s="25">
        <f t="shared" si="83"/>
        <v>0.8580902777777778</v>
      </c>
      <c r="Q2662" s="23">
        <f>SUM($O$2:O2662)</f>
        <v>67</v>
      </c>
      <c r="Y2662" s="14"/>
      <c r="Z2662" s="13"/>
      <c r="AA2662"/>
    </row>
    <row r="2663" spans="1:27" x14ac:dyDescent="0.2">
      <c r="A2663" s="12" t="s">
        <v>8075</v>
      </c>
      <c r="B2663" t="s">
        <v>8076</v>
      </c>
      <c r="C2663" t="s">
        <v>7850</v>
      </c>
      <c r="D2663" t="s">
        <v>12</v>
      </c>
      <c r="E2663" t="s">
        <v>13</v>
      </c>
      <c r="F2663">
        <v>1</v>
      </c>
      <c r="G2663">
        <v>28</v>
      </c>
      <c r="H2663" s="5" t="s">
        <v>14</v>
      </c>
      <c r="I2663" s="5">
        <v>0</v>
      </c>
      <c r="J2663" s="5">
        <v>0</v>
      </c>
      <c r="K2663" t="s">
        <v>11564</v>
      </c>
      <c r="L2663" cm="1">
        <f t="array" ref="L2663">wordCount(K2663)</f>
        <v>10</v>
      </c>
      <c r="M2663">
        <f t="shared" si="82"/>
        <v>64</v>
      </c>
      <c r="N2663">
        <v>0.4</v>
      </c>
      <c r="O2663" s="23" cm="1">
        <f t="array" ref="O2663">WordListCount(K2663,keywords!$A$2:$A$31)-WordListCount(K2663,keywords!$B$2:$B$31)</f>
        <v>0</v>
      </c>
      <c r="P2663" s="25">
        <f t="shared" si="83"/>
        <v>0.85827546296296298</v>
      </c>
      <c r="Q2663" s="23">
        <f>SUM($O$2:O2663)</f>
        <v>67</v>
      </c>
      <c r="Y2663" s="14"/>
      <c r="Z2663" s="13"/>
      <c r="AA2663"/>
    </row>
    <row r="2664" spans="1:27" x14ac:dyDescent="0.2">
      <c r="A2664" s="12" t="s">
        <v>8077</v>
      </c>
      <c r="B2664" t="s">
        <v>8078</v>
      </c>
      <c r="C2664" t="s">
        <v>8079</v>
      </c>
      <c r="D2664" t="s">
        <v>12</v>
      </c>
      <c r="E2664" t="s">
        <v>13</v>
      </c>
      <c r="F2664">
        <v>2</v>
      </c>
      <c r="G2664">
        <v>23</v>
      </c>
      <c r="H2664" s="5" t="s">
        <v>22</v>
      </c>
      <c r="I2664" s="5">
        <v>0</v>
      </c>
      <c r="J2664" s="5">
        <v>0</v>
      </c>
      <c r="K2664" t="s">
        <v>9840</v>
      </c>
      <c r="L2664" cm="1">
        <f t="array" ref="L2664">wordCount(K2664)</f>
        <v>18</v>
      </c>
      <c r="M2664">
        <f t="shared" si="82"/>
        <v>92</v>
      </c>
      <c r="N2664">
        <v>0.42307692307692307</v>
      </c>
      <c r="O2664" s="23" cm="1">
        <f t="array" ref="O2664">WordListCount(K2664,keywords!$A$2:$A$31)-WordListCount(K2664,keywords!$B$2:$B$31)</f>
        <v>0</v>
      </c>
      <c r="P2664" s="25">
        <f t="shared" si="83"/>
        <v>0.85866898148148152</v>
      </c>
      <c r="Q2664" s="23">
        <f>SUM($O$2:O2664)</f>
        <v>67</v>
      </c>
      <c r="Y2664" s="14"/>
      <c r="Z2664" s="13"/>
      <c r="AA2664"/>
    </row>
    <row r="2665" spans="1:27" x14ac:dyDescent="0.2">
      <c r="A2665" s="12" t="s">
        <v>8080</v>
      </c>
      <c r="B2665" t="s">
        <v>8081</v>
      </c>
      <c r="C2665" t="s">
        <v>8082</v>
      </c>
      <c r="D2665" t="s">
        <v>8083</v>
      </c>
      <c r="E2665" t="s">
        <v>13</v>
      </c>
      <c r="F2665">
        <v>872</v>
      </c>
      <c r="G2665">
        <v>542</v>
      </c>
      <c r="H2665" s="5" t="s">
        <v>22</v>
      </c>
      <c r="I2665" s="5">
        <v>0</v>
      </c>
      <c r="J2665" s="5">
        <v>0</v>
      </c>
      <c r="K2665" t="s">
        <v>9841</v>
      </c>
      <c r="L2665" cm="1">
        <f t="array" ref="L2665">wordCount(K2665)</f>
        <v>21</v>
      </c>
      <c r="M2665">
        <f t="shared" si="82"/>
        <v>134</v>
      </c>
      <c r="N2665">
        <v>0.39130434782608697</v>
      </c>
      <c r="O2665" s="23" cm="1">
        <f t="array" ref="O2665">WordListCount(K2665,keywords!$A$2:$A$31)-WordListCount(K2665,keywords!$B$2:$B$31)</f>
        <v>0</v>
      </c>
      <c r="P2665" s="25">
        <f t="shared" si="83"/>
        <v>0.85876157407407405</v>
      </c>
      <c r="Q2665" s="23">
        <f>SUM($O$2:O2665)</f>
        <v>67</v>
      </c>
      <c r="Y2665" s="14"/>
      <c r="Z2665" s="13"/>
      <c r="AA2665"/>
    </row>
    <row r="2666" spans="1:27" x14ac:dyDescent="0.2">
      <c r="A2666" s="12" t="s">
        <v>8084</v>
      </c>
      <c r="B2666" t="s">
        <v>8085</v>
      </c>
      <c r="C2666" t="s">
        <v>8086</v>
      </c>
      <c r="D2666" t="s">
        <v>2994</v>
      </c>
      <c r="E2666" t="s">
        <v>13</v>
      </c>
      <c r="F2666">
        <v>6</v>
      </c>
      <c r="G2666">
        <v>14</v>
      </c>
      <c r="H2666" s="5" t="s">
        <v>382</v>
      </c>
      <c r="I2666" s="5">
        <v>0</v>
      </c>
      <c r="J2666" s="5">
        <v>0</v>
      </c>
      <c r="K2666" t="s">
        <v>9842</v>
      </c>
      <c r="L2666" cm="1">
        <f t="array" ref="L2666">wordCount(K2666)</f>
        <v>3</v>
      </c>
      <c r="M2666">
        <f t="shared" si="82"/>
        <v>16</v>
      </c>
      <c r="N2666">
        <v>0.5714285714285714</v>
      </c>
      <c r="O2666" s="23" cm="1">
        <f t="array" ref="O2666">WordListCount(K2666,keywords!$A$2:$A$31)-WordListCount(K2666,keywords!$B$2:$B$31)</f>
        <v>0</v>
      </c>
      <c r="P2666" s="25">
        <f t="shared" si="83"/>
        <v>0.85892361111111104</v>
      </c>
      <c r="Q2666" s="23">
        <f>SUM($O$2:O2666)</f>
        <v>67</v>
      </c>
      <c r="Y2666" s="14"/>
      <c r="Z2666" s="13"/>
      <c r="AA2666"/>
    </row>
    <row r="2667" spans="1:27" x14ac:dyDescent="0.2">
      <c r="A2667" s="12" t="s">
        <v>8087</v>
      </c>
      <c r="B2667" t="s">
        <v>8088</v>
      </c>
      <c r="C2667" t="s">
        <v>8089</v>
      </c>
      <c r="D2667" t="s">
        <v>12</v>
      </c>
      <c r="E2667" t="s">
        <v>13</v>
      </c>
      <c r="F2667">
        <v>34</v>
      </c>
      <c r="G2667">
        <v>190</v>
      </c>
      <c r="H2667" s="5" t="s">
        <v>22</v>
      </c>
      <c r="I2667" s="5">
        <v>0</v>
      </c>
      <c r="J2667" s="5">
        <v>0</v>
      </c>
      <c r="K2667" t="s">
        <v>11565</v>
      </c>
      <c r="L2667" cm="1">
        <f t="array" ref="L2667">wordCount(K2667)</f>
        <v>14</v>
      </c>
      <c r="M2667">
        <f t="shared" si="82"/>
        <v>75</v>
      </c>
      <c r="N2667">
        <v>0.33333333333333331</v>
      </c>
      <c r="O2667" s="23" cm="1">
        <f t="array" ref="O2667">WordListCount(K2667,keywords!$A$2:$A$31)-WordListCount(K2667,keywords!$B$2:$B$31)</f>
        <v>0</v>
      </c>
      <c r="P2667" s="25">
        <f t="shared" si="83"/>
        <v>0.85943287037037042</v>
      </c>
      <c r="Q2667" s="23">
        <f>SUM($O$2:O2667)</f>
        <v>67</v>
      </c>
      <c r="Y2667" s="14"/>
      <c r="Z2667" s="13"/>
      <c r="AA2667"/>
    </row>
    <row r="2668" spans="1:27" x14ac:dyDescent="0.2">
      <c r="A2668" s="12" t="s">
        <v>8090</v>
      </c>
      <c r="B2668" t="s">
        <v>8091</v>
      </c>
      <c r="C2668" t="s">
        <v>8092</v>
      </c>
      <c r="D2668" t="s">
        <v>5353</v>
      </c>
      <c r="E2668" t="s">
        <v>13</v>
      </c>
      <c r="F2668">
        <v>80</v>
      </c>
      <c r="G2668">
        <v>108</v>
      </c>
      <c r="H2668" s="5" t="s">
        <v>22</v>
      </c>
      <c r="I2668" s="5">
        <v>0</v>
      </c>
      <c r="J2668" s="5">
        <v>0</v>
      </c>
      <c r="K2668" t="s">
        <v>11566</v>
      </c>
      <c r="L2668" cm="1">
        <f t="array" ref="L2668">wordCount(K2668)</f>
        <v>9</v>
      </c>
      <c r="M2668">
        <f t="shared" si="82"/>
        <v>39</v>
      </c>
      <c r="N2668">
        <v>0.7407407407407407</v>
      </c>
      <c r="O2668" s="23" cm="1">
        <f t="array" ref="O2668">WordListCount(K2668,keywords!$A$2:$A$31)-WordListCount(K2668,keywords!$B$2:$B$31)</f>
        <v>0</v>
      </c>
      <c r="P2668" s="25">
        <f t="shared" si="83"/>
        <v>0.85953703703703699</v>
      </c>
      <c r="Q2668" s="23">
        <f>SUM($O$2:O2668)</f>
        <v>67</v>
      </c>
      <c r="Y2668" s="14"/>
      <c r="Z2668" s="13"/>
      <c r="AA2668"/>
    </row>
    <row r="2669" spans="1:27" x14ac:dyDescent="0.2">
      <c r="A2669" s="12" t="s">
        <v>8093</v>
      </c>
      <c r="B2669" t="s">
        <v>8094</v>
      </c>
      <c r="C2669" t="s">
        <v>8095</v>
      </c>
      <c r="D2669" t="s">
        <v>12</v>
      </c>
      <c r="E2669" t="s">
        <v>13</v>
      </c>
      <c r="F2669">
        <v>526</v>
      </c>
      <c r="G2669">
        <v>568</v>
      </c>
      <c r="H2669" s="5" t="s">
        <v>22</v>
      </c>
      <c r="I2669" s="5">
        <v>0</v>
      </c>
      <c r="J2669" s="5">
        <v>0</v>
      </c>
      <c r="K2669" t="s">
        <v>11567</v>
      </c>
      <c r="L2669" cm="1">
        <f t="array" ref="L2669">wordCount(K2669)</f>
        <v>14</v>
      </c>
      <c r="M2669">
        <f t="shared" si="82"/>
        <v>66</v>
      </c>
      <c r="N2669">
        <v>0.29411764705882354</v>
      </c>
      <c r="O2669" s="23" cm="1">
        <f t="array" ref="O2669">WordListCount(K2669,keywords!$A$2:$A$31)-WordListCount(K2669,keywords!$B$2:$B$31)</f>
        <v>0</v>
      </c>
      <c r="P2669" s="25">
        <f t="shared" si="83"/>
        <v>0.85996527777777787</v>
      </c>
      <c r="Q2669" s="23">
        <f>SUM($O$2:O2669)</f>
        <v>67</v>
      </c>
      <c r="Y2669" s="14"/>
      <c r="Z2669" s="13"/>
      <c r="AA2669"/>
    </row>
    <row r="2670" spans="1:27" x14ac:dyDescent="0.2">
      <c r="A2670" s="12" t="s">
        <v>8096</v>
      </c>
      <c r="B2670" t="s">
        <v>8097</v>
      </c>
      <c r="C2670" t="s">
        <v>8098</v>
      </c>
      <c r="D2670" t="s">
        <v>3517</v>
      </c>
      <c r="E2670" t="s">
        <v>13</v>
      </c>
      <c r="F2670">
        <v>924</v>
      </c>
      <c r="G2670">
        <v>808</v>
      </c>
      <c r="H2670" s="5" t="s">
        <v>22</v>
      </c>
      <c r="I2670" s="5">
        <v>0</v>
      </c>
      <c r="J2670" s="5">
        <v>0</v>
      </c>
      <c r="K2670" t="s">
        <v>11568</v>
      </c>
      <c r="L2670" cm="1">
        <f t="array" ref="L2670">wordCount(K2670)</f>
        <v>9</v>
      </c>
      <c r="M2670">
        <f t="shared" si="82"/>
        <v>47</v>
      </c>
      <c r="N2670">
        <v>0.61111111111111116</v>
      </c>
      <c r="O2670" s="23" cm="1">
        <f t="array" ref="O2670">WordListCount(K2670,keywords!$A$2:$A$31)-WordListCount(K2670,keywords!$B$2:$B$31)</f>
        <v>1</v>
      </c>
      <c r="P2670" s="25">
        <f t="shared" si="83"/>
        <v>0.86011574074074071</v>
      </c>
      <c r="Q2670" s="23">
        <f>SUM($O$2:O2670)</f>
        <v>68</v>
      </c>
      <c r="Y2670" s="14"/>
      <c r="Z2670" s="13"/>
      <c r="AA2670"/>
    </row>
    <row r="2671" spans="1:27" x14ac:dyDescent="0.2">
      <c r="A2671" s="12" t="s">
        <v>8099</v>
      </c>
      <c r="B2671" t="s">
        <v>8100</v>
      </c>
      <c r="C2671" t="s">
        <v>511</v>
      </c>
      <c r="D2671" t="s">
        <v>512</v>
      </c>
      <c r="E2671" t="s">
        <v>13</v>
      </c>
      <c r="F2671">
        <v>1896</v>
      </c>
      <c r="G2671">
        <v>540</v>
      </c>
      <c r="H2671" s="5" t="s">
        <v>22</v>
      </c>
      <c r="I2671" s="5">
        <v>0</v>
      </c>
      <c r="J2671" s="5">
        <v>0</v>
      </c>
      <c r="K2671" t="s">
        <v>9843</v>
      </c>
      <c r="L2671" cm="1">
        <f t="array" ref="L2671">wordCount(K2671)</f>
        <v>11</v>
      </c>
      <c r="M2671">
        <f t="shared" si="82"/>
        <v>55</v>
      </c>
      <c r="N2671">
        <v>0.70833333333333337</v>
      </c>
      <c r="O2671" s="23" cm="1">
        <f t="array" ref="O2671">WordListCount(K2671,keywords!$A$2:$A$31)-WordListCount(K2671,keywords!$B$2:$B$31)</f>
        <v>0</v>
      </c>
      <c r="P2671" s="25">
        <f t="shared" si="83"/>
        <v>0.8603587962962963</v>
      </c>
      <c r="Q2671" s="23">
        <f>SUM($O$2:O2671)</f>
        <v>68</v>
      </c>
      <c r="Y2671" s="14"/>
      <c r="Z2671" s="13"/>
      <c r="AA2671"/>
    </row>
    <row r="2672" spans="1:27" x14ac:dyDescent="0.2">
      <c r="A2672" s="12" t="s">
        <v>8101</v>
      </c>
      <c r="B2672" t="s">
        <v>8102</v>
      </c>
      <c r="C2672" t="s">
        <v>8082</v>
      </c>
      <c r="D2672" t="s">
        <v>8083</v>
      </c>
      <c r="E2672" t="s">
        <v>13</v>
      </c>
      <c r="F2672">
        <v>872</v>
      </c>
      <c r="G2672">
        <v>542</v>
      </c>
      <c r="H2672" s="5" t="s">
        <v>22</v>
      </c>
      <c r="I2672" s="5">
        <v>0</v>
      </c>
      <c r="J2672" s="5">
        <v>0</v>
      </c>
      <c r="K2672" t="s">
        <v>11569</v>
      </c>
      <c r="L2672" cm="1">
        <f t="array" ref="L2672">wordCount(K2672)</f>
        <v>8</v>
      </c>
      <c r="M2672">
        <f t="shared" si="82"/>
        <v>36</v>
      </c>
      <c r="N2672">
        <v>0.52941176470588236</v>
      </c>
      <c r="O2672" s="23" cm="1">
        <f t="array" ref="O2672">WordListCount(K2672,keywords!$A$2:$A$31)-WordListCount(K2672,keywords!$B$2:$B$31)</f>
        <v>0</v>
      </c>
      <c r="P2672" s="25">
        <f t="shared" si="83"/>
        <v>0.86040509259259268</v>
      </c>
      <c r="Q2672" s="23">
        <f>SUM($O$2:O2672)</f>
        <v>68</v>
      </c>
      <c r="Y2672" s="14"/>
      <c r="Z2672" s="13"/>
      <c r="AA2672"/>
    </row>
    <row r="2673" spans="1:27" x14ac:dyDescent="0.2">
      <c r="A2673" s="12" t="s">
        <v>8103</v>
      </c>
      <c r="B2673" t="s">
        <v>8104</v>
      </c>
      <c r="C2673" t="s">
        <v>8105</v>
      </c>
      <c r="D2673" t="s">
        <v>12</v>
      </c>
      <c r="E2673" t="s">
        <v>13</v>
      </c>
      <c r="F2673">
        <v>249</v>
      </c>
      <c r="G2673">
        <v>232</v>
      </c>
      <c r="H2673" s="5" t="s">
        <v>125</v>
      </c>
      <c r="I2673" s="5">
        <v>0</v>
      </c>
      <c r="J2673" s="5">
        <v>0</v>
      </c>
      <c r="K2673" t="s">
        <v>11570</v>
      </c>
      <c r="L2673" cm="1">
        <f t="array" ref="L2673">wordCount(K2673)</f>
        <v>18</v>
      </c>
      <c r="M2673">
        <f t="shared" si="82"/>
        <v>73</v>
      </c>
      <c r="N2673">
        <v>0.44444444444444442</v>
      </c>
      <c r="O2673" s="23" cm="1">
        <f t="array" ref="O2673">WordListCount(K2673,keywords!$A$2:$A$31)-WordListCount(K2673,keywords!$B$2:$B$31)</f>
        <v>1</v>
      </c>
      <c r="P2673" s="25">
        <f t="shared" si="83"/>
        <v>0.8604398148148148</v>
      </c>
      <c r="Q2673" s="23">
        <f>SUM($O$2:O2673)</f>
        <v>69</v>
      </c>
      <c r="Y2673" s="14"/>
      <c r="Z2673" s="13"/>
      <c r="AA2673"/>
    </row>
    <row r="2674" spans="1:27" x14ac:dyDescent="0.2">
      <c r="A2674" s="12" t="s">
        <v>8106</v>
      </c>
      <c r="B2674" t="s">
        <v>8107</v>
      </c>
      <c r="C2674" t="s">
        <v>8108</v>
      </c>
      <c r="D2674" t="s">
        <v>8109</v>
      </c>
      <c r="E2674" t="s">
        <v>13</v>
      </c>
      <c r="F2674">
        <v>8594</v>
      </c>
      <c r="G2674">
        <v>5249</v>
      </c>
      <c r="H2674" s="5" t="s">
        <v>22</v>
      </c>
      <c r="I2674" s="5">
        <v>0</v>
      </c>
      <c r="J2674" s="5">
        <v>0</v>
      </c>
      <c r="K2674" t="s">
        <v>11571</v>
      </c>
      <c r="L2674" cm="1">
        <f t="array" ref="L2674">wordCount(K2674)</f>
        <v>12</v>
      </c>
      <c r="M2674">
        <f t="shared" si="82"/>
        <v>48</v>
      </c>
      <c r="N2674">
        <v>0.5</v>
      </c>
      <c r="O2674" s="23" cm="1">
        <f t="array" ref="O2674">WordListCount(K2674,keywords!$A$2:$A$31)-WordListCount(K2674,keywords!$B$2:$B$31)</f>
        <v>0</v>
      </c>
      <c r="P2674" s="25">
        <f t="shared" si="83"/>
        <v>0.86060185185185178</v>
      </c>
      <c r="Q2674" s="23">
        <f>SUM($O$2:O2674)</f>
        <v>69</v>
      </c>
      <c r="Y2674" s="14"/>
      <c r="Z2674" s="13"/>
      <c r="AA2674"/>
    </row>
    <row r="2675" spans="1:27" x14ac:dyDescent="0.2">
      <c r="A2675" s="12" t="s">
        <v>8110</v>
      </c>
      <c r="B2675" t="s">
        <v>8111</v>
      </c>
      <c r="C2675" t="s">
        <v>8112</v>
      </c>
      <c r="D2675" t="s">
        <v>7246</v>
      </c>
      <c r="E2675" t="s">
        <v>13</v>
      </c>
      <c r="F2675">
        <v>1462</v>
      </c>
      <c r="G2675">
        <v>966</v>
      </c>
      <c r="H2675" s="5" t="s">
        <v>382</v>
      </c>
      <c r="I2675" s="5">
        <v>0</v>
      </c>
      <c r="J2675" s="5">
        <v>0</v>
      </c>
      <c r="K2675" t="s">
        <v>9047</v>
      </c>
      <c r="L2675" cm="1">
        <f t="array" ref="L2675">wordCount(K2675)</f>
        <v>1</v>
      </c>
      <c r="M2675">
        <f t="shared" si="82"/>
        <v>7</v>
      </c>
      <c r="N2675">
        <v>0.5</v>
      </c>
      <c r="O2675" s="23" cm="1">
        <f t="array" ref="O2675">WordListCount(K2675,keywords!$A$2:$A$31)-WordListCount(K2675,keywords!$B$2:$B$31)</f>
        <v>0</v>
      </c>
      <c r="P2675" s="25">
        <f t="shared" si="83"/>
        <v>0.86103009259259267</v>
      </c>
      <c r="Q2675" s="23">
        <f>SUM($O$2:O2675)</f>
        <v>69</v>
      </c>
      <c r="Y2675" s="14"/>
      <c r="Z2675" s="13"/>
      <c r="AA2675"/>
    </row>
    <row r="2676" spans="1:27" x14ac:dyDescent="0.2">
      <c r="A2676" s="12" t="s">
        <v>8113</v>
      </c>
      <c r="B2676" t="s">
        <v>8114</v>
      </c>
      <c r="C2676" t="s">
        <v>8115</v>
      </c>
      <c r="D2676" t="s">
        <v>12</v>
      </c>
      <c r="E2676" t="s">
        <v>13</v>
      </c>
      <c r="F2676">
        <v>252</v>
      </c>
      <c r="G2676">
        <v>87</v>
      </c>
      <c r="H2676" s="5" t="s">
        <v>22</v>
      </c>
      <c r="I2676" s="5">
        <v>0</v>
      </c>
      <c r="J2676" s="5">
        <v>0</v>
      </c>
      <c r="K2676" t="s">
        <v>9844</v>
      </c>
      <c r="L2676" cm="1">
        <f t="array" ref="L2676">wordCount(K2676)</f>
        <v>3</v>
      </c>
      <c r="M2676">
        <f t="shared" si="82"/>
        <v>23</v>
      </c>
      <c r="N2676">
        <v>0.94444444444444442</v>
      </c>
      <c r="O2676" s="23" cm="1">
        <f t="array" ref="O2676">WordListCount(K2676,keywords!$A$2:$A$31)-WordListCount(K2676,keywords!$B$2:$B$31)</f>
        <v>0</v>
      </c>
      <c r="P2676" s="25">
        <f t="shared" si="83"/>
        <v>0.86111111111111116</v>
      </c>
      <c r="Q2676" s="23">
        <f>SUM($O$2:O2676)</f>
        <v>69</v>
      </c>
      <c r="Y2676" s="14"/>
      <c r="Z2676" s="13"/>
      <c r="AA2676"/>
    </row>
    <row r="2677" spans="1:27" x14ac:dyDescent="0.2">
      <c r="A2677" s="12" t="s">
        <v>8116</v>
      </c>
      <c r="B2677" t="s">
        <v>8117</v>
      </c>
      <c r="C2677" t="s">
        <v>130</v>
      </c>
      <c r="D2677" t="s">
        <v>131</v>
      </c>
      <c r="E2677" t="s">
        <v>13</v>
      </c>
      <c r="F2677">
        <v>95</v>
      </c>
      <c r="G2677">
        <v>202</v>
      </c>
      <c r="H2677" s="5" t="s">
        <v>22</v>
      </c>
      <c r="I2677" s="5">
        <v>0</v>
      </c>
      <c r="J2677" s="5">
        <v>0</v>
      </c>
      <c r="K2677" t="s">
        <v>11572</v>
      </c>
      <c r="L2677" cm="1">
        <f t="array" ref="L2677">wordCount(K2677)</f>
        <v>23</v>
      </c>
      <c r="M2677">
        <f t="shared" si="82"/>
        <v>108</v>
      </c>
      <c r="N2677">
        <v>0.29629629629629628</v>
      </c>
      <c r="O2677" s="23" cm="1">
        <f t="array" ref="O2677">WordListCount(K2677,keywords!$A$2:$A$31)-WordListCount(K2677,keywords!$B$2:$B$31)</f>
        <v>0</v>
      </c>
      <c r="P2677" s="25">
        <f t="shared" si="83"/>
        <v>0.86129629629629623</v>
      </c>
      <c r="Q2677" s="23">
        <f>SUM($O$2:O2677)</f>
        <v>69</v>
      </c>
      <c r="Y2677" s="14"/>
      <c r="Z2677" s="13"/>
      <c r="AA2677"/>
    </row>
    <row r="2678" spans="1:27" x14ac:dyDescent="0.2">
      <c r="A2678" s="12" t="s">
        <v>8118</v>
      </c>
      <c r="B2678" t="s">
        <v>8119</v>
      </c>
      <c r="C2678" t="s">
        <v>8120</v>
      </c>
      <c r="D2678" t="s">
        <v>8121</v>
      </c>
      <c r="E2678" t="s">
        <v>13</v>
      </c>
      <c r="F2678">
        <v>764</v>
      </c>
      <c r="G2678">
        <v>479</v>
      </c>
      <c r="H2678" s="5" t="s">
        <v>1823</v>
      </c>
      <c r="I2678" s="5">
        <v>0</v>
      </c>
      <c r="J2678" s="5">
        <v>0</v>
      </c>
      <c r="K2678" t="s">
        <v>11573</v>
      </c>
      <c r="L2678" cm="1">
        <f t="array" ref="L2678">wordCount(K2678)</f>
        <v>6</v>
      </c>
      <c r="M2678">
        <f t="shared" si="82"/>
        <v>37</v>
      </c>
      <c r="N2678">
        <v>0.72222222222222221</v>
      </c>
      <c r="O2678" s="23" cm="1">
        <f t="array" ref="O2678">WordListCount(K2678,keywords!$A$2:$A$31)-WordListCount(K2678,keywords!$B$2:$B$31)</f>
        <v>0</v>
      </c>
      <c r="P2678" s="25">
        <f t="shared" si="83"/>
        <v>0.86143518518518514</v>
      </c>
      <c r="Q2678" s="23">
        <f>SUM($O$2:O2678)</f>
        <v>69</v>
      </c>
      <c r="Y2678" s="14"/>
      <c r="Z2678" s="13"/>
      <c r="AA2678"/>
    </row>
    <row r="2679" spans="1:27" x14ac:dyDescent="0.2">
      <c r="A2679" s="12" t="s">
        <v>8122</v>
      </c>
      <c r="B2679" t="s">
        <v>8123</v>
      </c>
      <c r="C2679" t="s">
        <v>8124</v>
      </c>
      <c r="D2679" t="s">
        <v>8125</v>
      </c>
      <c r="E2679" t="s">
        <v>13</v>
      </c>
      <c r="F2679">
        <v>41</v>
      </c>
      <c r="G2679">
        <v>58</v>
      </c>
      <c r="H2679" s="5" t="s">
        <v>22</v>
      </c>
      <c r="I2679" s="5">
        <v>0</v>
      </c>
      <c r="J2679" s="5">
        <v>0</v>
      </c>
      <c r="K2679" t="s">
        <v>11574</v>
      </c>
      <c r="L2679" cm="1">
        <f t="array" ref="L2679">wordCount(K2679)</f>
        <v>6</v>
      </c>
      <c r="M2679">
        <f t="shared" si="82"/>
        <v>18</v>
      </c>
      <c r="N2679">
        <v>0.625</v>
      </c>
      <c r="O2679" s="23" cm="1">
        <f t="array" ref="O2679">WordListCount(K2679,keywords!$A$2:$A$31)-WordListCount(K2679,keywords!$B$2:$B$31)</f>
        <v>0</v>
      </c>
      <c r="P2679" s="25">
        <f t="shared" si="83"/>
        <v>0.86153935185185182</v>
      </c>
      <c r="Q2679" s="23">
        <f>SUM($O$2:O2679)</f>
        <v>69</v>
      </c>
      <c r="Y2679" s="14"/>
      <c r="Z2679" s="13"/>
      <c r="AA2679"/>
    </row>
    <row r="2680" spans="1:27" x14ac:dyDescent="0.2">
      <c r="A2680" s="12" t="s">
        <v>8126</v>
      </c>
      <c r="B2680" t="s">
        <v>8127</v>
      </c>
      <c r="C2680" t="s">
        <v>8128</v>
      </c>
      <c r="D2680" t="s">
        <v>12</v>
      </c>
      <c r="E2680" t="s">
        <v>13</v>
      </c>
      <c r="F2680">
        <v>151</v>
      </c>
      <c r="G2680">
        <v>175</v>
      </c>
      <c r="H2680" s="5" t="s">
        <v>22</v>
      </c>
      <c r="I2680" s="5">
        <v>0</v>
      </c>
      <c r="J2680" s="5">
        <v>0</v>
      </c>
      <c r="K2680" t="s">
        <v>11575</v>
      </c>
      <c r="L2680" cm="1">
        <f t="array" ref="L2680">wordCount(K2680)</f>
        <v>5</v>
      </c>
      <c r="M2680">
        <f t="shared" si="82"/>
        <v>28</v>
      </c>
      <c r="N2680">
        <v>0.7</v>
      </c>
      <c r="O2680" s="23" cm="1">
        <f t="array" ref="O2680">WordListCount(K2680,keywords!$A$2:$A$31)-WordListCount(K2680,keywords!$B$2:$B$31)</f>
        <v>1</v>
      </c>
      <c r="P2680" s="25">
        <f t="shared" si="83"/>
        <v>0.86232638888888891</v>
      </c>
      <c r="Q2680" s="23">
        <f>SUM($O$2:O2680)</f>
        <v>70</v>
      </c>
      <c r="Y2680" s="14"/>
      <c r="Z2680" s="13"/>
      <c r="AA2680"/>
    </row>
    <row r="2681" spans="1:27" x14ac:dyDescent="0.2">
      <c r="A2681" s="12" t="s">
        <v>8129</v>
      </c>
      <c r="B2681" t="s">
        <v>8130</v>
      </c>
      <c r="C2681" t="s">
        <v>8131</v>
      </c>
      <c r="D2681" t="s">
        <v>8132</v>
      </c>
      <c r="E2681" t="s">
        <v>13</v>
      </c>
      <c r="F2681">
        <v>26</v>
      </c>
      <c r="G2681">
        <v>36</v>
      </c>
      <c r="H2681" s="5" t="s">
        <v>22</v>
      </c>
      <c r="I2681" s="5">
        <v>0</v>
      </c>
      <c r="J2681" s="5">
        <v>0</v>
      </c>
      <c r="K2681" t="s">
        <v>11576</v>
      </c>
      <c r="L2681" cm="1">
        <f t="array" ref="L2681">wordCount(K2681)</f>
        <v>20</v>
      </c>
      <c r="M2681">
        <f t="shared" si="82"/>
        <v>87</v>
      </c>
      <c r="N2681">
        <v>0.31818181818181818</v>
      </c>
      <c r="O2681" s="23" cm="1">
        <f t="array" ref="O2681">WordListCount(K2681,keywords!$A$2:$A$31)-WordListCount(K2681,keywords!$B$2:$B$31)</f>
        <v>0</v>
      </c>
      <c r="P2681" s="25">
        <f t="shared" si="83"/>
        <v>0.86245370370370367</v>
      </c>
      <c r="Q2681" s="23">
        <f>SUM($O$2:O2681)</f>
        <v>70</v>
      </c>
      <c r="Y2681" s="14"/>
      <c r="Z2681" s="13"/>
      <c r="AA2681"/>
    </row>
    <row r="2682" spans="1:27" x14ac:dyDescent="0.2">
      <c r="A2682" s="12" t="s">
        <v>8133</v>
      </c>
      <c r="B2682" t="s">
        <v>8134</v>
      </c>
      <c r="C2682" t="s">
        <v>8135</v>
      </c>
      <c r="D2682" t="s">
        <v>3846</v>
      </c>
      <c r="E2682" t="s">
        <v>13</v>
      </c>
      <c r="F2682">
        <v>160</v>
      </c>
      <c r="G2682">
        <v>171</v>
      </c>
      <c r="H2682" s="5" t="s">
        <v>22</v>
      </c>
      <c r="I2682" s="5">
        <v>0</v>
      </c>
      <c r="J2682" s="5">
        <v>0</v>
      </c>
      <c r="K2682" t="s">
        <v>11577</v>
      </c>
      <c r="L2682" cm="1">
        <f t="array" ref="L2682">wordCount(K2682)</f>
        <v>4</v>
      </c>
      <c r="M2682">
        <f t="shared" si="82"/>
        <v>28</v>
      </c>
      <c r="N2682">
        <v>0.83333333333333337</v>
      </c>
      <c r="O2682" s="23" cm="1">
        <f t="array" ref="O2682">WordListCount(K2682,keywords!$A$2:$A$31)-WordListCount(K2682,keywords!$B$2:$B$31)</f>
        <v>0</v>
      </c>
      <c r="P2682" s="25">
        <f t="shared" si="83"/>
        <v>0.86266203703703714</v>
      </c>
      <c r="Q2682" s="23">
        <f>SUM($O$2:O2682)</f>
        <v>70</v>
      </c>
      <c r="Y2682" s="14"/>
      <c r="Z2682" s="13"/>
      <c r="AA2682"/>
    </row>
    <row r="2683" spans="1:27" x14ac:dyDescent="0.2">
      <c r="A2683" s="12" t="s">
        <v>8136</v>
      </c>
      <c r="B2683" t="s">
        <v>8137</v>
      </c>
      <c r="C2683" t="s">
        <v>8138</v>
      </c>
      <c r="D2683" t="s">
        <v>8139</v>
      </c>
      <c r="E2683" t="s">
        <v>13</v>
      </c>
      <c r="F2683">
        <v>263</v>
      </c>
      <c r="G2683">
        <v>1041</v>
      </c>
      <c r="H2683" s="5" t="s">
        <v>22</v>
      </c>
      <c r="I2683" s="5">
        <v>0</v>
      </c>
      <c r="J2683" s="5">
        <v>0</v>
      </c>
      <c r="K2683" t="s">
        <v>11578</v>
      </c>
      <c r="L2683" cm="1">
        <f t="array" ref="L2683">wordCount(K2683)</f>
        <v>12</v>
      </c>
      <c r="M2683">
        <f t="shared" si="82"/>
        <v>54</v>
      </c>
      <c r="N2683">
        <v>0.5714285714285714</v>
      </c>
      <c r="O2683" s="23" cm="1">
        <f t="array" ref="O2683">WordListCount(K2683,keywords!$A$2:$A$31)-WordListCount(K2683,keywords!$B$2:$B$31)</f>
        <v>0</v>
      </c>
      <c r="P2683" s="25">
        <f t="shared" si="83"/>
        <v>0.86282407407407413</v>
      </c>
      <c r="Q2683" s="23">
        <f>SUM($O$2:O2683)</f>
        <v>70</v>
      </c>
      <c r="Y2683" s="14"/>
      <c r="Z2683" s="13"/>
      <c r="AA2683"/>
    </row>
    <row r="2684" spans="1:27" x14ac:dyDescent="0.2">
      <c r="A2684" s="12" t="s">
        <v>8140</v>
      </c>
      <c r="B2684" t="s">
        <v>8141</v>
      </c>
      <c r="C2684" t="s">
        <v>8142</v>
      </c>
      <c r="D2684" t="s">
        <v>12</v>
      </c>
      <c r="E2684" t="s">
        <v>13</v>
      </c>
      <c r="F2684">
        <v>24</v>
      </c>
      <c r="G2684">
        <v>152</v>
      </c>
      <c r="H2684" s="5" t="s">
        <v>22</v>
      </c>
      <c r="I2684" s="5">
        <v>0</v>
      </c>
      <c r="J2684" s="5">
        <v>0</v>
      </c>
      <c r="K2684" t="s">
        <v>9845</v>
      </c>
      <c r="L2684" cm="1">
        <f t="array" ref="L2684">wordCount(K2684)</f>
        <v>8</v>
      </c>
      <c r="M2684">
        <f t="shared" si="82"/>
        <v>39</v>
      </c>
      <c r="N2684">
        <v>0.72727272727272729</v>
      </c>
      <c r="O2684" s="23" cm="1">
        <f t="array" ref="O2684">WordListCount(K2684,keywords!$A$2:$A$31)-WordListCount(K2684,keywords!$B$2:$B$31)</f>
        <v>0</v>
      </c>
      <c r="P2684" s="25">
        <f t="shared" si="83"/>
        <v>0.86296296296296304</v>
      </c>
      <c r="Q2684" s="23">
        <f>SUM($O$2:O2684)</f>
        <v>70</v>
      </c>
      <c r="Y2684" s="14"/>
      <c r="Z2684" s="13"/>
      <c r="AA2684"/>
    </row>
    <row r="2685" spans="1:27" x14ac:dyDescent="0.2">
      <c r="A2685" s="12" t="s">
        <v>8143</v>
      </c>
      <c r="B2685" t="s">
        <v>8144</v>
      </c>
      <c r="C2685" t="s">
        <v>8145</v>
      </c>
      <c r="D2685" t="s">
        <v>2153</v>
      </c>
      <c r="E2685" t="s">
        <v>13</v>
      </c>
      <c r="F2685">
        <v>635</v>
      </c>
      <c r="G2685">
        <v>3924</v>
      </c>
      <c r="H2685" s="5" t="s">
        <v>677</v>
      </c>
      <c r="I2685" s="5">
        <v>0</v>
      </c>
      <c r="J2685" s="5">
        <v>0</v>
      </c>
      <c r="K2685" t="s">
        <v>11579</v>
      </c>
      <c r="L2685" cm="1">
        <f t="array" ref="L2685">wordCount(K2685)</f>
        <v>9</v>
      </c>
      <c r="M2685">
        <f t="shared" si="82"/>
        <v>36</v>
      </c>
      <c r="N2685">
        <v>0.73913043478260865</v>
      </c>
      <c r="O2685" s="23" cm="1">
        <f t="array" ref="O2685">WordListCount(K2685,keywords!$A$2:$A$31)-WordListCount(K2685,keywords!$B$2:$B$31)</f>
        <v>0</v>
      </c>
      <c r="P2685" s="25">
        <f t="shared" si="83"/>
        <v>0.86320601851851853</v>
      </c>
      <c r="Q2685" s="23">
        <f>SUM($O$2:O2685)</f>
        <v>70</v>
      </c>
      <c r="Y2685" s="14"/>
      <c r="Z2685" s="13"/>
      <c r="AA2685"/>
    </row>
    <row r="2686" spans="1:27" x14ac:dyDescent="0.2">
      <c r="A2686" s="12" t="s">
        <v>8146</v>
      </c>
      <c r="B2686" t="s">
        <v>8147</v>
      </c>
      <c r="C2686" t="s">
        <v>8148</v>
      </c>
      <c r="D2686" t="s">
        <v>2363</v>
      </c>
      <c r="E2686" t="s">
        <v>13</v>
      </c>
      <c r="F2686">
        <v>6</v>
      </c>
      <c r="G2686">
        <v>26</v>
      </c>
      <c r="H2686" s="5" t="s">
        <v>22</v>
      </c>
      <c r="I2686" s="5">
        <v>0</v>
      </c>
      <c r="J2686" s="5">
        <v>0</v>
      </c>
      <c r="K2686" t="s">
        <v>9846</v>
      </c>
      <c r="L2686" cm="1">
        <f t="array" ref="L2686">wordCount(K2686)</f>
        <v>2</v>
      </c>
      <c r="M2686">
        <f t="shared" si="82"/>
        <v>12</v>
      </c>
      <c r="N2686">
        <v>0.94117647058823528</v>
      </c>
      <c r="O2686" s="23" cm="1">
        <f t="array" ref="O2686">WordListCount(K2686,keywords!$A$2:$A$31)-WordListCount(K2686,keywords!$B$2:$B$31)</f>
        <v>0</v>
      </c>
      <c r="P2686" s="25">
        <f t="shared" si="83"/>
        <v>0.86348379629629635</v>
      </c>
      <c r="Q2686" s="23">
        <f>SUM($O$2:O2686)</f>
        <v>70</v>
      </c>
      <c r="Y2686" s="14"/>
      <c r="Z2686" s="13"/>
      <c r="AA2686"/>
    </row>
    <row r="2687" spans="1:27" x14ac:dyDescent="0.2">
      <c r="A2687" s="12" t="s">
        <v>8149</v>
      </c>
      <c r="B2687" t="s">
        <v>8150</v>
      </c>
      <c r="C2687" t="s">
        <v>8151</v>
      </c>
      <c r="D2687" t="s">
        <v>8152</v>
      </c>
      <c r="E2687" t="s">
        <v>13</v>
      </c>
      <c r="F2687">
        <v>303</v>
      </c>
      <c r="G2687">
        <v>1485</v>
      </c>
      <c r="H2687" s="5" t="s">
        <v>22</v>
      </c>
      <c r="I2687" s="5">
        <v>0</v>
      </c>
      <c r="J2687" s="5">
        <v>0</v>
      </c>
      <c r="K2687" t="s">
        <v>11580</v>
      </c>
      <c r="L2687" cm="1">
        <f t="array" ref="L2687">wordCount(K2687)</f>
        <v>9</v>
      </c>
      <c r="M2687">
        <f t="shared" si="82"/>
        <v>35</v>
      </c>
      <c r="N2687">
        <v>0.46666666666666667</v>
      </c>
      <c r="O2687" s="23" cm="1">
        <f t="array" ref="O2687">WordListCount(K2687,keywords!$A$2:$A$31)-WordListCount(K2687,keywords!$B$2:$B$31)</f>
        <v>0</v>
      </c>
      <c r="P2687" s="25">
        <f t="shared" si="83"/>
        <v>0.86388888888888893</v>
      </c>
      <c r="Q2687" s="23">
        <f>SUM($O$2:O2687)</f>
        <v>70</v>
      </c>
      <c r="Y2687" s="14"/>
      <c r="Z2687" s="13"/>
      <c r="AA2687"/>
    </row>
    <row r="2688" spans="1:27" x14ac:dyDescent="0.2">
      <c r="A2688" s="12" t="s">
        <v>8153</v>
      </c>
      <c r="B2688" t="s">
        <v>8154</v>
      </c>
      <c r="C2688" t="s">
        <v>6211</v>
      </c>
      <c r="D2688" t="s">
        <v>6212</v>
      </c>
      <c r="E2688" t="s">
        <v>13</v>
      </c>
      <c r="F2688">
        <v>374</v>
      </c>
      <c r="G2688">
        <v>410</v>
      </c>
      <c r="H2688" s="5" t="s">
        <v>22</v>
      </c>
      <c r="I2688" s="5">
        <v>0</v>
      </c>
      <c r="J2688" s="5">
        <v>0</v>
      </c>
      <c r="K2688" t="s">
        <v>11581</v>
      </c>
      <c r="L2688" cm="1">
        <f t="array" ref="L2688">wordCount(K2688)</f>
        <v>10</v>
      </c>
      <c r="M2688">
        <f t="shared" si="82"/>
        <v>46</v>
      </c>
      <c r="N2688">
        <v>0.5</v>
      </c>
      <c r="O2688" s="23" cm="1">
        <f t="array" ref="O2688">WordListCount(K2688,keywords!$A$2:$A$31)-WordListCount(K2688,keywords!$B$2:$B$31)</f>
        <v>0</v>
      </c>
      <c r="P2688" s="25">
        <f t="shared" si="83"/>
        <v>0.8641550925925926</v>
      </c>
      <c r="Q2688" s="23">
        <f>SUM($O$2:O2688)</f>
        <v>70</v>
      </c>
      <c r="Y2688" s="14"/>
      <c r="Z2688" s="13"/>
      <c r="AA2688"/>
    </row>
    <row r="2689" spans="1:27" x14ac:dyDescent="0.2">
      <c r="A2689" s="12" t="s">
        <v>8155</v>
      </c>
      <c r="B2689" t="s">
        <v>8156</v>
      </c>
      <c r="C2689" t="s">
        <v>8157</v>
      </c>
      <c r="D2689" t="s">
        <v>12</v>
      </c>
      <c r="E2689" t="s">
        <v>13</v>
      </c>
      <c r="F2689">
        <v>11</v>
      </c>
      <c r="G2689">
        <v>425</v>
      </c>
      <c r="H2689" s="5" t="s">
        <v>22</v>
      </c>
      <c r="I2689" s="5">
        <v>0</v>
      </c>
      <c r="J2689" s="5">
        <v>0</v>
      </c>
      <c r="K2689" t="s">
        <v>11582</v>
      </c>
      <c r="L2689" cm="1">
        <f t="array" ref="L2689">wordCount(K2689)</f>
        <v>13</v>
      </c>
      <c r="M2689">
        <f t="shared" si="82"/>
        <v>80</v>
      </c>
      <c r="N2689">
        <v>0.26666666666666666</v>
      </c>
      <c r="O2689" s="23" cm="1">
        <f t="array" ref="O2689">WordListCount(K2689,keywords!$A$2:$A$31)-WordListCount(K2689,keywords!$B$2:$B$31)</f>
        <v>0</v>
      </c>
      <c r="P2689" s="25">
        <f t="shared" si="83"/>
        <v>0.86427083333333332</v>
      </c>
      <c r="Q2689" s="23">
        <f>SUM($O$2:O2689)</f>
        <v>70</v>
      </c>
      <c r="Y2689" s="14"/>
      <c r="Z2689" s="13"/>
      <c r="AA2689"/>
    </row>
    <row r="2690" spans="1:27" x14ac:dyDescent="0.2">
      <c r="A2690" s="12" t="s">
        <v>8158</v>
      </c>
      <c r="B2690" t="s">
        <v>8159</v>
      </c>
      <c r="C2690" t="s">
        <v>8160</v>
      </c>
      <c r="D2690" t="s">
        <v>8161</v>
      </c>
      <c r="E2690" t="s">
        <v>13</v>
      </c>
      <c r="F2690">
        <v>489</v>
      </c>
      <c r="G2690">
        <v>1080</v>
      </c>
      <c r="H2690" s="5" t="s">
        <v>22</v>
      </c>
      <c r="I2690" s="5">
        <v>0</v>
      </c>
      <c r="J2690" s="5">
        <v>0</v>
      </c>
      <c r="K2690" t="s">
        <v>9847</v>
      </c>
      <c r="L2690" cm="1">
        <f t="array" ref="L2690">wordCount(K2690)</f>
        <v>4</v>
      </c>
      <c r="M2690">
        <f t="shared" ref="M2690:M2753" si="84">LEN(K2690)</f>
        <v>22</v>
      </c>
      <c r="N2690">
        <v>0.9</v>
      </c>
      <c r="O2690" s="23" cm="1">
        <f t="array" ref="O2690">WordListCount(K2690,keywords!$A$2:$A$31)-WordListCount(K2690,keywords!$B$2:$B$31)</f>
        <v>0</v>
      </c>
      <c r="P2690" s="25">
        <f t="shared" ref="P2690:P2753" si="85">TIMEVALUE(RIGHT(A2690,8))</f>
        <v>0.86442129629629638</v>
      </c>
      <c r="Q2690" s="23">
        <f>SUM($O$2:O2690)</f>
        <v>70</v>
      </c>
      <c r="Y2690" s="14"/>
      <c r="Z2690" s="13"/>
      <c r="AA2690"/>
    </row>
    <row r="2691" spans="1:27" x14ac:dyDescent="0.2">
      <c r="A2691" s="12" t="s">
        <v>8162</v>
      </c>
      <c r="B2691" t="s">
        <v>8163</v>
      </c>
      <c r="C2691" t="s">
        <v>8164</v>
      </c>
      <c r="D2691" t="s">
        <v>8165</v>
      </c>
      <c r="E2691" t="s">
        <v>13</v>
      </c>
      <c r="F2691">
        <v>2835</v>
      </c>
      <c r="G2691">
        <v>3547</v>
      </c>
      <c r="H2691" s="5" t="s">
        <v>22</v>
      </c>
      <c r="I2691" s="5">
        <v>0</v>
      </c>
      <c r="J2691" s="5">
        <v>0</v>
      </c>
      <c r="K2691" t="s">
        <v>11583</v>
      </c>
      <c r="L2691" cm="1">
        <f t="array" ref="L2691">wordCount(K2691)</f>
        <v>22</v>
      </c>
      <c r="M2691">
        <f t="shared" si="84"/>
        <v>100</v>
      </c>
      <c r="N2691">
        <v>0.24</v>
      </c>
      <c r="O2691" s="23" cm="1">
        <f t="array" ref="O2691">WordListCount(K2691,keywords!$A$2:$A$31)-WordListCount(K2691,keywords!$B$2:$B$31)</f>
        <v>0</v>
      </c>
      <c r="P2691" s="25">
        <f t="shared" si="85"/>
        <v>0.86456018518518529</v>
      </c>
      <c r="Q2691" s="23">
        <f>SUM($O$2:O2691)</f>
        <v>70</v>
      </c>
      <c r="Y2691" s="14"/>
      <c r="Z2691" s="13"/>
      <c r="AA2691"/>
    </row>
    <row r="2692" spans="1:27" x14ac:dyDescent="0.2">
      <c r="A2692" s="12" t="s">
        <v>8166</v>
      </c>
      <c r="B2692" t="s">
        <v>8167</v>
      </c>
      <c r="C2692" t="s">
        <v>429</v>
      </c>
      <c r="D2692" t="s">
        <v>430</v>
      </c>
      <c r="E2692" t="s">
        <v>13</v>
      </c>
      <c r="F2692">
        <v>1664</v>
      </c>
      <c r="G2692">
        <v>1478</v>
      </c>
      <c r="H2692" s="5" t="s">
        <v>22</v>
      </c>
      <c r="I2692" s="5">
        <v>0</v>
      </c>
      <c r="J2692" s="5">
        <v>0</v>
      </c>
      <c r="K2692" t="s">
        <v>11584</v>
      </c>
      <c r="L2692" cm="1">
        <f t="array" ref="L2692">wordCount(K2692)</f>
        <v>9</v>
      </c>
      <c r="M2692">
        <f t="shared" si="84"/>
        <v>64</v>
      </c>
      <c r="N2692">
        <v>0.68421052631578949</v>
      </c>
      <c r="O2692" s="23" cm="1">
        <f t="array" ref="O2692">WordListCount(K2692,keywords!$A$2:$A$31)-WordListCount(K2692,keywords!$B$2:$B$31)</f>
        <v>0</v>
      </c>
      <c r="P2692" s="25">
        <f t="shared" si="85"/>
        <v>0.86460648148148145</v>
      </c>
      <c r="Q2692" s="23">
        <f>SUM($O$2:O2692)</f>
        <v>70</v>
      </c>
      <c r="Y2692" s="14"/>
      <c r="Z2692" s="13"/>
      <c r="AA2692"/>
    </row>
    <row r="2693" spans="1:27" x14ac:dyDescent="0.2">
      <c r="A2693" s="12" t="s">
        <v>8168</v>
      </c>
      <c r="B2693" t="s">
        <v>8169</v>
      </c>
      <c r="C2693" t="s">
        <v>8170</v>
      </c>
      <c r="D2693" t="s">
        <v>8171</v>
      </c>
      <c r="E2693" t="s">
        <v>13</v>
      </c>
      <c r="F2693">
        <v>32</v>
      </c>
      <c r="G2693">
        <v>91</v>
      </c>
      <c r="H2693" s="5" t="s">
        <v>22</v>
      </c>
      <c r="I2693" s="5">
        <v>0</v>
      </c>
      <c r="J2693" s="5">
        <v>0</v>
      </c>
      <c r="K2693" t="s">
        <v>9848</v>
      </c>
      <c r="L2693" cm="1">
        <f t="array" ref="L2693">wordCount(K2693)</f>
        <v>10</v>
      </c>
      <c r="M2693">
        <f t="shared" si="84"/>
        <v>58</v>
      </c>
      <c r="N2693">
        <v>0.63636363636363635</v>
      </c>
      <c r="O2693" s="23" cm="1">
        <f t="array" ref="O2693">WordListCount(K2693,keywords!$A$2:$A$31)-WordListCount(K2693,keywords!$B$2:$B$31)</f>
        <v>0</v>
      </c>
      <c r="P2693" s="25">
        <f t="shared" si="85"/>
        <v>0.86480324074074078</v>
      </c>
      <c r="Q2693" s="23">
        <f>SUM($O$2:O2693)</f>
        <v>70</v>
      </c>
      <c r="Y2693" s="14"/>
      <c r="Z2693" s="13"/>
      <c r="AA2693"/>
    </row>
    <row r="2694" spans="1:27" x14ac:dyDescent="0.2">
      <c r="A2694" s="12" t="s">
        <v>8172</v>
      </c>
      <c r="B2694" t="s">
        <v>8173</v>
      </c>
      <c r="C2694" t="s">
        <v>8174</v>
      </c>
      <c r="D2694" t="s">
        <v>12</v>
      </c>
      <c r="E2694" t="s">
        <v>13</v>
      </c>
      <c r="F2694">
        <v>2374</v>
      </c>
      <c r="G2694">
        <v>75</v>
      </c>
      <c r="H2694" s="5" t="s">
        <v>22</v>
      </c>
      <c r="I2694" s="5">
        <v>0</v>
      </c>
      <c r="J2694" s="5">
        <v>0</v>
      </c>
      <c r="K2694" t="s">
        <v>9849</v>
      </c>
      <c r="L2694" cm="1">
        <f t="array" ref="L2694">wordCount(K2694)</f>
        <v>16</v>
      </c>
      <c r="M2694">
        <f t="shared" si="84"/>
        <v>82</v>
      </c>
      <c r="N2694">
        <v>0.44444444444444442</v>
      </c>
      <c r="O2694" s="23" cm="1">
        <f t="array" ref="O2694">WordListCount(K2694,keywords!$A$2:$A$31)-WordListCount(K2694,keywords!$B$2:$B$31)</f>
        <v>0</v>
      </c>
      <c r="P2694" s="25">
        <f t="shared" si="85"/>
        <v>0.86496527777777776</v>
      </c>
      <c r="Q2694" s="23">
        <f>SUM($O$2:O2694)</f>
        <v>70</v>
      </c>
      <c r="Y2694" s="14"/>
      <c r="Z2694" s="13"/>
      <c r="AA2694"/>
    </row>
    <row r="2695" spans="1:27" x14ac:dyDescent="0.2">
      <c r="A2695" s="12" t="s">
        <v>8175</v>
      </c>
      <c r="B2695" t="s">
        <v>8176</v>
      </c>
      <c r="C2695" t="s">
        <v>7913</v>
      </c>
      <c r="D2695" t="s">
        <v>564</v>
      </c>
      <c r="E2695" t="s">
        <v>13</v>
      </c>
      <c r="F2695">
        <v>86</v>
      </c>
      <c r="G2695">
        <v>93</v>
      </c>
      <c r="H2695" s="5" t="s">
        <v>22</v>
      </c>
      <c r="I2695" s="5">
        <v>0</v>
      </c>
      <c r="J2695" s="5">
        <v>0</v>
      </c>
      <c r="K2695" t="s">
        <v>11585</v>
      </c>
      <c r="L2695" cm="1">
        <f t="array" ref="L2695">wordCount(K2695)</f>
        <v>6</v>
      </c>
      <c r="M2695">
        <f t="shared" si="84"/>
        <v>46</v>
      </c>
      <c r="N2695">
        <v>0.80952380952380953</v>
      </c>
      <c r="O2695" s="23" cm="1">
        <f t="array" ref="O2695">WordListCount(K2695,keywords!$A$2:$A$31)-WordListCount(K2695,keywords!$B$2:$B$31)</f>
        <v>0</v>
      </c>
      <c r="P2695" s="25">
        <f t="shared" si="85"/>
        <v>0.8650000000000001</v>
      </c>
      <c r="Q2695" s="23">
        <f>SUM($O$2:O2695)</f>
        <v>70</v>
      </c>
      <c r="Y2695" s="14"/>
      <c r="Z2695" s="13"/>
      <c r="AA2695"/>
    </row>
    <row r="2696" spans="1:27" x14ac:dyDescent="0.2">
      <c r="A2696" s="12" t="s">
        <v>8177</v>
      </c>
      <c r="B2696" t="s">
        <v>8178</v>
      </c>
      <c r="C2696" t="s">
        <v>8179</v>
      </c>
      <c r="D2696" t="s">
        <v>8180</v>
      </c>
      <c r="E2696" t="s">
        <v>13</v>
      </c>
      <c r="F2696">
        <v>73</v>
      </c>
      <c r="G2696">
        <v>68</v>
      </c>
      <c r="H2696" s="5" t="s">
        <v>22</v>
      </c>
      <c r="I2696" s="5">
        <v>0</v>
      </c>
      <c r="J2696" s="5">
        <v>0</v>
      </c>
      <c r="K2696" t="s">
        <v>11586</v>
      </c>
      <c r="L2696" cm="1">
        <f t="array" ref="L2696">wordCount(K2696)</f>
        <v>3</v>
      </c>
      <c r="M2696">
        <f t="shared" si="84"/>
        <v>19</v>
      </c>
      <c r="N2696">
        <v>0.91304347826086951</v>
      </c>
      <c r="O2696" s="23" cm="1">
        <f t="array" ref="O2696">WordListCount(K2696,keywords!$A$2:$A$31)-WordListCount(K2696,keywords!$B$2:$B$31)</f>
        <v>0</v>
      </c>
      <c r="P2696" s="25">
        <f t="shared" si="85"/>
        <v>0.86516203703703709</v>
      </c>
      <c r="Q2696" s="23">
        <f>SUM($O$2:O2696)</f>
        <v>70</v>
      </c>
      <c r="Y2696" s="14"/>
      <c r="Z2696" s="13"/>
      <c r="AA2696"/>
    </row>
    <row r="2697" spans="1:27" x14ac:dyDescent="0.2">
      <c r="A2697" s="12" t="s">
        <v>8181</v>
      </c>
      <c r="B2697" t="s">
        <v>8182</v>
      </c>
      <c r="C2697" t="s">
        <v>8183</v>
      </c>
      <c r="D2697" t="s">
        <v>12</v>
      </c>
      <c r="E2697" t="s">
        <v>13</v>
      </c>
      <c r="F2697">
        <v>61</v>
      </c>
      <c r="G2697">
        <v>945</v>
      </c>
      <c r="H2697" s="5" t="s">
        <v>1689</v>
      </c>
      <c r="I2697" s="5">
        <v>0</v>
      </c>
      <c r="J2697" s="5">
        <v>0</v>
      </c>
      <c r="K2697" t="s">
        <v>11587</v>
      </c>
      <c r="L2697" cm="1">
        <f t="array" ref="L2697">wordCount(K2697)</f>
        <v>18</v>
      </c>
      <c r="M2697">
        <f t="shared" si="84"/>
        <v>91</v>
      </c>
      <c r="N2697">
        <v>0.36363636363636365</v>
      </c>
      <c r="O2697" s="23" cm="1">
        <f t="array" ref="O2697">WordListCount(K2697,keywords!$A$2:$A$31)-WordListCount(K2697,keywords!$B$2:$B$31)</f>
        <v>0</v>
      </c>
      <c r="P2697" s="25">
        <f t="shared" si="85"/>
        <v>0.86517361111111113</v>
      </c>
      <c r="Q2697" s="23">
        <f>SUM($O$2:O2697)</f>
        <v>70</v>
      </c>
      <c r="Y2697" s="14"/>
      <c r="Z2697" s="13"/>
      <c r="AA2697"/>
    </row>
    <row r="2698" spans="1:27" x14ac:dyDescent="0.2">
      <c r="A2698" s="12" t="s">
        <v>8184</v>
      </c>
      <c r="B2698" t="s">
        <v>8185</v>
      </c>
      <c r="C2698" t="s">
        <v>8186</v>
      </c>
      <c r="D2698" t="s">
        <v>74</v>
      </c>
      <c r="E2698" t="s">
        <v>13</v>
      </c>
      <c r="F2698">
        <v>64</v>
      </c>
      <c r="G2698">
        <v>223</v>
      </c>
      <c r="H2698" s="5" t="s">
        <v>22</v>
      </c>
      <c r="I2698" s="5">
        <v>0</v>
      </c>
      <c r="J2698" s="5">
        <v>0</v>
      </c>
      <c r="K2698" t="s">
        <v>11588</v>
      </c>
      <c r="L2698" cm="1">
        <f t="array" ref="L2698">wordCount(K2698)</f>
        <v>25</v>
      </c>
      <c r="M2698">
        <f t="shared" si="84"/>
        <v>106</v>
      </c>
      <c r="N2698">
        <v>0.3888888888888889</v>
      </c>
      <c r="O2698" s="23" cm="1">
        <f t="array" ref="O2698">WordListCount(K2698,keywords!$A$2:$A$31)-WordListCount(K2698,keywords!$B$2:$B$31)</f>
        <v>0</v>
      </c>
      <c r="P2698" s="25">
        <f t="shared" si="85"/>
        <v>0.86524305555555558</v>
      </c>
      <c r="Q2698" s="23">
        <f>SUM($O$2:O2698)</f>
        <v>70</v>
      </c>
      <c r="Y2698" s="14"/>
      <c r="Z2698" s="13"/>
      <c r="AA2698"/>
    </row>
    <row r="2699" spans="1:27" x14ac:dyDescent="0.2">
      <c r="A2699" s="12" t="s">
        <v>8187</v>
      </c>
      <c r="B2699" t="s">
        <v>8188</v>
      </c>
      <c r="C2699" t="s">
        <v>8189</v>
      </c>
      <c r="D2699" t="s">
        <v>12</v>
      </c>
      <c r="E2699" t="s">
        <v>13</v>
      </c>
      <c r="F2699">
        <v>242</v>
      </c>
      <c r="G2699">
        <v>102</v>
      </c>
      <c r="H2699" s="5" t="s">
        <v>22</v>
      </c>
      <c r="I2699" s="5">
        <v>0</v>
      </c>
      <c r="J2699" s="5">
        <v>0</v>
      </c>
      <c r="K2699" t="s">
        <v>9850</v>
      </c>
      <c r="L2699" cm="1">
        <f t="array" ref="L2699">wordCount(K2699)</f>
        <v>15</v>
      </c>
      <c r="M2699">
        <f t="shared" si="84"/>
        <v>89</v>
      </c>
      <c r="N2699">
        <v>0.1875</v>
      </c>
      <c r="O2699" s="23" cm="1">
        <f t="array" ref="O2699">WordListCount(K2699,keywords!$A$2:$A$31)-WordListCount(K2699,keywords!$B$2:$B$31)</f>
        <v>0</v>
      </c>
      <c r="P2699" s="25">
        <f t="shared" si="85"/>
        <v>0.86549768518518511</v>
      </c>
      <c r="Q2699" s="23">
        <f>SUM($O$2:O2699)</f>
        <v>70</v>
      </c>
      <c r="Y2699" s="14"/>
      <c r="Z2699" s="13"/>
      <c r="AA2699"/>
    </row>
    <row r="2700" spans="1:27" x14ac:dyDescent="0.2">
      <c r="A2700" s="12" t="s">
        <v>8190</v>
      </c>
      <c r="B2700" t="s">
        <v>8191</v>
      </c>
      <c r="C2700" t="s">
        <v>8192</v>
      </c>
      <c r="D2700" t="s">
        <v>74</v>
      </c>
      <c r="E2700" t="s">
        <v>13</v>
      </c>
      <c r="F2700">
        <v>356</v>
      </c>
      <c r="G2700">
        <v>335</v>
      </c>
      <c r="H2700" s="5" t="s">
        <v>22</v>
      </c>
      <c r="I2700" s="5">
        <v>0</v>
      </c>
      <c r="J2700" s="5">
        <v>0</v>
      </c>
      <c r="K2700" t="s">
        <v>11589</v>
      </c>
      <c r="L2700" cm="1">
        <f t="array" ref="L2700">wordCount(K2700)</f>
        <v>18</v>
      </c>
      <c r="M2700">
        <f t="shared" si="84"/>
        <v>91</v>
      </c>
      <c r="N2700">
        <v>0.6</v>
      </c>
      <c r="O2700" s="23" cm="1">
        <f t="array" ref="O2700">WordListCount(K2700,keywords!$A$2:$A$31)-WordListCount(K2700,keywords!$B$2:$B$31)</f>
        <v>0</v>
      </c>
      <c r="P2700" s="25">
        <f t="shared" si="85"/>
        <v>0.86615740740740732</v>
      </c>
      <c r="Q2700" s="23">
        <f>SUM($O$2:O2700)</f>
        <v>70</v>
      </c>
      <c r="Y2700" s="14"/>
      <c r="Z2700" s="13"/>
      <c r="AA2700"/>
    </row>
    <row r="2701" spans="1:27" x14ac:dyDescent="0.2">
      <c r="A2701" s="12" t="s">
        <v>8193</v>
      </c>
      <c r="B2701" t="s">
        <v>8194</v>
      </c>
      <c r="C2701" t="s">
        <v>8195</v>
      </c>
      <c r="D2701" t="s">
        <v>8196</v>
      </c>
      <c r="E2701" t="s">
        <v>13</v>
      </c>
      <c r="F2701">
        <v>45</v>
      </c>
      <c r="G2701">
        <v>276</v>
      </c>
      <c r="H2701" s="5" t="s">
        <v>22</v>
      </c>
      <c r="I2701" s="5">
        <v>0</v>
      </c>
      <c r="J2701" s="5">
        <v>0</v>
      </c>
      <c r="K2701" t="s">
        <v>11590</v>
      </c>
      <c r="L2701" cm="1">
        <f t="array" ref="L2701">wordCount(K2701)</f>
        <v>11</v>
      </c>
      <c r="M2701">
        <f t="shared" si="84"/>
        <v>49</v>
      </c>
      <c r="N2701">
        <v>9.0909090909090912E-2</v>
      </c>
      <c r="O2701" s="23" cm="1">
        <f t="array" ref="O2701">WordListCount(K2701,keywords!$A$2:$A$31)-WordListCount(K2701,keywords!$B$2:$B$31)</f>
        <v>0</v>
      </c>
      <c r="P2701" s="25">
        <f t="shared" si="85"/>
        <v>0.86623842592592604</v>
      </c>
      <c r="Q2701" s="23">
        <f>SUM($O$2:O2701)</f>
        <v>70</v>
      </c>
      <c r="Y2701" s="14"/>
      <c r="Z2701" s="13"/>
      <c r="AA2701"/>
    </row>
    <row r="2702" spans="1:27" x14ac:dyDescent="0.2">
      <c r="A2702" s="12" t="s">
        <v>8197</v>
      </c>
      <c r="B2702" t="s">
        <v>8198</v>
      </c>
      <c r="C2702" t="s">
        <v>8199</v>
      </c>
      <c r="D2702" t="s">
        <v>8200</v>
      </c>
      <c r="E2702" t="s">
        <v>13</v>
      </c>
      <c r="F2702">
        <v>485</v>
      </c>
      <c r="G2702">
        <v>1409</v>
      </c>
      <c r="H2702" s="5" t="s">
        <v>22</v>
      </c>
      <c r="I2702" s="5">
        <v>0</v>
      </c>
      <c r="J2702" s="5">
        <v>0</v>
      </c>
      <c r="K2702" t="s">
        <v>11591</v>
      </c>
      <c r="L2702" cm="1">
        <f t="array" ref="L2702">wordCount(K2702)</f>
        <v>14</v>
      </c>
      <c r="M2702">
        <f t="shared" si="84"/>
        <v>74</v>
      </c>
      <c r="N2702">
        <v>0.27777777777777779</v>
      </c>
      <c r="O2702" s="23" cm="1">
        <f t="array" ref="O2702">WordListCount(K2702,keywords!$A$2:$A$31)-WordListCount(K2702,keywords!$B$2:$B$31)</f>
        <v>0</v>
      </c>
      <c r="P2702" s="25">
        <f t="shared" si="85"/>
        <v>0.86633101851851846</v>
      </c>
      <c r="Q2702" s="23">
        <f>SUM($O$2:O2702)</f>
        <v>70</v>
      </c>
      <c r="Y2702" s="14"/>
      <c r="Z2702" s="13"/>
      <c r="AA2702"/>
    </row>
    <row r="2703" spans="1:27" x14ac:dyDescent="0.2">
      <c r="A2703" s="12" t="s">
        <v>8201</v>
      </c>
      <c r="B2703" t="s">
        <v>8202</v>
      </c>
      <c r="C2703" t="s">
        <v>7631</v>
      </c>
      <c r="D2703" t="s">
        <v>516</v>
      </c>
      <c r="E2703" t="s">
        <v>13</v>
      </c>
      <c r="F2703">
        <v>285</v>
      </c>
      <c r="G2703">
        <v>355</v>
      </c>
      <c r="H2703" s="5" t="s">
        <v>22</v>
      </c>
      <c r="I2703" s="5">
        <v>0</v>
      </c>
      <c r="J2703" s="5">
        <v>0</v>
      </c>
      <c r="K2703" t="s">
        <v>11592</v>
      </c>
      <c r="L2703" cm="1">
        <f t="array" ref="L2703">wordCount(K2703)</f>
        <v>6</v>
      </c>
      <c r="M2703">
        <f t="shared" si="84"/>
        <v>32</v>
      </c>
      <c r="N2703">
        <v>0.84615384615384615</v>
      </c>
      <c r="O2703" s="23" cm="1">
        <f t="array" ref="O2703">WordListCount(K2703,keywords!$A$2:$A$31)-WordListCount(K2703,keywords!$B$2:$B$31)</f>
        <v>0</v>
      </c>
      <c r="P2703" s="25">
        <f t="shared" si="85"/>
        <v>0.8663657407407408</v>
      </c>
      <c r="Q2703" s="23">
        <f>SUM($O$2:O2703)</f>
        <v>70</v>
      </c>
      <c r="Y2703" s="14"/>
      <c r="Z2703" s="13"/>
      <c r="AA2703"/>
    </row>
    <row r="2704" spans="1:27" x14ac:dyDescent="0.2">
      <c r="A2704" s="12" t="s">
        <v>8203</v>
      </c>
      <c r="B2704" t="s">
        <v>8204</v>
      </c>
      <c r="C2704" t="s">
        <v>8205</v>
      </c>
      <c r="D2704" t="s">
        <v>426</v>
      </c>
      <c r="E2704" t="s">
        <v>13</v>
      </c>
      <c r="F2704">
        <v>3515</v>
      </c>
      <c r="G2704">
        <v>4998</v>
      </c>
      <c r="H2704" s="5" t="s">
        <v>22</v>
      </c>
      <c r="I2704" s="5">
        <v>0</v>
      </c>
      <c r="J2704" s="5">
        <v>0</v>
      </c>
      <c r="K2704" t="s">
        <v>11593</v>
      </c>
      <c r="L2704" cm="1">
        <f t="array" ref="L2704">wordCount(K2704)</f>
        <v>5</v>
      </c>
      <c r="M2704">
        <f t="shared" si="84"/>
        <v>24</v>
      </c>
      <c r="N2704">
        <v>0.66666666666666663</v>
      </c>
      <c r="O2704" s="23" cm="1">
        <f t="array" ref="O2704">WordListCount(K2704,keywords!$A$2:$A$31)-WordListCount(K2704,keywords!$B$2:$B$31)</f>
        <v>0</v>
      </c>
      <c r="P2704" s="25">
        <f t="shared" si="85"/>
        <v>0.86641203703703706</v>
      </c>
      <c r="Q2704" s="23">
        <f>SUM($O$2:O2704)</f>
        <v>70</v>
      </c>
      <c r="Y2704" s="14"/>
      <c r="Z2704" s="13"/>
      <c r="AA2704"/>
    </row>
    <row r="2705" spans="1:27" x14ac:dyDescent="0.2">
      <c r="A2705" s="12" t="s">
        <v>8206</v>
      </c>
      <c r="B2705" t="s">
        <v>8207</v>
      </c>
      <c r="C2705" t="s">
        <v>7648</v>
      </c>
      <c r="D2705" t="s">
        <v>7649</v>
      </c>
      <c r="E2705" t="s">
        <v>13</v>
      </c>
      <c r="F2705">
        <v>141</v>
      </c>
      <c r="G2705">
        <v>439</v>
      </c>
      <c r="H2705" s="5" t="s">
        <v>22</v>
      </c>
      <c r="I2705" s="5">
        <v>0</v>
      </c>
      <c r="J2705" s="5">
        <v>0</v>
      </c>
      <c r="K2705" t="s">
        <v>11594</v>
      </c>
      <c r="L2705" cm="1">
        <f t="array" ref="L2705">wordCount(K2705)</f>
        <v>8</v>
      </c>
      <c r="M2705">
        <f t="shared" si="84"/>
        <v>51</v>
      </c>
      <c r="N2705">
        <v>0.72727272727272729</v>
      </c>
      <c r="O2705" s="23" cm="1">
        <f t="array" ref="O2705">WordListCount(K2705,keywords!$A$2:$A$31)-WordListCount(K2705,keywords!$B$2:$B$31)</f>
        <v>0</v>
      </c>
      <c r="P2705" s="25">
        <f t="shared" si="85"/>
        <v>0.86652777777777779</v>
      </c>
      <c r="Q2705" s="23">
        <f>SUM($O$2:O2705)</f>
        <v>70</v>
      </c>
      <c r="Y2705" s="14"/>
      <c r="Z2705" s="13"/>
      <c r="AA2705"/>
    </row>
    <row r="2706" spans="1:27" x14ac:dyDescent="0.2">
      <c r="A2706" s="12" t="s">
        <v>8208</v>
      </c>
      <c r="B2706" t="s">
        <v>8209</v>
      </c>
      <c r="C2706" t="s">
        <v>8210</v>
      </c>
      <c r="D2706" t="s">
        <v>74</v>
      </c>
      <c r="E2706" t="s">
        <v>13</v>
      </c>
      <c r="F2706">
        <v>259</v>
      </c>
      <c r="G2706">
        <v>271</v>
      </c>
      <c r="H2706" s="5" t="s">
        <v>22</v>
      </c>
      <c r="I2706" s="5">
        <v>0</v>
      </c>
      <c r="J2706" s="5">
        <v>0</v>
      </c>
      <c r="K2706" t="s">
        <v>11595</v>
      </c>
      <c r="L2706" cm="1">
        <f t="array" ref="L2706">wordCount(K2706)</f>
        <v>3</v>
      </c>
      <c r="M2706">
        <f t="shared" si="84"/>
        <v>16</v>
      </c>
      <c r="N2706">
        <v>0.94117647058823528</v>
      </c>
      <c r="O2706" s="23" cm="1">
        <f t="array" ref="O2706">WordListCount(K2706,keywords!$A$2:$A$31)-WordListCount(K2706,keywords!$B$2:$B$31)</f>
        <v>0</v>
      </c>
      <c r="P2706" s="25">
        <f t="shared" si="85"/>
        <v>0.86653935185185194</v>
      </c>
      <c r="Q2706" s="23">
        <f>SUM($O$2:O2706)</f>
        <v>70</v>
      </c>
      <c r="Y2706" s="14"/>
      <c r="Z2706" s="13"/>
      <c r="AA2706"/>
    </row>
    <row r="2707" spans="1:27" x14ac:dyDescent="0.2">
      <c r="A2707" s="12" t="s">
        <v>8211</v>
      </c>
      <c r="B2707" t="s">
        <v>8212</v>
      </c>
      <c r="C2707" t="s">
        <v>8213</v>
      </c>
      <c r="D2707" t="s">
        <v>12</v>
      </c>
      <c r="E2707" t="s">
        <v>13</v>
      </c>
      <c r="F2707">
        <v>2</v>
      </c>
      <c r="G2707">
        <v>3</v>
      </c>
      <c r="H2707" s="5" t="s">
        <v>22</v>
      </c>
      <c r="I2707" s="5">
        <v>0</v>
      </c>
      <c r="J2707" s="5">
        <v>0</v>
      </c>
      <c r="K2707" t="s">
        <v>9851</v>
      </c>
      <c r="L2707" cm="1">
        <f t="array" ref="L2707">wordCount(K2707)</f>
        <v>6</v>
      </c>
      <c r="M2707">
        <f t="shared" si="84"/>
        <v>23</v>
      </c>
      <c r="N2707">
        <v>0.8</v>
      </c>
      <c r="O2707" s="23" cm="1">
        <f t="array" ref="O2707">WordListCount(K2707,keywords!$A$2:$A$31)-WordListCount(K2707,keywords!$B$2:$B$31)</f>
        <v>0</v>
      </c>
      <c r="P2707" s="25">
        <f t="shared" si="85"/>
        <v>0.86736111111111114</v>
      </c>
      <c r="Q2707" s="23">
        <f>SUM($O$2:O2707)</f>
        <v>70</v>
      </c>
      <c r="Y2707" s="14"/>
      <c r="Z2707" s="13"/>
      <c r="AA2707"/>
    </row>
    <row r="2708" spans="1:27" x14ac:dyDescent="0.2">
      <c r="A2708" s="12" t="s">
        <v>8214</v>
      </c>
      <c r="B2708" t="s">
        <v>8215</v>
      </c>
      <c r="C2708" t="s">
        <v>8216</v>
      </c>
      <c r="D2708" t="s">
        <v>8217</v>
      </c>
      <c r="E2708" t="s">
        <v>13</v>
      </c>
      <c r="F2708">
        <v>190</v>
      </c>
      <c r="G2708">
        <v>209</v>
      </c>
      <c r="H2708" s="5" t="s">
        <v>22</v>
      </c>
      <c r="I2708" s="5">
        <v>0</v>
      </c>
      <c r="J2708" s="5">
        <v>0</v>
      </c>
      <c r="K2708" t="s">
        <v>11596</v>
      </c>
      <c r="L2708" cm="1">
        <f t="array" ref="L2708">wordCount(K2708)</f>
        <v>21</v>
      </c>
      <c r="M2708">
        <f t="shared" si="84"/>
        <v>114</v>
      </c>
      <c r="N2708">
        <v>0.5625</v>
      </c>
      <c r="O2708" s="23" cm="1">
        <f t="array" ref="O2708">WordListCount(K2708,keywords!$A$2:$A$31)-WordListCount(K2708,keywords!$B$2:$B$31)</f>
        <v>0</v>
      </c>
      <c r="P2708" s="25">
        <f t="shared" si="85"/>
        <v>0.86745370370370367</v>
      </c>
      <c r="Q2708" s="23">
        <f>SUM($O$2:O2708)</f>
        <v>70</v>
      </c>
      <c r="Y2708" s="14"/>
      <c r="Z2708" s="13"/>
      <c r="AA2708"/>
    </row>
    <row r="2709" spans="1:27" x14ac:dyDescent="0.2">
      <c r="A2709" s="12" t="s">
        <v>8218</v>
      </c>
      <c r="B2709" t="s">
        <v>8219</v>
      </c>
      <c r="C2709" t="s">
        <v>8220</v>
      </c>
      <c r="D2709" t="s">
        <v>8221</v>
      </c>
      <c r="E2709" t="s">
        <v>13</v>
      </c>
      <c r="F2709">
        <v>143</v>
      </c>
      <c r="G2709">
        <v>340</v>
      </c>
      <c r="H2709" s="5" t="s">
        <v>22</v>
      </c>
      <c r="I2709" s="5">
        <v>0</v>
      </c>
      <c r="J2709" s="5">
        <v>0</v>
      </c>
      <c r="K2709" t="s">
        <v>9852</v>
      </c>
      <c r="L2709" cm="1">
        <f t="array" ref="L2709">wordCount(K2709)</f>
        <v>20</v>
      </c>
      <c r="M2709">
        <f t="shared" si="84"/>
        <v>107</v>
      </c>
      <c r="N2709">
        <v>0.31578947368421051</v>
      </c>
      <c r="O2709" s="23" cm="1">
        <f t="array" ref="O2709">WordListCount(K2709,keywords!$A$2:$A$31)-WordListCount(K2709,keywords!$B$2:$B$31)</f>
        <v>1</v>
      </c>
      <c r="P2709" s="25">
        <f t="shared" si="85"/>
        <v>0.86746527777777782</v>
      </c>
      <c r="Q2709" s="23">
        <f>SUM($O$2:O2709)</f>
        <v>71</v>
      </c>
      <c r="Y2709" s="14"/>
      <c r="Z2709" s="13"/>
      <c r="AA2709"/>
    </row>
    <row r="2710" spans="1:27" x14ac:dyDescent="0.2">
      <c r="A2710" s="12" t="s">
        <v>8222</v>
      </c>
      <c r="B2710" t="s">
        <v>8223</v>
      </c>
      <c r="C2710" t="s">
        <v>205</v>
      </c>
      <c r="D2710" t="s">
        <v>12</v>
      </c>
      <c r="E2710" t="s">
        <v>13</v>
      </c>
      <c r="F2710">
        <v>2866</v>
      </c>
      <c r="G2710">
        <v>6</v>
      </c>
      <c r="H2710" s="5" t="s">
        <v>22</v>
      </c>
      <c r="I2710" s="5">
        <v>0</v>
      </c>
      <c r="J2710" s="5">
        <v>0</v>
      </c>
      <c r="K2710" t="s">
        <v>9853</v>
      </c>
      <c r="L2710" cm="1">
        <f t="array" ref="L2710">wordCount(K2710)</f>
        <v>8</v>
      </c>
      <c r="M2710">
        <f t="shared" si="84"/>
        <v>55</v>
      </c>
      <c r="N2710">
        <v>0.77777777777777779</v>
      </c>
      <c r="O2710" s="23" cm="1">
        <f t="array" ref="O2710">WordListCount(K2710,keywords!$A$2:$A$31)-WordListCount(K2710,keywords!$B$2:$B$31)</f>
        <v>0</v>
      </c>
      <c r="P2710" s="25">
        <f t="shared" si="85"/>
        <v>0.86805555555555547</v>
      </c>
      <c r="Q2710" s="23">
        <f>SUM($O$2:O2710)</f>
        <v>71</v>
      </c>
      <c r="Y2710" s="14"/>
      <c r="Z2710" s="13"/>
      <c r="AA2710"/>
    </row>
    <row r="2711" spans="1:27" x14ac:dyDescent="0.2">
      <c r="A2711" s="12" t="s">
        <v>8224</v>
      </c>
      <c r="B2711" t="s">
        <v>8225</v>
      </c>
      <c r="C2711" t="s">
        <v>862</v>
      </c>
      <c r="D2711" t="s">
        <v>597</v>
      </c>
      <c r="E2711" t="s">
        <v>13</v>
      </c>
      <c r="F2711">
        <v>1032</v>
      </c>
      <c r="G2711">
        <v>189</v>
      </c>
      <c r="H2711" s="5" t="s">
        <v>22</v>
      </c>
      <c r="I2711" s="5">
        <v>0</v>
      </c>
      <c r="J2711" s="5">
        <v>0</v>
      </c>
      <c r="K2711" t="s">
        <v>9854</v>
      </c>
      <c r="L2711" cm="1">
        <f t="array" ref="L2711">wordCount(K2711)</f>
        <v>8</v>
      </c>
      <c r="M2711">
        <f t="shared" si="84"/>
        <v>53</v>
      </c>
      <c r="N2711">
        <v>0.125</v>
      </c>
      <c r="O2711" s="23" cm="1">
        <f t="array" ref="O2711">WordListCount(K2711,keywords!$A$2:$A$31)-WordListCount(K2711,keywords!$B$2:$B$31)</f>
        <v>0</v>
      </c>
      <c r="P2711" s="25">
        <f t="shared" si="85"/>
        <v>0.86806712962962962</v>
      </c>
      <c r="Q2711" s="23">
        <f>SUM($O$2:O2711)</f>
        <v>71</v>
      </c>
      <c r="Y2711" s="14"/>
      <c r="Z2711" s="13"/>
      <c r="AA2711"/>
    </row>
    <row r="2712" spans="1:27" x14ac:dyDescent="0.2">
      <c r="A2712" s="12" t="s">
        <v>8226</v>
      </c>
      <c r="B2712" t="s">
        <v>8227</v>
      </c>
      <c r="C2712" t="s">
        <v>8228</v>
      </c>
      <c r="D2712" t="s">
        <v>6345</v>
      </c>
      <c r="E2712" t="s">
        <v>13</v>
      </c>
      <c r="F2712">
        <v>3715</v>
      </c>
      <c r="G2712">
        <v>3679</v>
      </c>
      <c r="H2712" s="5" t="s">
        <v>22</v>
      </c>
      <c r="I2712" s="5">
        <v>0</v>
      </c>
      <c r="J2712" s="5">
        <v>0</v>
      </c>
      <c r="K2712" t="s">
        <v>11597</v>
      </c>
      <c r="L2712" cm="1">
        <f t="array" ref="L2712">wordCount(K2712)</f>
        <v>10</v>
      </c>
      <c r="M2712">
        <f t="shared" si="84"/>
        <v>55</v>
      </c>
      <c r="N2712">
        <v>0.65217391304347827</v>
      </c>
      <c r="O2712" s="23" cm="1">
        <f t="array" ref="O2712">WordListCount(K2712,keywords!$A$2:$A$31)-WordListCount(K2712,keywords!$B$2:$B$31)</f>
        <v>0</v>
      </c>
      <c r="P2712" s="25">
        <f t="shared" si="85"/>
        <v>0.86812500000000004</v>
      </c>
      <c r="Q2712" s="23">
        <f>SUM($O$2:O2712)</f>
        <v>71</v>
      </c>
      <c r="Y2712" s="14"/>
      <c r="Z2712" s="13"/>
      <c r="AA2712"/>
    </row>
    <row r="2713" spans="1:27" x14ac:dyDescent="0.2">
      <c r="A2713" s="12" t="s">
        <v>8229</v>
      </c>
      <c r="B2713" t="s">
        <v>8230</v>
      </c>
      <c r="C2713" t="s">
        <v>8231</v>
      </c>
      <c r="D2713" t="s">
        <v>8232</v>
      </c>
      <c r="E2713" t="s">
        <v>13</v>
      </c>
      <c r="F2713">
        <v>613</v>
      </c>
      <c r="G2713">
        <v>1262</v>
      </c>
      <c r="H2713" s="5" t="s">
        <v>22</v>
      </c>
      <c r="I2713" s="5">
        <v>0</v>
      </c>
      <c r="J2713" s="5">
        <v>0</v>
      </c>
      <c r="K2713" t="s">
        <v>11598</v>
      </c>
      <c r="L2713" cm="1">
        <f t="array" ref="L2713">wordCount(K2713)</f>
        <v>15</v>
      </c>
      <c r="M2713">
        <f t="shared" si="84"/>
        <v>70</v>
      </c>
      <c r="N2713">
        <v>0.43478260869565216</v>
      </c>
      <c r="O2713" s="23" cm="1">
        <f t="array" ref="O2713">WordListCount(K2713,keywords!$A$2:$A$31)-WordListCount(K2713,keywords!$B$2:$B$31)</f>
        <v>-1</v>
      </c>
      <c r="P2713" s="25">
        <f t="shared" si="85"/>
        <v>0.86834490740740744</v>
      </c>
      <c r="Q2713" s="23">
        <f>SUM($O$2:O2713)</f>
        <v>70</v>
      </c>
      <c r="Y2713" s="14"/>
      <c r="Z2713" s="13"/>
      <c r="AA2713"/>
    </row>
    <row r="2714" spans="1:27" x14ac:dyDescent="0.2">
      <c r="A2714" s="12" t="s">
        <v>8233</v>
      </c>
      <c r="B2714" t="s">
        <v>8234</v>
      </c>
      <c r="C2714" t="s">
        <v>8235</v>
      </c>
      <c r="D2714" t="s">
        <v>8236</v>
      </c>
      <c r="E2714" t="s">
        <v>13</v>
      </c>
      <c r="F2714">
        <v>257</v>
      </c>
      <c r="G2714">
        <v>524</v>
      </c>
      <c r="H2714" s="5" t="s">
        <v>22</v>
      </c>
      <c r="I2714" s="5">
        <v>0</v>
      </c>
      <c r="J2714" s="5">
        <v>0</v>
      </c>
      <c r="K2714" t="s">
        <v>11599</v>
      </c>
      <c r="L2714" cm="1">
        <f t="array" ref="L2714">wordCount(K2714)</f>
        <v>18</v>
      </c>
      <c r="M2714">
        <f t="shared" si="84"/>
        <v>137</v>
      </c>
      <c r="N2714">
        <v>0.43333333333333335</v>
      </c>
      <c r="O2714" s="23" cm="1">
        <f t="array" ref="O2714">WordListCount(K2714,keywords!$A$2:$A$31)-WordListCount(K2714,keywords!$B$2:$B$31)</f>
        <v>0</v>
      </c>
      <c r="P2714" s="25">
        <f t="shared" si="85"/>
        <v>0.86835648148148137</v>
      </c>
      <c r="Q2714" s="23">
        <f>SUM($O$2:O2714)</f>
        <v>70</v>
      </c>
      <c r="Y2714" s="14"/>
      <c r="Z2714" s="13"/>
      <c r="AA2714"/>
    </row>
    <row r="2715" spans="1:27" x14ac:dyDescent="0.2">
      <c r="A2715" s="12" t="s">
        <v>8237</v>
      </c>
      <c r="B2715" t="s">
        <v>8238</v>
      </c>
      <c r="C2715" t="s">
        <v>8239</v>
      </c>
      <c r="D2715" t="s">
        <v>12</v>
      </c>
      <c r="E2715" t="s">
        <v>13</v>
      </c>
      <c r="F2715">
        <v>50</v>
      </c>
      <c r="G2715">
        <v>138</v>
      </c>
      <c r="H2715" s="5" t="s">
        <v>22</v>
      </c>
      <c r="I2715" s="5">
        <v>0</v>
      </c>
      <c r="J2715" s="5">
        <v>0</v>
      </c>
      <c r="K2715" t="s">
        <v>11600</v>
      </c>
      <c r="L2715" cm="1">
        <f t="array" ref="L2715">wordCount(K2715)</f>
        <v>13</v>
      </c>
      <c r="M2715">
        <f t="shared" si="84"/>
        <v>91</v>
      </c>
      <c r="N2715">
        <v>0.52380952380952384</v>
      </c>
      <c r="O2715" s="23" cm="1">
        <f t="array" ref="O2715">WordListCount(K2715,keywords!$A$2:$A$31)-WordListCount(K2715,keywords!$B$2:$B$31)</f>
        <v>0</v>
      </c>
      <c r="P2715" s="25">
        <f t="shared" si="85"/>
        <v>0.8684722222222222</v>
      </c>
      <c r="Q2715" s="23">
        <f>SUM($O$2:O2715)</f>
        <v>70</v>
      </c>
      <c r="Y2715" s="14"/>
      <c r="Z2715" s="13"/>
      <c r="AA2715"/>
    </row>
    <row r="2716" spans="1:27" x14ac:dyDescent="0.2">
      <c r="A2716" s="12" t="s">
        <v>8237</v>
      </c>
      <c r="B2716" t="s">
        <v>8240</v>
      </c>
      <c r="C2716" t="s">
        <v>8241</v>
      </c>
      <c r="D2716" t="s">
        <v>108</v>
      </c>
      <c r="E2716" t="s">
        <v>13</v>
      </c>
      <c r="F2716">
        <v>40</v>
      </c>
      <c r="G2716">
        <v>136</v>
      </c>
      <c r="H2716" s="5" t="s">
        <v>22</v>
      </c>
      <c r="I2716" s="5">
        <v>0</v>
      </c>
      <c r="J2716" s="5">
        <v>0</v>
      </c>
      <c r="K2716" t="s">
        <v>9855</v>
      </c>
      <c r="L2716" cm="1">
        <f t="array" ref="L2716">wordCount(K2716)</f>
        <v>5</v>
      </c>
      <c r="M2716">
        <f t="shared" si="84"/>
        <v>23</v>
      </c>
      <c r="N2716">
        <v>0.66666666666666663</v>
      </c>
      <c r="O2716" s="23" cm="1">
        <f t="array" ref="O2716">WordListCount(K2716,keywords!$A$2:$A$31)-WordListCount(K2716,keywords!$B$2:$B$31)</f>
        <v>0</v>
      </c>
      <c r="P2716" s="25">
        <f t="shared" si="85"/>
        <v>0.8684722222222222</v>
      </c>
      <c r="Q2716" s="23">
        <f>SUM($O$2:O2716)</f>
        <v>70</v>
      </c>
      <c r="Y2716" s="14"/>
      <c r="Z2716" s="13"/>
      <c r="AA2716"/>
    </row>
    <row r="2717" spans="1:27" x14ac:dyDescent="0.2">
      <c r="A2717" s="12" t="s">
        <v>8242</v>
      </c>
      <c r="B2717" t="s">
        <v>8243</v>
      </c>
      <c r="C2717" t="s">
        <v>8244</v>
      </c>
      <c r="D2717" t="s">
        <v>12</v>
      </c>
      <c r="E2717" t="s">
        <v>13</v>
      </c>
      <c r="F2717">
        <v>25</v>
      </c>
      <c r="G2717">
        <v>0</v>
      </c>
      <c r="H2717" s="5" t="s">
        <v>22</v>
      </c>
      <c r="I2717" s="5">
        <v>0</v>
      </c>
      <c r="J2717" s="5">
        <v>0</v>
      </c>
      <c r="K2717" t="s">
        <v>9856</v>
      </c>
      <c r="L2717" cm="1">
        <f t="array" ref="L2717">wordCount(K2717)</f>
        <v>24</v>
      </c>
      <c r="M2717">
        <f t="shared" si="84"/>
        <v>138</v>
      </c>
      <c r="N2717">
        <v>0.3888888888888889</v>
      </c>
      <c r="O2717" s="23" cm="1">
        <f t="array" ref="O2717">WordListCount(K2717,keywords!$A$2:$A$31)-WordListCount(K2717,keywords!$B$2:$B$31)</f>
        <v>0</v>
      </c>
      <c r="P2717" s="25">
        <f t="shared" si="85"/>
        <v>0.86858796296296292</v>
      </c>
      <c r="Q2717" s="23">
        <f>SUM($O$2:O2717)</f>
        <v>70</v>
      </c>
      <c r="Y2717" s="14"/>
      <c r="Z2717" s="13"/>
      <c r="AA2717"/>
    </row>
    <row r="2718" spans="1:27" x14ac:dyDescent="0.2">
      <c r="A2718" s="12" t="s">
        <v>8245</v>
      </c>
      <c r="B2718" t="s">
        <v>8246</v>
      </c>
      <c r="C2718" t="s">
        <v>8247</v>
      </c>
      <c r="D2718" t="s">
        <v>8248</v>
      </c>
      <c r="E2718" t="s">
        <v>13</v>
      </c>
      <c r="F2718">
        <v>421</v>
      </c>
      <c r="G2718">
        <v>270</v>
      </c>
      <c r="H2718" s="5" t="s">
        <v>22</v>
      </c>
      <c r="I2718" s="5">
        <v>0</v>
      </c>
      <c r="J2718" s="5">
        <v>0</v>
      </c>
      <c r="K2718" t="s">
        <v>9857</v>
      </c>
      <c r="L2718" cm="1">
        <f t="array" ref="L2718">wordCount(K2718)</f>
        <v>5</v>
      </c>
      <c r="M2718">
        <f t="shared" si="84"/>
        <v>31</v>
      </c>
      <c r="N2718">
        <v>0.78947368421052633</v>
      </c>
      <c r="O2718" s="23" cm="1">
        <f t="array" ref="O2718">WordListCount(K2718,keywords!$A$2:$A$31)-WordListCount(K2718,keywords!$B$2:$B$31)</f>
        <v>0</v>
      </c>
      <c r="P2718" s="25">
        <f t="shared" si="85"/>
        <v>0.86859953703703707</v>
      </c>
      <c r="Q2718" s="23">
        <f>SUM($O$2:O2718)</f>
        <v>70</v>
      </c>
      <c r="Y2718" s="14"/>
      <c r="Z2718" s="13"/>
      <c r="AA2718"/>
    </row>
    <row r="2719" spans="1:27" x14ac:dyDescent="0.2">
      <c r="A2719" s="12" t="s">
        <v>8249</v>
      </c>
      <c r="B2719" t="s">
        <v>8250</v>
      </c>
      <c r="C2719" t="s">
        <v>8251</v>
      </c>
      <c r="D2719" t="s">
        <v>1552</v>
      </c>
      <c r="E2719" t="s">
        <v>13</v>
      </c>
      <c r="F2719">
        <v>123</v>
      </c>
      <c r="G2719">
        <v>426</v>
      </c>
      <c r="H2719" s="5" t="s">
        <v>22</v>
      </c>
      <c r="I2719" s="5">
        <v>0</v>
      </c>
      <c r="J2719" s="5">
        <v>0</v>
      </c>
      <c r="K2719" t="s">
        <v>11601</v>
      </c>
      <c r="L2719" cm="1">
        <f t="array" ref="L2719">wordCount(K2719)</f>
        <v>21</v>
      </c>
      <c r="M2719">
        <f t="shared" si="84"/>
        <v>115</v>
      </c>
      <c r="N2719">
        <v>0.36666666666666664</v>
      </c>
      <c r="O2719" s="23" cm="1">
        <f t="array" ref="O2719">WordListCount(K2719,keywords!$A$2:$A$31)-WordListCount(K2719,keywords!$B$2:$B$31)</f>
        <v>1</v>
      </c>
      <c r="P2719" s="25">
        <f t="shared" si="85"/>
        <v>0.86861111111111111</v>
      </c>
      <c r="Q2719" s="23">
        <f>SUM($O$2:O2719)</f>
        <v>71</v>
      </c>
      <c r="Y2719" s="14"/>
      <c r="Z2719" s="13"/>
      <c r="AA2719"/>
    </row>
    <row r="2720" spans="1:27" x14ac:dyDescent="0.2">
      <c r="A2720" s="12" t="s">
        <v>8252</v>
      </c>
      <c r="B2720" t="s">
        <v>8253</v>
      </c>
      <c r="C2720" t="s">
        <v>5473</v>
      </c>
      <c r="D2720" t="s">
        <v>5474</v>
      </c>
      <c r="E2720" t="s">
        <v>47</v>
      </c>
      <c r="F2720">
        <v>33555</v>
      </c>
      <c r="G2720">
        <v>84</v>
      </c>
      <c r="H2720" s="5" t="s">
        <v>22</v>
      </c>
      <c r="I2720" s="5">
        <v>0</v>
      </c>
      <c r="J2720" s="5">
        <v>0</v>
      </c>
      <c r="K2720" t="s">
        <v>11602</v>
      </c>
      <c r="L2720" cm="1">
        <f t="array" ref="L2720">wordCount(K2720)</f>
        <v>22</v>
      </c>
      <c r="M2720">
        <f t="shared" si="84"/>
        <v>108</v>
      </c>
      <c r="N2720">
        <v>0.3125</v>
      </c>
      <c r="O2720" s="23" cm="1">
        <f t="array" ref="O2720">WordListCount(K2720,keywords!$A$2:$A$31)-WordListCount(K2720,keywords!$B$2:$B$31)</f>
        <v>0</v>
      </c>
      <c r="P2720" s="25">
        <f t="shared" si="85"/>
        <v>0.86865740740740749</v>
      </c>
      <c r="Q2720" s="23">
        <f>SUM($O$2:O2720)</f>
        <v>71</v>
      </c>
      <c r="Y2720" s="14"/>
      <c r="Z2720" s="13"/>
      <c r="AA2720"/>
    </row>
    <row r="2721" spans="1:27" x14ac:dyDescent="0.2">
      <c r="A2721" s="12" t="s">
        <v>8254</v>
      </c>
      <c r="B2721" t="s">
        <v>8255</v>
      </c>
      <c r="C2721" t="s">
        <v>8199</v>
      </c>
      <c r="D2721" t="s">
        <v>8200</v>
      </c>
      <c r="E2721" t="s">
        <v>13</v>
      </c>
      <c r="F2721">
        <v>485</v>
      </c>
      <c r="G2721">
        <v>1409</v>
      </c>
      <c r="H2721" s="5" t="s">
        <v>22</v>
      </c>
      <c r="I2721" s="5">
        <v>0</v>
      </c>
      <c r="J2721" s="5">
        <v>0</v>
      </c>
      <c r="K2721" t="s">
        <v>11603</v>
      </c>
      <c r="L2721" cm="1">
        <f t="array" ref="L2721">wordCount(K2721)</f>
        <v>11</v>
      </c>
      <c r="M2721">
        <f t="shared" si="84"/>
        <v>60</v>
      </c>
      <c r="N2721">
        <v>9.0909090909090912E-2</v>
      </c>
      <c r="O2721" s="23" cm="1">
        <f t="array" ref="O2721">WordListCount(K2721,keywords!$A$2:$A$31)-WordListCount(K2721,keywords!$B$2:$B$31)</f>
        <v>0</v>
      </c>
      <c r="P2721" s="25">
        <f t="shared" si="85"/>
        <v>0.869074074074074</v>
      </c>
      <c r="Q2721" s="23">
        <f>SUM($O$2:O2721)</f>
        <v>71</v>
      </c>
      <c r="Y2721" s="14"/>
      <c r="Z2721" s="13"/>
      <c r="AA2721"/>
    </row>
    <row r="2722" spans="1:27" x14ac:dyDescent="0.2">
      <c r="A2722" s="12" t="s">
        <v>8256</v>
      </c>
      <c r="B2722" t="s">
        <v>8257</v>
      </c>
      <c r="C2722" t="s">
        <v>8258</v>
      </c>
      <c r="D2722" t="s">
        <v>8259</v>
      </c>
      <c r="E2722" t="s">
        <v>13</v>
      </c>
      <c r="F2722">
        <v>585</v>
      </c>
      <c r="G2722">
        <v>468</v>
      </c>
      <c r="H2722" s="5" t="s">
        <v>22</v>
      </c>
      <c r="I2722" s="5">
        <v>0</v>
      </c>
      <c r="J2722" s="5">
        <v>0</v>
      </c>
      <c r="K2722" t="s">
        <v>9858</v>
      </c>
      <c r="L2722" cm="1">
        <f t="array" ref="L2722">wordCount(K2722)</f>
        <v>5</v>
      </c>
      <c r="M2722">
        <f t="shared" si="84"/>
        <v>26</v>
      </c>
      <c r="N2722">
        <v>0.84210526315789469</v>
      </c>
      <c r="O2722" s="23" cm="1">
        <f t="array" ref="O2722">WordListCount(K2722,keywords!$A$2:$A$31)-WordListCount(K2722,keywords!$B$2:$B$31)</f>
        <v>0</v>
      </c>
      <c r="P2722" s="25">
        <f t="shared" si="85"/>
        <v>0.86938657407407405</v>
      </c>
      <c r="Q2722" s="23">
        <f>SUM($O$2:O2722)</f>
        <v>71</v>
      </c>
      <c r="Y2722" s="14"/>
      <c r="Z2722" s="13"/>
      <c r="AA2722"/>
    </row>
    <row r="2723" spans="1:27" x14ac:dyDescent="0.2">
      <c r="A2723" s="12" t="s">
        <v>8260</v>
      </c>
      <c r="B2723" t="s">
        <v>8261</v>
      </c>
      <c r="C2723" t="s">
        <v>8262</v>
      </c>
      <c r="D2723" t="s">
        <v>8263</v>
      </c>
      <c r="E2723" t="s">
        <v>13</v>
      </c>
      <c r="F2723">
        <v>89</v>
      </c>
      <c r="G2723">
        <v>166</v>
      </c>
      <c r="H2723" s="5" t="s">
        <v>22</v>
      </c>
      <c r="I2723" s="5">
        <v>0</v>
      </c>
      <c r="J2723" s="5">
        <v>0</v>
      </c>
      <c r="K2723" t="s">
        <v>11604</v>
      </c>
      <c r="L2723" cm="1">
        <f t="array" ref="L2723">wordCount(K2723)</f>
        <v>10</v>
      </c>
      <c r="M2723">
        <f t="shared" si="84"/>
        <v>51</v>
      </c>
      <c r="N2723">
        <v>0.4375</v>
      </c>
      <c r="O2723" s="23" cm="1">
        <f t="array" ref="O2723">WordListCount(K2723,keywords!$A$2:$A$31)-WordListCount(K2723,keywords!$B$2:$B$31)</f>
        <v>0</v>
      </c>
      <c r="P2723" s="25">
        <f t="shared" si="85"/>
        <v>0.86960648148148145</v>
      </c>
      <c r="Q2723" s="23">
        <f>SUM($O$2:O2723)</f>
        <v>71</v>
      </c>
      <c r="Y2723" s="14"/>
      <c r="Z2723" s="13"/>
      <c r="AA2723"/>
    </row>
    <row r="2724" spans="1:27" x14ac:dyDescent="0.2">
      <c r="A2724" s="12" t="s">
        <v>8264</v>
      </c>
      <c r="B2724" t="s">
        <v>8265</v>
      </c>
      <c r="C2724" t="s">
        <v>8266</v>
      </c>
      <c r="D2724" t="s">
        <v>12</v>
      </c>
      <c r="E2724" t="s">
        <v>13</v>
      </c>
      <c r="F2724">
        <v>1843</v>
      </c>
      <c r="G2724">
        <v>106</v>
      </c>
      <c r="H2724" s="5" t="s">
        <v>59</v>
      </c>
      <c r="I2724" s="5">
        <v>0</v>
      </c>
      <c r="J2724" s="5">
        <v>0</v>
      </c>
      <c r="K2724" t="s">
        <v>11605</v>
      </c>
      <c r="L2724" cm="1">
        <f t="array" ref="L2724">wordCount(K2724)</f>
        <v>17</v>
      </c>
      <c r="M2724">
        <f t="shared" si="84"/>
        <v>81</v>
      </c>
      <c r="N2724">
        <v>0.45833333333333331</v>
      </c>
      <c r="O2724" s="23" cm="1">
        <f t="array" ref="O2724">WordListCount(K2724,keywords!$A$2:$A$31)-WordListCount(K2724,keywords!$B$2:$B$31)</f>
        <v>0</v>
      </c>
      <c r="P2724" s="25">
        <f t="shared" si="85"/>
        <v>0.86965277777777772</v>
      </c>
      <c r="Q2724" s="23">
        <f>SUM($O$2:O2724)</f>
        <v>71</v>
      </c>
      <c r="Y2724" s="14"/>
      <c r="Z2724" s="13"/>
      <c r="AA2724"/>
    </row>
    <row r="2725" spans="1:27" x14ac:dyDescent="0.2">
      <c r="A2725" s="12" t="s">
        <v>8267</v>
      </c>
      <c r="B2725" t="s">
        <v>8268</v>
      </c>
      <c r="C2725" t="s">
        <v>8269</v>
      </c>
      <c r="D2725" t="s">
        <v>124</v>
      </c>
      <c r="E2725" t="s">
        <v>13</v>
      </c>
      <c r="F2725">
        <v>2067</v>
      </c>
      <c r="G2725">
        <v>852</v>
      </c>
      <c r="H2725" s="5" t="s">
        <v>22</v>
      </c>
      <c r="I2725" s="5">
        <v>0</v>
      </c>
      <c r="J2725" s="5">
        <v>0</v>
      </c>
      <c r="K2725" t="s">
        <v>11606</v>
      </c>
      <c r="L2725" cm="1">
        <f t="array" ref="L2725">wordCount(K2725)</f>
        <v>15</v>
      </c>
      <c r="M2725">
        <f t="shared" si="84"/>
        <v>75</v>
      </c>
      <c r="N2725">
        <v>0.59090909090909094</v>
      </c>
      <c r="O2725" s="23" cm="1">
        <f t="array" ref="O2725">WordListCount(K2725,keywords!$A$2:$A$31)-WordListCount(K2725,keywords!$B$2:$B$31)</f>
        <v>0</v>
      </c>
      <c r="P2725" s="25">
        <f t="shared" si="85"/>
        <v>0.87028935185185186</v>
      </c>
      <c r="Q2725" s="23">
        <f>SUM($O$2:O2725)</f>
        <v>71</v>
      </c>
      <c r="Y2725" s="14"/>
      <c r="Z2725" s="13"/>
      <c r="AA2725"/>
    </row>
    <row r="2726" spans="1:27" x14ac:dyDescent="0.2">
      <c r="A2726" s="12" t="s">
        <v>8270</v>
      </c>
      <c r="B2726" t="s">
        <v>8271</v>
      </c>
      <c r="C2726" t="s">
        <v>8272</v>
      </c>
      <c r="D2726" t="s">
        <v>1697</v>
      </c>
      <c r="E2726" t="s">
        <v>13</v>
      </c>
      <c r="F2726">
        <v>41</v>
      </c>
      <c r="G2726">
        <v>228</v>
      </c>
      <c r="H2726" s="5" t="s">
        <v>22</v>
      </c>
      <c r="I2726" s="5">
        <v>0</v>
      </c>
      <c r="J2726" s="5">
        <v>0</v>
      </c>
      <c r="K2726" t="s">
        <v>11607</v>
      </c>
      <c r="L2726" cm="1">
        <f t="array" ref="L2726">wordCount(K2726)</f>
        <v>7</v>
      </c>
      <c r="M2726">
        <f t="shared" si="84"/>
        <v>37</v>
      </c>
      <c r="N2726">
        <v>0.68421052631578949</v>
      </c>
      <c r="O2726" s="23" cm="1">
        <f t="array" ref="O2726">WordListCount(K2726,keywords!$A$2:$A$31)-WordListCount(K2726,keywords!$B$2:$B$31)</f>
        <v>0</v>
      </c>
      <c r="P2726" s="25">
        <f t="shared" si="85"/>
        <v>0.87064814814814817</v>
      </c>
      <c r="Q2726" s="23">
        <f>SUM($O$2:O2726)</f>
        <v>71</v>
      </c>
      <c r="Y2726" s="14"/>
      <c r="Z2726" s="13"/>
      <c r="AA2726"/>
    </row>
    <row r="2727" spans="1:27" x14ac:dyDescent="0.2">
      <c r="A2727" s="12" t="s">
        <v>8273</v>
      </c>
      <c r="B2727" t="s">
        <v>8274</v>
      </c>
      <c r="C2727" t="s">
        <v>4949</v>
      </c>
      <c r="D2727" t="s">
        <v>4950</v>
      </c>
      <c r="E2727" t="s">
        <v>13</v>
      </c>
      <c r="F2727">
        <v>21</v>
      </c>
      <c r="G2727">
        <v>130</v>
      </c>
      <c r="H2727" s="5" t="s">
        <v>22</v>
      </c>
      <c r="I2727" s="5">
        <v>0</v>
      </c>
      <c r="J2727" s="5">
        <v>0</v>
      </c>
      <c r="K2727" t="s">
        <v>11608</v>
      </c>
      <c r="L2727" cm="1">
        <f t="array" ref="L2727">wordCount(K2727)</f>
        <v>19</v>
      </c>
      <c r="M2727">
        <f t="shared" si="84"/>
        <v>85</v>
      </c>
      <c r="N2727">
        <v>0.45833333333333331</v>
      </c>
      <c r="O2727" s="23" cm="1">
        <f t="array" ref="O2727">WordListCount(K2727,keywords!$A$2:$A$31)-WordListCount(K2727,keywords!$B$2:$B$31)</f>
        <v>0</v>
      </c>
      <c r="P2727" s="25">
        <f t="shared" si="85"/>
        <v>0.87121527777777785</v>
      </c>
      <c r="Q2727" s="23">
        <f>SUM($O$2:O2727)</f>
        <v>71</v>
      </c>
      <c r="Y2727" s="14"/>
      <c r="Z2727" s="13"/>
      <c r="AA2727"/>
    </row>
    <row r="2728" spans="1:27" x14ac:dyDescent="0.2">
      <c r="A2728" s="12" t="s">
        <v>8275</v>
      </c>
      <c r="B2728" t="s">
        <v>8276</v>
      </c>
      <c r="C2728" t="s">
        <v>8277</v>
      </c>
      <c r="D2728" t="s">
        <v>8278</v>
      </c>
      <c r="E2728" t="s">
        <v>13</v>
      </c>
      <c r="F2728">
        <v>352</v>
      </c>
      <c r="G2728">
        <v>81</v>
      </c>
      <c r="H2728" s="5" t="s">
        <v>677</v>
      </c>
      <c r="I2728" s="5">
        <v>0</v>
      </c>
      <c r="J2728" s="5">
        <v>0</v>
      </c>
      <c r="K2728" t="s">
        <v>11609</v>
      </c>
      <c r="L2728" cm="1">
        <f t="array" ref="L2728">wordCount(K2728)</f>
        <v>10</v>
      </c>
      <c r="M2728">
        <f t="shared" si="84"/>
        <v>35</v>
      </c>
      <c r="N2728">
        <v>0.5714285714285714</v>
      </c>
      <c r="O2728" s="23" cm="1">
        <f t="array" ref="O2728">WordListCount(K2728,keywords!$A$2:$A$31)-WordListCount(K2728,keywords!$B$2:$B$31)</f>
        <v>0</v>
      </c>
      <c r="P2728" s="25">
        <f t="shared" si="85"/>
        <v>0.87122685185185189</v>
      </c>
      <c r="Q2728" s="23">
        <f>SUM($O$2:O2728)</f>
        <v>71</v>
      </c>
      <c r="Y2728" s="14"/>
      <c r="Z2728" s="13"/>
      <c r="AA2728"/>
    </row>
    <row r="2729" spans="1:27" x14ac:dyDescent="0.2">
      <c r="A2729" s="12" t="s">
        <v>8279</v>
      </c>
      <c r="B2729" t="s">
        <v>8280</v>
      </c>
      <c r="C2729" t="s">
        <v>8281</v>
      </c>
      <c r="D2729" t="s">
        <v>1785</v>
      </c>
      <c r="E2729" t="s">
        <v>13</v>
      </c>
      <c r="F2729">
        <v>34</v>
      </c>
      <c r="G2729">
        <v>337</v>
      </c>
      <c r="H2729" s="5" t="s">
        <v>22</v>
      </c>
      <c r="I2729" s="5">
        <v>0</v>
      </c>
      <c r="J2729" s="5">
        <v>0</v>
      </c>
      <c r="K2729" t="s">
        <v>11610</v>
      </c>
      <c r="L2729" cm="1">
        <f t="array" ref="L2729">wordCount(K2729)</f>
        <v>9</v>
      </c>
      <c r="M2729">
        <f t="shared" si="84"/>
        <v>52</v>
      </c>
      <c r="N2729">
        <v>0.7</v>
      </c>
      <c r="O2729" s="23" cm="1">
        <f t="array" ref="O2729">WordListCount(K2729,keywords!$A$2:$A$31)-WordListCount(K2729,keywords!$B$2:$B$31)</f>
        <v>0</v>
      </c>
      <c r="P2729" s="25">
        <f t="shared" si="85"/>
        <v>0.87140046296296303</v>
      </c>
      <c r="Q2729" s="23">
        <f>SUM($O$2:O2729)</f>
        <v>71</v>
      </c>
      <c r="Y2729" s="14"/>
      <c r="Z2729" s="13"/>
      <c r="AA2729"/>
    </row>
    <row r="2730" spans="1:27" x14ac:dyDescent="0.2">
      <c r="A2730" s="12" t="s">
        <v>8282</v>
      </c>
      <c r="B2730" t="s">
        <v>8283</v>
      </c>
      <c r="C2730" t="s">
        <v>8284</v>
      </c>
      <c r="D2730" t="s">
        <v>12</v>
      </c>
      <c r="E2730" t="s">
        <v>13</v>
      </c>
      <c r="F2730">
        <v>304</v>
      </c>
      <c r="G2730">
        <v>116</v>
      </c>
      <c r="H2730" s="5" t="s">
        <v>22</v>
      </c>
      <c r="I2730" s="5">
        <v>0</v>
      </c>
      <c r="J2730" s="5">
        <v>0</v>
      </c>
      <c r="K2730" t="s">
        <v>11611</v>
      </c>
      <c r="L2730" cm="1">
        <f t="array" ref="L2730">wordCount(K2730)</f>
        <v>6</v>
      </c>
      <c r="M2730">
        <f t="shared" si="84"/>
        <v>34</v>
      </c>
      <c r="N2730">
        <v>0.5</v>
      </c>
      <c r="O2730" s="23" cm="1">
        <f t="array" ref="O2730">WordListCount(K2730,keywords!$A$2:$A$31)-WordListCount(K2730,keywords!$B$2:$B$31)</f>
        <v>0</v>
      </c>
      <c r="P2730" s="25">
        <f t="shared" si="85"/>
        <v>0.87162037037037043</v>
      </c>
      <c r="Q2730" s="23">
        <f>SUM($O$2:O2730)</f>
        <v>71</v>
      </c>
      <c r="Y2730" s="14"/>
      <c r="Z2730" s="13"/>
      <c r="AA2730"/>
    </row>
    <row r="2731" spans="1:27" x14ac:dyDescent="0.2">
      <c r="A2731" s="12" t="s">
        <v>8285</v>
      </c>
      <c r="B2731" t="s">
        <v>8286</v>
      </c>
      <c r="C2731" t="s">
        <v>8287</v>
      </c>
      <c r="D2731" t="s">
        <v>8288</v>
      </c>
      <c r="E2731" t="s">
        <v>13</v>
      </c>
      <c r="F2731">
        <v>102</v>
      </c>
      <c r="G2731">
        <v>418</v>
      </c>
      <c r="H2731" s="5" t="s">
        <v>22</v>
      </c>
      <c r="I2731" s="5">
        <v>0</v>
      </c>
      <c r="J2731" s="5">
        <v>0</v>
      </c>
      <c r="K2731" t="s">
        <v>9859</v>
      </c>
      <c r="L2731" cm="1">
        <f t="array" ref="L2731">wordCount(K2731)</f>
        <v>13</v>
      </c>
      <c r="M2731">
        <f t="shared" si="84"/>
        <v>60</v>
      </c>
      <c r="N2731">
        <v>0.60869565217391308</v>
      </c>
      <c r="O2731" s="23" cm="1">
        <f t="array" ref="O2731">WordListCount(K2731,keywords!$A$2:$A$31)-WordListCount(K2731,keywords!$B$2:$B$31)</f>
        <v>0</v>
      </c>
      <c r="P2731" s="25">
        <f t="shared" si="85"/>
        <v>0.87171296296296286</v>
      </c>
      <c r="Q2731" s="23">
        <f>SUM($O$2:O2731)</f>
        <v>71</v>
      </c>
      <c r="Y2731" s="14"/>
      <c r="Z2731" s="13"/>
      <c r="AA2731"/>
    </row>
    <row r="2732" spans="1:27" x14ac:dyDescent="0.2">
      <c r="A2732" s="12" t="s">
        <v>8289</v>
      </c>
      <c r="B2732" t="s">
        <v>8290</v>
      </c>
      <c r="C2732" t="s">
        <v>8291</v>
      </c>
      <c r="D2732" t="s">
        <v>8292</v>
      </c>
      <c r="E2732" t="s">
        <v>13</v>
      </c>
      <c r="F2732">
        <v>28</v>
      </c>
      <c r="G2732">
        <v>56</v>
      </c>
      <c r="H2732" s="5" t="s">
        <v>22</v>
      </c>
      <c r="I2732" s="5">
        <v>0</v>
      </c>
      <c r="J2732" s="5">
        <v>0</v>
      </c>
      <c r="K2732" t="s">
        <v>11612</v>
      </c>
      <c r="L2732" cm="1">
        <f t="array" ref="L2732">wordCount(K2732)</f>
        <v>22</v>
      </c>
      <c r="M2732">
        <f t="shared" si="84"/>
        <v>90</v>
      </c>
      <c r="N2732">
        <v>0.45454545454545453</v>
      </c>
      <c r="O2732" s="23" cm="1">
        <f t="array" ref="O2732">WordListCount(K2732,keywords!$A$2:$A$31)-WordListCount(K2732,keywords!$B$2:$B$31)</f>
        <v>0</v>
      </c>
      <c r="P2732" s="25">
        <f t="shared" si="85"/>
        <v>0.87187500000000007</v>
      </c>
      <c r="Q2732" s="23">
        <f>SUM($O$2:O2732)</f>
        <v>71</v>
      </c>
      <c r="Y2732" s="14"/>
      <c r="Z2732" s="13"/>
      <c r="AA2732"/>
    </row>
    <row r="2733" spans="1:27" x14ac:dyDescent="0.2">
      <c r="A2733" s="12" t="s">
        <v>8293</v>
      </c>
      <c r="B2733" t="s">
        <v>8294</v>
      </c>
      <c r="C2733" t="s">
        <v>8295</v>
      </c>
      <c r="D2733" t="s">
        <v>8296</v>
      </c>
      <c r="E2733" t="s">
        <v>13</v>
      </c>
      <c r="F2733">
        <v>360</v>
      </c>
      <c r="G2733">
        <v>1610</v>
      </c>
      <c r="H2733" s="5" t="s">
        <v>59</v>
      </c>
      <c r="I2733" s="5">
        <v>0</v>
      </c>
      <c r="J2733" s="5">
        <v>0</v>
      </c>
      <c r="K2733" t="s">
        <v>11613</v>
      </c>
      <c r="L2733" cm="1">
        <f t="array" ref="L2733">wordCount(K2733)</f>
        <v>11</v>
      </c>
      <c r="M2733">
        <f t="shared" si="84"/>
        <v>57</v>
      </c>
      <c r="N2733">
        <v>0.58823529411764708</v>
      </c>
      <c r="O2733" s="23" cm="1">
        <f t="array" ref="O2733">WordListCount(K2733,keywords!$A$2:$A$31)-WordListCount(K2733,keywords!$B$2:$B$31)</f>
        <v>1</v>
      </c>
      <c r="P2733" s="25">
        <f t="shared" si="85"/>
        <v>0.87194444444444441</v>
      </c>
      <c r="Q2733" s="23">
        <f>SUM($O$2:O2733)</f>
        <v>72</v>
      </c>
      <c r="Y2733" s="14"/>
      <c r="Z2733" s="13"/>
      <c r="AA2733"/>
    </row>
    <row r="2734" spans="1:27" x14ac:dyDescent="0.2">
      <c r="A2734" s="12" t="s">
        <v>8297</v>
      </c>
      <c r="B2734" t="s">
        <v>8298</v>
      </c>
      <c r="C2734" t="s">
        <v>8299</v>
      </c>
      <c r="D2734" t="s">
        <v>8300</v>
      </c>
      <c r="E2734" t="s">
        <v>13</v>
      </c>
      <c r="F2734">
        <v>244</v>
      </c>
      <c r="G2734">
        <v>318</v>
      </c>
      <c r="H2734" s="5" t="s">
        <v>22</v>
      </c>
      <c r="I2734" s="5">
        <v>0</v>
      </c>
      <c r="J2734" s="5">
        <v>0</v>
      </c>
      <c r="K2734" t="s">
        <v>11614</v>
      </c>
      <c r="L2734" cm="1">
        <f t="array" ref="L2734">wordCount(K2734)</f>
        <v>17</v>
      </c>
      <c r="M2734">
        <f t="shared" si="84"/>
        <v>91</v>
      </c>
      <c r="N2734">
        <v>0.5161290322580645</v>
      </c>
      <c r="O2734" s="23" cm="1">
        <f t="array" ref="O2734">WordListCount(K2734,keywords!$A$2:$A$31)-WordListCount(K2734,keywords!$B$2:$B$31)</f>
        <v>-1</v>
      </c>
      <c r="P2734" s="25">
        <f t="shared" si="85"/>
        <v>0.87202546296296291</v>
      </c>
      <c r="Q2734" s="23">
        <f>SUM($O$2:O2734)</f>
        <v>71</v>
      </c>
      <c r="Y2734" s="14"/>
      <c r="Z2734" s="13"/>
      <c r="AA2734"/>
    </row>
    <row r="2735" spans="1:27" x14ac:dyDescent="0.2">
      <c r="A2735" s="12" t="s">
        <v>8301</v>
      </c>
      <c r="B2735" t="s">
        <v>8302</v>
      </c>
      <c r="C2735" t="s">
        <v>8303</v>
      </c>
      <c r="D2735" t="s">
        <v>1479</v>
      </c>
      <c r="E2735" t="s">
        <v>13</v>
      </c>
      <c r="F2735">
        <v>224</v>
      </c>
      <c r="G2735">
        <v>200</v>
      </c>
      <c r="H2735" s="5" t="s">
        <v>22</v>
      </c>
      <c r="I2735" s="5">
        <v>0</v>
      </c>
      <c r="J2735" s="5">
        <v>0</v>
      </c>
      <c r="K2735" t="s">
        <v>11615</v>
      </c>
      <c r="L2735" cm="1">
        <f t="array" ref="L2735">wordCount(K2735)</f>
        <v>20</v>
      </c>
      <c r="M2735">
        <f t="shared" si="84"/>
        <v>95</v>
      </c>
      <c r="N2735">
        <v>0.51724137931034486</v>
      </c>
      <c r="O2735" s="23" cm="1">
        <f t="array" ref="O2735">WordListCount(K2735,keywords!$A$2:$A$31)-WordListCount(K2735,keywords!$B$2:$B$31)</f>
        <v>1</v>
      </c>
      <c r="P2735" s="25">
        <f t="shared" si="85"/>
        <v>0.87217592592592597</v>
      </c>
      <c r="Q2735" s="23">
        <f>SUM($O$2:O2735)</f>
        <v>72</v>
      </c>
      <c r="Y2735" s="14"/>
      <c r="Z2735" s="13"/>
      <c r="AA2735"/>
    </row>
    <row r="2736" spans="1:27" x14ac:dyDescent="0.2">
      <c r="A2736" s="12" t="s">
        <v>8304</v>
      </c>
      <c r="B2736" t="s">
        <v>8305</v>
      </c>
      <c r="C2736" t="s">
        <v>8306</v>
      </c>
      <c r="D2736" t="s">
        <v>12</v>
      </c>
      <c r="E2736" t="s">
        <v>13</v>
      </c>
      <c r="F2736">
        <v>19</v>
      </c>
      <c r="G2736">
        <v>184</v>
      </c>
      <c r="H2736" s="5" t="s">
        <v>677</v>
      </c>
      <c r="I2736" s="5">
        <v>0</v>
      </c>
      <c r="J2736" s="5">
        <v>0</v>
      </c>
      <c r="K2736" t="s">
        <v>9860</v>
      </c>
      <c r="L2736" cm="1">
        <f t="array" ref="L2736">wordCount(K2736)</f>
        <v>1</v>
      </c>
      <c r="M2736">
        <f t="shared" si="84"/>
        <v>11</v>
      </c>
      <c r="N2736">
        <v>0.93333333333333335</v>
      </c>
      <c r="O2736" s="23" cm="1">
        <f t="array" ref="O2736">WordListCount(K2736,keywords!$A$2:$A$31)-WordListCount(K2736,keywords!$B$2:$B$31)</f>
        <v>0</v>
      </c>
      <c r="P2736" s="25">
        <f t="shared" si="85"/>
        <v>0.87225694444444446</v>
      </c>
      <c r="Q2736" s="23">
        <f>SUM($O$2:O2736)</f>
        <v>72</v>
      </c>
      <c r="Y2736" s="14"/>
      <c r="Z2736" s="13"/>
      <c r="AA2736"/>
    </row>
    <row r="2737" spans="1:27" x14ac:dyDescent="0.2">
      <c r="A2737" s="12" t="s">
        <v>8307</v>
      </c>
      <c r="B2737" t="s">
        <v>8308</v>
      </c>
      <c r="C2737" t="s">
        <v>8309</v>
      </c>
      <c r="D2737" t="s">
        <v>8310</v>
      </c>
      <c r="E2737" t="s">
        <v>13</v>
      </c>
      <c r="F2737">
        <v>4032</v>
      </c>
      <c r="G2737">
        <v>2361</v>
      </c>
      <c r="H2737" s="5" t="s">
        <v>22</v>
      </c>
      <c r="I2737" s="5">
        <v>0</v>
      </c>
      <c r="J2737" s="5">
        <v>0</v>
      </c>
      <c r="K2737" t="s">
        <v>11616</v>
      </c>
      <c r="L2737" cm="1">
        <f t="array" ref="L2737">wordCount(K2737)</f>
        <v>11</v>
      </c>
      <c r="M2737">
        <f t="shared" si="84"/>
        <v>72</v>
      </c>
      <c r="N2737">
        <v>0.72413793103448276</v>
      </c>
      <c r="O2737" s="23" cm="1">
        <f t="array" ref="O2737">WordListCount(K2737,keywords!$A$2:$A$31)-WordListCount(K2737,keywords!$B$2:$B$31)</f>
        <v>0</v>
      </c>
      <c r="P2737" s="25">
        <f t="shared" si="85"/>
        <v>0.87302083333333336</v>
      </c>
      <c r="Q2737" s="23">
        <f>SUM($O$2:O2737)</f>
        <v>72</v>
      </c>
      <c r="Y2737" s="14"/>
      <c r="Z2737" s="13"/>
      <c r="AA2737"/>
    </row>
    <row r="2738" spans="1:27" x14ac:dyDescent="0.2">
      <c r="A2738" s="12" t="s">
        <v>8311</v>
      </c>
      <c r="B2738" t="s">
        <v>8312</v>
      </c>
      <c r="C2738" t="s">
        <v>175</v>
      </c>
      <c r="D2738" t="s">
        <v>176</v>
      </c>
      <c r="E2738" t="s">
        <v>13</v>
      </c>
      <c r="F2738">
        <v>132</v>
      </c>
      <c r="G2738">
        <v>57</v>
      </c>
      <c r="H2738" s="5" t="s">
        <v>22</v>
      </c>
      <c r="I2738" s="5">
        <v>0</v>
      </c>
      <c r="J2738" s="5">
        <v>0</v>
      </c>
      <c r="K2738" t="s">
        <v>9861</v>
      </c>
      <c r="L2738" cm="1">
        <f t="array" ref="L2738">wordCount(K2738)</f>
        <v>4</v>
      </c>
      <c r="M2738">
        <f t="shared" si="84"/>
        <v>16</v>
      </c>
      <c r="N2738">
        <v>0.95833333333333337</v>
      </c>
      <c r="O2738" s="23" cm="1">
        <f t="array" ref="O2738">WordListCount(K2738,keywords!$A$2:$A$31)-WordListCount(K2738,keywords!$B$2:$B$31)</f>
        <v>0</v>
      </c>
      <c r="P2738" s="25">
        <f t="shared" si="85"/>
        <v>0.87318287037037035</v>
      </c>
      <c r="Q2738" s="23">
        <f>SUM($O$2:O2738)</f>
        <v>72</v>
      </c>
      <c r="Y2738" s="14"/>
      <c r="Z2738" s="13"/>
      <c r="AA2738"/>
    </row>
    <row r="2739" spans="1:27" x14ac:dyDescent="0.2">
      <c r="A2739" s="12" t="s">
        <v>8313</v>
      </c>
      <c r="B2739" t="s">
        <v>8314</v>
      </c>
      <c r="C2739" t="s">
        <v>7091</v>
      </c>
      <c r="D2739" t="s">
        <v>7092</v>
      </c>
      <c r="E2739" t="s">
        <v>13</v>
      </c>
      <c r="F2739">
        <v>1055</v>
      </c>
      <c r="G2739">
        <v>1475</v>
      </c>
      <c r="H2739" s="5" t="s">
        <v>22</v>
      </c>
      <c r="I2739" s="5">
        <v>0</v>
      </c>
      <c r="J2739" s="5">
        <v>0</v>
      </c>
      <c r="K2739" t="s">
        <v>11617</v>
      </c>
      <c r="L2739" cm="1">
        <f t="array" ref="L2739">wordCount(K2739)</f>
        <v>18</v>
      </c>
      <c r="M2739">
        <f t="shared" si="84"/>
        <v>102</v>
      </c>
      <c r="N2739">
        <v>0.51851851851851849</v>
      </c>
      <c r="O2739" s="23" cm="1">
        <f t="array" ref="O2739">WordListCount(K2739,keywords!$A$2:$A$31)-WordListCount(K2739,keywords!$B$2:$B$31)</f>
        <v>0</v>
      </c>
      <c r="P2739" s="25">
        <f t="shared" si="85"/>
        <v>0.87327546296296299</v>
      </c>
      <c r="Q2739" s="23">
        <f>SUM($O$2:O2739)</f>
        <v>72</v>
      </c>
      <c r="Y2739" s="14"/>
      <c r="Z2739" s="13"/>
      <c r="AA2739"/>
    </row>
    <row r="2740" spans="1:27" x14ac:dyDescent="0.2">
      <c r="A2740" s="12" t="s">
        <v>8315</v>
      </c>
      <c r="B2740" t="s">
        <v>8316</v>
      </c>
      <c r="C2740" t="s">
        <v>8317</v>
      </c>
      <c r="D2740" t="s">
        <v>8318</v>
      </c>
      <c r="E2740" t="s">
        <v>13</v>
      </c>
      <c r="F2740">
        <v>512</v>
      </c>
      <c r="G2740">
        <v>533</v>
      </c>
      <c r="H2740" s="5" t="s">
        <v>22</v>
      </c>
      <c r="I2740" s="5">
        <v>0</v>
      </c>
      <c r="J2740" s="5">
        <v>0</v>
      </c>
      <c r="K2740" t="s">
        <v>11618</v>
      </c>
      <c r="L2740" cm="1">
        <f t="array" ref="L2740">wordCount(K2740)</f>
        <v>13</v>
      </c>
      <c r="M2740">
        <f t="shared" si="84"/>
        <v>71</v>
      </c>
      <c r="N2740">
        <v>0.5</v>
      </c>
      <c r="O2740" s="23" cm="1">
        <f t="array" ref="O2740">WordListCount(K2740,keywords!$A$2:$A$31)-WordListCount(K2740,keywords!$B$2:$B$31)</f>
        <v>0</v>
      </c>
      <c r="P2740" s="25">
        <f t="shared" si="85"/>
        <v>0.87336805555555552</v>
      </c>
      <c r="Q2740" s="23">
        <f>SUM($O$2:O2740)</f>
        <v>72</v>
      </c>
      <c r="Y2740" s="14"/>
      <c r="Z2740" s="13"/>
      <c r="AA2740"/>
    </row>
    <row r="2741" spans="1:27" x14ac:dyDescent="0.2">
      <c r="A2741" s="12" t="s">
        <v>8319</v>
      </c>
      <c r="B2741" t="s">
        <v>8320</v>
      </c>
      <c r="C2741" t="s">
        <v>175</v>
      </c>
      <c r="D2741" t="s">
        <v>176</v>
      </c>
      <c r="E2741" t="s">
        <v>13</v>
      </c>
      <c r="F2741">
        <v>132</v>
      </c>
      <c r="G2741">
        <v>57</v>
      </c>
      <c r="H2741" s="5" t="s">
        <v>22</v>
      </c>
      <c r="I2741" s="5">
        <v>0</v>
      </c>
      <c r="J2741" s="5">
        <v>0</v>
      </c>
      <c r="K2741" t="s">
        <v>9862</v>
      </c>
      <c r="L2741" cm="1">
        <f t="array" ref="L2741">wordCount(K2741)</f>
        <v>4</v>
      </c>
      <c r="M2741">
        <f t="shared" si="84"/>
        <v>16</v>
      </c>
      <c r="N2741">
        <v>1</v>
      </c>
      <c r="O2741" s="23" cm="1">
        <f t="array" ref="O2741">WordListCount(K2741,keywords!$A$2:$A$31)-WordListCount(K2741,keywords!$B$2:$B$31)</f>
        <v>0</v>
      </c>
      <c r="P2741" s="25">
        <f t="shared" si="85"/>
        <v>0.87349537037037039</v>
      </c>
      <c r="Q2741" s="23">
        <f>SUM($O$2:O2741)</f>
        <v>72</v>
      </c>
      <c r="Y2741" s="14"/>
      <c r="Z2741" s="13"/>
      <c r="AA2741"/>
    </row>
    <row r="2742" spans="1:27" x14ac:dyDescent="0.2">
      <c r="A2742" s="12" t="s">
        <v>8321</v>
      </c>
      <c r="B2742" t="s">
        <v>8322</v>
      </c>
      <c r="C2742" t="s">
        <v>8323</v>
      </c>
      <c r="D2742" t="s">
        <v>8324</v>
      </c>
      <c r="E2742" t="s">
        <v>13</v>
      </c>
      <c r="F2742">
        <v>123</v>
      </c>
      <c r="G2742">
        <v>167</v>
      </c>
      <c r="H2742" s="5" t="s">
        <v>22</v>
      </c>
      <c r="I2742" s="5">
        <v>0</v>
      </c>
      <c r="J2742" s="5">
        <v>0</v>
      </c>
      <c r="K2742" t="s">
        <v>11619</v>
      </c>
      <c r="L2742" cm="1">
        <f t="array" ref="L2742">wordCount(K2742)</f>
        <v>6</v>
      </c>
      <c r="M2742">
        <f t="shared" si="84"/>
        <v>32</v>
      </c>
      <c r="N2742">
        <v>0.63636363636363635</v>
      </c>
      <c r="O2742" s="23" cm="1">
        <f t="array" ref="O2742">WordListCount(K2742,keywords!$A$2:$A$31)-WordListCount(K2742,keywords!$B$2:$B$31)</f>
        <v>0</v>
      </c>
      <c r="P2742" s="25">
        <f t="shared" si="85"/>
        <v>0.87421296296296302</v>
      </c>
      <c r="Q2742" s="23">
        <f>SUM($O$2:O2742)</f>
        <v>72</v>
      </c>
      <c r="Y2742" s="14"/>
      <c r="Z2742" s="13"/>
      <c r="AA2742"/>
    </row>
    <row r="2743" spans="1:27" x14ac:dyDescent="0.2">
      <c r="A2743" s="12" t="s">
        <v>8325</v>
      </c>
      <c r="B2743" t="s">
        <v>8326</v>
      </c>
      <c r="C2743" t="s">
        <v>8327</v>
      </c>
      <c r="D2743" t="s">
        <v>8328</v>
      </c>
      <c r="E2743" t="s">
        <v>13</v>
      </c>
      <c r="F2743">
        <v>21202</v>
      </c>
      <c r="G2743">
        <v>399</v>
      </c>
      <c r="H2743" s="5" t="s">
        <v>22</v>
      </c>
      <c r="I2743" s="5">
        <v>0</v>
      </c>
      <c r="J2743" s="5">
        <v>0</v>
      </c>
      <c r="K2743" t="s">
        <v>11620</v>
      </c>
      <c r="L2743" cm="1">
        <f t="array" ref="L2743">wordCount(K2743)</f>
        <v>24</v>
      </c>
      <c r="M2743">
        <f t="shared" si="84"/>
        <v>106</v>
      </c>
      <c r="N2743">
        <v>0.34375</v>
      </c>
      <c r="O2743" s="23" cm="1">
        <f t="array" ref="O2743">WordListCount(K2743,keywords!$A$2:$A$31)-WordListCount(K2743,keywords!$B$2:$B$31)</f>
        <v>-1</v>
      </c>
      <c r="P2743" s="25">
        <f t="shared" si="85"/>
        <v>0.8743171296296296</v>
      </c>
      <c r="Q2743" s="23">
        <f>SUM($O$2:O2743)</f>
        <v>71</v>
      </c>
      <c r="Y2743" s="14"/>
      <c r="Z2743" s="13"/>
      <c r="AA2743"/>
    </row>
    <row r="2744" spans="1:27" x14ac:dyDescent="0.2">
      <c r="A2744" s="12" t="s">
        <v>8329</v>
      </c>
      <c r="B2744" t="s">
        <v>8330</v>
      </c>
      <c r="C2744" t="s">
        <v>8331</v>
      </c>
      <c r="D2744" t="s">
        <v>12</v>
      </c>
      <c r="E2744" t="s">
        <v>13</v>
      </c>
      <c r="F2744">
        <v>1007</v>
      </c>
      <c r="G2744">
        <v>530</v>
      </c>
      <c r="H2744" s="5" t="s">
        <v>22</v>
      </c>
      <c r="I2744" s="5">
        <v>0</v>
      </c>
      <c r="J2744" s="5">
        <v>0</v>
      </c>
      <c r="K2744" t="s">
        <v>11621</v>
      </c>
      <c r="L2744" cm="1">
        <f t="array" ref="L2744">wordCount(K2744)</f>
        <v>5</v>
      </c>
      <c r="M2744">
        <f t="shared" si="84"/>
        <v>24</v>
      </c>
      <c r="N2744">
        <v>0.84210526315789469</v>
      </c>
      <c r="O2744" s="23" cm="1">
        <f t="array" ref="O2744">WordListCount(K2744,keywords!$A$2:$A$31)-WordListCount(K2744,keywords!$B$2:$B$31)</f>
        <v>0</v>
      </c>
      <c r="P2744" s="25">
        <f t="shared" si="85"/>
        <v>0.8743981481481482</v>
      </c>
      <c r="Q2744" s="23">
        <f>SUM($O$2:O2744)</f>
        <v>71</v>
      </c>
      <c r="Y2744" s="14"/>
      <c r="Z2744" s="13"/>
      <c r="AA2744"/>
    </row>
    <row r="2745" spans="1:27" x14ac:dyDescent="0.2">
      <c r="A2745" s="12" t="s">
        <v>8332</v>
      </c>
      <c r="B2745" t="s">
        <v>8333</v>
      </c>
      <c r="C2745" t="s">
        <v>1149</v>
      </c>
      <c r="D2745" t="s">
        <v>597</v>
      </c>
      <c r="E2745" t="s">
        <v>13</v>
      </c>
      <c r="F2745">
        <v>298</v>
      </c>
      <c r="G2745">
        <v>310</v>
      </c>
      <c r="H2745" s="5" t="s">
        <v>22</v>
      </c>
      <c r="I2745" s="5">
        <v>0</v>
      </c>
      <c r="J2745" s="5">
        <v>0</v>
      </c>
      <c r="K2745" t="s">
        <v>11622</v>
      </c>
      <c r="L2745" cm="1">
        <f t="array" ref="L2745">wordCount(K2745)</f>
        <v>11</v>
      </c>
      <c r="M2745">
        <f t="shared" si="84"/>
        <v>74</v>
      </c>
      <c r="N2745">
        <v>0.35714285714285715</v>
      </c>
      <c r="O2745" s="23" cm="1">
        <f t="array" ref="O2745">WordListCount(K2745,keywords!$A$2:$A$31)-WordListCount(K2745,keywords!$B$2:$B$31)</f>
        <v>0</v>
      </c>
      <c r="P2745" s="25">
        <f t="shared" si="85"/>
        <v>0.87454861111111104</v>
      </c>
      <c r="Q2745" s="23">
        <f>SUM($O$2:O2745)</f>
        <v>71</v>
      </c>
      <c r="Y2745" s="14"/>
      <c r="Z2745" s="13"/>
      <c r="AA2745"/>
    </row>
    <row r="2746" spans="1:27" x14ac:dyDescent="0.2">
      <c r="A2746" s="12" t="s">
        <v>8334</v>
      </c>
      <c r="B2746" t="s">
        <v>8335</v>
      </c>
      <c r="C2746" t="s">
        <v>8336</v>
      </c>
      <c r="D2746" t="s">
        <v>12</v>
      </c>
      <c r="E2746" t="s">
        <v>13</v>
      </c>
      <c r="F2746">
        <v>683</v>
      </c>
      <c r="G2746">
        <v>230</v>
      </c>
      <c r="H2746" s="5" t="s">
        <v>22</v>
      </c>
      <c r="I2746" s="5">
        <v>0</v>
      </c>
      <c r="J2746" s="5">
        <v>0</v>
      </c>
      <c r="K2746" t="s">
        <v>9863</v>
      </c>
      <c r="L2746" cm="1">
        <f t="array" ref="L2746">wordCount(K2746)</f>
        <v>19</v>
      </c>
      <c r="M2746">
        <f t="shared" si="84"/>
        <v>109</v>
      </c>
      <c r="N2746">
        <v>0.29166666666666669</v>
      </c>
      <c r="O2746" s="23" cm="1">
        <f t="array" ref="O2746">WordListCount(K2746,keywords!$A$2:$A$31)-WordListCount(K2746,keywords!$B$2:$B$31)</f>
        <v>1</v>
      </c>
      <c r="P2746" s="25">
        <f t="shared" si="85"/>
        <v>0.87457175925925934</v>
      </c>
      <c r="Q2746" s="23">
        <f>SUM($O$2:O2746)</f>
        <v>72</v>
      </c>
      <c r="Y2746" s="14"/>
      <c r="Z2746" s="13"/>
      <c r="AA2746"/>
    </row>
    <row r="2747" spans="1:27" x14ac:dyDescent="0.2">
      <c r="A2747" s="12" t="s">
        <v>8337</v>
      </c>
      <c r="B2747" t="s">
        <v>8339</v>
      </c>
      <c r="C2747" t="s">
        <v>586</v>
      </c>
      <c r="D2747" t="s">
        <v>12</v>
      </c>
      <c r="E2747" t="s">
        <v>13</v>
      </c>
      <c r="F2747">
        <v>235</v>
      </c>
      <c r="G2747">
        <v>2</v>
      </c>
      <c r="H2747" s="5" t="s">
        <v>22</v>
      </c>
      <c r="I2747" s="5">
        <v>0</v>
      </c>
      <c r="J2747" s="5">
        <v>0</v>
      </c>
      <c r="K2747" t="s">
        <v>11623</v>
      </c>
      <c r="L2747" cm="1">
        <f t="array" ref="L2747">wordCount(K2747)</f>
        <v>19</v>
      </c>
      <c r="M2747">
        <f t="shared" si="84"/>
        <v>107</v>
      </c>
      <c r="N2747">
        <v>0.76190476190476186</v>
      </c>
      <c r="O2747" s="23" cm="1">
        <f t="array" ref="O2747">WordListCount(K2747,keywords!$A$2:$A$31)-WordListCount(K2747,keywords!$B$2:$B$31)</f>
        <v>0</v>
      </c>
      <c r="P2747" s="25">
        <f t="shared" si="85"/>
        <v>0.875</v>
      </c>
      <c r="Q2747" s="23">
        <f>SUM($O$2:O2747)</f>
        <v>72</v>
      </c>
      <c r="Y2747" s="14"/>
      <c r="Z2747" s="13"/>
      <c r="AA2747"/>
    </row>
    <row r="2748" spans="1:27" x14ac:dyDescent="0.2">
      <c r="A2748" s="12" t="s">
        <v>8337</v>
      </c>
      <c r="B2748" t="s">
        <v>8338</v>
      </c>
      <c r="C2748" t="s">
        <v>2930</v>
      </c>
      <c r="D2748" t="s">
        <v>12</v>
      </c>
      <c r="E2748" t="s">
        <v>13</v>
      </c>
      <c r="F2748">
        <v>17</v>
      </c>
      <c r="G2748">
        <v>0</v>
      </c>
      <c r="H2748" s="5" t="s">
        <v>22</v>
      </c>
      <c r="I2748" s="5">
        <v>0</v>
      </c>
      <c r="J2748" s="5">
        <v>0</v>
      </c>
      <c r="K2748" t="s">
        <v>9864</v>
      </c>
      <c r="L2748" cm="1">
        <f t="array" ref="L2748">wordCount(K2748)</f>
        <v>10</v>
      </c>
      <c r="M2748">
        <f t="shared" si="84"/>
        <v>41</v>
      </c>
      <c r="N2748">
        <v>0.4</v>
      </c>
      <c r="O2748" s="23" cm="1">
        <f t="array" ref="O2748">WordListCount(K2748,keywords!$A$2:$A$31)-WordListCount(K2748,keywords!$B$2:$B$31)</f>
        <v>0</v>
      </c>
      <c r="P2748" s="25">
        <f t="shared" si="85"/>
        <v>0.875</v>
      </c>
      <c r="Q2748" s="23">
        <f>SUM($O$2:O2748)</f>
        <v>72</v>
      </c>
      <c r="Y2748" s="14"/>
      <c r="Z2748" s="13"/>
      <c r="AA2748"/>
    </row>
    <row r="2749" spans="1:27" x14ac:dyDescent="0.2">
      <c r="A2749" s="12" t="s">
        <v>8340</v>
      </c>
      <c r="B2749" t="s">
        <v>8341</v>
      </c>
      <c r="C2749" t="s">
        <v>589</v>
      </c>
      <c r="D2749" t="s">
        <v>590</v>
      </c>
      <c r="E2749" t="s">
        <v>13</v>
      </c>
      <c r="F2749">
        <v>385</v>
      </c>
      <c r="G2749">
        <v>72</v>
      </c>
      <c r="H2749" s="5" t="s">
        <v>22</v>
      </c>
      <c r="I2749" s="5">
        <v>0</v>
      </c>
      <c r="J2749" s="5">
        <v>0</v>
      </c>
      <c r="K2749" t="s">
        <v>11624</v>
      </c>
      <c r="L2749" cm="1">
        <f t="array" ref="L2749">wordCount(K2749)</f>
        <v>9</v>
      </c>
      <c r="M2749">
        <f t="shared" si="84"/>
        <v>56</v>
      </c>
      <c r="N2749">
        <v>0.81818181818181823</v>
      </c>
      <c r="O2749" s="23" cm="1">
        <f t="array" ref="O2749">WordListCount(K2749,keywords!$A$2:$A$31)-WordListCount(K2749,keywords!$B$2:$B$31)</f>
        <v>0</v>
      </c>
      <c r="P2749" s="25">
        <f t="shared" si="85"/>
        <v>0.87501157407407415</v>
      </c>
      <c r="Q2749" s="23">
        <f>SUM($O$2:O2749)</f>
        <v>72</v>
      </c>
      <c r="Y2749" s="14"/>
      <c r="Z2749" s="13"/>
      <c r="AA2749"/>
    </row>
    <row r="2750" spans="1:27" x14ac:dyDescent="0.2">
      <c r="A2750" s="12" t="s">
        <v>8340</v>
      </c>
      <c r="B2750" t="s">
        <v>8342</v>
      </c>
      <c r="C2750" t="s">
        <v>599</v>
      </c>
      <c r="D2750" t="s">
        <v>74</v>
      </c>
      <c r="E2750" t="s">
        <v>13</v>
      </c>
      <c r="F2750">
        <v>580</v>
      </c>
      <c r="G2750">
        <v>0</v>
      </c>
      <c r="H2750" s="5" t="s">
        <v>22</v>
      </c>
      <c r="I2750" s="5">
        <v>0</v>
      </c>
      <c r="J2750" s="5">
        <v>0</v>
      </c>
      <c r="K2750" t="s">
        <v>11625</v>
      </c>
      <c r="L2750" cm="1">
        <f t="array" ref="L2750">wordCount(K2750)</f>
        <v>11</v>
      </c>
      <c r="M2750">
        <f t="shared" si="84"/>
        <v>64</v>
      </c>
      <c r="N2750">
        <v>0.84615384615384615</v>
      </c>
      <c r="O2750" s="23" cm="1">
        <f t="array" ref="O2750">WordListCount(K2750,keywords!$A$2:$A$31)-WordListCount(K2750,keywords!$B$2:$B$31)</f>
        <v>0</v>
      </c>
      <c r="P2750" s="25">
        <f t="shared" si="85"/>
        <v>0.87501157407407415</v>
      </c>
      <c r="Q2750" s="23">
        <f>SUM($O$2:O2750)</f>
        <v>72</v>
      </c>
      <c r="Y2750" s="14"/>
      <c r="Z2750" s="13"/>
      <c r="AA2750"/>
    </row>
    <row r="2751" spans="1:27" x14ac:dyDescent="0.2">
      <c r="A2751" s="12" t="s">
        <v>8343</v>
      </c>
      <c r="B2751" t="s">
        <v>8344</v>
      </c>
      <c r="C2751" t="s">
        <v>596</v>
      </c>
      <c r="D2751" t="s">
        <v>597</v>
      </c>
      <c r="E2751" t="s">
        <v>13</v>
      </c>
      <c r="F2751">
        <v>997</v>
      </c>
      <c r="G2751">
        <v>1</v>
      </c>
      <c r="H2751" s="5" t="s">
        <v>382</v>
      </c>
      <c r="I2751" s="5">
        <v>0</v>
      </c>
      <c r="J2751" s="5">
        <v>0</v>
      </c>
      <c r="K2751" t="s">
        <v>9865</v>
      </c>
      <c r="L2751" cm="1">
        <f t="array" ref="L2751">wordCount(K2751)</f>
        <v>5</v>
      </c>
      <c r="M2751">
        <f t="shared" si="84"/>
        <v>30</v>
      </c>
      <c r="N2751">
        <v>0.8</v>
      </c>
      <c r="O2751" s="23" cm="1">
        <f t="array" ref="O2751">WordListCount(K2751,keywords!$A$2:$A$31)-WordListCount(K2751,keywords!$B$2:$B$31)</f>
        <v>0</v>
      </c>
      <c r="P2751" s="25">
        <f t="shared" si="85"/>
        <v>0.87502314814814808</v>
      </c>
      <c r="Q2751" s="23">
        <f>SUM($O$2:O2751)</f>
        <v>72</v>
      </c>
      <c r="Y2751" s="14"/>
      <c r="Z2751" s="13"/>
      <c r="AA2751"/>
    </row>
    <row r="2752" spans="1:27" x14ac:dyDescent="0.2">
      <c r="A2752" s="12" t="s">
        <v>8343</v>
      </c>
      <c r="B2752" t="s">
        <v>8345</v>
      </c>
      <c r="C2752" t="s">
        <v>306</v>
      </c>
      <c r="D2752" t="s">
        <v>307</v>
      </c>
      <c r="E2752" t="s">
        <v>13</v>
      </c>
      <c r="F2752">
        <v>227</v>
      </c>
      <c r="G2752">
        <v>1</v>
      </c>
      <c r="H2752" s="5" t="s">
        <v>22</v>
      </c>
      <c r="I2752" s="5">
        <v>0</v>
      </c>
      <c r="J2752" s="5">
        <v>0</v>
      </c>
      <c r="K2752" t="s">
        <v>9866</v>
      </c>
      <c r="L2752" cm="1">
        <f t="array" ref="L2752">wordCount(K2752)</f>
        <v>7</v>
      </c>
      <c r="M2752">
        <f t="shared" si="84"/>
        <v>105</v>
      </c>
      <c r="N2752">
        <v>0.53846153846153844</v>
      </c>
      <c r="O2752" s="23" cm="1">
        <f t="array" ref="O2752">WordListCount(K2752,keywords!$A$2:$A$31)-WordListCount(K2752,keywords!$B$2:$B$31)</f>
        <v>0</v>
      </c>
      <c r="P2752" s="25">
        <f t="shared" si="85"/>
        <v>0.87502314814814808</v>
      </c>
      <c r="Q2752" s="23">
        <f>SUM($O$2:O2752)</f>
        <v>72</v>
      </c>
      <c r="Y2752" s="14"/>
      <c r="Z2752" s="13"/>
      <c r="AA2752"/>
    </row>
    <row r="2753" spans="1:27" x14ac:dyDescent="0.2">
      <c r="A2753" s="12" t="s">
        <v>8346</v>
      </c>
      <c r="B2753" t="s">
        <v>8347</v>
      </c>
      <c r="C2753" t="s">
        <v>604</v>
      </c>
      <c r="D2753" t="s">
        <v>605</v>
      </c>
      <c r="E2753" t="s">
        <v>13</v>
      </c>
      <c r="F2753">
        <v>168</v>
      </c>
      <c r="G2753">
        <v>115</v>
      </c>
      <c r="H2753" s="5" t="s">
        <v>22</v>
      </c>
      <c r="I2753" s="5">
        <v>0</v>
      </c>
      <c r="J2753" s="5">
        <v>0</v>
      </c>
      <c r="K2753" t="s">
        <v>11626</v>
      </c>
      <c r="L2753" cm="1">
        <f t="array" ref="L2753">wordCount(K2753)</f>
        <v>13</v>
      </c>
      <c r="M2753">
        <f t="shared" si="84"/>
        <v>68</v>
      </c>
      <c r="N2753">
        <v>0.55555555555555558</v>
      </c>
      <c r="O2753" s="23" cm="1">
        <f t="array" ref="O2753">WordListCount(K2753,keywords!$A$2:$A$31)-WordListCount(K2753,keywords!$B$2:$B$31)</f>
        <v>0</v>
      </c>
      <c r="P2753" s="25">
        <f t="shared" si="85"/>
        <v>0.87506944444444434</v>
      </c>
      <c r="Q2753" s="23">
        <f>SUM($O$2:O2753)</f>
        <v>72</v>
      </c>
      <c r="Y2753" s="14"/>
      <c r="Z2753" s="13"/>
      <c r="AA2753"/>
    </row>
    <row r="2754" spans="1:27" x14ac:dyDescent="0.2">
      <c r="A2754" s="12" t="s">
        <v>8348</v>
      </c>
      <c r="B2754" t="s">
        <v>8349</v>
      </c>
      <c r="C2754" t="s">
        <v>617</v>
      </c>
      <c r="D2754" t="s">
        <v>12</v>
      </c>
      <c r="E2754" t="s">
        <v>13</v>
      </c>
      <c r="F2754">
        <v>8725</v>
      </c>
      <c r="G2754">
        <v>268</v>
      </c>
      <c r="H2754" s="5" t="s">
        <v>22</v>
      </c>
      <c r="I2754" s="5">
        <v>0</v>
      </c>
      <c r="J2754" s="5">
        <v>0</v>
      </c>
      <c r="K2754" t="s">
        <v>11627</v>
      </c>
      <c r="L2754" cm="1">
        <f t="array" ref="L2754">wordCount(K2754)</f>
        <v>14</v>
      </c>
      <c r="M2754">
        <f t="shared" ref="M2754:M2817" si="86">LEN(K2754)</f>
        <v>101</v>
      </c>
      <c r="N2754">
        <v>0.8571428571428571</v>
      </c>
      <c r="O2754" s="23" cm="1">
        <f t="array" ref="O2754">WordListCount(K2754,keywords!$A$2:$A$31)-WordListCount(K2754,keywords!$B$2:$B$31)</f>
        <v>0</v>
      </c>
      <c r="P2754" s="25">
        <f t="shared" ref="P2754:P2817" si="87">TIMEVALUE(RIGHT(A2754,8))</f>
        <v>0.87516203703703699</v>
      </c>
      <c r="Q2754" s="23">
        <f>SUM($O$2:O2754)</f>
        <v>72</v>
      </c>
      <c r="Y2754" s="14"/>
      <c r="Z2754" s="13"/>
      <c r="AA2754"/>
    </row>
    <row r="2755" spans="1:27" x14ac:dyDescent="0.2">
      <c r="A2755" s="12" t="s">
        <v>8350</v>
      </c>
      <c r="B2755" t="s">
        <v>8351</v>
      </c>
      <c r="C2755" t="s">
        <v>8352</v>
      </c>
      <c r="D2755" t="s">
        <v>8353</v>
      </c>
      <c r="E2755" t="s">
        <v>13</v>
      </c>
      <c r="F2755">
        <v>64</v>
      </c>
      <c r="G2755">
        <v>110</v>
      </c>
      <c r="H2755" s="5" t="s">
        <v>22</v>
      </c>
      <c r="I2755" s="5">
        <v>0</v>
      </c>
      <c r="J2755" s="5">
        <v>0</v>
      </c>
      <c r="K2755" t="s">
        <v>11628</v>
      </c>
      <c r="L2755" cm="1">
        <f t="array" ref="L2755">wordCount(K2755)</f>
        <v>24</v>
      </c>
      <c r="M2755">
        <f t="shared" si="86"/>
        <v>118</v>
      </c>
      <c r="N2755">
        <v>0.375</v>
      </c>
      <c r="O2755" s="23" cm="1">
        <f t="array" ref="O2755">WordListCount(K2755,keywords!$A$2:$A$31)-WordListCount(K2755,keywords!$B$2:$B$31)</f>
        <v>-2</v>
      </c>
      <c r="P2755" s="25">
        <f t="shared" si="87"/>
        <v>0.87519675925925933</v>
      </c>
      <c r="Q2755" s="23">
        <f>SUM($O$2:O2755)</f>
        <v>70</v>
      </c>
      <c r="Y2755" s="14"/>
      <c r="Z2755" s="13"/>
      <c r="AA2755"/>
    </row>
    <row r="2756" spans="1:27" x14ac:dyDescent="0.2">
      <c r="A2756" s="12" t="s">
        <v>8354</v>
      </c>
      <c r="B2756" t="s">
        <v>8355</v>
      </c>
      <c r="C2756" t="s">
        <v>8356</v>
      </c>
      <c r="D2756" t="s">
        <v>8357</v>
      </c>
      <c r="E2756" t="s">
        <v>13</v>
      </c>
      <c r="F2756">
        <v>19</v>
      </c>
      <c r="G2756">
        <v>66</v>
      </c>
      <c r="H2756" s="5" t="s">
        <v>22</v>
      </c>
      <c r="I2756" s="5">
        <v>0</v>
      </c>
      <c r="J2756" s="5">
        <v>0</v>
      </c>
      <c r="K2756" t="s">
        <v>11629</v>
      </c>
      <c r="L2756" cm="1">
        <f t="array" ref="L2756">wordCount(K2756)</f>
        <v>12</v>
      </c>
      <c r="M2756">
        <f t="shared" si="86"/>
        <v>64</v>
      </c>
      <c r="N2756">
        <v>0.67741935483870963</v>
      </c>
      <c r="O2756" s="23" cm="1">
        <f t="array" ref="O2756">WordListCount(K2756,keywords!$A$2:$A$31)-WordListCount(K2756,keywords!$B$2:$B$31)</f>
        <v>0</v>
      </c>
      <c r="P2756" s="25">
        <f t="shared" si="87"/>
        <v>0.87533564814814813</v>
      </c>
      <c r="Q2756" s="23">
        <f>SUM($O$2:O2756)</f>
        <v>70</v>
      </c>
      <c r="Y2756" s="14"/>
      <c r="Z2756" s="13"/>
      <c r="AA2756"/>
    </row>
    <row r="2757" spans="1:27" x14ac:dyDescent="0.2">
      <c r="A2757" s="12" t="s">
        <v>8358</v>
      </c>
      <c r="B2757" t="s">
        <v>8359</v>
      </c>
      <c r="C2757" t="s">
        <v>631</v>
      </c>
      <c r="D2757" t="s">
        <v>12</v>
      </c>
      <c r="E2757" t="s">
        <v>13</v>
      </c>
      <c r="F2757">
        <v>93</v>
      </c>
      <c r="G2757">
        <v>2</v>
      </c>
      <c r="H2757" s="5" t="s">
        <v>86</v>
      </c>
      <c r="I2757" s="5">
        <v>0</v>
      </c>
      <c r="J2757" s="5">
        <v>0</v>
      </c>
      <c r="K2757" t="s">
        <v>9867</v>
      </c>
      <c r="L2757" cm="1">
        <f t="array" ref="L2757">wordCount(K2757)</f>
        <v>8</v>
      </c>
      <c r="M2757">
        <f t="shared" si="86"/>
        <v>43</v>
      </c>
      <c r="N2757">
        <v>0.77777777777777779</v>
      </c>
      <c r="O2757" s="23" cm="1">
        <f t="array" ref="O2757">WordListCount(K2757,keywords!$A$2:$A$31)-WordListCount(K2757,keywords!$B$2:$B$31)</f>
        <v>0</v>
      </c>
      <c r="P2757" s="25">
        <f t="shared" si="87"/>
        <v>0.87534722222222217</v>
      </c>
      <c r="Q2757" s="23">
        <f>SUM($O$2:O2757)</f>
        <v>70</v>
      </c>
      <c r="Y2757" s="14"/>
      <c r="Z2757" s="13"/>
      <c r="AA2757"/>
    </row>
    <row r="2758" spans="1:27" x14ac:dyDescent="0.2">
      <c r="A2758" s="12" t="s">
        <v>8360</v>
      </c>
      <c r="B2758" t="s">
        <v>8361</v>
      </c>
      <c r="C2758" t="s">
        <v>73</v>
      </c>
      <c r="D2758" t="s">
        <v>74</v>
      </c>
      <c r="E2758" t="s">
        <v>13</v>
      </c>
      <c r="F2758">
        <v>87</v>
      </c>
      <c r="G2758">
        <v>237</v>
      </c>
      <c r="H2758" s="5" t="s">
        <v>22</v>
      </c>
      <c r="I2758" s="5">
        <v>0</v>
      </c>
      <c r="J2758" s="5">
        <v>0</v>
      </c>
      <c r="K2758" t="s">
        <v>9774</v>
      </c>
      <c r="L2758" cm="1">
        <f t="array" ref="L2758">wordCount(K2758)</f>
        <v>7</v>
      </c>
      <c r="M2758">
        <f t="shared" si="86"/>
        <v>37</v>
      </c>
      <c r="N2758">
        <v>1</v>
      </c>
      <c r="O2758" s="23" cm="1">
        <f t="array" ref="O2758">WordListCount(K2758,keywords!$A$2:$A$31)-WordListCount(K2758,keywords!$B$2:$B$31)</f>
        <v>0</v>
      </c>
      <c r="P2758" s="25">
        <f t="shared" si="87"/>
        <v>0.87565972222222221</v>
      </c>
      <c r="Q2758" s="23">
        <f>SUM($O$2:O2758)</f>
        <v>70</v>
      </c>
      <c r="Y2758" s="14"/>
      <c r="Z2758" s="13"/>
      <c r="AA2758"/>
    </row>
    <row r="2759" spans="1:27" x14ac:dyDescent="0.2">
      <c r="A2759" s="12" t="s">
        <v>8362</v>
      </c>
      <c r="B2759" t="s">
        <v>8363</v>
      </c>
      <c r="C2759" t="s">
        <v>1355</v>
      </c>
      <c r="D2759" t="s">
        <v>1356</v>
      </c>
      <c r="E2759" t="s">
        <v>13</v>
      </c>
      <c r="F2759">
        <v>64</v>
      </c>
      <c r="G2759">
        <v>34</v>
      </c>
      <c r="H2759" s="5" t="s">
        <v>382</v>
      </c>
      <c r="I2759" s="5">
        <v>0</v>
      </c>
      <c r="J2759" s="5">
        <v>0</v>
      </c>
      <c r="K2759" t="s">
        <v>9868</v>
      </c>
      <c r="L2759" cm="1">
        <f t="array" ref="L2759">wordCount(K2759)</f>
        <v>3</v>
      </c>
      <c r="M2759">
        <f t="shared" si="86"/>
        <v>17</v>
      </c>
      <c r="N2759">
        <v>0.6</v>
      </c>
      <c r="O2759" s="23" cm="1">
        <f t="array" ref="O2759">WordListCount(K2759,keywords!$A$2:$A$31)-WordListCount(K2759,keywords!$B$2:$B$31)</f>
        <v>0</v>
      </c>
      <c r="P2759" s="25">
        <f t="shared" si="87"/>
        <v>0.87567129629629636</v>
      </c>
      <c r="Q2759" s="23">
        <f>SUM($O$2:O2759)</f>
        <v>70</v>
      </c>
      <c r="Y2759" s="14"/>
      <c r="Z2759" s="13"/>
      <c r="AA2759"/>
    </row>
    <row r="2760" spans="1:27" x14ac:dyDescent="0.2">
      <c r="A2760" s="12" t="s">
        <v>8364</v>
      </c>
      <c r="B2760" t="s">
        <v>8365</v>
      </c>
      <c r="C2760" t="s">
        <v>8336</v>
      </c>
      <c r="D2760" t="s">
        <v>12</v>
      </c>
      <c r="E2760" t="s">
        <v>13</v>
      </c>
      <c r="F2760">
        <v>683</v>
      </c>
      <c r="G2760">
        <v>230</v>
      </c>
      <c r="H2760" s="5" t="s">
        <v>22</v>
      </c>
      <c r="I2760" s="5">
        <v>0</v>
      </c>
      <c r="J2760" s="5">
        <v>0</v>
      </c>
      <c r="K2760" t="s">
        <v>9869</v>
      </c>
      <c r="L2760" cm="1">
        <f t="array" ref="L2760">wordCount(K2760)</f>
        <v>21</v>
      </c>
      <c r="M2760">
        <f t="shared" si="86"/>
        <v>120</v>
      </c>
      <c r="N2760">
        <v>0.90476190476190477</v>
      </c>
      <c r="O2760" s="23" cm="1">
        <f t="array" ref="O2760">WordListCount(K2760,keywords!$A$2:$A$31)-WordListCount(K2760,keywords!$B$2:$B$31)</f>
        <v>1</v>
      </c>
      <c r="P2760" s="25">
        <f t="shared" si="87"/>
        <v>0.8756828703703704</v>
      </c>
      <c r="Q2760" s="23">
        <f>SUM($O$2:O2760)</f>
        <v>71</v>
      </c>
      <c r="Y2760" s="14"/>
      <c r="Z2760" s="13"/>
      <c r="AA2760"/>
    </row>
    <row r="2761" spans="1:27" x14ac:dyDescent="0.2">
      <c r="A2761" s="12" t="s">
        <v>8366</v>
      </c>
      <c r="B2761" t="s">
        <v>8367</v>
      </c>
      <c r="C2761" t="s">
        <v>8368</v>
      </c>
      <c r="D2761" t="s">
        <v>12</v>
      </c>
      <c r="E2761" t="s">
        <v>13</v>
      </c>
      <c r="F2761">
        <v>1930</v>
      </c>
      <c r="G2761">
        <v>186</v>
      </c>
      <c r="H2761" s="5" t="s">
        <v>393</v>
      </c>
      <c r="I2761" s="5">
        <v>0</v>
      </c>
      <c r="J2761" s="5">
        <v>0</v>
      </c>
      <c r="K2761" t="s">
        <v>11630</v>
      </c>
      <c r="L2761" cm="1">
        <f t="array" ref="L2761">wordCount(K2761)</f>
        <v>8</v>
      </c>
      <c r="M2761">
        <f t="shared" si="86"/>
        <v>37</v>
      </c>
      <c r="N2761">
        <v>0.66666666666666663</v>
      </c>
      <c r="O2761" s="23" cm="1">
        <f t="array" ref="O2761">WordListCount(K2761,keywords!$A$2:$A$31)-WordListCount(K2761,keywords!$B$2:$B$31)</f>
        <v>0</v>
      </c>
      <c r="P2761" s="25">
        <f t="shared" si="87"/>
        <v>0.87585648148148154</v>
      </c>
      <c r="Q2761" s="23">
        <f>SUM($O$2:O2761)</f>
        <v>71</v>
      </c>
      <c r="Y2761" s="14"/>
      <c r="Z2761" s="13"/>
      <c r="AA2761"/>
    </row>
    <row r="2762" spans="1:27" x14ac:dyDescent="0.2">
      <c r="A2762" s="12" t="s">
        <v>8369</v>
      </c>
      <c r="B2762" t="s">
        <v>8370</v>
      </c>
      <c r="C2762" t="s">
        <v>8371</v>
      </c>
      <c r="D2762" t="s">
        <v>4030</v>
      </c>
      <c r="E2762" t="s">
        <v>13</v>
      </c>
      <c r="F2762">
        <v>3338</v>
      </c>
      <c r="G2762">
        <v>463</v>
      </c>
      <c r="H2762" s="5" t="s">
        <v>22</v>
      </c>
      <c r="I2762" s="5">
        <v>0</v>
      </c>
      <c r="J2762" s="5">
        <v>0</v>
      </c>
      <c r="K2762" t="s">
        <v>11631</v>
      </c>
      <c r="L2762" cm="1">
        <f t="array" ref="L2762">wordCount(K2762)</f>
        <v>24</v>
      </c>
      <c r="M2762">
        <f t="shared" si="86"/>
        <v>127</v>
      </c>
      <c r="N2762">
        <v>0.38235294117647056</v>
      </c>
      <c r="O2762" s="23" cm="1">
        <f t="array" ref="O2762">WordListCount(K2762,keywords!$A$2:$A$31)-WordListCount(K2762,keywords!$B$2:$B$31)</f>
        <v>0</v>
      </c>
      <c r="P2762" s="25">
        <f t="shared" si="87"/>
        <v>0.87593750000000004</v>
      </c>
      <c r="Q2762" s="23">
        <f>SUM($O$2:O2762)</f>
        <v>71</v>
      </c>
      <c r="Y2762" s="14"/>
      <c r="Z2762" s="13"/>
      <c r="AA2762"/>
    </row>
    <row r="2763" spans="1:27" x14ac:dyDescent="0.2">
      <c r="A2763" s="12" t="s">
        <v>8372</v>
      </c>
      <c r="B2763" t="s">
        <v>8373</v>
      </c>
      <c r="C2763" t="s">
        <v>634</v>
      </c>
      <c r="D2763" t="s">
        <v>635</v>
      </c>
      <c r="E2763" t="s">
        <v>13</v>
      </c>
      <c r="F2763">
        <v>2134</v>
      </c>
      <c r="G2763">
        <v>4158</v>
      </c>
      <c r="H2763" s="5" t="s">
        <v>22</v>
      </c>
      <c r="I2763" s="5">
        <v>0</v>
      </c>
      <c r="J2763" s="5">
        <v>0</v>
      </c>
      <c r="K2763" t="s">
        <v>9870</v>
      </c>
      <c r="L2763" cm="1">
        <f t="array" ref="L2763">wordCount(K2763)</f>
        <v>21</v>
      </c>
      <c r="M2763">
        <f t="shared" si="86"/>
        <v>102</v>
      </c>
      <c r="N2763">
        <v>0.4</v>
      </c>
      <c r="O2763" s="23" cm="1">
        <f t="array" ref="O2763">WordListCount(K2763,keywords!$A$2:$A$31)-WordListCount(K2763,keywords!$B$2:$B$31)</f>
        <v>2</v>
      </c>
      <c r="P2763" s="25">
        <f t="shared" si="87"/>
        <v>0.8759837962962963</v>
      </c>
      <c r="Q2763" s="23">
        <f>SUM($O$2:O2763)</f>
        <v>73</v>
      </c>
      <c r="Y2763" s="14"/>
      <c r="Z2763" s="13"/>
      <c r="AA2763"/>
    </row>
    <row r="2764" spans="1:27" x14ac:dyDescent="0.2">
      <c r="A2764" s="12" t="s">
        <v>8374</v>
      </c>
      <c r="B2764" t="s">
        <v>8375</v>
      </c>
      <c r="C2764" t="s">
        <v>651</v>
      </c>
      <c r="D2764" t="s">
        <v>652</v>
      </c>
      <c r="E2764" t="s">
        <v>13</v>
      </c>
      <c r="F2764">
        <v>13405</v>
      </c>
      <c r="G2764">
        <v>13240</v>
      </c>
      <c r="H2764" s="5" t="s">
        <v>22</v>
      </c>
      <c r="I2764" s="5">
        <v>0</v>
      </c>
      <c r="J2764" s="5">
        <v>0</v>
      </c>
      <c r="K2764" t="s">
        <v>9871</v>
      </c>
      <c r="L2764" cm="1">
        <f t="array" ref="L2764">wordCount(K2764)</f>
        <v>6</v>
      </c>
      <c r="M2764">
        <f t="shared" si="86"/>
        <v>36</v>
      </c>
      <c r="N2764">
        <v>0.88888888888888884</v>
      </c>
      <c r="O2764" s="23" cm="1">
        <f t="array" ref="O2764">WordListCount(K2764,keywords!$A$2:$A$31)-WordListCount(K2764,keywords!$B$2:$B$31)</f>
        <v>0</v>
      </c>
      <c r="P2764" s="25">
        <f t="shared" si="87"/>
        <v>0.87603009259259268</v>
      </c>
      <c r="Q2764" s="23">
        <f>SUM($O$2:O2764)</f>
        <v>73</v>
      </c>
      <c r="Y2764" s="14"/>
      <c r="Z2764" s="13"/>
      <c r="AA2764"/>
    </row>
    <row r="2765" spans="1:27" x14ac:dyDescent="0.2">
      <c r="A2765" s="12" t="s">
        <v>8376</v>
      </c>
      <c r="B2765" t="s">
        <v>8377</v>
      </c>
      <c r="C2765" t="s">
        <v>21</v>
      </c>
      <c r="D2765" t="s">
        <v>12</v>
      </c>
      <c r="E2765" t="s">
        <v>13</v>
      </c>
      <c r="F2765">
        <v>44</v>
      </c>
      <c r="G2765">
        <v>9</v>
      </c>
      <c r="H2765" s="5" t="s">
        <v>22</v>
      </c>
      <c r="I2765" s="5">
        <v>0</v>
      </c>
      <c r="J2765" s="5">
        <v>0</v>
      </c>
      <c r="K2765" t="s">
        <v>9872</v>
      </c>
      <c r="L2765" cm="1">
        <f t="array" ref="L2765">wordCount(K2765)</f>
        <v>5</v>
      </c>
      <c r="M2765">
        <f t="shared" si="86"/>
        <v>28</v>
      </c>
      <c r="N2765">
        <v>0.875</v>
      </c>
      <c r="O2765" s="23" cm="1">
        <f t="array" ref="O2765">WordListCount(K2765,keywords!$A$2:$A$31)-WordListCount(K2765,keywords!$B$2:$B$31)</f>
        <v>0</v>
      </c>
      <c r="P2765" s="25">
        <f t="shared" si="87"/>
        <v>0.87604166666666661</v>
      </c>
      <c r="Q2765" s="23">
        <f>SUM($O$2:O2765)</f>
        <v>73</v>
      </c>
      <c r="Y2765" s="14"/>
      <c r="Z2765" s="13"/>
      <c r="AA2765"/>
    </row>
    <row r="2766" spans="1:27" x14ac:dyDescent="0.2">
      <c r="A2766" s="12" t="s">
        <v>8378</v>
      </c>
      <c r="B2766" t="s">
        <v>8379</v>
      </c>
      <c r="C2766" t="s">
        <v>8380</v>
      </c>
      <c r="D2766" t="s">
        <v>12</v>
      </c>
      <c r="E2766" t="s">
        <v>13</v>
      </c>
      <c r="F2766">
        <v>48</v>
      </c>
      <c r="G2766">
        <v>85</v>
      </c>
      <c r="H2766" s="5" t="s">
        <v>14</v>
      </c>
      <c r="I2766" s="5">
        <v>0</v>
      </c>
      <c r="J2766" s="5">
        <v>0</v>
      </c>
      <c r="K2766" t="s">
        <v>9873</v>
      </c>
      <c r="L2766" cm="1">
        <f t="array" ref="L2766">wordCount(K2766)</f>
        <v>9</v>
      </c>
      <c r="M2766">
        <f t="shared" si="86"/>
        <v>74</v>
      </c>
      <c r="N2766">
        <v>0.5</v>
      </c>
      <c r="O2766" s="23" cm="1">
        <f t="array" ref="O2766">WordListCount(K2766,keywords!$A$2:$A$31)-WordListCount(K2766,keywords!$B$2:$B$31)</f>
        <v>0</v>
      </c>
      <c r="P2766" s="25">
        <f t="shared" si="87"/>
        <v>0.87625000000000008</v>
      </c>
      <c r="Q2766" s="23">
        <f>SUM($O$2:O2766)</f>
        <v>73</v>
      </c>
      <c r="Y2766" s="14"/>
      <c r="Z2766" s="13"/>
      <c r="AA2766"/>
    </row>
    <row r="2767" spans="1:27" x14ac:dyDescent="0.2">
      <c r="A2767" s="12" t="s">
        <v>8381</v>
      </c>
      <c r="B2767" t="s">
        <v>8382</v>
      </c>
      <c r="C2767" t="s">
        <v>8383</v>
      </c>
      <c r="D2767" t="s">
        <v>8384</v>
      </c>
      <c r="E2767" t="s">
        <v>13</v>
      </c>
      <c r="F2767">
        <v>46</v>
      </c>
      <c r="G2767">
        <v>338</v>
      </c>
      <c r="H2767" s="5" t="s">
        <v>22</v>
      </c>
      <c r="I2767" s="5">
        <v>0</v>
      </c>
      <c r="J2767" s="5">
        <v>0</v>
      </c>
      <c r="K2767" t="s">
        <v>11632</v>
      </c>
      <c r="L2767" cm="1">
        <f t="array" ref="L2767">wordCount(K2767)</f>
        <v>21</v>
      </c>
      <c r="M2767">
        <f t="shared" si="86"/>
        <v>110</v>
      </c>
      <c r="N2767">
        <v>0.5</v>
      </c>
      <c r="O2767" s="23" cm="1">
        <f t="array" ref="O2767">WordListCount(K2767,keywords!$A$2:$A$31)-WordListCount(K2767,keywords!$B$2:$B$31)</f>
        <v>0</v>
      </c>
      <c r="P2767" s="25">
        <f t="shared" si="87"/>
        <v>0.87667824074074074</v>
      </c>
      <c r="Q2767" s="23">
        <f>SUM($O$2:O2767)</f>
        <v>73</v>
      </c>
      <c r="Y2767" s="14"/>
      <c r="Z2767" s="13"/>
      <c r="AA2767"/>
    </row>
    <row r="2768" spans="1:27" x14ac:dyDescent="0.2">
      <c r="A2768" s="12" t="s">
        <v>8385</v>
      </c>
      <c r="B2768" t="s">
        <v>8386</v>
      </c>
      <c r="C2768" t="s">
        <v>8387</v>
      </c>
      <c r="D2768" t="s">
        <v>12</v>
      </c>
      <c r="E2768" t="s">
        <v>13</v>
      </c>
      <c r="F2768">
        <v>599</v>
      </c>
      <c r="G2768">
        <v>297</v>
      </c>
      <c r="H2768" s="5" t="s">
        <v>22</v>
      </c>
      <c r="I2768" s="5">
        <v>0</v>
      </c>
      <c r="J2768" s="5">
        <v>0</v>
      </c>
      <c r="K2768" t="s">
        <v>11633</v>
      </c>
      <c r="L2768" cm="1">
        <f t="array" ref="L2768">wordCount(K2768)</f>
        <v>21</v>
      </c>
      <c r="M2768">
        <f t="shared" si="86"/>
        <v>108</v>
      </c>
      <c r="N2768">
        <v>0.52631578947368418</v>
      </c>
      <c r="O2768" s="23" cm="1">
        <f t="array" ref="O2768">WordListCount(K2768,keywords!$A$2:$A$31)-WordListCount(K2768,keywords!$B$2:$B$31)</f>
        <v>0</v>
      </c>
      <c r="P2768" s="25">
        <f t="shared" si="87"/>
        <v>0.87678240740740743</v>
      </c>
      <c r="Q2768" s="23">
        <f>SUM($O$2:O2768)</f>
        <v>73</v>
      </c>
      <c r="Y2768" s="14"/>
      <c r="Z2768" s="13"/>
      <c r="AA2768"/>
    </row>
    <row r="2769" spans="1:27" x14ac:dyDescent="0.2">
      <c r="A2769" s="12" t="s">
        <v>8388</v>
      </c>
      <c r="B2769" t="s">
        <v>8389</v>
      </c>
      <c r="C2769" t="s">
        <v>8390</v>
      </c>
      <c r="D2769" t="s">
        <v>8391</v>
      </c>
      <c r="E2769" t="s">
        <v>13</v>
      </c>
      <c r="F2769">
        <v>65</v>
      </c>
      <c r="G2769">
        <v>49</v>
      </c>
      <c r="H2769" s="5" t="s">
        <v>59</v>
      </c>
      <c r="I2769" s="5">
        <v>0</v>
      </c>
      <c r="J2769" s="5">
        <v>0</v>
      </c>
      <c r="K2769" t="s">
        <v>11634</v>
      </c>
      <c r="L2769" cm="1">
        <f t="array" ref="L2769">wordCount(K2769)</f>
        <v>9</v>
      </c>
      <c r="M2769">
        <f t="shared" si="86"/>
        <v>47</v>
      </c>
      <c r="N2769">
        <v>0.72727272727272729</v>
      </c>
      <c r="O2769" s="23" cm="1">
        <f t="array" ref="O2769">WordListCount(K2769,keywords!$A$2:$A$31)-WordListCount(K2769,keywords!$B$2:$B$31)</f>
        <v>0</v>
      </c>
      <c r="P2769" s="25">
        <f t="shared" si="87"/>
        <v>0.87703703703703706</v>
      </c>
      <c r="Q2769" s="23">
        <f>SUM($O$2:O2769)</f>
        <v>73</v>
      </c>
      <c r="Y2769" s="14"/>
      <c r="Z2769" s="13"/>
      <c r="AA2769"/>
    </row>
    <row r="2770" spans="1:27" x14ac:dyDescent="0.2">
      <c r="A2770" s="12" t="s">
        <v>8392</v>
      </c>
      <c r="B2770" t="s">
        <v>8393</v>
      </c>
      <c r="C2770" t="s">
        <v>2891</v>
      </c>
      <c r="D2770" t="s">
        <v>81</v>
      </c>
      <c r="E2770" t="s">
        <v>13</v>
      </c>
      <c r="F2770">
        <v>1016</v>
      </c>
      <c r="G2770">
        <v>55</v>
      </c>
      <c r="H2770" s="5" t="s">
        <v>22</v>
      </c>
      <c r="I2770" s="5">
        <v>0</v>
      </c>
      <c r="J2770" s="5">
        <v>0</v>
      </c>
      <c r="K2770" t="s">
        <v>11635</v>
      </c>
      <c r="L2770" cm="1">
        <f t="array" ref="L2770">wordCount(K2770)</f>
        <v>15</v>
      </c>
      <c r="M2770">
        <f t="shared" si="86"/>
        <v>75</v>
      </c>
      <c r="N2770">
        <v>0.8666666666666667</v>
      </c>
      <c r="O2770" s="23" cm="1">
        <f t="array" ref="O2770">WordListCount(K2770,keywords!$A$2:$A$31)-WordListCount(K2770,keywords!$B$2:$B$31)</f>
        <v>0</v>
      </c>
      <c r="P2770" s="25">
        <f t="shared" si="87"/>
        <v>0.87711805555555555</v>
      </c>
      <c r="Q2770" s="23">
        <f>SUM($O$2:O2770)</f>
        <v>73</v>
      </c>
      <c r="Y2770" s="14"/>
      <c r="Z2770" s="13"/>
      <c r="AA2770"/>
    </row>
    <row r="2771" spans="1:27" x14ac:dyDescent="0.2">
      <c r="A2771" s="12" t="s">
        <v>8394</v>
      </c>
      <c r="B2771" t="s">
        <v>8395</v>
      </c>
      <c r="C2771" t="s">
        <v>8396</v>
      </c>
      <c r="D2771" t="s">
        <v>12</v>
      </c>
      <c r="E2771" t="s">
        <v>13</v>
      </c>
      <c r="F2771">
        <v>6</v>
      </c>
      <c r="G2771">
        <v>6</v>
      </c>
      <c r="H2771" s="5" t="s">
        <v>22</v>
      </c>
      <c r="I2771" s="5">
        <v>0</v>
      </c>
      <c r="J2771" s="5">
        <v>0</v>
      </c>
      <c r="K2771" t="s">
        <v>11636</v>
      </c>
      <c r="L2771" cm="1">
        <f t="array" ref="L2771">wordCount(K2771)</f>
        <v>23</v>
      </c>
      <c r="M2771">
        <f t="shared" si="86"/>
        <v>137</v>
      </c>
      <c r="N2771">
        <v>0.37931034482758619</v>
      </c>
      <c r="O2771" s="23" cm="1">
        <f t="array" ref="O2771">WordListCount(K2771,keywords!$A$2:$A$31)-WordListCount(K2771,keywords!$B$2:$B$31)</f>
        <v>0</v>
      </c>
      <c r="P2771" s="25">
        <f t="shared" si="87"/>
        <v>0.87725694444444446</v>
      </c>
      <c r="Q2771" s="23">
        <f>SUM($O$2:O2771)</f>
        <v>73</v>
      </c>
      <c r="Y2771" s="14"/>
      <c r="Z2771" s="13"/>
      <c r="AA2771"/>
    </row>
    <row r="2772" spans="1:27" x14ac:dyDescent="0.2">
      <c r="A2772" s="12" t="s">
        <v>8397</v>
      </c>
      <c r="B2772" t="s">
        <v>555</v>
      </c>
      <c r="C2772" t="s">
        <v>80</v>
      </c>
      <c r="D2772" t="s">
        <v>81</v>
      </c>
      <c r="E2772" t="s">
        <v>13</v>
      </c>
      <c r="F2772">
        <v>106</v>
      </c>
      <c r="G2772">
        <v>58</v>
      </c>
      <c r="H2772" s="5" t="s">
        <v>42</v>
      </c>
      <c r="I2772" s="5">
        <v>0</v>
      </c>
      <c r="J2772" s="5">
        <v>0</v>
      </c>
      <c r="K2772" t="s">
        <v>9906</v>
      </c>
      <c r="L2772" cm="1">
        <f t="array" ref="L2772">wordCount(K2772)</f>
        <v>12</v>
      </c>
      <c r="M2772">
        <f t="shared" si="86"/>
        <v>74</v>
      </c>
      <c r="N2772">
        <v>0.92307692307692313</v>
      </c>
      <c r="O2772" s="23" cm="1">
        <f t="array" ref="O2772">WordListCount(K2772,keywords!$A$2:$A$31)-WordListCount(K2772,keywords!$B$2:$B$31)</f>
        <v>0</v>
      </c>
      <c r="P2772" s="25">
        <f t="shared" si="87"/>
        <v>0.87728009259259254</v>
      </c>
      <c r="Q2772" s="23">
        <f>SUM($O$2:O2772)</f>
        <v>73</v>
      </c>
      <c r="Y2772" s="14"/>
      <c r="Z2772" s="13"/>
      <c r="AA2772"/>
    </row>
    <row r="2773" spans="1:27" x14ac:dyDescent="0.2">
      <c r="A2773" s="12" t="s">
        <v>8398</v>
      </c>
      <c r="B2773" t="s">
        <v>8399</v>
      </c>
      <c r="C2773" t="s">
        <v>7631</v>
      </c>
      <c r="D2773" t="s">
        <v>516</v>
      </c>
      <c r="E2773" t="s">
        <v>13</v>
      </c>
      <c r="F2773">
        <v>285</v>
      </c>
      <c r="G2773">
        <v>355</v>
      </c>
      <c r="H2773" s="5" t="s">
        <v>22</v>
      </c>
      <c r="I2773" s="5">
        <v>0</v>
      </c>
      <c r="J2773" s="5">
        <v>0</v>
      </c>
      <c r="K2773" t="s">
        <v>11637</v>
      </c>
      <c r="L2773" cm="1">
        <f t="array" ref="L2773">wordCount(K2773)</f>
        <v>13</v>
      </c>
      <c r="M2773">
        <f t="shared" si="86"/>
        <v>65</v>
      </c>
      <c r="N2773">
        <v>0.35714285714285715</v>
      </c>
      <c r="O2773" s="23" cm="1">
        <f t="array" ref="O2773">WordListCount(K2773,keywords!$A$2:$A$31)-WordListCount(K2773,keywords!$B$2:$B$31)</f>
        <v>0</v>
      </c>
      <c r="P2773" s="25">
        <f t="shared" si="87"/>
        <v>0.87731481481481488</v>
      </c>
      <c r="Q2773" s="23">
        <f>SUM($O$2:O2773)</f>
        <v>73</v>
      </c>
      <c r="Y2773" s="14"/>
      <c r="Z2773" s="13"/>
      <c r="AA2773"/>
    </row>
    <row r="2774" spans="1:27" x14ac:dyDescent="0.2">
      <c r="A2774" s="12" t="s">
        <v>8400</v>
      </c>
      <c r="B2774" t="s">
        <v>8401</v>
      </c>
      <c r="C2774" t="s">
        <v>8402</v>
      </c>
      <c r="D2774" t="s">
        <v>8403</v>
      </c>
      <c r="E2774" t="s">
        <v>13</v>
      </c>
      <c r="F2774">
        <v>143</v>
      </c>
      <c r="G2774">
        <v>462</v>
      </c>
      <c r="H2774" s="5" t="s">
        <v>125</v>
      </c>
      <c r="I2774" s="5">
        <v>0</v>
      </c>
      <c r="J2774" s="5">
        <v>0</v>
      </c>
      <c r="K2774" t="s">
        <v>9874</v>
      </c>
      <c r="L2774" cm="1">
        <f t="array" ref="L2774">wordCount(K2774)</f>
        <v>2</v>
      </c>
      <c r="M2774">
        <f t="shared" si="86"/>
        <v>16</v>
      </c>
      <c r="N2774">
        <v>0.88888888888888884</v>
      </c>
      <c r="O2774" s="23" cm="1">
        <f t="array" ref="O2774">WordListCount(K2774,keywords!$A$2:$A$31)-WordListCount(K2774,keywords!$B$2:$B$31)</f>
        <v>0</v>
      </c>
      <c r="P2774" s="25">
        <f t="shared" si="87"/>
        <v>0.87736111111111115</v>
      </c>
      <c r="Q2774" s="23">
        <f>SUM($O$2:O2774)</f>
        <v>73</v>
      </c>
      <c r="Y2774" s="14"/>
      <c r="Z2774" s="13"/>
      <c r="AA2774"/>
    </row>
    <row r="2775" spans="1:27" x14ac:dyDescent="0.2">
      <c r="A2775" s="12" t="s">
        <v>8404</v>
      </c>
      <c r="B2775" t="s">
        <v>8405</v>
      </c>
      <c r="C2775" t="s">
        <v>713</v>
      </c>
      <c r="D2775" t="s">
        <v>714</v>
      </c>
      <c r="E2775" t="s">
        <v>13</v>
      </c>
      <c r="F2775">
        <v>4757</v>
      </c>
      <c r="G2775">
        <v>3442</v>
      </c>
      <c r="H2775" s="5" t="s">
        <v>22</v>
      </c>
      <c r="I2775" s="5">
        <v>0</v>
      </c>
      <c r="J2775" s="5">
        <v>0</v>
      </c>
      <c r="K2775" t="s">
        <v>9871</v>
      </c>
      <c r="L2775" cm="1">
        <f t="array" ref="L2775">wordCount(K2775)</f>
        <v>6</v>
      </c>
      <c r="M2775">
        <f t="shared" si="86"/>
        <v>36</v>
      </c>
      <c r="N2775">
        <v>0.8571428571428571</v>
      </c>
      <c r="O2775" s="23" cm="1">
        <f t="array" ref="O2775">WordListCount(K2775,keywords!$A$2:$A$31)-WordListCount(K2775,keywords!$B$2:$B$31)</f>
        <v>0</v>
      </c>
      <c r="P2775" s="25">
        <f t="shared" si="87"/>
        <v>0.87744212962962964</v>
      </c>
      <c r="Q2775" s="23">
        <f>SUM($O$2:O2775)</f>
        <v>73</v>
      </c>
      <c r="Y2775" s="14"/>
      <c r="Z2775" s="13"/>
      <c r="AA2775"/>
    </row>
    <row r="2776" spans="1:27" x14ac:dyDescent="0.2">
      <c r="A2776" s="12" t="s">
        <v>8406</v>
      </c>
      <c r="B2776" t="s">
        <v>8409</v>
      </c>
      <c r="C2776" t="s">
        <v>8410</v>
      </c>
      <c r="D2776" t="s">
        <v>12</v>
      </c>
      <c r="E2776" t="s">
        <v>13</v>
      </c>
      <c r="F2776">
        <v>4</v>
      </c>
      <c r="G2776">
        <v>38</v>
      </c>
      <c r="H2776" s="5" t="s">
        <v>22</v>
      </c>
      <c r="I2776" s="5">
        <v>0</v>
      </c>
      <c r="J2776" s="5">
        <v>0</v>
      </c>
      <c r="K2776" t="s">
        <v>11639</v>
      </c>
      <c r="L2776" cm="1">
        <f t="array" ref="L2776">wordCount(K2776)</f>
        <v>16</v>
      </c>
      <c r="M2776">
        <f t="shared" si="86"/>
        <v>86</v>
      </c>
      <c r="N2776">
        <v>0.1111111111111111</v>
      </c>
      <c r="O2776" s="23" cm="1">
        <f t="array" ref="O2776">WordListCount(K2776,keywords!$A$2:$A$31)-WordListCount(K2776,keywords!$B$2:$B$31)</f>
        <v>1</v>
      </c>
      <c r="P2776" s="25">
        <f t="shared" si="87"/>
        <v>0.87754629629629621</v>
      </c>
      <c r="Q2776" s="23">
        <f>SUM($O$2:O2776)</f>
        <v>74</v>
      </c>
      <c r="Y2776" s="14"/>
      <c r="Z2776" s="13"/>
      <c r="AA2776"/>
    </row>
    <row r="2777" spans="1:27" x14ac:dyDescent="0.2">
      <c r="A2777" s="12" t="s">
        <v>8406</v>
      </c>
      <c r="B2777" t="s">
        <v>8407</v>
      </c>
      <c r="C2777" t="s">
        <v>8408</v>
      </c>
      <c r="D2777" t="s">
        <v>12</v>
      </c>
      <c r="E2777" t="s">
        <v>13</v>
      </c>
      <c r="F2777">
        <v>614</v>
      </c>
      <c r="G2777">
        <v>190</v>
      </c>
      <c r="H2777" s="5" t="s">
        <v>22</v>
      </c>
      <c r="I2777" s="5">
        <v>0</v>
      </c>
      <c r="J2777" s="5">
        <v>0</v>
      </c>
      <c r="K2777" t="s">
        <v>11638</v>
      </c>
      <c r="L2777" cm="1">
        <f t="array" ref="L2777">wordCount(K2777)</f>
        <v>21</v>
      </c>
      <c r="M2777">
        <f t="shared" si="86"/>
        <v>91</v>
      </c>
      <c r="N2777">
        <v>0.23809523809523808</v>
      </c>
      <c r="O2777" s="23" cm="1">
        <f t="array" ref="O2777">WordListCount(K2777,keywords!$A$2:$A$31)-WordListCount(K2777,keywords!$B$2:$B$31)</f>
        <v>0</v>
      </c>
      <c r="P2777" s="25">
        <f t="shared" si="87"/>
        <v>0.87754629629629621</v>
      </c>
      <c r="Q2777" s="23">
        <f>SUM($O$2:O2777)</f>
        <v>74</v>
      </c>
      <c r="Y2777" s="14"/>
      <c r="Z2777" s="13"/>
      <c r="AA2777"/>
    </row>
    <row r="2778" spans="1:27" x14ac:dyDescent="0.2">
      <c r="A2778" s="12" t="s">
        <v>8411</v>
      </c>
      <c r="B2778" t="s">
        <v>8412</v>
      </c>
      <c r="C2778" t="s">
        <v>8413</v>
      </c>
      <c r="D2778" t="s">
        <v>8414</v>
      </c>
      <c r="E2778" t="s">
        <v>13</v>
      </c>
      <c r="F2778">
        <v>15</v>
      </c>
      <c r="G2778">
        <v>200</v>
      </c>
      <c r="H2778" s="5" t="s">
        <v>382</v>
      </c>
      <c r="I2778" s="5">
        <v>0</v>
      </c>
      <c r="J2778" s="5">
        <v>0</v>
      </c>
      <c r="K2778" t="s">
        <v>9875</v>
      </c>
      <c r="L2778" cm="1">
        <f t="array" ref="L2778">wordCount(K2778)</f>
        <v>6</v>
      </c>
      <c r="M2778">
        <f t="shared" si="86"/>
        <v>28</v>
      </c>
      <c r="N2778">
        <v>0.4</v>
      </c>
      <c r="O2778" s="23" cm="1">
        <f t="array" ref="O2778">WordListCount(K2778,keywords!$A$2:$A$31)-WordListCount(K2778,keywords!$B$2:$B$31)</f>
        <v>0</v>
      </c>
      <c r="P2778" s="25">
        <f t="shared" si="87"/>
        <v>0.87756944444444451</v>
      </c>
      <c r="Q2778" s="23">
        <f>SUM($O$2:O2778)</f>
        <v>74</v>
      </c>
      <c r="Y2778" s="14"/>
      <c r="Z2778" s="13"/>
      <c r="AA2778"/>
    </row>
    <row r="2779" spans="1:27" x14ac:dyDescent="0.2">
      <c r="A2779" s="12" t="s">
        <v>8415</v>
      </c>
      <c r="B2779" t="s">
        <v>8416</v>
      </c>
      <c r="C2779" t="s">
        <v>8417</v>
      </c>
      <c r="D2779" t="s">
        <v>2130</v>
      </c>
      <c r="E2779" t="s">
        <v>13</v>
      </c>
      <c r="F2779">
        <v>183</v>
      </c>
      <c r="G2779">
        <v>0</v>
      </c>
      <c r="H2779" s="5" t="s">
        <v>22</v>
      </c>
      <c r="I2779" s="5">
        <v>0</v>
      </c>
      <c r="J2779" s="5">
        <v>0</v>
      </c>
      <c r="K2779" t="s">
        <v>11640</v>
      </c>
      <c r="L2779" cm="1">
        <f t="array" ref="L2779">wordCount(K2779)</f>
        <v>15</v>
      </c>
      <c r="M2779">
        <f t="shared" si="86"/>
        <v>71</v>
      </c>
      <c r="N2779">
        <v>0.42857142857142855</v>
      </c>
      <c r="O2779" s="23" cm="1">
        <f t="array" ref="O2779">WordListCount(K2779,keywords!$A$2:$A$31)-WordListCount(K2779,keywords!$B$2:$B$31)</f>
        <v>0</v>
      </c>
      <c r="P2779" s="25">
        <f t="shared" si="87"/>
        <v>0.87782407407407403</v>
      </c>
      <c r="Q2779" s="23">
        <f>SUM($O$2:O2779)</f>
        <v>74</v>
      </c>
      <c r="Y2779" s="14"/>
      <c r="Z2779" s="13"/>
      <c r="AA2779"/>
    </row>
    <row r="2780" spans="1:27" x14ac:dyDescent="0.2">
      <c r="A2780" s="12" t="s">
        <v>8418</v>
      </c>
      <c r="B2780" t="s">
        <v>8420</v>
      </c>
      <c r="C2780" t="s">
        <v>3964</v>
      </c>
      <c r="D2780" t="s">
        <v>1552</v>
      </c>
      <c r="E2780" t="s">
        <v>13</v>
      </c>
      <c r="F2780">
        <v>32</v>
      </c>
      <c r="G2780">
        <v>141</v>
      </c>
      <c r="H2780" s="5" t="s">
        <v>22</v>
      </c>
      <c r="I2780" s="5">
        <v>0</v>
      </c>
      <c r="J2780" s="5">
        <v>0</v>
      </c>
      <c r="K2780" t="s">
        <v>9877</v>
      </c>
      <c r="L2780" cm="1">
        <f t="array" ref="L2780">wordCount(K2780)</f>
        <v>7</v>
      </c>
      <c r="M2780">
        <f t="shared" si="86"/>
        <v>37</v>
      </c>
      <c r="N2780">
        <v>1</v>
      </c>
      <c r="O2780" s="23" cm="1">
        <f t="array" ref="O2780">WordListCount(K2780,keywords!$A$2:$A$31)-WordListCount(K2780,keywords!$B$2:$B$31)</f>
        <v>0</v>
      </c>
      <c r="P2780" s="25">
        <f t="shared" si="87"/>
        <v>0.8780324074074074</v>
      </c>
      <c r="Q2780" s="23">
        <f>SUM($O$2:O2780)</f>
        <v>74</v>
      </c>
      <c r="Y2780" s="14"/>
      <c r="Z2780" s="13"/>
      <c r="AA2780"/>
    </row>
    <row r="2781" spans="1:27" x14ac:dyDescent="0.2">
      <c r="A2781" s="12" t="s">
        <v>8418</v>
      </c>
      <c r="B2781" t="s">
        <v>8419</v>
      </c>
      <c r="C2781" t="s">
        <v>1307</v>
      </c>
      <c r="D2781" t="s">
        <v>1308</v>
      </c>
      <c r="E2781" t="s">
        <v>13</v>
      </c>
      <c r="F2781">
        <v>1132</v>
      </c>
      <c r="G2781">
        <v>1616</v>
      </c>
      <c r="H2781" s="5" t="s">
        <v>22</v>
      </c>
      <c r="I2781" s="5">
        <v>0</v>
      </c>
      <c r="J2781" s="5">
        <v>0</v>
      </c>
      <c r="K2781" t="s">
        <v>9876</v>
      </c>
      <c r="L2781" cm="1">
        <f t="array" ref="L2781">wordCount(K2781)</f>
        <v>8</v>
      </c>
      <c r="M2781">
        <f t="shared" si="86"/>
        <v>39</v>
      </c>
      <c r="N2781">
        <v>0.7142857142857143</v>
      </c>
      <c r="O2781" s="23" cm="1">
        <f t="array" ref="O2781">WordListCount(K2781,keywords!$A$2:$A$31)-WordListCount(K2781,keywords!$B$2:$B$31)</f>
        <v>0</v>
      </c>
      <c r="P2781" s="25">
        <f t="shared" si="87"/>
        <v>0.8780324074074074</v>
      </c>
      <c r="Q2781" s="23">
        <f>SUM($O$2:O2781)</f>
        <v>74</v>
      </c>
      <c r="Y2781" s="14"/>
      <c r="Z2781" s="13"/>
      <c r="AA2781"/>
    </row>
    <row r="2782" spans="1:27" x14ac:dyDescent="0.2">
      <c r="A2782" s="12" t="s">
        <v>8421</v>
      </c>
      <c r="B2782" t="s">
        <v>8422</v>
      </c>
      <c r="C2782" t="s">
        <v>8423</v>
      </c>
      <c r="D2782" t="s">
        <v>2623</v>
      </c>
      <c r="E2782" t="s">
        <v>13</v>
      </c>
      <c r="F2782">
        <v>395</v>
      </c>
      <c r="G2782">
        <v>831</v>
      </c>
      <c r="H2782" s="5" t="s">
        <v>22</v>
      </c>
      <c r="I2782" s="5">
        <v>0</v>
      </c>
      <c r="J2782" s="5">
        <v>0</v>
      </c>
      <c r="K2782" t="s">
        <v>11641</v>
      </c>
      <c r="L2782" cm="1">
        <f t="array" ref="L2782">wordCount(K2782)</f>
        <v>10</v>
      </c>
      <c r="M2782">
        <f t="shared" si="86"/>
        <v>52</v>
      </c>
      <c r="N2782">
        <v>0.65</v>
      </c>
      <c r="O2782" s="23" cm="1">
        <f t="array" ref="O2782">WordListCount(K2782,keywords!$A$2:$A$31)-WordListCount(K2782,keywords!$B$2:$B$31)</f>
        <v>1</v>
      </c>
      <c r="P2782" s="25">
        <f t="shared" si="87"/>
        <v>0.87811342592592589</v>
      </c>
      <c r="Q2782" s="23">
        <f>SUM($O$2:O2782)</f>
        <v>75</v>
      </c>
      <c r="Y2782" s="14"/>
      <c r="Z2782" s="13"/>
      <c r="AA2782"/>
    </row>
    <row r="2783" spans="1:27" x14ac:dyDescent="0.2">
      <c r="A2783" s="12" t="s">
        <v>8424</v>
      </c>
      <c r="B2783" t="s">
        <v>8425</v>
      </c>
      <c r="C2783" t="s">
        <v>8426</v>
      </c>
      <c r="D2783" t="s">
        <v>3985</v>
      </c>
      <c r="E2783" t="s">
        <v>13</v>
      </c>
      <c r="F2783">
        <v>1080</v>
      </c>
      <c r="G2783">
        <v>935</v>
      </c>
      <c r="H2783" s="5" t="s">
        <v>22</v>
      </c>
      <c r="I2783" s="5">
        <v>0</v>
      </c>
      <c r="J2783" s="5">
        <v>0</v>
      </c>
      <c r="K2783" t="s">
        <v>11642</v>
      </c>
      <c r="L2783" cm="1">
        <f t="array" ref="L2783">wordCount(K2783)</f>
        <v>14</v>
      </c>
      <c r="M2783">
        <f t="shared" si="86"/>
        <v>70</v>
      </c>
      <c r="N2783">
        <v>0.61538461538461542</v>
      </c>
      <c r="O2783" s="23" cm="1">
        <f t="array" ref="O2783">WordListCount(K2783,keywords!$A$2:$A$31)-WordListCount(K2783,keywords!$B$2:$B$31)</f>
        <v>0</v>
      </c>
      <c r="P2783" s="25">
        <f t="shared" si="87"/>
        <v>0.87844907407407413</v>
      </c>
      <c r="Q2783" s="23">
        <f>SUM($O$2:O2783)</f>
        <v>75</v>
      </c>
      <c r="Y2783" s="14"/>
      <c r="Z2783" s="13"/>
      <c r="AA2783"/>
    </row>
    <row r="2784" spans="1:27" x14ac:dyDescent="0.2">
      <c r="A2784" s="12" t="s">
        <v>8427</v>
      </c>
      <c r="B2784" t="s">
        <v>8428</v>
      </c>
      <c r="C2784" t="s">
        <v>8429</v>
      </c>
      <c r="D2784" t="s">
        <v>8430</v>
      </c>
      <c r="E2784" t="s">
        <v>13</v>
      </c>
      <c r="F2784">
        <v>42</v>
      </c>
      <c r="G2784">
        <v>22</v>
      </c>
      <c r="H2784" s="5" t="s">
        <v>22</v>
      </c>
      <c r="I2784" s="5">
        <v>0</v>
      </c>
      <c r="J2784" s="5">
        <v>0</v>
      </c>
      <c r="K2784" t="s">
        <v>9878</v>
      </c>
      <c r="L2784" cm="1">
        <f t="array" ref="L2784">wordCount(K2784)</f>
        <v>15</v>
      </c>
      <c r="M2784">
        <f t="shared" si="86"/>
        <v>84</v>
      </c>
      <c r="N2784">
        <v>0.31578947368421051</v>
      </c>
      <c r="O2784" s="23" cm="1">
        <f t="array" ref="O2784">WordListCount(K2784,keywords!$A$2:$A$31)-WordListCount(K2784,keywords!$B$2:$B$31)</f>
        <v>0</v>
      </c>
      <c r="P2784" s="25">
        <f t="shared" si="87"/>
        <v>0.87851851851851848</v>
      </c>
      <c r="Q2784" s="23">
        <f>SUM($O$2:O2784)</f>
        <v>75</v>
      </c>
      <c r="Y2784" s="14"/>
      <c r="Z2784" s="13"/>
      <c r="AA2784"/>
    </row>
    <row r="2785" spans="1:27" x14ac:dyDescent="0.2">
      <c r="A2785" s="12" t="s">
        <v>8431</v>
      </c>
      <c r="B2785" t="s">
        <v>8432</v>
      </c>
      <c r="C2785" t="s">
        <v>8433</v>
      </c>
      <c r="D2785" t="s">
        <v>12</v>
      </c>
      <c r="E2785" t="s">
        <v>13</v>
      </c>
      <c r="F2785">
        <v>10</v>
      </c>
      <c r="G2785">
        <v>106</v>
      </c>
      <c r="H2785" s="5" t="s">
        <v>22</v>
      </c>
      <c r="I2785" s="5">
        <v>0</v>
      </c>
      <c r="J2785" s="5">
        <v>0</v>
      </c>
      <c r="K2785" t="s">
        <v>11643</v>
      </c>
      <c r="L2785" cm="1">
        <f t="array" ref="L2785">wordCount(K2785)</f>
        <v>4</v>
      </c>
      <c r="M2785">
        <f t="shared" si="86"/>
        <v>15</v>
      </c>
      <c r="N2785">
        <v>0.86363636363636365</v>
      </c>
      <c r="O2785" s="23" cm="1">
        <f t="array" ref="O2785">WordListCount(K2785,keywords!$A$2:$A$31)-WordListCount(K2785,keywords!$B$2:$B$31)</f>
        <v>0</v>
      </c>
      <c r="P2785" s="25">
        <f t="shared" si="87"/>
        <v>0.87854166666666667</v>
      </c>
      <c r="Q2785" s="23">
        <f>SUM($O$2:O2785)</f>
        <v>75</v>
      </c>
      <c r="Y2785" s="14"/>
      <c r="Z2785" s="13"/>
      <c r="AA2785"/>
    </row>
    <row r="2786" spans="1:27" x14ac:dyDescent="0.2">
      <c r="A2786" s="12" t="s">
        <v>8434</v>
      </c>
      <c r="B2786" t="s">
        <v>8435</v>
      </c>
      <c r="C2786" t="s">
        <v>8436</v>
      </c>
      <c r="D2786" t="s">
        <v>12</v>
      </c>
      <c r="E2786" t="s">
        <v>13</v>
      </c>
      <c r="F2786">
        <v>81</v>
      </c>
      <c r="G2786">
        <v>8</v>
      </c>
      <c r="H2786" s="5" t="s">
        <v>22</v>
      </c>
      <c r="I2786" s="5">
        <v>0</v>
      </c>
      <c r="J2786" s="5">
        <v>0</v>
      </c>
      <c r="K2786" t="s">
        <v>11644</v>
      </c>
      <c r="L2786" cm="1">
        <f t="array" ref="L2786">wordCount(K2786)</f>
        <v>27</v>
      </c>
      <c r="M2786">
        <f t="shared" si="86"/>
        <v>120</v>
      </c>
      <c r="N2786">
        <v>0.4375</v>
      </c>
      <c r="O2786" s="23" cm="1">
        <f t="array" ref="O2786">WordListCount(K2786,keywords!$A$2:$A$31)-WordListCount(K2786,keywords!$B$2:$B$31)</f>
        <v>0</v>
      </c>
      <c r="P2786" s="25">
        <f t="shared" si="87"/>
        <v>0.87870370370370365</v>
      </c>
      <c r="Q2786" s="23">
        <f>SUM($O$2:O2786)</f>
        <v>75</v>
      </c>
      <c r="Y2786" s="14"/>
      <c r="Z2786" s="13"/>
      <c r="AA2786"/>
    </row>
    <row r="2787" spans="1:27" x14ac:dyDescent="0.2">
      <c r="A2787" s="12" t="s">
        <v>8437</v>
      </c>
      <c r="B2787" t="s">
        <v>8438</v>
      </c>
      <c r="C2787" t="s">
        <v>8439</v>
      </c>
      <c r="D2787" t="s">
        <v>8440</v>
      </c>
      <c r="E2787" t="s">
        <v>13</v>
      </c>
      <c r="F2787">
        <v>726</v>
      </c>
      <c r="G2787">
        <v>715</v>
      </c>
      <c r="H2787" s="5" t="s">
        <v>22</v>
      </c>
      <c r="I2787" s="5">
        <v>0</v>
      </c>
      <c r="J2787" s="5">
        <v>0</v>
      </c>
      <c r="K2787" t="s">
        <v>11645</v>
      </c>
      <c r="L2787" cm="1">
        <f t="array" ref="L2787">wordCount(K2787)</f>
        <v>22</v>
      </c>
      <c r="M2787">
        <f t="shared" si="86"/>
        <v>97</v>
      </c>
      <c r="N2787">
        <v>0.48571428571428571</v>
      </c>
      <c r="O2787" s="23" cm="1">
        <f t="array" ref="O2787">WordListCount(K2787,keywords!$A$2:$A$31)-WordListCount(K2787,keywords!$B$2:$B$31)</f>
        <v>0</v>
      </c>
      <c r="P2787" s="25">
        <f t="shared" si="87"/>
        <v>0.8787152777777778</v>
      </c>
      <c r="Q2787" s="23">
        <f>SUM($O$2:O2787)</f>
        <v>75</v>
      </c>
      <c r="Y2787" s="14"/>
      <c r="Z2787" s="13"/>
      <c r="AA2787"/>
    </row>
    <row r="2788" spans="1:27" x14ac:dyDescent="0.2">
      <c r="A2788" s="12" t="s">
        <v>8441</v>
      </c>
      <c r="B2788" t="s">
        <v>8442</v>
      </c>
      <c r="C2788" t="s">
        <v>8443</v>
      </c>
      <c r="D2788" t="s">
        <v>12</v>
      </c>
      <c r="E2788" t="s">
        <v>13</v>
      </c>
      <c r="F2788">
        <v>3764</v>
      </c>
      <c r="G2788">
        <v>508</v>
      </c>
      <c r="H2788" s="5" t="s">
        <v>22</v>
      </c>
      <c r="I2788" s="5">
        <v>0</v>
      </c>
      <c r="J2788" s="5">
        <v>0</v>
      </c>
      <c r="K2788" t="s">
        <v>11646</v>
      </c>
      <c r="L2788" cm="1">
        <f t="array" ref="L2788">wordCount(K2788)</f>
        <v>2</v>
      </c>
      <c r="M2788">
        <f t="shared" si="86"/>
        <v>11</v>
      </c>
      <c r="N2788">
        <v>0.91666666666666663</v>
      </c>
      <c r="O2788" s="23" cm="1">
        <f t="array" ref="O2788">WordListCount(K2788,keywords!$A$2:$A$31)-WordListCount(K2788,keywords!$B$2:$B$31)</f>
        <v>0</v>
      </c>
      <c r="P2788" s="25">
        <f t="shared" si="87"/>
        <v>0.87872685185185195</v>
      </c>
      <c r="Q2788" s="23">
        <f>SUM($O$2:O2788)</f>
        <v>75</v>
      </c>
      <c r="Y2788" s="14"/>
      <c r="Z2788" s="13"/>
      <c r="AA2788"/>
    </row>
    <row r="2789" spans="1:27" x14ac:dyDescent="0.2">
      <c r="A2789" s="12" t="s">
        <v>8444</v>
      </c>
      <c r="B2789" t="s">
        <v>8445</v>
      </c>
      <c r="C2789" t="s">
        <v>310</v>
      </c>
      <c r="D2789" t="s">
        <v>12</v>
      </c>
      <c r="E2789" t="s">
        <v>13</v>
      </c>
      <c r="F2789">
        <v>3637</v>
      </c>
      <c r="G2789">
        <v>3735</v>
      </c>
      <c r="H2789" s="5" t="s">
        <v>22</v>
      </c>
      <c r="I2789" s="5">
        <v>0</v>
      </c>
      <c r="J2789" s="5">
        <v>0</v>
      </c>
      <c r="K2789" t="s">
        <v>11647</v>
      </c>
      <c r="L2789" cm="1">
        <f t="array" ref="L2789">wordCount(K2789)</f>
        <v>9</v>
      </c>
      <c r="M2789">
        <f t="shared" si="86"/>
        <v>54</v>
      </c>
      <c r="N2789">
        <v>0.6</v>
      </c>
      <c r="O2789" s="23" cm="1">
        <f t="array" ref="O2789">WordListCount(K2789,keywords!$A$2:$A$31)-WordListCount(K2789,keywords!$B$2:$B$31)</f>
        <v>1</v>
      </c>
      <c r="P2789" s="25">
        <f t="shared" si="87"/>
        <v>0.87876157407407407</v>
      </c>
      <c r="Q2789" s="23">
        <f>SUM($O$2:O2789)</f>
        <v>76</v>
      </c>
      <c r="Y2789" s="14"/>
      <c r="Z2789" s="13"/>
      <c r="AA2789"/>
    </row>
    <row r="2790" spans="1:27" x14ac:dyDescent="0.2">
      <c r="A2790" s="12" t="s">
        <v>8446</v>
      </c>
      <c r="B2790" t="s">
        <v>8447</v>
      </c>
      <c r="C2790" t="s">
        <v>8448</v>
      </c>
      <c r="D2790" t="s">
        <v>81</v>
      </c>
      <c r="E2790" t="s">
        <v>13</v>
      </c>
      <c r="F2790">
        <v>142</v>
      </c>
      <c r="G2790">
        <v>131</v>
      </c>
      <c r="H2790" s="5" t="s">
        <v>22</v>
      </c>
      <c r="I2790" s="5">
        <v>0</v>
      </c>
      <c r="J2790" s="5">
        <v>0</v>
      </c>
      <c r="K2790" t="s">
        <v>11648</v>
      </c>
      <c r="L2790" cm="1">
        <f t="array" ref="L2790">wordCount(K2790)</f>
        <v>15</v>
      </c>
      <c r="M2790">
        <f t="shared" si="86"/>
        <v>71</v>
      </c>
      <c r="N2790">
        <v>0.625</v>
      </c>
      <c r="O2790" s="23" cm="1">
        <f t="array" ref="O2790">WordListCount(K2790,keywords!$A$2:$A$31)-WordListCount(K2790,keywords!$B$2:$B$31)</f>
        <v>1</v>
      </c>
      <c r="P2790" s="25">
        <f t="shared" si="87"/>
        <v>0.87883101851851853</v>
      </c>
      <c r="Q2790" s="23">
        <f>SUM($O$2:O2790)</f>
        <v>77</v>
      </c>
      <c r="Y2790" s="14"/>
      <c r="Z2790" s="13"/>
      <c r="AA2790"/>
    </row>
    <row r="2791" spans="1:27" x14ac:dyDescent="0.2">
      <c r="A2791" s="12" t="s">
        <v>8449</v>
      </c>
      <c r="B2791" t="s">
        <v>8450</v>
      </c>
      <c r="C2791" t="s">
        <v>1902</v>
      </c>
      <c r="D2791" t="s">
        <v>12</v>
      </c>
      <c r="E2791" t="s">
        <v>13</v>
      </c>
      <c r="F2791">
        <v>76</v>
      </c>
      <c r="G2791">
        <v>115</v>
      </c>
      <c r="H2791" s="5" t="s">
        <v>22</v>
      </c>
      <c r="I2791" s="5">
        <v>0</v>
      </c>
      <c r="J2791" s="5">
        <v>0</v>
      </c>
      <c r="K2791" t="s">
        <v>9879</v>
      </c>
      <c r="L2791" cm="1">
        <f t="array" ref="L2791">wordCount(K2791)</f>
        <v>28</v>
      </c>
      <c r="M2791">
        <f t="shared" si="86"/>
        <v>124</v>
      </c>
      <c r="N2791">
        <v>0.35135135135135137</v>
      </c>
      <c r="O2791" s="23" cm="1">
        <f t="array" ref="O2791">WordListCount(K2791,keywords!$A$2:$A$31)-WordListCount(K2791,keywords!$B$2:$B$31)</f>
        <v>-2</v>
      </c>
      <c r="P2791" s="25">
        <f t="shared" si="87"/>
        <v>0.87891203703703702</v>
      </c>
      <c r="Q2791" s="23">
        <f>SUM($O$2:O2791)</f>
        <v>75</v>
      </c>
      <c r="Y2791" s="14"/>
      <c r="Z2791" s="13"/>
      <c r="AA2791"/>
    </row>
    <row r="2792" spans="1:27" x14ac:dyDescent="0.2">
      <c r="A2792" s="12" t="s">
        <v>8451</v>
      </c>
      <c r="B2792" t="s">
        <v>8452</v>
      </c>
      <c r="C2792" t="s">
        <v>8453</v>
      </c>
      <c r="D2792" t="s">
        <v>8454</v>
      </c>
      <c r="E2792" t="s">
        <v>13</v>
      </c>
      <c r="F2792">
        <v>2594</v>
      </c>
      <c r="G2792">
        <v>1236</v>
      </c>
      <c r="H2792" s="5" t="s">
        <v>22</v>
      </c>
      <c r="I2792" s="5">
        <v>0</v>
      </c>
      <c r="J2792" s="5">
        <v>0</v>
      </c>
      <c r="K2792" t="s">
        <v>11649</v>
      </c>
      <c r="L2792" cm="1">
        <f t="array" ref="L2792">wordCount(K2792)</f>
        <v>25</v>
      </c>
      <c r="M2792">
        <f t="shared" si="86"/>
        <v>114</v>
      </c>
      <c r="N2792">
        <v>0.52777777777777779</v>
      </c>
      <c r="O2792" s="23" cm="1">
        <f t="array" ref="O2792">WordListCount(K2792,keywords!$A$2:$A$31)-WordListCount(K2792,keywords!$B$2:$B$31)</f>
        <v>-1</v>
      </c>
      <c r="P2792" s="25">
        <f t="shared" si="87"/>
        <v>0.87894675925925936</v>
      </c>
      <c r="Q2792" s="23">
        <f>SUM($O$2:O2792)</f>
        <v>74</v>
      </c>
      <c r="Y2792" s="14"/>
      <c r="Z2792" s="13"/>
      <c r="AA2792"/>
    </row>
    <row r="2793" spans="1:27" x14ac:dyDescent="0.2">
      <c r="A2793" s="12" t="s">
        <v>8455</v>
      </c>
      <c r="B2793" t="s">
        <v>8456</v>
      </c>
      <c r="C2793" t="s">
        <v>8457</v>
      </c>
      <c r="D2793" t="s">
        <v>8458</v>
      </c>
      <c r="E2793" t="s">
        <v>13</v>
      </c>
      <c r="F2793">
        <v>41350</v>
      </c>
      <c r="G2793">
        <v>974</v>
      </c>
      <c r="H2793" s="5" t="s">
        <v>22</v>
      </c>
      <c r="I2793" s="5">
        <v>0</v>
      </c>
      <c r="J2793" s="5">
        <v>0</v>
      </c>
      <c r="K2793" t="s">
        <v>9880</v>
      </c>
      <c r="L2793" cm="1">
        <f t="array" ref="L2793">wordCount(K2793)</f>
        <v>23</v>
      </c>
      <c r="M2793">
        <f t="shared" si="86"/>
        <v>111</v>
      </c>
      <c r="N2793">
        <v>0.36666666666666664</v>
      </c>
      <c r="O2793" s="23" cm="1">
        <f t="array" ref="O2793">WordListCount(K2793,keywords!$A$2:$A$31)-WordListCount(K2793,keywords!$B$2:$B$31)</f>
        <v>-1</v>
      </c>
      <c r="P2793" s="25">
        <f t="shared" si="87"/>
        <v>0.87895833333333329</v>
      </c>
      <c r="Q2793" s="23">
        <f>SUM($O$2:O2793)</f>
        <v>73</v>
      </c>
      <c r="Y2793" s="14"/>
      <c r="Z2793" s="13"/>
      <c r="AA2793"/>
    </row>
    <row r="2794" spans="1:27" x14ac:dyDescent="0.2">
      <c r="A2794" s="12" t="s">
        <v>8459</v>
      </c>
      <c r="B2794" t="s">
        <v>8460</v>
      </c>
      <c r="C2794" t="s">
        <v>8461</v>
      </c>
      <c r="D2794" t="s">
        <v>8462</v>
      </c>
      <c r="E2794" t="s">
        <v>13</v>
      </c>
      <c r="F2794">
        <v>672</v>
      </c>
      <c r="G2794">
        <v>479</v>
      </c>
      <c r="H2794" s="5" t="s">
        <v>22</v>
      </c>
      <c r="I2794" s="5">
        <v>0</v>
      </c>
      <c r="J2794" s="5">
        <v>0</v>
      </c>
      <c r="K2794" t="s">
        <v>11650</v>
      </c>
      <c r="L2794" cm="1">
        <f t="array" ref="L2794">wordCount(K2794)</f>
        <v>15</v>
      </c>
      <c r="M2794">
        <f t="shared" si="86"/>
        <v>105</v>
      </c>
      <c r="N2794">
        <v>0.17647058823529413</v>
      </c>
      <c r="O2794" s="23" cm="1">
        <f t="array" ref="O2794">WordListCount(K2794,keywords!$A$2:$A$31)-WordListCount(K2794,keywords!$B$2:$B$31)</f>
        <v>0</v>
      </c>
      <c r="P2794" s="25">
        <f t="shared" si="87"/>
        <v>0.87898148148148147</v>
      </c>
      <c r="Q2794" s="23">
        <f>SUM($O$2:O2794)</f>
        <v>73</v>
      </c>
      <c r="Y2794" s="14"/>
      <c r="Z2794" s="13"/>
      <c r="AA2794"/>
    </row>
    <row r="2795" spans="1:27" x14ac:dyDescent="0.2">
      <c r="A2795" s="12" t="s">
        <v>8463</v>
      </c>
      <c r="B2795" t="s">
        <v>8379</v>
      </c>
      <c r="C2795" t="s">
        <v>8464</v>
      </c>
      <c r="D2795" t="s">
        <v>112</v>
      </c>
      <c r="E2795" t="s">
        <v>13</v>
      </c>
      <c r="F2795">
        <v>58</v>
      </c>
      <c r="G2795">
        <v>46</v>
      </c>
      <c r="H2795" s="5" t="s">
        <v>14</v>
      </c>
      <c r="I2795" s="5">
        <v>0</v>
      </c>
      <c r="J2795" s="5">
        <v>0</v>
      </c>
      <c r="K2795" t="s">
        <v>9873</v>
      </c>
      <c r="L2795" cm="1">
        <f t="array" ref="L2795">wordCount(K2795)</f>
        <v>9</v>
      </c>
      <c r="M2795">
        <f t="shared" si="86"/>
        <v>74</v>
      </c>
      <c r="N2795">
        <v>0.9</v>
      </c>
      <c r="O2795" s="23" cm="1">
        <f t="array" ref="O2795">WordListCount(K2795,keywords!$A$2:$A$31)-WordListCount(K2795,keywords!$B$2:$B$31)</f>
        <v>0</v>
      </c>
      <c r="P2795" s="25">
        <f t="shared" si="87"/>
        <v>0.87910879629629635</v>
      </c>
      <c r="Q2795" s="23">
        <f>SUM($O$2:O2795)</f>
        <v>73</v>
      </c>
      <c r="Y2795" s="14"/>
      <c r="Z2795" s="13"/>
      <c r="AA2795"/>
    </row>
    <row r="2796" spans="1:27" x14ac:dyDescent="0.2">
      <c r="A2796" s="12" t="s">
        <v>8465</v>
      </c>
      <c r="B2796" t="s">
        <v>8466</v>
      </c>
      <c r="C2796" t="s">
        <v>8467</v>
      </c>
      <c r="D2796" t="s">
        <v>7796</v>
      </c>
      <c r="E2796" t="s">
        <v>13</v>
      </c>
      <c r="F2796">
        <v>777</v>
      </c>
      <c r="G2796">
        <v>616</v>
      </c>
      <c r="H2796" s="5" t="s">
        <v>22</v>
      </c>
      <c r="I2796" s="5">
        <v>0</v>
      </c>
      <c r="J2796" s="5">
        <v>0</v>
      </c>
      <c r="K2796" t="s">
        <v>11651</v>
      </c>
      <c r="L2796" cm="1">
        <f t="array" ref="L2796">wordCount(K2796)</f>
        <v>13</v>
      </c>
      <c r="M2796">
        <f t="shared" si="86"/>
        <v>96</v>
      </c>
      <c r="N2796">
        <v>0.8125</v>
      </c>
      <c r="O2796" s="23" cm="1">
        <f t="array" ref="O2796">WordListCount(K2796,keywords!$A$2:$A$31)-WordListCount(K2796,keywords!$B$2:$B$31)</f>
        <v>0</v>
      </c>
      <c r="P2796" s="25">
        <f t="shared" si="87"/>
        <v>0.8793171296296296</v>
      </c>
      <c r="Q2796" s="23">
        <f>SUM($O$2:O2796)</f>
        <v>73</v>
      </c>
      <c r="Y2796" s="14"/>
      <c r="Z2796" s="13"/>
      <c r="AA2796"/>
    </row>
    <row r="2797" spans="1:27" x14ac:dyDescent="0.2">
      <c r="A2797" s="12" t="s">
        <v>8468</v>
      </c>
      <c r="B2797" t="s">
        <v>8469</v>
      </c>
      <c r="C2797" t="s">
        <v>8470</v>
      </c>
      <c r="D2797" t="s">
        <v>12</v>
      </c>
      <c r="E2797" t="s">
        <v>13</v>
      </c>
      <c r="F2797">
        <v>35</v>
      </c>
      <c r="G2797">
        <v>4</v>
      </c>
      <c r="H2797" s="5" t="s">
        <v>22</v>
      </c>
      <c r="I2797" s="5">
        <v>0</v>
      </c>
      <c r="J2797" s="5">
        <v>0</v>
      </c>
      <c r="K2797" t="s">
        <v>11652</v>
      </c>
      <c r="L2797" cm="1">
        <f t="array" ref="L2797">wordCount(K2797)</f>
        <v>15</v>
      </c>
      <c r="M2797">
        <f t="shared" si="86"/>
        <v>68</v>
      </c>
      <c r="N2797">
        <v>0.5714285714285714</v>
      </c>
      <c r="O2797" s="23" cm="1">
        <f t="array" ref="O2797">WordListCount(K2797,keywords!$A$2:$A$31)-WordListCount(K2797,keywords!$B$2:$B$31)</f>
        <v>0</v>
      </c>
      <c r="P2797" s="25">
        <f t="shared" si="87"/>
        <v>0.87936342592592587</v>
      </c>
      <c r="Q2797" s="23">
        <f>SUM($O$2:O2797)</f>
        <v>73</v>
      </c>
      <c r="Y2797" s="14"/>
      <c r="Z2797" s="13"/>
      <c r="AA2797"/>
    </row>
    <row r="2798" spans="1:27" x14ac:dyDescent="0.2">
      <c r="A2798" s="12" t="s">
        <v>8471</v>
      </c>
      <c r="B2798" t="s">
        <v>8472</v>
      </c>
      <c r="C2798" t="s">
        <v>8473</v>
      </c>
      <c r="D2798" t="s">
        <v>8474</v>
      </c>
      <c r="E2798" t="s">
        <v>13</v>
      </c>
      <c r="F2798">
        <v>298</v>
      </c>
      <c r="G2798">
        <v>153</v>
      </c>
      <c r="H2798" s="5" t="s">
        <v>22</v>
      </c>
      <c r="I2798" s="5">
        <v>0</v>
      </c>
      <c r="J2798" s="5">
        <v>0</v>
      </c>
      <c r="K2798" t="s">
        <v>11653</v>
      </c>
      <c r="L2798" cm="1">
        <f t="array" ref="L2798">wordCount(K2798)</f>
        <v>13</v>
      </c>
      <c r="M2798">
        <f t="shared" si="86"/>
        <v>72</v>
      </c>
      <c r="N2798">
        <v>0.62962962962962965</v>
      </c>
      <c r="O2798" s="23" cm="1">
        <f t="array" ref="O2798">WordListCount(K2798,keywords!$A$2:$A$31)-WordListCount(K2798,keywords!$B$2:$B$31)</f>
        <v>0</v>
      </c>
      <c r="P2798" s="25">
        <f t="shared" si="87"/>
        <v>0.87938657407407417</v>
      </c>
      <c r="Q2798" s="23">
        <f>SUM($O$2:O2798)</f>
        <v>73</v>
      </c>
      <c r="Y2798" s="14"/>
      <c r="Z2798" s="13"/>
      <c r="AA2798"/>
    </row>
    <row r="2799" spans="1:27" x14ac:dyDescent="0.2">
      <c r="A2799" s="12" t="s">
        <v>8471</v>
      </c>
      <c r="B2799" t="s">
        <v>8475</v>
      </c>
      <c r="C2799" t="s">
        <v>8476</v>
      </c>
      <c r="D2799" t="s">
        <v>8477</v>
      </c>
      <c r="E2799" t="s">
        <v>13</v>
      </c>
      <c r="F2799">
        <v>31617</v>
      </c>
      <c r="G2799">
        <v>156</v>
      </c>
      <c r="H2799" s="5" t="s">
        <v>22</v>
      </c>
      <c r="I2799" s="5">
        <v>0</v>
      </c>
      <c r="J2799" s="5">
        <v>0</v>
      </c>
      <c r="K2799" t="s">
        <v>11654</v>
      </c>
      <c r="L2799" cm="1">
        <f t="array" ref="L2799">wordCount(K2799)</f>
        <v>24</v>
      </c>
      <c r="M2799">
        <f t="shared" si="86"/>
        <v>132</v>
      </c>
      <c r="N2799">
        <v>0.16666666666666666</v>
      </c>
      <c r="O2799" s="23" cm="1">
        <f t="array" ref="O2799">WordListCount(K2799,keywords!$A$2:$A$31)-WordListCount(K2799,keywords!$B$2:$B$31)</f>
        <v>-1</v>
      </c>
      <c r="P2799" s="25">
        <f t="shared" si="87"/>
        <v>0.87938657407407417</v>
      </c>
      <c r="Q2799" s="23">
        <f>SUM($O$2:O2799)</f>
        <v>72</v>
      </c>
      <c r="Y2799" s="14"/>
      <c r="Z2799" s="13"/>
      <c r="AA2799"/>
    </row>
    <row r="2800" spans="1:27" x14ac:dyDescent="0.2">
      <c r="A2800" s="12" t="s">
        <v>8478</v>
      </c>
      <c r="B2800" t="s">
        <v>8479</v>
      </c>
      <c r="C2800" t="s">
        <v>8480</v>
      </c>
      <c r="D2800" t="s">
        <v>6575</v>
      </c>
      <c r="E2800" t="s">
        <v>13</v>
      </c>
      <c r="F2800">
        <v>312</v>
      </c>
      <c r="G2800">
        <v>1006</v>
      </c>
      <c r="H2800" s="5" t="s">
        <v>125</v>
      </c>
      <c r="I2800" s="5">
        <v>0</v>
      </c>
      <c r="J2800" s="5">
        <v>0</v>
      </c>
      <c r="K2800" t="s">
        <v>9881</v>
      </c>
      <c r="L2800" cm="1">
        <f t="array" ref="L2800">wordCount(K2800)</f>
        <v>8</v>
      </c>
      <c r="M2800">
        <f t="shared" si="86"/>
        <v>46</v>
      </c>
      <c r="N2800">
        <v>0.88235294117647056</v>
      </c>
      <c r="O2800" s="23" cm="1">
        <f t="array" ref="O2800">WordListCount(K2800,keywords!$A$2:$A$31)-WordListCount(K2800,keywords!$B$2:$B$31)</f>
        <v>0</v>
      </c>
      <c r="P2800" s="25">
        <f t="shared" si="87"/>
        <v>0.87952546296296286</v>
      </c>
      <c r="Q2800" s="23">
        <f>SUM($O$2:O2800)</f>
        <v>72</v>
      </c>
      <c r="Y2800" s="14"/>
      <c r="Z2800" s="13"/>
      <c r="AA2800"/>
    </row>
    <row r="2801" spans="1:27" x14ac:dyDescent="0.2">
      <c r="A2801" s="12" t="s">
        <v>8481</v>
      </c>
      <c r="B2801" t="s">
        <v>8482</v>
      </c>
      <c r="C2801" t="s">
        <v>6142</v>
      </c>
      <c r="D2801" t="s">
        <v>6143</v>
      </c>
      <c r="E2801" t="s">
        <v>13</v>
      </c>
      <c r="F2801">
        <v>41</v>
      </c>
      <c r="G2801">
        <v>178</v>
      </c>
      <c r="H2801" s="5" t="s">
        <v>22</v>
      </c>
      <c r="I2801" s="5">
        <v>0</v>
      </c>
      <c r="J2801" s="5">
        <v>0</v>
      </c>
      <c r="K2801" t="s">
        <v>11655</v>
      </c>
      <c r="L2801" cm="1">
        <f t="array" ref="L2801">wordCount(K2801)</f>
        <v>13</v>
      </c>
      <c r="M2801">
        <f t="shared" si="86"/>
        <v>63</v>
      </c>
      <c r="N2801">
        <v>0.35294117647058826</v>
      </c>
      <c r="O2801" s="23" cm="1">
        <f t="array" ref="O2801">WordListCount(K2801,keywords!$A$2:$A$31)-WordListCount(K2801,keywords!$B$2:$B$31)</f>
        <v>0</v>
      </c>
      <c r="P2801" s="25">
        <f t="shared" si="87"/>
        <v>0.87974537037037026</v>
      </c>
      <c r="Q2801" s="23">
        <f>SUM($O$2:O2801)</f>
        <v>72</v>
      </c>
      <c r="Y2801" s="14"/>
      <c r="Z2801" s="13"/>
      <c r="AA2801"/>
    </row>
    <row r="2802" spans="1:27" x14ac:dyDescent="0.2">
      <c r="A2802" s="12" t="s">
        <v>8483</v>
      </c>
      <c r="B2802" t="s">
        <v>8484</v>
      </c>
      <c r="C2802" t="s">
        <v>8485</v>
      </c>
      <c r="D2802" t="s">
        <v>74</v>
      </c>
      <c r="E2802" t="s">
        <v>13</v>
      </c>
      <c r="F2802">
        <v>253</v>
      </c>
      <c r="G2802">
        <v>43</v>
      </c>
      <c r="H2802" s="5" t="s">
        <v>22</v>
      </c>
      <c r="I2802" s="5">
        <v>0</v>
      </c>
      <c r="J2802" s="5">
        <v>0</v>
      </c>
      <c r="K2802" t="s">
        <v>11656</v>
      </c>
      <c r="L2802" cm="1">
        <f t="array" ref="L2802">wordCount(K2802)</f>
        <v>9</v>
      </c>
      <c r="M2802">
        <f t="shared" si="86"/>
        <v>35</v>
      </c>
      <c r="N2802">
        <v>0.78947368421052633</v>
      </c>
      <c r="O2802" s="23" cm="1">
        <f t="array" ref="O2802">WordListCount(K2802,keywords!$A$2:$A$31)-WordListCount(K2802,keywords!$B$2:$B$31)</f>
        <v>0</v>
      </c>
      <c r="P2802" s="25">
        <f t="shared" si="87"/>
        <v>0.87988425925925917</v>
      </c>
      <c r="Q2802" s="23">
        <f>SUM($O$2:O2802)</f>
        <v>72</v>
      </c>
      <c r="Y2802" s="14"/>
      <c r="Z2802" s="13"/>
      <c r="AA2802"/>
    </row>
    <row r="2803" spans="1:27" x14ac:dyDescent="0.2">
      <c r="A2803" s="12" t="s">
        <v>8486</v>
      </c>
      <c r="B2803" t="s">
        <v>8487</v>
      </c>
      <c r="C2803" t="s">
        <v>8488</v>
      </c>
      <c r="D2803" t="s">
        <v>12</v>
      </c>
      <c r="E2803" t="s">
        <v>13</v>
      </c>
      <c r="F2803">
        <v>756</v>
      </c>
      <c r="G2803">
        <v>47</v>
      </c>
      <c r="H2803" s="5" t="s">
        <v>22</v>
      </c>
      <c r="I2803" s="5">
        <v>0</v>
      </c>
      <c r="J2803" s="5">
        <v>0</v>
      </c>
      <c r="K2803" t="s">
        <v>11657</v>
      </c>
      <c r="L2803" cm="1">
        <f t="array" ref="L2803">wordCount(K2803)</f>
        <v>13</v>
      </c>
      <c r="M2803">
        <f t="shared" si="86"/>
        <v>67</v>
      </c>
      <c r="N2803">
        <v>0.67647058823529416</v>
      </c>
      <c r="O2803" s="23" cm="1">
        <f t="array" ref="O2803">WordListCount(K2803,keywords!$A$2:$A$31)-WordListCount(K2803,keywords!$B$2:$B$31)</f>
        <v>0</v>
      </c>
      <c r="P2803" s="25">
        <f t="shared" si="87"/>
        <v>0.88005787037037031</v>
      </c>
      <c r="Q2803" s="23">
        <f>SUM($O$2:O2803)</f>
        <v>72</v>
      </c>
      <c r="Y2803" s="14"/>
      <c r="Z2803" s="13"/>
      <c r="AA2803"/>
    </row>
    <row r="2804" spans="1:27" x14ac:dyDescent="0.2">
      <c r="A2804" s="12" t="s">
        <v>8489</v>
      </c>
      <c r="B2804" t="s">
        <v>8490</v>
      </c>
      <c r="C2804" t="s">
        <v>1933</v>
      </c>
      <c r="D2804" t="s">
        <v>12</v>
      </c>
      <c r="E2804" t="s">
        <v>13</v>
      </c>
      <c r="F2804">
        <v>29718</v>
      </c>
      <c r="G2804">
        <v>981</v>
      </c>
      <c r="H2804" s="5" t="s">
        <v>59</v>
      </c>
      <c r="I2804" s="5">
        <v>0</v>
      </c>
      <c r="J2804" s="5">
        <v>0</v>
      </c>
      <c r="K2804" t="s">
        <v>9882</v>
      </c>
      <c r="L2804" cm="1">
        <f t="array" ref="L2804">wordCount(K2804)</f>
        <v>4</v>
      </c>
      <c r="M2804">
        <f t="shared" si="86"/>
        <v>13</v>
      </c>
      <c r="N2804">
        <v>0.5</v>
      </c>
      <c r="O2804" s="23" cm="1">
        <f t="array" ref="O2804">WordListCount(K2804,keywords!$A$2:$A$31)-WordListCount(K2804,keywords!$B$2:$B$31)</f>
        <v>0</v>
      </c>
      <c r="P2804" s="25">
        <f t="shared" si="87"/>
        <v>0.88010416666666658</v>
      </c>
      <c r="Q2804" s="23">
        <f>SUM($O$2:O2804)</f>
        <v>72</v>
      </c>
      <c r="Y2804" s="14"/>
      <c r="Z2804" s="13"/>
      <c r="AA2804"/>
    </row>
    <row r="2805" spans="1:27" x14ac:dyDescent="0.2">
      <c r="A2805" s="12" t="s">
        <v>8491</v>
      </c>
      <c r="B2805" t="s">
        <v>8492</v>
      </c>
      <c r="C2805" t="s">
        <v>6211</v>
      </c>
      <c r="D2805" t="s">
        <v>6212</v>
      </c>
      <c r="E2805" t="s">
        <v>13</v>
      </c>
      <c r="F2805">
        <v>374</v>
      </c>
      <c r="G2805">
        <v>410</v>
      </c>
      <c r="H2805" s="5" t="s">
        <v>22</v>
      </c>
      <c r="I2805" s="5">
        <v>0</v>
      </c>
      <c r="J2805" s="5">
        <v>0</v>
      </c>
      <c r="K2805" t="s">
        <v>11658</v>
      </c>
      <c r="L2805" cm="1">
        <f t="array" ref="L2805">wordCount(K2805)</f>
        <v>8</v>
      </c>
      <c r="M2805">
        <f t="shared" si="86"/>
        <v>36</v>
      </c>
      <c r="N2805">
        <v>0.6875</v>
      </c>
      <c r="O2805" s="23" cm="1">
        <f t="array" ref="O2805">WordListCount(K2805,keywords!$A$2:$A$31)-WordListCount(K2805,keywords!$B$2:$B$31)</f>
        <v>0</v>
      </c>
      <c r="P2805" s="25">
        <f t="shared" si="87"/>
        <v>0.88027777777777771</v>
      </c>
      <c r="Q2805" s="23">
        <f>SUM($O$2:O2805)</f>
        <v>72</v>
      </c>
      <c r="Y2805" s="14"/>
      <c r="Z2805" s="13"/>
      <c r="AA2805"/>
    </row>
    <row r="2806" spans="1:27" x14ac:dyDescent="0.2">
      <c r="A2806" s="12" t="s">
        <v>8493</v>
      </c>
      <c r="B2806" t="s">
        <v>8494</v>
      </c>
      <c r="C2806" t="s">
        <v>8495</v>
      </c>
      <c r="D2806" t="s">
        <v>8496</v>
      </c>
      <c r="E2806" t="s">
        <v>13</v>
      </c>
      <c r="F2806">
        <v>60</v>
      </c>
      <c r="G2806">
        <v>97</v>
      </c>
      <c r="H2806" s="5" t="s">
        <v>22</v>
      </c>
      <c r="I2806" s="5">
        <v>0</v>
      </c>
      <c r="J2806" s="5">
        <v>0</v>
      </c>
      <c r="K2806" t="s">
        <v>11659</v>
      </c>
      <c r="L2806" cm="1">
        <f t="array" ref="L2806">wordCount(K2806)</f>
        <v>24</v>
      </c>
      <c r="M2806">
        <f t="shared" si="86"/>
        <v>74</v>
      </c>
      <c r="N2806">
        <v>0.33333333333333331</v>
      </c>
      <c r="O2806" s="23" cm="1">
        <f t="array" ref="O2806">WordListCount(K2806,keywords!$A$2:$A$31)-WordListCount(K2806,keywords!$B$2:$B$31)</f>
        <v>0</v>
      </c>
      <c r="P2806" s="25">
        <f t="shared" si="87"/>
        <v>0.88033564814814813</v>
      </c>
      <c r="Q2806" s="23">
        <f>SUM($O$2:O2806)</f>
        <v>72</v>
      </c>
      <c r="Y2806" s="14"/>
      <c r="Z2806" s="13"/>
      <c r="AA2806"/>
    </row>
    <row r="2807" spans="1:27" x14ac:dyDescent="0.2">
      <c r="A2807" s="12" t="s">
        <v>8497</v>
      </c>
      <c r="B2807" t="s">
        <v>8498</v>
      </c>
      <c r="C2807" t="s">
        <v>8499</v>
      </c>
      <c r="D2807" t="s">
        <v>8500</v>
      </c>
      <c r="E2807" t="s">
        <v>13</v>
      </c>
      <c r="F2807">
        <v>112</v>
      </c>
      <c r="G2807">
        <v>379</v>
      </c>
      <c r="H2807" s="5" t="s">
        <v>22</v>
      </c>
      <c r="I2807" s="5">
        <v>0</v>
      </c>
      <c r="J2807" s="5">
        <v>0</v>
      </c>
      <c r="K2807" t="s">
        <v>11660</v>
      </c>
      <c r="L2807" cm="1">
        <f t="array" ref="L2807">wordCount(K2807)</f>
        <v>10</v>
      </c>
      <c r="M2807">
        <f t="shared" si="86"/>
        <v>42</v>
      </c>
      <c r="N2807">
        <v>0.66666666666666663</v>
      </c>
      <c r="O2807" s="23" cm="1">
        <f t="array" ref="O2807">WordListCount(K2807,keywords!$A$2:$A$31)-WordListCount(K2807,keywords!$B$2:$B$31)</f>
        <v>0</v>
      </c>
      <c r="P2807" s="25">
        <f t="shared" si="87"/>
        <v>0.88046296296296289</v>
      </c>
      <c r="Q2807" s="23">
        <f>SUM($O$2:O2807)</f>
        <v>72</v>
      </c>
      <c r="Y2807" s="14"/>
      <c r="Z2807" s="13"/>
      <c r="AA2807"/>
    </row>
    <row r="2808" spans="1:27" x14ac:dyDescent="0.2">
      <c r="A2808" s="12" t="s">
        <v>8501</v>
      </c>
      <c r="B2808" t="s">
        <v>8502</v>
      </c>
      <c r="C2808" t="s">
        <v>8467</v>
      </c>
      <c r="D2808" t="s">
        <v>7796</v>
      </c>
      <c r="E2808" t="s">
        <v>13</v>
      </c>
      <c r="F2808">
        <v>777</v>
      </c>
      <c r="G2808">
        <v>616</v>
      </c>
      <c r="H2808" s="5" t="s">
        <v>22</v>
      </c>
      <c r="I2808" s="5">
        <v>0</v>
      </c>
      <c r="J2808" s="5">
        <v>0</v>
      </c>
      <c r="K2808" t="s">
        <v>11661</v>
      </c>
      <c r="L2808" cm="1">
        <f t="array" ref="L2808">wordCount(K2808)</f>
        <v>13</v>
      </c>
      <c r="M2808">
        <f t="shared" si="86"/>
        <v>93</v>
      </c>
      <c r="N2808">
        <v>0.48</v>
      </c>
      <c r="O2808" s="23" cm="1">
        <f t="array" ref="O2808">WordListCount(K2808,keywords!$A$2:$A$31)-WordListCount(K2808,keywords!$B$2:$B$31)</f>
        <v>0</v>
      </c>
      <c r="P2808" s="25">
        <f t="shared" si="87"/>
        <v>0.8807060185185186</v>
      </c>
      <c r="Q2808" s="23">
        <f>SUM($O$2:O2808)</f>
        <v>72</v>
      </c>
      <c r="Y2808" s="14"/>
      <c r="Z2808" s="13"/>
      <c r="AA2808"/>
    </row>
    <row r="2809" spans="1:27" x14ac:dyDescent="0.2">
      <c r="A2809" s="12" t="s">
        <v>8503</v>
      </c>
      <c r="B2809" t="s">
        <v>8504</v>
      </c>
      <c r="C2809" t="s">
        <v>8505</v>
      </c>
      <c r="D2809" t="s">
        <v>8506</v>
      </c>
      <c r="E2809" t="s">
        <v>13</v>
      </c>
      <c r="F2809">
        <v>942</v>
      </c>
      <c r="G2809">
        <v>1121</v>
      </c>
      <c r="H2809" s="5" t="s">
        <v>22</v>
      </c>
      <c r="I2809" s="5">
        <v>0</v>
      </c>
      <c r="J2809" s="5">
        <v>0</v>
      </c>
      <c r="K2809" t="s">
        <v>11662</v>
      </c>
      <c r="L2809" cm="1">
        <f t="array" ref="L2809">wordCount(K2809)</f>
        <v>10</v>
      </c>
      <c r="M2809">
        <f t="shared" si="86"/>
        <v>45</v>
      </c>
      <c r="N2809">
        <v>0.55555555555555558</v>
      </c>
      <c r="O2809" s="23" cm="1">
        <f t="array" ref="O2809">WordListCount(K2809,keywords!$A$2:$A$31)-WordListCount(K2809,keywords!$B$2:$B$31)</f>
        <v>0</v>
      </c>
      <c r="P2809" s="25">
        <f t="shared" si="87"/>
        <v>0.88118055555555552</v>
      </c>
      <c r="Q2809" s="23">
        <f>SUM($O$2:O2809)</f>
        <v>72</v>
      </c>
      <c r="Y2809" s="14"/>
      <c r="Z2809" s="13"/>
      <c r="AA2809"/>
    </row>
    <row r="2810" spans="1:27" x14ac:dyDescent="0.2">
      <c r="A2810" s="12" t="s">
        <v>8507</v>
      </c>
      <c r="B2810" t="s">
        <v>8508</v>
      </c>
      <c r="C2810" t="s">
        <v>205</v>
      </c>
      <c r="D2810" t="s">
        <v>12</v>
      </c>
      <c r="E2810" t="s">
        <v>13</v>
      </c>
      <c r="F2810">
        <v>2866</v>
      </c>
      <c r="G2810">
        <v>6</v>
      </c>
      <c r="H2810" s="5" t="s">
        <v>22</v>
      </c>
      <c r="I2810" s="5">
        <v>0</v>
      </c>
      <c r="J2810" s="5">
        <v>0</v>
      </c>
      <c r="K2810" t="s">
        <v>9883</v>
      </c>
      <c r="L2810" cm="1">
        <f t="array" ref="L2810">wordCount(K2810)</f>
        <v>8</v>
      </c>
      <c r="M2810">
        <f t="shared" si="86"/>
        <v>55</v>
      </c>
      <c r="N2810">
        <v>0.77777777777777779</v>
      </c>
      <c r="O2810" s="23" cm="1">
        <f t="array" ref="O2810">WordListCount(K2810,keywords!$A$2:$A$31)-WordListCount(K2810,keywords!$B$2:$B$31)</f>
        <v>0</v>
      </c>
      <c r="P2810" s="25">
        <f t="shared" si="87"/>
        <v>0.88124999999999998</v>
      </c>
      <c r="Q2810" s="23">
        <f>SUM($O$2:O2810)</f>
        <v>72</v>
      </c>
      <c r="Y2810" s="14"/>
      <c r="Z2810" s="13"/>
      <c r="AA2810"/>
    </row>
    <row r="2811" spans="1:27" x14ac:dyDescent="0.2">
      <c r="A2811" s="12" t="s">
        <v>8509</v>
      </c>
      <c r="B2811" t="s">
        <v>8510</v>
      </c>
      <c r="C2811" t="s">
        <v>8511</v>
      </c>
      <c r="D2811" t="s">
        <v>12</v>
      </c>
      <c r="E2811" t="s">
        <v>13</v>
      </c>
      <c r="F2811">
        <v>1960</v>
      </c>
      <c r="G2811">
        <v>233</v>
      </c>
      <c r="H2811" s="5" t="s">
        <v>22</v>
      </c>
      <c r="I2811" s="5">
        <v>0</v>
      </c>
      <c r="J2811" s="5">
        <v>0</v>
      </c>
      <c r="K2811" t="s">
        <v>9884</v>
      </c>
      <c r="L2811" cm="1">
        <f t="array" ref="L2811">wordCount(K2811)</f>
        <v>15</v>
      </c>
      <c r="M2811">
        <f t="shared" si="86"/>
        <v>70</v>
      </c>
      <c r="N2811">
        <v>0.93333333333333335</v>
      </c>
      <c r="O2811" s="23" cm="1">
        <f t="array" ref="O2811">WordListCount(K2811,keywords!$A$2:$A$31)-WordListCount(K2811,keywords!$B$2:$B$31)</f>
        <v>0</v>
      </c>
      <c r="P2811" s="25">
        <f t="shared" si="87"/>
        <v>0.88141203703703708</v>
      </c>
      <c r="Q2811" s="23">
        <f>SUM($O$2:O2811)</f>
        <v>72</v>
      </c>
      <c r="Y2811" s="14"/>
      <c r="Z2811" s="13"/>
      <c r="AA2811"/>
    </row>
    <row r="2812" spans="1:27" x14ac:dyDescent="0.2">
      <c r="A2812" s="12" t="s">
        <v>8512</v>
      </c>
      <c r="B2812" t="s">
        <v>8513</v>
      </c>
      <c r="C2812" t="s">
        <v>119</v>
      </c>
      <c r="D2812" t="s">
        <v>120</v>
      </c>
      <c r="E2812" t="s">
        <v>13</v>
      </c>
      <c r="F2812">
        <v>16</v>
      </c>
      <c r="G2812">
        <v>39</v>
      </c>
      <c r="H2812" s="5" t="s">
        <v>22</v>
      </c>
      <c r="I2812" s="5">
        <v>0</v>
      </c>
      <c r="J2812" s="5">
        <v>0</v>
      </c>
      <c r="K2812" t="s">
        <v>9914</v>
      </c>
      <c r="L2812" cm="1">
        <f t="array" ref="L2812">wordCount(K2812)</f>
        <v>10</v>
      </c>
      <c r="M2812">
        <f t="shared" si="86"/>
        <v>49</v>
      </c>
      <c r="N2812">
        <v>0.9</v>
      </c>
      <c r="O2812" s="23" cm="1">
        <f t="array" ref="O2812">WordListCount(K2812,keywords!$A$2:$A$31)-WordListCount(K2812,keywords!$B$2:$B$31)</f>
        <v>0</v>
      </c>
      <c r="P2812" s="25">
        <f t="shared" si="87"/>
        <v>0.88196759259259261</v>
      </c>
      <c r="Q2812" s="23">
        <f>SUM($O$2:O2812)</f>
        <v>72</v>
      </c>
      <c r="Y2812" s="14"/>
      <c r="Z2812" s="13"/>
      <c r="AA2812"/>
    </row>
    <row r="2813" spans="1:27" x14ac:dyDescent="0.2">
      <c r="A2813" s="12" t="s">
        <v>8514</v>
      </c>
      <c r="B2813" t="s">
        <v>8515</v>
      </c>
      <c r="C2813" t="s">
        <v>511</v>
      </c>
      <c r="D2813" t="s">
        <v>512</v>
      </c>
      <c r="E2813" t="s">
        <v>13</v>
      </c>
      <c r="F2813">
        <v>1896</v>
      </c>
      <c r="G2813">
        <v>540</v>
      </c>
      <c r="H2813" s="5" t="s">
        <v>22</v>
      </c>
      <c r="I2813" s="5">
        <v>0</v>
      </c>
      <c r="J2813" s="5">
        <v>0</v>
      </c>
      <c r="K2813" t="s">
        <v>11663</v>
      </c>
      <c r="L2813" cm="1">
        <f t="array" ref="L2813">wordCount(K2813)</f>
        <v>8</v>
      </c>
      <c r="M2813">
        <f t="shared" si="86"/>
        <v>41</v>
      </c>
      <c r="N2813">
        <v>0.875</v>
      </c>
      <c r="O2813" s="23" cm="1">
        <f t="array" ref="O2813">WordListCount(K2813,keywords!$A$2:$A$31)-WordListCount(K2813,keywords!$B$2:$B$31)</f>
        <v>0</v>
      </c>
      <c r="P2813" s="25">
        <f t="shared" si="87"/>
        <v>0.8819907407407408</v>
      </c>
      <c r="Q2813" s="23">
        <f>SUM($O$2:O2813)</f>
        <v>72</v>
      </c>
      <c r="Y2813" s="14"/>
      <c r="Z2813" s="13"/>
      <c r="AA2813"/>
    </row>
    <row r="2814" spans="1:27" x14ac:dyDescent="0.2">
      <c r="A2814" s="33" t="s">
        <v>8516</v>
      </c>
      <c r="B2814" s="34" t="s">
        <v>8517</v>
      </c>
      <c r="C2814" s="34" t="s">
        <v>123</v>
      </c>
      <c r="D2814" s="34" t="s">
        <v>124</v>
      </c>
      <c r="E2814" s="34" t="s">
        <v>13</v>
      </c>
      <c r="F2814" s="34">
        <v>836</v>
      </c>
      <c r="G2814" s="34">
        <v>898</v>
      </c>
      <c r="H2814" s="35" t="s">
        <v>125</v>
      </c>
      <c r="I2814" s="35">
        <v>0</v>
      </c>
      <c r="J2814" s="35">
        <v>0</v>
      </c>
      <c r="K2814" s="34" t="s">
        <v>9885</v>
      </c>
      <c r="L2814" s="34" cm="1">
        <f t="array" ref="L2814">wordCount(K2814)</f>
        <v>20</v>
      </c>
      <c r="M2814" s="34">
        <f t="shared" si="86"/>
        <v>90</v>
      </c>
      <c r="N2814" s="34">
        <v>0.8</v>
      </c>
      <c r="O2814" s="36" cm="1">
        <f t="array" ref="O2814">WordListCount(K2814,keywords!$A$2:$A$31)-WordListCount(K2814,keywords!$B$2:$B$31)</f>
        <v>0</v>
      </c>
      <c r="P2814" s="37">
        <f t="shared" si="87"/>
        <v>0.88200231481481473</v>
      </c>
      <c r="Q2814" s="23">
        <f>SUM($O$2:O2814)</f>
        <v>72</v>
      </c>
    </row>
    <row r="2815" spans="1:27" x14ac:dyDescent="0.2">
      <c r="A2815" s="12" t="s">
        <v>8518</v>
      </c>
      <c r="B2815" t="s">
        <v>8519</v>
      </c>
      <c r="C2815" t="s">
        <v>119</v>
      </c>
      <c r="D2815" t="s">
        <v>120</v>
      </c>
      <c r="E2815" t="s">
        <v>13</v>
      </c>
      <c r="F2815">
        <v>16</v>
      </c>
      <c r="G2815">
        <v>39</v>
      </c>
      <c r="H2815" s="5" t="s">
        <v>22</v>
      </c>
      <c r="I2815" s="5">
        <v>0</v>
      </c>
      <c r="J2815" s="5">
        <v>0</v>
      </c>
      <c r="K2815" t="s">
        <v>9914</v>
      </c>
      <c r="L2815" cm="1">
        <f t="array" ref="L2815">wordCount(K2815)</f>
        <v>10</v>
      </c>
      <c r="M2815">
        <f t="shared" si="86"/>
        <v>49</v>
      </c>
      <c r="N2815">
        <v>0.9</v>
      </c>
      <c r="O2815" s="23" cm="1">
        <f t="array" ref="O2815">WordListCount(K2815,keywords!$A$2:$A$31)-WordListCount(K2815,keywords!$B$2:$B$31)</f>
        <v>0</v>
      </c>
      <c r="P2815" s="25">
        <f t="shared" si="87"/>
        <v>0.88202546296296302</v>
      </c>
      <c r="Q2815" s="23">
        <f>SUM($O$2:O2815)</f>
        <v>72</v>
      </c>
      <c r="Y2815" s="14"/>
      <c r="Z2815" s="13"/>
      <c r="AA2815"/>
    </row>
    <row r="2816" spans="1:27" x14ac:dyDescent="0.2">
      <c r="A2816" s="12" t="s">
        <v>8520</v>
      </c>
      <c r="B2816" t="s">
        <v>8521</v>
      </c>
      <c r="C2816" t="s">
        <v>119</v>
      </c>
      <c r="D2816" t="s">
        <v>120</v>
      </c>
      <c r="E2816" t="s">
        <v>13</v>
      </c>
      <c r="F2816">
        <v>16</v>
      </c>
      <c r="G2816">
        <v>39</v>
      </c>
      <c r="H2816" s="5" t="s">
        <v>22</v>
      </c>
      <c r="I2816" s="5">
        <v>0</v>
      </c>
      <c r="J2816" s="5">
        <v>0</v>
      </c>
      <c r="K2816" t="s">
        <v>9914</v>
      </c>
      <c r="L2816" cm="1">
        <f t="array" ref="L2816">wordCount(K2816)</f>
        <v>10</v>
      </c>
      <c r="M2816">
        <f t="shared" si="86"/>
        <v>49</v>
      </c>
      <c r="N2816">
        <v>0.9</v>
      </c>
      <c r="O2816" s="23" cm="1">
        <f t="array" ref="O2816">WordListCount(K2816,keywords!$A$2:$A$31)-WordListCount(K2816,keywords!$B$2:$B$31)</f>
        <v>0</v>
      </c>
      <c r="P2816" s="25">
        <f t="shared" si="87"/>
        <v>0.88210648148148152</v>
      </c>
      <c r="Q2816" s="23">
        <f>SUM($O$2:O2816)</f>
        <v>72</v>
      </c>
      <c r="Y2816" s="14"/>
      <c r="Z2816" s="13"/>
      <c r="AA2816"/>
    </row>
    <row r="2817" spans="1:27" x14ac:dyDescent="0.2">
      <c r="A2817" s="12" t="s">
        <v>8522</v>
      </c>
      <c r="B2817" t="s">
        <v>8523</v>
      </c>
      <c r="C2817" t="s">
        <v>459</v>
      </c>
      <c r="D2817" t="s">
        <v>12</v>
      </c>
      <c r="E2817" t="s">
        <v>13</v>
      </c>
      <c r="F2817">
        <v>12</v>
      </c>
      <c r="G2817">
        <v>1</v>
      </c>
      <c r="H2817" s="5" t="s">
        <v>22</v>
      </c>
      <c r="I2817" s="5">
        <v>0</v>
      </c>
      <c r="J2817" s="5">
        <v>0</v>
      </c>
      <c r="K2817" t="s">
        <v>9886</v>
      </c>
      <c r="L2817" cm="1">
        <f t="array" ref="L2817">wordCount(K2817)</f>
        <v>15</v>
      </c>
      <c r="M2817">
        <f t="shared" si="86"/>
        <v>103</v>
      </c>
      <c r="N2817">
        <v>0.8125</v>
      </c>
      <c r="O2817" s="23" cm="1">
        <f t="array" ref="O2817">WordListCount(K2817,keywords!$A$2:$A$31)-WordListCount(K2817,keywords!$B$2:$B$31)</f>
        <v>0</v>
      </c>
      <c r="P2817" s="25">
        <f t="shared" si="87"/>
        <v>0.88217592592592586</v>
      </c>
      <c r="Q2817" s="23">
        <f>SUM($O$2:O2817)</f>
        <v>72</v>
      </c>
      <c r="Y2817" s="14"/>
      <c r="Z2817" s="13"/>
      <c r="AA2817"/>
    </row>
    <row r="2818" spans="1:27" x14ac:dyDescent="0.2">
      <c r="A2818" s="12" t="s">
        <v>8524</v>
      </c>
      <c r="B2818" t="s">
        <v>8525</v>
      </c>
      <c r="C2818" t="s">
        <v>8511</v>
      </c>
      <c r="D2818" t="s">
        <v>12</v>
      </c>
      <c r="E2818" t="s">
        <v>13</v>
      </c>
      <c r="F2818">
        <v>1960</v>
      </c>
      <c r="G2818">
        <v>233</v>
      </c>
      <c r="H2818" s="5" t="s">
        <v>22</v>
      </c>
      <c r="I2818" s="5">
        <v>0</v>
      </c>
      <c r="J2818" s="5">
        <v>0</v>
      </c>
      <c r="K2818" t="s">
        <v>9887</v>
      </c>
      <c r="L2818" cm="1">
        <f t="array" ref="L2818">wordCount(K2818)</f>
        <v>14</v>
      </c>
      <c r="M2818">
        <f t="shared" ref="M2818:M2844" si="88">LEN(K2818)</f>
        <v>67</v>
      </c>
      <c r="N2818">
        <v>0.43478260869565216</v>
      </c>
      <c r="O2818" s="23" cm="1">
        <f t="array" ref="O2818">WordListCount(K2818,keywords!$A$2:$A$31)-WordListCount(K2818,keywords!$B$2:$B$31)</f>
        <v>0</v>
      </c>
      <c r="P2818" s="25">
        <f t="shared" ref="P2818:P2844" si="89">TIMEVALUE(RIGHT(A2818,8))</f>
        <v>0.88218750000000001</v>
      </c>
      <c r="Q2818" s="23">
        <f>SUM($O$2:O2818)</f>
        <v>72</v>
      </c>
      <c r="Y2818" s="14"/>
      <c r="Z2818" s="13"/>
      <c r="AA2818"/>
    </row>
    <row r="2819" spans="1:27" x14ac:dyDescent="0.2">
      <c r="A2819" s="12" t="s">
        <v>8526</v>
      </c>
      <c r="B2819" t="s">
        <v>8527</v>
      </c>
      <c r="C2819" t="s">
        <v>8528</v>
      </c>
      <c r="D2819" t="s">
        <v>12</v>
      </c>
      <c r="E2819" t="s">
        <v>13</v>
      </c>
      <c r="F2819">
        <v>19</v>
      </c>
      <c r="G2819">
        <v>145</v>
      </c>
      <c r="H2819" s="5" t="s">
        <v>96</v>
      </c>
      <c r="I2819" s="5">
        <v>0</v>
      </c>
      <c r="J2819" s="5">
        <v>0</v>
      </c>
      <c r="K2819" t="s">
        <v>11664</v>
      </c>
      <c r="L2819" cm="1">
        <f t="array" ref="L2819">wordCount(K2819)</f>
        <v>10</v>
      </c>
      <c r="M2819">
        <f t="shared" si="88"/>
        <v>50</v>
      </c>
      <c r="N2819">
        <v>0.25</v>
      </c>
      <c r="O2819" s="23" cm="1">
        <f t="array" ref="O2819">WordListCount(K2819,keywords!$A$2:$A$31)-WordListCount(K2819,keywords!$B$2:$B$31)</f>
        <v>-1</v>
      </c>
      <c r="P2819" s="25">
        <f t="shared" si="89"/>
        <v>0.88223379629629628</v>
      </c>
      <c r="Q2819" s="23">
        <f>SUM($O$2:O2819)</f>
        <v>71</v>
      </c>
      <c r="Y2819" s="14"/>
      <c r="Z2819" s="13"/>
      <c r="AA2819"/>
    </row>
    <row r="2820" spans="1:27" x14ac:dyDescent="0.2">
      <c r="A2820" s="12" t="s">
        <v>8529</v>
      </c>
      <c r="B2820" t="s">
        <v>8530</v>
      </c>
      <c r="C2820" t="s">
        <v>782</v>
      </c>
      <c r="D2820" t="s">
        <v>12</v>
      </c>
      <c r="E2820" t="s">
        <v>13</v>
      </c>
      <c r="F2820">
        <v>17347</v>
      </c>
      <c r="G2820">
        <v>12516</v>
      </c>
      <c r="H2820" s="5" t="s">
        <v>22</v>
      </c>
      <c r="I2820" s="5">
        <v>0</v>
      </c>
      <c r="J2820" s="5">
        <v>0</v>
      </c>
      <c r="K2820" t="s">
        <v>11665</v>
      </c>
      <c r="L2820" cm="1">
        <f t="array" ref="L2820">wordCount(K2820)</f>
        <v>24</v>
      </c>
      <c r="M2820">
        <f t="shared" si="88"/>
        <v>121</v>
      </c>
      <c r="N2820">
        <v>0.40625</v>
      </c>
      <c r="O2820" s="23" cm="1">
        <f t="array" ref="O2820">WordListCount(K2820,keywords!$A$2:$A$31)-WordListCount(K2820,keywords!$B$2:$B$31)</f>
        <v>0</v>
      </c>
      <c r="P2820" s="25">
        <f t="shared" si="89"/>
        <v>0.88231481481481477</v>
      </c>
      <c r="Q2820" s="23">
        <f>SUM($O$2:O2820)</f>
        <v>71</v>
      </c>
      <c r="Y2820" s="14"/>
      <c r="Z2820" s="13"/>
      <c r="AA2820"/>
    </row>
    <row r="2821" spans="1:27" x14ac:dyDescent="0.2">
      <c r="A2821" s="12" t="s">
        <v>8531</v>
      </c>
      <c r="B2821" t="s">
        <v>8532</v>
      </c>
      <c r="C2821" t="s">
        <v>8533</v>
      </c>
      <c r="D2821" t="s">
        <v>12</v>
      </c>
      <c r="E2821" t="s">
        <v>13</v>
      </c>
      <c r="F2821">
        <v>171</v>
      </c>
      <c r="G2821">
        <v>351</v>
      </c>
      <c r="H2821" s="5" t="s">
        <v>22</v>
      </c>
      <c r="I2821" s="5">
        <v>0</v>
      </c>
      <c r="J2821" s="5">
        <v>0</v>
      </c>
      <c r="K2821" t="s">
        <v>11666</v>
      </c>
      <c r="L2821" cm="1">
        <f t="array" ref="L2821">wordCount(K2821)</f>
        <v>17</v>
      </c>
      <c r="M2821">
        <f t="shared" si="88"/>
        <v>76</v>
      </c>
      <c r="N2821">
        <v>0.25</v>
      </c>
      <c r="O2821" s="23" cm="1">
        <f t="array" ref="O2821">WordListCount(K2821,keywords!$A$2:$A$31)-WordListCount(K2821,keywords!$B$2:$B$31)</f>
        <v>2</v>
      </c>
      <c r="P2821" s="25">
        <f t="shared" si="89"/>
        <v>0.88283564814814808</v>
      </c>
      <c r="Q2821" s="23">
        <f>SUM($O$2:O2821)</f>
        <v>73</v>
      </c>
      <c r="Y2821" s="14"/>
      <c r="Z2821" s="13"/>
      <c r="AA2821"/>
    </row>
    <row r="2822" spans="1:27" x14ac:dyDescent="0.2">
      <c r="A2822" s="12" t="s">
        <v>8534</v>
      </c>
      <c r="B2822" t="s">
        <v>8535</v>
      </c>
      <c r="C2822" t="s">
        <v>796</v>
      </c>
      <c r="D2822" t="s">
        <v>797</v>
      </c>
      <c r="E2822" t="s">
        <v>13</v>
      </c>
      <c r="F2822">
        <v>3058</v>
      </c>
      <c r="G2822">
        <v>983</v>
      </c>
      <c r="H2822" s="5" t="s">
        <v>22</v>
      </c>
      <c r="I2822" s="5">
        <v>0</v>
      </c>
      <c r="J2822" s="5">
        <v>0</v>
      </c>
      <c r="K2822" t="s">
        <v>11667</v>
      </c>
      <c r="L2822" cm="1">
        <f t="array" ref="L2822">wordCount(K2822)</f>
        <v>17</v>
      </c>
      <c r="M2822">
        <f t="shared" si="88"/>
        <v>59</v>
      </c>
      <c r="N2822">
        <v>0.875</v>
      </c>
      <c r="O2822" s="23" cm="1">
        <f t="array" ref="O2822">WordListCount(K2822,keywords!$A$2:$A$31)-WordListCount(K2822,keywords!$B$2:$B$31)</f>
        <v>0</v>
      </c>
      <c r="P2822" s="25">
        <f t="shared" si="89"/>
        <v>0.88288194444444434</v>
      </c>
      <c r="Q2822" s="23">
        <f>SUM($O$2:O2822)</f>
        <v>73</v>
      </c>
      <c r="Y2822" s="14"/>
      <c r="Z2822" s="13"/>
      <c r="AA2822"/>
    </row>
    <row r="2823" spans="1:27" x14ac:dyDescent="0.2">
      <c r="A2823" s="12" t="s">
        <v>8536</v>
      </c>
      <c r="B2823" t="s">
        <v>8537</v>
      </c>
      <c r="C2823" t="s">
        <v>8538</v>
      </c>
      <c r="D2823" t="s">
        <v>505</v>
      </c>
      <c r="E2823" t="s">
        <v>13</v>
      </c>
      <c r="F2823">
        <v>2100</v>
      </c>
      <c r="G2823">
        <v>241</v>
      </c>
      <c r="H2823" s="5" t="s">
        <v>22</v>
      </c>
      <c r="I2823" s="5">
        <v>0</v>
      </c>
      <c r="J2823" s="5">
        <v>0</v>
      </c>
      <c r="K2823" t="s">
        <v>11668</v>
      </c>
      <c r="L2823" cm="1">
        <f t="array" ref="L2823">wordCount(K2823)</f>
        <v>15</v>
      </c>
      <c r="M2823">
        <f t="shared" si="88"/>
        <v>80</v>
      </c>
      <c r="N2823">
        <v>0.38095238095238093</v>
      </c>
      <c r="O2823" s="23" cm="1">
        <f t="array" ref="O2823">WordListCount(K2823,keywords!$A$2:$A$31)-WordListCount(K2823,keywords!$B$2:$B$31)</f>
        <v>0</v>
      </c>
      <c r="P2823" s="25">
        <f t="shared" si="89"/>
        <v>0.88334490740740745</v>
      </c>
      <c r="Q2823" s="23">
        <f>SUM($O$2:O2823)</f>
        <v>73</v>
      </c>
      <c r="Y2823" s="14"/>
      <c r="Z2823" s="13"/>
      <c r="AA2823"/>
    </row>
    <row r="2824" spans="1:27" x14ac:dyDescent="0.2">
      <c r="A2824" s="12" t="s">
        <v>8539</v>
      </c>
      <c r="B2824" t="s">
        <v>8540</v>
      </c>
      <c r="C2824" t="s">
        <v>4167</v>
      </c>
      <c r="D2824" t="s">
        <v>3125</v>
      </c>
      <c r="E2824" t="s">
        <v>13</v>
      </c>
      <c r="F2824">
        <v>227</v>
      </c>
      <c r="G2824">
        <v>219</v>
      </c>
      <c r="H2824" s="5" t="s">
        <v>22</v>
      </c>
      <c r="I2824" s="5">
        <v>0</v>
      </c>
      <c r="J2824" s="5">
        <v>0</v>
      </c>
      <c r="K2824" t="s">
        <v>11669</v>
      </c>
      <c r="L2824" cm="1">
        <f t="array" ref="L2824">wordCount(K2824)</f>
        <v>13</v>
      </c>
      <c r="M2824">
        <f t="shared" si="88"/>
        <v>93</v>
      </c>
      <c r="N2824">
        <v>0.64516129032258063</v>
      </c>
      <c r="O2824" s="23" cm="1">
        <f t="array" ref="O2824">WordListCount(K2824,keywords!$A$2:$A$31)-WordListCount(K2824,keywords!$B$2:$B$31)</f>
        <v>0</v>
      </c>
      <c r="P2824" s="25">
        <f t="shared" si="89"/>
        <v>0.88372685185185185</v>
      </c>
      <c r="Q2824" s="23">
        <f>SUM($O$2:O2824)</f>
        <v>73</v>
      </c>
      <c r="Y2824" s="14"/>
      <c r="Z2824" s="13"/>
      <c r="AA2824"/>
    </row>
    <row r="2825" spans="1:27" x14ac:dyDescent="0.2">
      <c r="A2825" s="12" t="s">
        <v>8541</v>
      </c>
      <c r="B2825" t="s">
        <v>8542</v>
      </c>
      <c r="C2825" t="s">
        <v>8543</v>
      </c>
      <c r="D2825" t="s">
        <v>12</v>
      </c>
      <c r="E2825" t="s">
        <v>13</v>
      </c>
      <c r="F2825">
        <v>11</v>
      </c>
      <c r="G2825">
        <v>1208</v>
      </c>
      <c r="H2825" s="5" t="s">
        <v>14</v>
      </c>
      <c r="I2825" s="5">
        <v>0</v>
      </c>
      <c r="J2825" s="5">
        <v>0</v>
      </c>
      <c r="K2825" t="s">
        <v>9888</v>
      </c>
      <c r="L2825" cm="1">
        <f t="array" ref="L2825">wordCount(K2825)</f>
        <v>2</v>
      </c>
      <c r="M2825">
        <f t="shared" si="88"/>
        <v>15</v>
      </c>
      <c r="N2825">
        <v>0.9</v>
      </c>
      <c r="O2825" s="23" cm="1">
        <f t="array" ref="O2825">WordListCount(K2825,keywords!$A$2:$A$31)-WordListCount(K2825,keywords!$B$2:$B$31)</f>
        <v>0</v>
      </c>
      <c r="P2825" s="25">
        <f t="shared" si="89"/>
        <v>0.88377314814814811</v>
      </c>
      <c r="Q2825" s="23">
        <f>SUM($O$2:O2825)</f>
        <v>73</v>
      </c>
      <c r="Y2825" s="14"/>
      <c r="Z2825" s="13"/>
      <c r="AA2825"/>
    </row>
    <row r="2826" spans="1:27" x14ac:dyDescent="0.2">
      <c r="A2826" s="12" t="s">
        <v>8544</v>
      </c>
      <c r="B2826" t="s">
        <v>8545</v>
      </c>
      <c r="C2826" t="s">
        <v>8546</v>
      </c>
      <c r="D2826" t="s">
        <v>8547</v>
      </c>
      <c r="E2826" t="s">
        <v>13</v>
      </c>
      <c r="F2826">
        <v>238</v>
      </c>
      <c r="G2826">
        <v>168</v>
      </c>
      <c r="H2826" s="5" t="s">
        <v>22</v>
      </c>
      <c r="I2826" s="5">
        <v>0</v>
      </c>
      <c r="J2826" s="5">
        <v>0</v>
      </c>
      <c r="K2826" t="s">
        <v>11670</v>
      </c>
      <c r="L2826" cm="1">
        <f t="array" ref="L2826">wordCount(K2826)</f>
        <v>9</v>
      </c>
      <c r="M2826">
        <f t="shared" si="88"/>
        <v>39</v>
      </c>
      <c r="N2826">
        <v>0.6428571428571429</v>
      </c>
      <c r="O2826" s="23" cm="1">
        <f t="array" ref="O2826">WordListCount(K2826,keywords!$A$2:$A$31)-WordListCount(K2826,keywords!$B$2:$B$31)</f>
        <v>0</v>
      </c>
      <c r="P2826" s="25">
        <f t="shared" si="89"/>
        <v>0.88394675925925925</v>
      </c>
      <c r="Q2826" s="23">
        <f>SUM($O$2:O2826)</f>
        <v>73</v>
      </c>
      <c r="Y2826" s="14"/>
      <c r="Z2826" s="13"/>
      <c r="AA2826"/>
    </row>
    <row r="2827" spans="1:27" x14ac:dyDescent="0.2">
      <c r="A2827" s="12" t="s">
        <v>8548</v>
      </c>
      <c r="B2827" t="s">
        <v>8549</v>
      </c>
      <c r="C2827" t="s">
        <v>8550</v>
      </c>
      <c r="D2827" t="s">
        <v>12</v>
      </c>
      <c r="E2827" t="s">
        <v>13</v>
      </c>
      <c r="F2827">
        <v>377</v>
      </c>
      <c r="G2827">
        <v>1113</v>
      </c>
      <c r="H2827" s="5" t="s">
        <v>42</v>
      </c>
      <c r="I2827" s="5">
        <v>0</v>
      </c>
      <c r="J2827" s="5">
        <v>0</v>
      </c>
      <c r="K2827" t="s">
        <v>11671</v>
      </c>
      <c r="L2827" cm="1">
        <f t="array" ref="L2827">wordCount(K2827)</f>
        <v>18</v>
      </c>
      <c r="M2827">
        <f t="shared" si="88"/>
        <v>93</v>
      </c>
      <c r="N2827">
        <v>0.22222222222222221</v>
      </c>
      <c r="O2827" s="23" cm="1">
        <f t="array" ref="O2827">WordListCount(K2827,keywords!$A$2:$A$31)-WordListCount(K2827,keywords!$B$2:$B$31)</f>
        <v>0</v>
      </c>
      <c r="P2827" s="25">
        <f t="shared" si="89"/>
        <v>0.8846180555555555</v>
      </c>
      <c r="Q2827" s="23">
        <f>SUM($O$2:O2827)</f>
        <v>73</v>
      </c>
      <c r="Y2827" s="14"/>
      <c r="Z2827" s="13"/>
      <c r="AA2827"/>
    </row>
    <row r="2828" spans="1:27" x14ac:dyDescent="0.2">
      <c r="A2828" s="12" t="s">
        <v>8551</v>
      </c>
      <c r="B2828" t="s">
        <v>8552</v>
      </c>
      <c r="C2828" t="s">
        <v>8553</v>
      </c>
      <c r="D2828" t="s">
        <v>12</v>
      </c>
      <c r="E2828" t="s">
        <v>13</v>
      </c>
      <c r="F2828">
        <v>4</v>
      </c>
      <c r="G2828">
        <v>6</v>
      </c>
      <c r="H2828" s="5" t="s">
        <v>22</v>
      </c>
      <c r="I2828" s="5">
        <v>0</v>
      </c>
      <c r="J2828" s="5">
        <v>0</v>
      </c>
      <c r="K2828" t="s">
        <v>11672</v>
      </c>
      <c r="L2828" cm="1">
        <f t="array" ref="L2828">wordCount(K2828)</f>
        <v>5</v>
      </c>
      <c r="M2828">
        <f t="shared" si="88"/>
        <v>29</v>
      </c>
      <c r="N2828">
        <v>0.9285714285714286</v>
      </c>
      <c r="O2828" s="23" cm="1">
        <f t="array" ref="O2828">WordListCount(K2828,keywords!$A$2:$A$31)-WordListCount(K2828,keywords!$B$2:$B$31)</f>
        <v>0</v>
      </c>
      <c r="P2828" s="25">
        <f t="shared" si="89"/>
        <v>0.88496527777777778</v>
      </c>
      <c r="Q2828" s="23">
        <f>SUM($O$2:O2828)</f>
        <v>73</v>
      </c>
      <c r="Y2828" s="14"/>
      <c r="Z2828" s="13"/>
      <c r="AA2828"/>
    </row>
    <row r="2829" spans="1:27" x14ac:dyDescent="0.2">
      <c r="A2829" s="12" t="s">
        <v>8554</v>
      </c>
      <c r="B2829" t="s">
        <v>8555</v>
      </c>
      <c r="C2829" t="s">
        <v>8556</v>
      </c>
      <c r="D2829" t="s">
        <v>12</v>
      </c>
      <c r="E2829" t="s">
        <v>13</v>
      </c>
      <c r="F2829">
        <v>806</v>
      </c>
      <c r="G2829">
        <v>697</v>
      </c>
      <c r="H2829" s="5" t="s">
        <v>22</v>
      </c>
      <c r="I2829" s="5">
        <v>0</v>
      </c>
      <c r="J2829" s="5">
        <v>0</v>
      </c>
      <c r="K2829" t="s">
        <v>9889</v>
      </c>
      <c r="L2829" cm="1">
        <f t="array" ref="L2829">wordCount(K2829)</f>
        <v>14</v>
      </c>
      <c r="M2829">
        <f t="shared" si="88"/>
        <v>80</v>
      </c>
      <c r="N2829">
        <v>0.3125</v>
      </c>
      <c r="O2829" s="23" cm="1">
        <f t="array" ref="O2829">WordListCount(K2829,keywords!$A$2:$A$31)-WordListCount(K2829,keywords!$B$2:$B$31)</f>
        <v>1</v>
      </c>
      <c r="P2829" s="25">
        <f t="shared" si="89"/>
        <v>0.88505787037037031</v>
      </c>
      <c r="Q2829" s="23">
        <f>SUM($O$2:O2829)</f>
        <v>74</v>
      </c>
      <c r="Y2829" s="14"/>
      <c r="Z2829" s="13"/>
      <c r="AA2829"/>
    </row>
    <row r="2830" spans="1:27" x14ac:dyDescent="0.2">
      <c r="A2830" s="12" t="s">
        <v>8557</v>
      </c>
      <c r="B2830" t="s">
        <v>8558</v>
      </c>
      <c r="C2830" t="s">
        <v>8559</v>
      </c>
      <c r="D2830" t="s">
        <v>8560</v>
      </c>
      <c r="E2830" t="s">
        <v>13</v>
      </c>
      <c r="F2830">
        <v>175</v>
      </c>
      <c r="G2830">
        <v>261</v>
      </c>
      <c r="H2830" s="5" t="s">
        <v>22</v>
      </c>
      <c r="I2830" s="5">
        <v>0</v>
      </c>
      <c r="J2830" s="5">
        <v>0</v>
      </c>
      <c r="K2830" t="s">
        <v>11673</v>
      </c>
      <c r="L2830" cm="1">
        <f t="array" ref="L2830">wordCount(K2830)</f>
        <v>13</v>
      </c>
      <c r="M2830">
        <f t="shared" si="88"/>
        <v>66</v>
      </c>
      <c r="N2830">
        <v>0.67741935483870963</v>
      </c>
      <c r="O2830" s="23" cm="1">
        <f t="array" ref="O2830">WordListCount(K2830,keywords!$A$2:$A$31)-WordListCount(K2830,keywords!$B$2:$B$31)</f>
        <v>0</v>
      </c>
      <c r="P2830" s="25">
        <f t="shared" si="89"/>
        <v>0.88530092592592602</v>
      </c>
      <c r="Q2830" s="23">
        <f>SUM($O$2:O2830)</f>
        <v>74</v>
      </c>
      <c r="Y2830" s="14"/>
      <c r="Z2830" s="13"/>
      <c r="AA2830"/>
    </row>
    <row r="2831" spans="1:27" x14ac:dyDescent="0.2">
      <c r="A2831" s="12" t="s">
        <v>8561</v>
      </c>
      <c r="B2831" t="s">
        <v>8562</v>
      </c>
      <c r="C2831" t="s">
        <v>179</v>
      </c>
      <c r="D2831" t="s">
        <v>180</v>
      </c>
      <c r="E2831" t="s">
        <v>13</v>
      </c>
      <c r="F2831">
        <v>970</v>
      </c>
      <c r="G2831">
        <v>180</v>
      </c>
      <c r="H2831" s="5" t="s">
        <v>22</v>
      </c>
      <c r="I2831" s="5">
        <v>0</v>
      </c>
      <c r="J2831" s="5">
        <v>0</v>
      </c>
      <c r="K2831" t="s">
        <v>11674</v>
      </c>
      <c r="L2831" cm="1">
        <f t="array" ref="L2831">wordCount(K2831)</f>
        <v>17</v>
      </c>
      <c r="M2831">
        <f t="shared" si="88"/>
        <v>96</v>
      </c>
      <c r="N2831">
        <v>0.75</v>
      </c>
      <c r="O2831" s="23" cm="1">
        <f t="array" ref="O2831">WordListCount(K2831,keywords!$A$2:$A$31)-WordListCount(K2831,keywords!$B$2:$B$31)</f>
        <v>0</v>
      </c>
      <c r="P2831" s="25">
        <f t="shared" si="89"/>
        <v>0.88543981481481471</v>
      </c>
      <c r="Q2831" s="23">
        <f>SUM($O$2:O2831)</f>
        <v>74</v>
      </c>
      <c r="Y2831" s="14"/>
      <c r="Z2831" s="13"/>
      <c r="AA2831"/>
    </row>
    <row r="2832" spans="1:27" x14ac:dyDescent="0.2">
      <c r="A2832" s="12" t="s">
        <v>8563</v>
      </c>
      <c r="B2832" t="s">
        <v>8564</v>
      </c>
      <c r="C2832" t="s">
        <v>4487</v>
      </c>
      <c r="D2832" t="s">
        <v>12</v>
      </c>
      <c r="E2832" t="s">
        <v>13</v>
      </c>
      <c r="F2832">
        <v>894</v>
      </c>
      <c r="G2832">
        <v>1448</v>
      </c>
      <c r="H2832" s="5" t="s">
        <v>22</v>
      </c>
      <c r="I2832" s="5">
        <v>0</v>
      </c>
      <c r="J2832" s="5">
        <v>0</v>
      </c>
      <c r="K2832" t="s">
        <v>11675</v>
      </c>
      <c r="L2832" cm="1">
        <f t="array" ref="L2832">wordCount(K2832)</f>
        <v>17</v>
      </c>
      <c r="M2832">
        <f t="shared" si="88"/>
        <v>73</v>
      </c>
      <c r="N2832">
        <v>0.53333333333333333</v>
      </c>
      <c r="O2832" s="23" cm="1">
        <f t="array" ref="O2832">WordListCount(K2832,keywords!$A$2:$A$31)-WordListCount(K2832,keywords!$B$2:$B$31)</f>
        <v>0</v>
      </c>
      <c r="P2832" s="25">
        <f t="shared" si="89"/>
        <v>0.88557870370370362</v>
      </c>
      <c r="Q2832" s="23">
        <f>SUM($O$2:O2832)</f>
        <v>74</v>
      </c>
      <c r="Y2832" s="14"/>
      <c r="Z2832" s="13"/>
      <c r="AA2832"/>
    </row>
    <row r="2833" spans="1:27" x14ac:dyDescent="0.2">
      <c r="A2833" s="12" t="s">
        <v>8565</v>
      </c>
      <c r="B2833" t="s">
        <v>8566</v>
      </c>
      <c r="C2833" t="s">
        <v>8567</v>
      </c>
      <c r="D2833" t="s">
        <v>8568</v>
      </c>
      <c r="E2833" t="s">
        <v>13</v>
      </c>
      <c r="F2833">
        <v>243</v>
      </c>
      <c r="G2833">
        <v>576</v>
      </c>
      <c r="H2833" s="5" t="s">
        <v>22</v>
      </c>
      <c r="I2833" s="5">
        <v>0</v>
      </c>
      <c r="J2833" s="5">
        <v>0</v>
      </c>
      <c r="K2833" t="s">
        <v>11676</v>
      </c>
      <c r="L2833" cm="1">
        <f t="array" ref="L2833">wordCount(K2833)</f>
        <v>9</v>
      </c>
      <c r="M2833">
        <f t="shared" si="88"/>
        <v>37</v>
      </c>
      <c r="N2833">
        <v>0.6428571428571429</v>
      </c>
      <c r="O2833" s="23" cm="1">
        <f t="array" ref="O2833">WordListCount(K2833,keywords!$A$2:$A$31)-WordListCount(K2833,keywords!$B$2:$B$31)</f>
        <v>0</v>
      </c>
      <c r="P2833" s="25">
        <f t="shared" si="89"/>
        <v>0.88570601851851849</v>
      </c>
      <c r="Q2833" s="23">
        <f>SUM($O$2:O2833)</f>
        <v>74</v>
      </c>
      <c r="Y2833" s="14"/>
      <c r="Z2833" s="13"/>
      <c r="AA2833"/>
    </row>
    <row r="2834" spans="1:27" x14ac:dyDescent="0.2">
      <c r="A2834" s="12" t="s">
        <v>8569</v>
      </c>
      <c r="B2834" t="s">
        <v>8570</v>
      </c>
      <c r="C2834" t="s">
        <v>8571</v>
      </c>
      <c r="D2834" t="s">
        <v>6926</v>
      </c>
      <c r="E2834" t="s">
        <v>13</v>
      </c>
      <c r="F2834">
        <v>567</v>
      </c>
      <c r="G2834">
        <v>746</v>
      </c>
      <c r="H2834" s="5" t="s">
        <v>22</v>
      </c>
      <c r="I2834" s="5">
        <v>0</v>
      </c>
      <c r="J2834" s="5">
        <v>0</v>
      </c>
      <c r="K2834" t="s">
        <v>11677</v>
      </c>
      <c r="L2834" cm="1">
        <f t="array" ref="L2834">wordCount(K2834)</f>
        <v>14</v>
      </c>
      <c r="M2834">
        <f t="shared" si="88"/>
        <v>82</v>
      </c>
      <c r="N2834">
        <v>0.36842105263157893</v>
      </c>
      <c r="O2834" s="23" cm="1">
        <f t="array" ref="O2834">WordListCount(K2834,keywords!$A$2:$A$31)-WordListCount(K2834,keywords!$B$2:$B$31)</f>
        <v>0</v>
      </c>
      <c r="P2834" s="25">
        <f t="shared" si="89"/>
        <v>0.88585648148148144</v>
      </c>
      <c r="Q2834" s="23">
        <f>SUM($O$2:O2834)</f>
        <v>74</v>
      </c>
      <c r="Y2834" s="14"/>
      <c r="Z2834" s="13"/>
      <c r="AA2834"/>
    </row>
    <row r="2835" spans="1:27" x14ac:dyDescent="0.2">
      <c r="A2835" s="12" t="s">
        <v>8572</v>
      </c>
      <c r="B2835" t="s">
        <v>8573</v>
      </c>
      <c r="C2835" t="s">
        <v>8574</v>
      </c>
      <c r="D2835" t="s">
        <v>8575</v>
      </c>
      <c r="E2835" t="s">
        <v>13</v>
      </c>
      <c r="F2835">
        <v>671</v>
      </c>
      <c r="G2835">
        <v>622</v>
      </c>
      <c r="H2835" s="5" t="s">
        <v>22</v>
      </c>
      <c r="I2835" s="5">
        <v>0</v>
      </c>
      <c r="J2835" s="5">
        <v>0</v>
      </c>
      <c r="K2835" t="s">
        <v>11678</v>
      </c>
      <c r="L2835" cm="1">
        <f t="array" ref="L2835">wordCount(K2835)</f>
        <v>24</v>
      </c>
      <c r="M2835">
        <f t="shared" si="88"/>
        <v>109</v>
      </c>
      <c r="N2835">
        <v>0.38709677419354838</v>
      </c>
      <c r="O2835" s="23" cm="1">
        <f t="array" ref="O2835">WordListCount(K2835,keywords!$A$2:$A$31)-WordListCount(K2835,keywords!$B$2:$B$31)</f>
        <v>0</v>
      </c>
      <c r="P2835" s="25">
        <f t="shared" si="89"/>
        <v>0.88627314814814817</v>
      </c>
      <c r="Q2835" s="23">
        <f>SUM($O$2:O2835)</f>
        <v>74</v>
      </c>
      <c r="Y2835" s="14"/>
      <c r="Z2835" s="13"/>
      <c r="AA2835"/>
    </row>
    <row r="2836" spans="1:27" x14ac:dyDescent="0.2">
      <c r="A2836" s="12" t="s">
        <v>8576</v>
      </c>
      <c r="B2836" t="s">
        <v>8577</v>
      </c>
      <c r="C2836" t="s">
        <v>8578</v>
      </c>
      <c r="D2836" t="s">
        <v>1254</v>
      </c>
      <c r="E2836" t="s">
        <v>13</v>
      </c>
      <c r="F2836">
        <v>171</v>
      </c>
      <c r="G2836">
        <v>359</v>
      </c>
      <c r="H2836" s="5" t="s">
        <v>22</v>
      </c>
      <c r="I2836" s="5">
        <v>0</v>
      </c>
      <c r="J2836" s="5">
        <v>0</v>
      </c>
      <c r="K2836" t="s">
        <v>9890</v>
      </c>
      <c r="L2836" cm="1">
        <f t="array" ref="L2836">wordCount(K2836)</f>
        <v>5</v>
      </c>
      <c r="M2836">
        <f t="shared" si="88"/>
        <v>23</v>
      </c>
      <c r="N2836">
        <v>0.5</v>
      </c>
      <c r="O2836" s="23" cm="1">
        <f t="array" ref="O2836">WordListCount(K2836,keywords!$A$2:$A$31)-WordListCount(K2836,keywords!$B$2:$B$31)</f>
        <v>0</v>
      </c>
      <c r="P2836" s="25">
        <f t="shared" si="89"/>
        <v>0.88637731481481474</v>
      </c>
      <c r="Q2836" s="23">
        <f>SUM($O$2:O2836)</f>
        <v>74</v>
      </c>
      <c r="Y2836" s="14"/>
      <c r="Z2836" s="13"/>
      <c r="AA2836"/>
    </row>
    <row r="2837" spans="1:27" x14ac:dyDescent="0.2">
      <c r="A2837" s="12" t="s">
        <v>8579</v>
      </c>
      <c r="B2837" t="s">
        <v>8580</v>
      </c>
      <c r="C2837" t="s">
        <v>8581</v>
      </c>
      <c r="D2837" t="s">
        <v>12</v>
      </c>
      <c r="E2837" t="s">
        <v>13</v>
      </c>
      <c r="F2837">
        <v>7083</v>
      </c>
      <c r="G2837">
        <v>1380</v>
      </c>
      <c r="H2837" s="5" t="s">
        <v>22</v>
      </c>
      <c r="I2837" s="5">
        <v>0</v>
      </c>
      <c r="J2837" s="5">
        <v>0</v>
      </c>
      <c r="K2837" t="s">
        <v>11679</v>
      </c>
      <c r="L2837" cm="1">
        <f t="array" ref="L2837">wordCount(K2837)</f>
        <v>18</v>
      </c>
      <c r="M2837">
        <f t="shared" si="88"/>
        <v>101</v>
      </c>
      <c r="N2837">
        <v>0.16666666666666666</v>
      </c>
      <c r="O2837" s="23" cm="1">
        <f t="array" ref="O2837">WordListCount(K2837,keywords!$A$2:$A$31)-WordListCount(K2837,keywords!$B$2:$B$31)</f>
        <v>0</v>
      </c>
      <c r="P2837" s="25">
        <f t="shared" si="89"/>
        <v>0.88649305555555558</v>
      </c>
      <c r="Q2837" s="23">
        <f>SUM($O$2:O2837)</f>
        <v>74</v>
      </c>
      <c r="Y2837" s="14"/>
      <c r="Z2837" s="13"/>
      <c r="AA2837"/>
    </row>
    <row r="2838" spans="1:27" x14ac:dyDescent="0.2">
      <c r="A2838" s="12" t="s">
        <v>8582</v>
      </c>
      <c r="B2838" t="s">
        <v>8583</v>
      </c>
      <c r="C2838" t="s">
        <v>7023</v>
      </c>
      <c r="D2838" t="s">
        <v>7024</v>
      </c>
      <c r="E2838" t="s">
        <v>13</v>
      </c>
      <c r="F2838">
        <v>839</v>
      </c>
      <c r="G2838">
        <v>744</v>
      </c>
      <c r="H2838" s="5" t="s">
        <v>22</v>
      </c>
      <c r="I2838" s="5">
        <v>0</v>
      </c>
      <c r="J2838" s="5">
        <v>0</v>
      </c>
      <c r="K2838" t="s">
        <v>11680</v>
      </c>
      <c r="L2838" cm="1">
        <f t="array" ref="L2838">wordCount(K2838)</f>
        <v>16</v>
      </c>
      <c r="M2838">
        <f t="shared" si="88"/>
        <v>79</v>
      </c>
      <c r="N2838">
        <v>0.31578947368421051</v>
      </c>
      <c r="O2838" s="23" cm="1">
        <f t="array" ref="O2838">WordListCount(K2838,keywords!$A$2:$A$31)-WordListCount(K2838,keywords!$B$2:$B$31)</f>
        <v>0</v>
      </c>
      <c r="P2838" s="25">
        <f t="shared" si="89"/>
        <v>0.88655092592592588</v>
      </c>
      <c r="Q2838" s="23">
        <f>SUM($O$2:O2838)</f>
        <v>74</v>
      </c>
      <c r="Y2838" s="14"/>
      <c r="Z2838" s="13"/>
      <c r="AA2838"/>
    </row>
    <row r="2839" spans="1:27" x14ac:dyDescent="0.2">
      <c r="A2839" s="12" t="s">
        <v>8584</v>
      </c>
      <c r="B2839" t="s">
        <v>8585</v>
      </c>
      <c r="C2839" t="s">
        <v>8586</v>
      </c>
      <c r="D2839" t="s">
        <v>8587</v>
      </c>
      <c r="E2839" t="s">
        <v>11775</v>
      </c>
      <c r="F2839">
        <v>10698</v>
      </c>
      <c r="G2839">
        <v>905</v>
      </c>
      <c r="H2839" s="5" t="s">
        <v>22</v>
      </c>
      <c r="I2839" s="5">
        <v>0</v>
      </c>
      <c r="J2839" s="5">
        <v>0</v>
      </c>
      <c r="K2839" t="s">
        <v>11681</v>
      </c>
      <c r="L2839" cm="1">
        <f t="array" ref="L2839">wordCount(K2839)</f>
        <v>18</v>
      </c>
      <c r="M2839">
        <f t="shared" si="88"/>
        <v>71</v>
      </c>
      <c r="N2839">
        <v>0.5</v>
      </c>
      <c r="O2839" s="23" cm="1">
        <f t="array" ref="O2839">WordListCount(K2839,keywords!$A$2:$A$31)-WordListCount(K2839,keywords!$B$2:$B$31)</f>
        <v>0</v>
      </c>
      <c r="P2839" s="25">
        <f t="shared" si="89"/>
        <v>0.88674768518518521</v>
      </c>
      <c r="Q2839" s="23">
        <f>SUM($O$2:O2839)</f>
        <v>74</v>
      </c>
      <c r="Y2839" s="14"/>
      <c r="Z2839" s="13"/>
      <c r="AA2839"/>
    </row>
    <row r="2840" spans="1:27" x14ac:dyDescent="0.2">
      <c r="A2840" s="33" t="s">
        <v>8588</v>
      </c>
      <c r="B2840" s="34" t="s">
        <v>8589</v>
      </c>
      <c r="C2840" s="34" t="s">
        <v>123</v>
      </c>
      <c r="D2840" s="34" t="s">
        <v>124</v>
      </c>
      <c r="E2840" s="34" t="s">
        <v>13</v>
      </c>
      <c r="F2840" s="34">
        <v>836</v>
      </c>
      <c r="G2840" s="34">
        <v>898</v>
      </c>
      <c r="H2840" s="35" t="s">
        <v>125</v>
      </c>
      <c r="I2840" s="35">
        <v>0</v>
      </c>
      <c r="J2840" s="35">
        <v>0</v>
      </c>
      <c r="K2840" s="34" t="s">
        <v>9891</v>
      </c>
      <c r="L2840" s="34" cm="1">
        <f t="array" ref="L2840">wordCount(K2840)</f>
        <v>21</v>
      </c>
      <c r="M2840" s="34">
        <f t="shared" si="88"/>
        <v>100</v>
      </c>
      <c r="N2840" s="34">
        <v>0.81818181818181823</v>
      </c>
      <c r="O2840" s="36" cm="1">
        <f t="array" ref="O2840">WordListCount(K2840,keywords!$A$2:$A$31)-WordListCount(K2840,keywords!$B$2:$B$31)</f>
        <v>0</v>
      </c>
      <c r="P2840" s="37">
        <f t="shared" si="89"/>
        <v>0.88686342592592593</v>
      </c>
      <c r="Q2840" s="23">
        <f>SUM($O$2:O2840)</f>
        <v>74</v>
      </c>
    </row>
    <row r="2841" spans="1:27" x14ac:dyDescent="0.2">
      <c r="A2841" s="12" t="s">
        <v>8590</v>
      </c>
      <c r="B2841" t="s">
        <v>8591</v>
      </c>
      <c r="C2841" t="s">
        <v>5704</v>
      </c>
      <c r="D2841" t="s">
        <v>12</v>
      </c>
      <c r="E2841" t="s">
        <v>13</v>
      </c>
      <c r="F2841">
        <v>5</v>
      </c>
      <c r="G2841">
        <v>3</v>
      </c>
      <c r="H2841" s="5" t="s">
        <v>22</v>
      </c>
      <c r="I2841" s="5">
        <v>0</v>
      </c>
      <c r="J2841" s="5">
        <v>0</v>
      </c>
      <c r="K2841" t="s">
        <v>11682</v>
      </c>
      <c r="L2841" cm="1">
        <f t="array" ref="L2841">wordCount(K2841)</f>
        <v>9</v>
      </c>
      <c r="M2841">
        <f t="shared" si="88"/>
        <v>40</v>
      </c>
      <c r="N2841">
        <v>0.5</v>
      </c>
      <c r="O2841" s="23" cm="1">
        <f t="array" ref="O2841">WordListCount(K2841,keywords!$A$2:$A$31)-WordListCount(K2841,keywords!$B$2:$B$31)</f>
        <v>0</v>
      </c>
      <c r="P2841" s="25">
        <f t="shared" si="89"/>
        <v>0.88706018518518526</v>
      </c>
      <c r="Q2841" s="23">
        <f>SUM($O$2:O2841)</f>
        <v>74</v>
      </c>
      <c r="Y2841" s="14"/>
      <c r="Z2841" s="13"/>
      <c r="AA2841"/>
    </row>
    <row r="2842" spans="1:27" x14ac:dyDescent="0.2">
      <c r="A2842" s="12" t="s">
        <v>8592</v>
      </c>
      <c r="B2842" t="s">
        <v>8593</v>
      </c>
      <c r="C2842" t="s">
        <v>8594</v>
      </c>
      <c r="D2842" t="s">
        <v>8595</v>
      </c>
      <c r="E2842" t="s">
        <v>13</v>
      </c>
      <c r="F2842">
        <v>10</v>
      </c>
      <c r="G2842">
        <v>25</v>
      </c>
      <c r="H2842" s="5" t="s">
        <v>22</v>
      </c>
      <c r="I2842" s="5">
        <v>0</v>
      </c>
      <c r="J2842" s="5">
        <v>0</v>
      </c>
      <c r="K2842" t="s">
        <v>9892</v>
      </c>
      <c r="L2842" cm="1">
        <f t="array" ref="L2842">wordCount(K2842)</f>
        <v>5</v>
      </c>
      <c r="M2842">
        <f t="shared" si="88"/>
        <v>20</v>
      </c>
      <c r="N2842">
        <v>0.73333333333333328</v>
      </c>
      <c r="O2842" s="23" cm="1">
        <f t="array" ref="O2842">WordListCount(K2842,keywords!$A$2:$A$31)-WordListCount(K2842,keywords!$B$2:$B$31)</f>
        <v>0</v>
      </c>
      <c r="P2842" s="25">
        <f t="shared" si="89"/>
        <v>0.88733796296296286</v>
      </c>
      <c r="Q2842" s="23">
        <f>SUM($O$2:O2842)</f>
        <v>74</v>
      </c>
      <c r="Y2842" s="14"/>
      <c r="Z2842" s="13"/>
      <c r="AA2842"/>
    </row>
    <row r="2843" spans="1:27" x14ac:dyDescent="0.2">
      <c r="A2843" s="12" t="s">
        <v>8596</v>
      </c>
      <c r="B2843" t="s">
        <v>8597</v>
      </c>
      <c r="C2843" t="s">
        <v>3911</v>
      </c>
      <c r="D2843" t="s">
        <v>3912</v>
      </c>
      <c r="E2843" t="s">
        <v>13</v>
      </c>
      <c r="F2843">
        <v>5047</v>
      </c>
      <c r="G2843">
        <v>289</v>
      </c>
      <c r="H2843" s="5" t="s">
        <v>22</v>
      </c>
      <c r="I2843" s="5">
        <v>0</v>
      </c>
      <c r="J2843" s="5">
        <v>0</v>
      </c>
      <c r="K2843" t="s">
        <v>11683</v>
      </c>
      <c r="L2843" cm="1">
        <f t="array" ref="L2843">wordCount(K2843)</f>
        <v>14</v>
      </c>
      <c r="M2843">
        <f t="shared" si="88"/>
        <v>65</v>
      </c>
      <c r="N2843">
        <v>0.54545454545454541</v>
      </c>
      <c r="O2843" s="23" cm="1">
        <f t="array" ref="O2843">WordListCount(K2843,keywords!$A$2:$A$31)-WordListCount(K2843,keywords!$B$2:$B$31)</f>
        <v>0</v>
      </c>
      <c r="P2843" s="25">
        <f t="shared" si="89"/>
        <v>0.88737268518518519</v>
      </c>
      <c r="Q2843" s="23">
        <f>SUM($O$2:O2843)</f>
        <v>74</v>
      </c>
      <c r="Y2843" s="14"/>
      <c r="Z2843" s="13"/>
      <c r="AA2843"/>
    </row>
    <row r="2844" spans="1:27" x14ac:dyDescent="0.2">
      <c r="A2844" s="12" t="s">
        <v>8598</v>
      </c>
      <c r="B2844" t="s">
        <v>8599</v>
      </c>
      <c r="C2844" t="s">
        <v>115</v>
      </c>
      <c r="D2844" t="s">
        <v>116</v>
      </c>
      <c r="E2844" t="s">
        <v>13</v>
      </c>
      <c r="F2844">
        <v>4</v>
      </c>
      <c r="G2844">
        <v>54</v>
      </c>
      <c r="H2844" s="5" t="s">
        <v>22</v>
      </c>
      <c r="I2844" s="5">
        <v>0</v>
      </c>
      <c r="J2844" s="5">
        <v>0</v>
      </c>
      <c r="K2844" t="s">
        <v>11684</v>
      </c>
      <c r="L2844" cm="1">
        <f t="array" ref="L2844">wordCount(K2844)</f>
        <v>7</v>
      </c>
      <c r="M2844">
        <f t="shared" si="88"/>
        <v>43</v>
      </c>
      <c r="N2844">
        <v>0.77272727272727271</v>
      </c>
      <c r="O2844" s="23" cm="1">
        <f t="array" ref="O2844">WordListCount(K2844,keywords!$A$2:$A$31)-WordListCount(K2844,keywords!$B$2:$B$31)</f>
        <v>0</v>
      </c>
      <c r="P2844" s="25">
        <f t="shared" si="89"/>
        <v>0.88746527777777784</v>
      </c>
      <c r="Q2844" s="23">
        <f>SUM($O$2:O2844)</f>
        <v>74</v>
      </c>
      <c r="Y2844" s="14"/>
      <c r="Z2844" s="13"/>
      <c r="AA2844"/>
    </row>
  </sheetData>
  <sortState xmlns:xlrd2="http://schemas.microsoft.com/office/spreadsheetml/2017/richdata2" ref="A2:AA2845">
    <sortCondition ref="A2:A2845"/>
  </sortState>
  <phoneticPr fontId="20" type="noConversion"/>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K2847"/>
  <sheetViews>
    <sheetView workbookViewId="0">
      <selection activeCell="B2" sqref="B2:B3"/>
    </sheetView>
  </sheetViews>
  <sheetFormatPr defaultRowHeight="14.25" x14ac:dyDescent="0.2"/>
  <cols>
    <col min="1" max="1" width="14.5" customWidth="1"/>
    <col min="4" max="4" width="12.5" customWidth="1"/>
    <col min="6" max="6" width="4.125" customWidth="1"/>
    <col min="7" max="7" width="5" customWidth="1"/>
    <col min="9" max="9" width="5.125" style="5" customWidth="1"/>
    <col min="10" max="10" width="5.375" style="5" bestFit="1" customWidth="1"/>
  </cols>
  <sheetData>
    <row r="1" spans="1:11" x14ac:dyDescent="0.2">
      <c r="A1" s="20" t="s">
        <v>2</v>
      </c>
      <c r="B1" t="s">
        <v>11748</v>
      </c>
      <c r="D1" s="20" t="s">
        <v>1</v>
      </c>
      <c r="E1" t="s">
        <v>11748</v>
      </c>
      <c r="J1" s="21" t="s">
        <v>6</v>
      </c>
      <c r="K1" t="s">
        <v>11748</v>
      </c>
    </row>
    <row r="2" spans="1:11" x14ac:dyDescent="0.2">
      <c r="A2" t="s">
        <v>12</v>
      </c>
      <c r="B2">
        <f>COUNTIF(tweets!D:D,A2)</f>
        <v>940</v>
      </c>
      <c r="D2" t="s">
        <v>119</v>
      </c>
      <c r="E2">
        <f>COUNTIF(tweets!C:C,D2)</f>
        <v>32</v>
      </c>
      <c r="J2" s="5" t="s">
        <v>22</v>
      </c>
      <c r="K2">
        <f>COUNTIF(tweets!H:H,J2)</f>
        <v>2459</v>
      </c>
    </row>
    <row r="3" spans="1:11" x14ac:dyDescent="0.2">
      <c r="A3" t="s">
        <v>74</v>
      </c>
      <c r="B3">
        <f>COUNTIF(tweets!D:D,A3)</f>
        <v>66</v>
      </c>
      <c r="D3" t="s">
        <v>511</v>
      </c>
      <c r="E3">
        <f>COUNTIF(tweets!C:C,D3)</f>
        <v>27</v>
      </c>
      <c r="J3" s="5" t="s">
        <v>59</v>
      </c>
      <c r="K3">
        <f>COUNTIF(tweets!H:H,J3)</f>
        <v>64</v>
      </c>
    </row>
    <row r="4" spans="1:11" x14ac:dyDescent="0.2">
      <c r="A4" t="s">
        <v>120</v>
      </c>
      <c r="B4">
        <f>COUNTIF(tweets!D:D,A4)</f>
        <v>46</v>
      </c>
      <c r="D4" t="s">
        <v>123</v>
      </c>
      <c r="E4">
        <f>COUNTIF(tweets!C:C,D4)</f>
        <v>22</v>
      </c>
      <c r="J4" s="5" t="s">
        <v>125</v>
      </c>
      <c r="K4">
        <f>COUNTIF(tweets!H:H,J4)</f>
        <v>56</v>
      </c>
    </row>
    <row r="5" spans="1:11" x14ac:dyDescent="0.2">
      <c r="A5" t="s">
        <v>124</v>
      </c>
      <c r="B5">
        <f>COUNTIF(tweets!D:D,A5)</f>
        <v>32</v>
      </c>
      <c r="D5" t="s">
        <v>5695</v>
      </c>
      <c r="E5">
        <f>COUNTIF(tweets!C:C,D5)</f>
        <v>22</v>
      </c>
      <c r="J5" s="5" t="s">
        <v>382</v>
      </c>
      <c r="K5">
        <f>COUNTIF(tweets!H:H,J5)</f>
        <v>38</v>
      </c>
    </row>
    <row r="6" spans="1:11" x14ac:dyDescent="0.2">
      <c r="A6" t="s">
        <v>597</v>
      </c>
      <c r="B6">
        <f>COUNTIF(tweets!D:D,A6)</f>
        <v>30</v>
      </c>
      <c r="D6" t="s">
        <v>306</v>
      </c>
      <c r="E6">
        <f>COUNTIF(tweets!C:C,D6)</f>
        <v>20</v>
      </c>
      <c r="J6" s="5" t="s">
        <v>14</v>
      </c>
      <c r="K6">
        <f>COUNTIF(tweets!H:H,J6)</f>
        <v>36</v>
      </c>
    </row>
    <row r="7" spans="1:11" x14ac:dyDescent="0.2">
      <c r="A7" t="s">
        <v>512</v>
      </c>
      <c r="B7">
        <f>COUNTIF(tweets!D:D,A7)</f>
        <v>27</v>
      </c>
      <c r="D7" t="s">
        <v>205</v>
      </c>
      <c r="E7">
        <f>COUNTIF(tweets!C:C,D7)</f>
        <v>19</v>
      </c>
      <c r="J7" s="5" t="s">
        <v>42</v>
      </c>
      <c r="K7">
        <f>COUNTIF(tweets!H:H,J7)</f>
        <v>34</v>
      </c>
    </row>
    <row r="8" spans="1:11" x14ac:dyDescent="0.2">
      <c r="A8" t="s">
        <v>231</v>
      </c>
      <c r="B8">
        <f>COUNTIF(tweets!D:D,A8)</f>
        <v>26</v>
      </c>
      <c r="D8" t="s">
        <v>310</v>
      </c>
      <c r="E8">
        <f>COUNTIF(tweets!C:C,D8)</f>
        <v>14</v>
      </c>
      <c r="J8" s="5" t="s">
        <v>677</v>
      </c>
      <c r="K8">
        <f>COUNTIF(tweets!H:H,J8)</f>
        <v>33</v>
      </c>
    </row>
    <row r="9" spans="1:11" x14ac:dyDescent="0.2">
      <c r="A9" t="s">
        <v>4919</v>
      </c>
      <c r="B9">
        <f>COUNTIF(tweets!D:D,A9)</f>
        <v>23</v>
      </c>
      <c r="D9" t="s">
        <v>241</v>
      </c>
      <c r="E9">
        <f>COUNTIF(tweets!C:C,D9)</f>
        <v>13</v>
      </c>
      <c r="J9" s="5" t="s">
        <v>96</v>
      </c>
      <c r="K9">
        <f>COUNTIF(tweets!H:H,J9)</f>
        <v>29</v>
      </c>
    </row>
    <row r="10" spans="1:11" x14ac:dyDescent="0.2">
      <c r="A10" t="s">
        <v>307</v>
      </c>
      <c r="B10">
        <f>COUNTIF(tweets!D:D,A10)</f>
        <v>20</v>
      </c>
      <c r="D10" t="s">
        <v>459</v>
      </c>
      <c r="E10">
        <f>COUNTIF(tweets!C:C,D10)</f>
        <v>13</v>
      </c>
      <c r="J10" s="5" t="s">
        <v>86</v>
      </c>
      <c r="K10">
        <f>COUNTIF(tweets!H:H,J10)</f>
        <v>22</v>
      </c>
    </row>
    <row r="11" spans="1:11" x14ac:dyDescent="0.2">
      <c r="A11" t="s">
        <v>743</v>
      </c>
      <c r="B11">
        <f>COUNTIF(tweets!D:D,A11)</f>
        <v>16</v>
      </c>
      <c r="D11" t="s">
        <v>130</v>
      </c>
      <c r="E11">
        <f>COUNTIF(tweets!C:C,D11)</f>
        <v>12</v>
      </c>
      <c r="J11" s="5" t="s">
        <v>393</v>
      </c>
      <c r="K11">
        <f>COUNTIF(tweets!H:H,J11)</f>
        <v>21</v>
      </c>
    </row>
    <row r="12" spans="1:11" x14ac:dyDescent="0.2">
      <c r="A12" t="s">
        <v>112</v>
      </c>
      <c r="B12">
        <f>COUNTIF(tweets!D:D,A12)</f>
        <v>15</v>
      </c>
      <c r="D12" t="s">
        <v>21</v>
      </c>
      <c r="E12">
        <f>COUNTIF(tweets!C:C,D12)</f>
        <v>11</v>
      </c>
      <c r="J12" s="5" t="s">
        <v>360</v>
      </c>
      <c r="K12">
        <f>COUNTIF(tweets!H:H,J12)</f>
        <v>8</v>
      </c>
    </row>
    <row r="13" spans="1:11" x14ac:dyDescent="0.2">
      <c r="A13" t="s">
        <v>242</v>
      </c>
      <c r="B13">
        <f>COUNTIF(tweets!D:D,A13)</f>
        <v>13</v>
      </c>
      <c r="D13" t="s">
        <v>73</v>
      </c>
      <c r="E13">
        <f>COUNTIF(tweets!C:C,D13)</f>
        <v>11</v>
      </c>
      <c r="J13" s="5" t="s">
        <v>139</v>
      </c>
      <c r="K13">
        <f>COUNTIF(tweets!H:H,J13)</f>
        <v>7</v>
      </c>
    </row>
    <row r="14" spans="1:11" x14ac:dyDescent="0.2">
      <c r="A14" t="s">
        <v>131</v>
      </c>
      <c r="B14">
        <f>COUNTIF(tweets!D:D,A14)</f>
        <v>12</v>
      </c>
      <c r="D14" t="s">
        <v>179</v>
      </c>
      <c r="E14">
        <f>COUNTIF(tweets!C:C,D14)</f>
        <v>11</v>
      </c>
      <c r="J14" s="5" t="s">
        <v>283</v>
      </c>
      <c r="K14">
        <f>COUNTIF(tweets!H:H,J14)</f>
        <v>5</v>
      </c>
    </row>
    <row r="15" spans="1:11" x14ac:dyDescent="0.2">
      <c r="A15" t="s">
        <v>990</v>
      </c>
      <c r="B15">
        <f>COUNTIF(tweets!D:D,A15)</f>
        <v>12</v>
      </c>
      <c r="D15" t="s">
        <v>651</v>
      </c>
      <c r="E15">
        <f>COUNTIF(tweets!C:C,D15)</f>
        <v>11</v>
      </c>
      <c r="J15" s="5" t="s">
        <v>1162</v>
      </c>
      <c r="K15">
        <f>COUNTIF(tweets!H:H,J15)</f>
        <v>5</v>
      </c>
    </row>
    <row r="16" spans="1:11" x14ac:dyDescent="0.2">
      <c r="A16" t="s">
        <v>344</v>
      </c>
      <c r="B16">
        <f>COUNTIF(tweets!D:D,A16)</f>
        <v>12</v>
      </c>
      <c r="D16" t="s">
        <v>318</v>
      </c>
      <c r="E16">
        <f>COUNTIF(tweets!C:C,D16)</f>
        <v>10</v>
      </c>
      <c r="J16" s="5" t="s">
        <v>1705</v>
      </c>
      <c r="K16">
        <f>COUNTIF(tweets!H:H,J16)</f>
        <v>5</v>
      </c>
    </row>
    <row r="17" spans="1:11" x14ac:dyDescent="0.2">
      <c r="A17" t="s">
        <v>81</v>
      </c>
      <c r="B17">
        <f>COUNTIF(tweets!D:D,A17)</f>
        <v>11</v>
      </c>
      <c r="D17" t="s">
        <v>429</v>
      </c>
      <c r="E17">
        <f>COUNTIF(tweets!C:C,D17)</f>
        <v>10</v>
      </c>
      <c r="J17" s="5" t="s">
        <v>1823</v>
      </c>
      <c r="K17">
        <f>COUNTIF(tweets!H:H,J17)</f>
        <v>5</v>
      </c>
    </row>
    <row r="18" spans="1:11" x14ac:dyDescent="0.2">
      <c r="A18" t="s">
        <v>337</v>
      </c>
      <c r="B18">
        <f>COUNTIF(tweets!D:D,A18)</f>
        <v>11</v>
      </c>
      <c r="D18" t="s">
        <v>496</v>
      </c>
      <c r="E18">
        <f>COUNTIF(tweets!C:C,D18)</f>
        <v>10</v>
      </c>
      <c r="J18" s="5" t="s">
        <v>2377</v>
      </c>
      <c r="K18">
        <f>COUNTIF(tweets!H:H,J18)</f>
        <v>5</v>
      </c>
    </row>
    <row r="19" spans="1:11" x14ac:dyDescent="0.2">
      <c r="A19" t="s">
        <v>697</v>
      </c>
      <c r="B19">
        <f>COUNTIF(tweets!D:D,A19)</f>
        <v>11</v>
      </c>
      <c r="D19" t="s">
        <v>589</v>
      </c>
      <c r="E19">
        <f>COUNTIF(tweets!C:C,D19)</f>
        <v>10</v>
      </c>
      <c r="J19" s="5" t="s">
        <v>918</v>
      </c>
      <c r="K19">
        <f>COUNTIF(tweets!H:H,J19)</f>
        <v>3</v>
      </c>
    </row>
    <row r="20" spans="1:11" x14ac:dyDescent="0.2">
      <c r="A20" t="s">
        <v>180</v>
      </c>
      <c r="B20">
        <f>COUNTIF(tweets!D:D,A20)</f>
        <v>11</v>
      </c>
      <c r="D20" t="s">
        <v>599</v>
      </c>
      <c r="E20">
        <f>COUNTIF(tweets!C:C,D20)</f>
        <v>10</v>
      </c>
      <c r="J20" s="5" t="s">
        <v>1689</v>
      </c>
      <c r="K20">
        <f>COUNTIF(tweets!H:H,J20)</f>
        <v>2</v>
      </c>
    </row>
    <row r="21" spans="1:11" x14ac:dyDescent="0.2">
      <c r="A21" t="s">
        <v>108</v>
      </c>
      <c r="B21">
        <f>COUNTIF(tweets!D:D,A21)</f>
        <v>11</v>
      </c>
      <c r="D21" t="s">
        <v>604</v>
      </c>
      <c r="E21">
        <f>COUNTIF(tweets!C:C,D21)</f>
        <v>10</v>
      </c>
      <c r="J21" s="5" t="s">
        <v>5051</v>
      </c>
      <c r="K21">
        <f>COUNTIF(tweets!H:H,J21)</f>
        <v>2</v>
      </c>
    </row>
    <row r="22" spans="1:11" x14ac:dyDescent="0.2">
      <c r="A22" t="s">
        <v>430</v>
      </c>
      <c r="B22">
        <f>COUNTIF(tweets!D:D,A22)</f>
        <v>10</v>
      </c>
      <c r="D22" t="s">
        <v>631</v>
      </c>
      <c r="E22">
        <f>COUNTIF(tweets!C:C,D22)</f>
        <v>10</v>
      </c>
      <c r="J22" s="5" t="s">
        <v>1582</v>
      </c>
      <c r="K22">
        <f>COUNTIF(tweets!H:H,J22)</f>
        <v>1</v>
      </c>
    </row>
    <row r="23" spans="1:11" x14ac:dyDescent="0.2">
      <c r="A23" t="s">
        <v>497</v>
      </c>
      <c r="B23">
        <f>COUNTIF(tweets!D:D,A23)</f>
        <v>10</v>
      </c>
      <c r="D23" t="s">
        <v>634</v>
      </c>
      <c r="E23">
        <f>COUNTIF(tweets!C:C,D23)</f>
        <v>10</v>
      </c>
      <c r="J23" s="5" t="s">
        <v>3266</v>
      </c>
      <c r="K23">
        <f>COUNTIF(tweets!H:H,J23)</f>
        <v>1</v>
      </c>
    </row>
    <row r="24" spans="1:11" x14ac:dyDescent="0.2">
      <c r="A24" t="s">
        <v>658</v>
      </c>
      <c r="B24">
        <f>COUNTIF(tweets!D:D,A24)</f>
        <v>10</v>
      </c>
      <c r="D24" t="s">
        <v>657</v>
      </c>
      <c r="E24">
        <f>COUNTIF(tweets!C:C,D24)</f>
        <v>10</v>
      </c>
      <c r="J24" s="5" t="s">
        <v>3450</v>
      </c>
      <c r="K24">
        <f>COUNTIF(tweets!H:H,J24)</f>
        <v>1</v>
      </c>
    </row>
    <row r="25" spans="1:11" x14ac:dyDescent="0.2">
      <c r="A25" t="s">
        <v>1552</v>
      </c>
      <c r="B25">
        <f>COUNTIF(tweets!D:D,A25)</f>
        <v>10</v>
      </c>
      <c r="D25" t="s">
        <v>713</v>
      </c>
      <c r="E25">
        <f>COUNTIF(tweets!C:C,D25)</f>
        <v>10</v>
      </c>
      <c r="I25"/>
      <c r="J25" s="5" t="s">
        <v>6166</v>
      </c>
      <c r="K25">
        <f>COUNTIF(tweets!H:H,J25)</f>
        <v>1</v>
      </c>
    </row>
    <row r="26" spans="1:11" x14ac:dyDescent="0.2">
      <c r="A26" t="s">
        <v>714</v>
      </c>
      <c r="B26">
        <f>COUNTIF(tweets!D:D,A26)</f>
        <v>10</v>
      </c>
      <c r="D26" t="s">
        <v>1316</v>
      </c>
      <c r="E26">
        <f>COUNTIF(tweets!C:C,D26)</f>
        <v>10</v>
      </c>
      <c r="I26"/>
    </row>
    <row r="27" spans="1:11" x14ac:dyDescent="0.2">
      <c r="A27" t="s">
        <v>590</v>
      </c>
      <c r="B27">
        <f>COUNTIF(tweets!D:D,A27)</f>
        <v>10</v>
      </c>
      <c r="D27" t="s">
        <v>440</v>
      </c>
      <c r="E27">
        <f>COUNTIF(tweets!C:C,D27)</f>
        <v>9</v>
      </c>
      <c r="I27"/>
      <c r="J27"/>
    </row>
    <row r="28" spans="1:11" x14ac:dyDescent="0.2">
      <c r="A28" t="s">
        <v>516</v>
      </c>
      <c r="B28">
        <f>COUNTIF(tweets!D:D,A28)</f>
        <v>10</v>
      </c>
      <c r="D28" t="s">
        <v>586</v>
      </c>
      <c r="E28">
        <f>COUNTIF(tweets!C:C,D28)</f>
        <v>9</v>
      </c>
      <c r="I28"/>
      <c r="J28"/>
    </row>
    <row r="29" spans="1:11" x14ac:dyDescent="0.2">
      <c r="A29" t="s">
        <v>319</v>
      </c>
      <c r="B29">
        <f>COUNTIF(tweets!D:D,A29)</f>
        <v>10</v>
      </c>
      <c r="D29" t="s">
        <v>596</v>
      </c>
      <c r="E29">
        <f>COUNTIF(tweets!C:C,D29)</f>
        <v>9</v>
      </c>
      <c r="I29"/>
      <c r="J29"/>
    </row>
    <row r="30" spans="1:11" x14ac:dyDescent="0.2">
      <c r="A30" t="s">
        <v>1317</v>
      </c>
      <c r="B30">
        <f>COUNTIF(tweets!D:D,A30)</f>
        <v>10</v>
      </c>
      <c r="D30" t="s">
        <v>1718</v>
      </c>
      <c r="E30">
        <f>COUNTIF(tweets!C:C,D30)</f>
        <v>9</v>
      </c>
      <c r="I30"/>
      <c r="J30"/>
    </row>
    <row r="31" spans="1:11" x14ac:dyDescent="0.2">
      <c r="A31" t="s">
        <v>635</v>
      </c>
      <c r="B31">
        <f>COUNTIF(tweets!D:D,A31)</f>
        <v>10</v>
      </c>
      <c r="D31" t="s">
        <v>610</v>
      </c>
      <c r="E31">
        <f>COUNTIF(tweets!C:C,D31)</f>
        <v>8</v>
      </c>
      <c r="I31"/>
      <c r="J31"/>
    </row>
    <row r="32" spans="1:11" x14ac:dyDescent="0.2">
      <c r="A32" t="s">
        <v>441</v>
      </c>
      <c r="B32">
        <f>COUNTIF(tweets!D:D,A32)</f>
        <v>10</v>
      </c>
      <c r="D32" t="s">
        <v>617</v>
      </c>
      <c r="E32">
        <f>COUNTIF(tweets!C:C,D32)</f>
        <v>8</v>
      </c>
      <c r="I32"/>
      <c r="J32"/>
    </row>
    <row r="33" spans="1:10" x14ac:dyDescent="0.2">
      <c r="A33" t="s">
        <v>605</v>
      </c>
      <c r="B33">
        <f>COUNTIF(tweets!D:D,A33)</f>
        <v>10</v>
      </c>
      <c r="D33" t="s">
        <v>796</v>
      </c>
      <c r="E33">
        <f>COUNTIF(tweets!C:C,D33)</f>
        <v>8</v>
      </c>
      <c r="I33"/>
      <c r="J33"/>
    </row>
    <row r="34" spans="1:10" x14ac:dyDescent="0.2">
      <c r="A34" t="s">
        <v>1785</v>
      </c>
      <c r="B34">
        <f>COUNTIF(tweets!D:D,A34)</f>
        <v>9</v>
      </c>
      <c r="D34" t="s">
        <v>1149</v>
      </c>
      <c r="E34">
        <f>COUNTIF(tweets!C:C,D34)</f>
        <v>8</v>
      </c>
      <c r="I34"/>
      <c r="J34"/>
    </row>
    <row r="35" spans="1:10" x14ac:dyDescent="0.2">
      <c r="A35" t="s">
        <v>1343</v>
      </c>
      <c r="B35">
        <f>COUNTIF(tweets!D:D,A35)</f>
        <v>9</v>
      </c>
      <c r="D35" t="s">
        <v>50</v>
      </c>
      <c r="E35">
        <f>COUNTIF(tweets!C:C,D35)</f>
        <v>7</v>
      </c>
      <c r="I35"/>
      <c r="J35"/>
    </row>
    <row r="36" spans="1:10" x14ac:dyDescent="0.2">
      <c r="A36" t="s">
        <v>355</v>
      </c>
      <c r="B36">
        <f>COUNTIF(tweets!D:D,A36)</f>
        <v>9</v>
      </c>
      <c r="D36" t="s">
        <v>687</v>
      </c>
      <c r="E36">
        <f>COUNTIF(tweets!C:C,D36)</f>
        <v>7</v>
      </c>
      <c r="I36"/>
      <c r="J36"/>
    </row>
    <row r="37" spans="1:10" x14ac:dyDescent="0.2">
      <c r="A37" t="s">
        <v>1719</v>
      </c>
      <c r="B37">
        <f>COUNTIF(tweets!D:D,A37)</f>
        <v>9</v>
      </c>
      <c r="D37" t="s">
        <v>862</v>
      </c>
      <c r="E37">
        <f>COUNTIF(tweets!C:C,D37)</f>
        <v>7</v>
      </c>
      <c r="I37"/>
      <c r="J37"/>
    </row>
    <row r="38" spans="1:10" x14ac:dyDescent="0.2">
      <c r="A38" t="s">
        <v>3303</v>
      </c>
      <c r="B38">
        <f>COUNTIF(tweets!D:D,A38)</f>
        <v>9</v>
      </c>
      <c r="D38" t="s">
        <v>6227</v>
      </c>
      <c r="E38">
        <f>COUNTIF(tweets!C:C,D38)</f>
        <v>7</v>
      </c>
      <c r="I38"/>
      <c r="J38"/>
    </row>
    <row r="39" spans="1:10" x14ac:dyDescent="0.2">
      <c r="A39" t="s">
        <v>51</v>
      </c>
      <c r="B39">
        <f>COUNTIF(tweets!D:D,A39)</f>
        <v>9</v>
      </c>
      <c r="D39" t="s">
        <v>1355</v>
      </c>
      <c r="E39">
        <f>COUNTIF(tweets!C:C,D39)</f>
        <v>6</v>
      </c>
      <c r="I39"/>
      <c r="J39"/>
    </row>
    <row r="40" spans="1:10" x14ac:dyDescent="0.2">
      <c r="A40" t="s">
        <v>790</v>
      </c>
      <c r="B40">
        <f>COUNTIF(tweets!D:D,A40)</f>
        <v>8</v>
      </c>
      <c r="D40" t="s">
        <v>2486</v>
      </c>
      <c r="E40">
        <f>COUNTIF(tweets!C:C,D40)</f>
        <v>6</v>
      </c>
      <c r="I40"/>
      <c r="J40"/>
    </row>
    <row r="41" spans="1:10" x14ac:dyDescent="0.2">
      <c r="A41" t="s">
        <v>611</v>
      </c>
      <c r="B41">
        <f>COUNTIF(tweets!D:D,A41)</f>
        <v>8</v>
      </c>
      <c r="D41" t="s">
        <v>2874</v>
      </c>
      <c r="E41">
        <f>COUNTIF(tweets!C:C,D41)</f>
        <v>6</v>
      </c>
      <c r="I41"/>
      <c r="J41"/>
    </row>
    <row r="42" spans="1:10" x14ac:dyDescent="0.2">
      <c r="A42" t="s">
        <v>2483</v>
      </c>
      <c r="B42">
        <f>COUNTIF(tweets!D:D,A42)</f>
        <v>8</v>
      </c>
      <c r="D42" t="s">
        <v>3964</v>
      </c>
      <c r="E42">
        <f>COUNTIF(tweets!C:C,D42)</f>
        <v>6</v>
      </c>
      <c r="I42"/>
      <c r="J42"/>
    </row>
    <row r="43" spans="1:10" x14ac:dyDescent="0.2">
      <c r="A43" t="s">
        <v>197</v>
      </c>
      <c r="B43">
        <f>COUNTIF(tweets!D:D,A43)</f>
        <v>8</v>
      </c>
      <c r="D43" t="s">
        <v>371</v>
      </c>
      <c r="E43">
        <f>COUNTIF(tweets!C:C,D43)</f>
        <v>5</v>
      </c>
      <c r="I43"/>
      <c r="J43"/>
    </row>
    <row r="44" spans="1:10" x14ac:dyDescent="0.2">
      <c r="A44" t="s">
        <v>1479</v>
      </c>
      <c r="B44">
        <f>COUNTIF(tweets!D:D,A44)</f>
        <v>8</v>
      </c>
      <c r="D44" t="s">
        <v>396</v>
      </c>
      <c r="E44">
        <f>COUNTIF(tweets!C:C,D44)</f>
        <v>5</v>
      </c>
      <c r="I44"/>
      <c r="J44"/>
    </row>
    <row r="45" spans="1:10" x14ac:dyDescent="0.2">
      <c r="A45" t="s">
        <v>594</v>
      </c>
      <c r="B45">
        <f>COUNTIF(tweets!D:D,A45)</f>
        <v>8</v>
      </c>
      <c r="D45" t="s">
        <v>696</v>
      </c>
      <c r="E45">
        <f>COUNTIF(tweets!C:C,D45)</f>
        <v>5</v>
      </c>
      <c r="I45"/>
      <c r="J45"/>
    </row>
    <row r="46" spans="1:10" x14ac:dyDescent="0.2">
      <c r="A46" t="s">
        <v>797</v>
      </c>
      <c r="B46">
        <f>COUNTIF(tweets!D:D,A46)</f>
        <v>8</v>
      </c>
      <c r="D46" t="s">
        <v>782</v>
      </c>
      <c r="E46">
        <f>COUNTIF(tweets!C:C,D46)</f>
        <v>5</v>
      </c>
      <c r="I46"/>
      <c r="J46"/>
    </row>
    <row r="47" spans="1:10" x14ac:dyDescent="0.2">
      <c r="A47" t="s">
        <v>1356</v>
      </c>
      <c r="B47">
        <f>COUNTIF(tweets!D:D,A47)</f>
        <v>8</v>
      </c>
      <c r="D47" t="s">
        <v>1109</v>
      </c>
      <c r="E47">
        <f>COUNTIF(tweets!C:C,D47)</f>
        <v>5</v>
      </c>
      <c r="I47"/>
      <c r="J47"/>
    </row>
    <row r="48" spans="1:10" x14ac:dyDescent="0.2">
      <c r="A48" t="s">
        <v>1967</v>
      </c>
      <c r="B48">
        <f>COUNTIF(tweets!D:D,A48)</f>
        <v>8</v>
      </c>
      <c r="D48" t="s">
        <v>1277</v>
      </c>
      <c r="E48">
        <f>COUNTIF(tweets!C:C,D48)</f>
        <v>5</v>
      </c>
      <c r="I48"/>
      <c r="J48"/>
    </row>
    <row r="49" spans="1:10" x14ac:dyDescent="0.2">
      <c r="A49" t="s">
        <v>4030</v>
      </c>
      <c r="B49">
        <f>COUNTIF(tweets!D:D,A49)</f>
        <v>7</v>
      </c>
      <c r="D49" t="s">
        <v>1307</v>
      </c>
      <c r="E49">
        <f>COUNTIF(tweets!C:C,D49)</f>
        <v>5</v>
      </c>
      <c r="I49"/>
      <c r="J49"/>
    </row>
    <row r="50" spans="1:10" x14ac:dyDescent="0.2">
      <c r="A50" t="s">
        <v>186</v>
      </c>
      <c r="B50">
        <f>COUNTIF(tweets!D:D,A50)</f>
        <v>7</v>
      </c>
      <c r="D50" t="s">
        <v>172</v>
      </c>
      <c r="E50">
        <f>COUNTIF(tweets!C:C,D50)</f>
        <v>4</v>
      </c>
      <c r="I50"/>
      <c r="J50"/>
    </row>
    <row r="51" spans="1:10" x14ac:dyDescent="0.2">
      <c r="A51" t="s">
        <v>2363</v>
      </c>
      <c r="B51">
        <f>COUNTIF(tweets!D:D,A51)</f>
        <v>7</v>
      </c>
      <c r="D51" t="s">
        <v>175</v>
      </c>
      <c r="E51">
        <f>COUNTIF(tweets!C:C,D51)</f>
        <v>4</v>
      </c>
      <c r="I51"/>
      <c r="J51"/>
    </row>
    <row r="52" spans="1:10" x14ac:dyDescent="0.2">
      <c r="A52" t="s">
        <v>2130</v>
      </c>
      <c r="B52">
        <f>COUNTIF(tweets!D:D,A52)</f>
        <v>7</v>
      </c>
      <c r="D52" t="s">
        <v>418</v>
      </c>
      <c r="E52">
        <f>COUNTIF(tweets!C:C,D52)</f>
        <v>4</v>
      </c>
      <c r="I52"/>
      <c r="J52"/>
    </row>
    <row r="53" spans="1:10" x14ac:dyDescent="0.2">
      <c r="A53" t="s">
        <v>1913</v>
      </c>
      <c r="B53">
        <f>COUNTIF(tweets!D:D,A53)</f>
        <v>7</v>
      </c>
      <c r="D53" t="s">
        <v>492</v>
      </c>
      <c r="E53">
        <f>COUNTIF(tweets!C:C,D53)</f>
        <v>4</v>
      </c>
      <c r="I53"/>
      <c r="J53"/>
    </row>
    <row r="54" spans="1:10" x14ac:dyDescent="0.2">
      <c r="A54" t="s">
        <v>426</v>
      </c>
      <c r="B54">
        <f>COUNTIF(tweets!D:D,A54)</f>
        <v>7</v>
      </c>
      <c r="D54" t="s">
        <v>1050</v>
      </c>
      <c r="E54">
        <f>COUNTIF(tweets!C:C,D54)</f>
        <v>4</v>
      </c>
      <c r="I54"/>
      <c r="J54"/>
    </row>
    <row r="55" spans="1:10" x14ac:dyDescent="0.2">
      <c r="A55" t="s">
        <v>1454</v>
      </c>
      <c r="B55">
        <f>COUNTIF(tweets!D:D,A55)</f>
        <v>6</v>
      </c>
      <c r="D55" t="s">
        <v>1342</v>
      </c>
      <c r="E55">
        <f>COUNTIF(tweets!C:C,D55)</f>
        <v>4</v>
      </c>
      <c r="I55"/>
      <c r="J55"/>
    </row>
    <row r="56" spans="1:10" x14ac:dyDescent="0.2">
      <c r="A56" t="s">
        <v>2623</v>
      </c>
      <c r="B56">
        <f>COUNTIF(tweets!D:D,A56)</f>
        <v>6</v>
      </c>
      <c r="D56" t="s">
        <v>2365</v>
      </c>
      <c r="E56">
        <f>COUNTIF(tweets!C:C,D56)</f>
        <v>4</v>
      </c>
      <c r="I56"/>
      <c r="J56"/>
    </row>
    <row r="57" spans="1:10" x14ac:dyDescent="0.2">
      <c r="A57" t="s">
        <v>445</v>
      </c>
      <c r="B57">
        <f>COUNTIF(tweets!D:D,A57)</f>
        <v>6</v>
      </c>
      <c r="D57" t="s">
        <v>2864</v>
      </c>
      <c r="E57">
        <f>COUNTIF(tweets!C:C,D57)</f>
        <v>4</v>
      </c>
      <c r="I57"/>
      <c r="J57"/>
    </row>
    <row r="58" spans="1:10" x14ac:dyDescent="0.2">
      <c r="A58" t="s">
        <v>564</v>
      </c>
      <c r="B58">
        <f>COUNTIF(tweets!D:D,A58)</f>
        <v>6</v>
      </c>
      <c r="D58" t="s">
        <v>3777</v>
      </c>
      <c r="E58">
        <f>COUNTIF(tweets!C:C,D58)</f>
        <v>4</v>
      </c>
      <c r="I58"/>
      <c r="J58"/>
    </row>
    <row r="59" spans="1:10" x14ac:dyDescent="0.2">
      <c r="A59" t="s">
        <v>1091</v>
      </c>
      <c r="B59">
        <f>COUNTIF(tweets!D:D,A59)</f>
        <v>6</v>
      </c>
      <c r="D59" t="s">
        <v>4927</v>
      </c>
      <c r="E59">
        <f>COUNTIF(tweets!C:C,D59)</f>
        <v>4</v>
      </c>
      <c r="I59"/>
      <c r="J59"/>
    </row>
    <row r="60" spans="1:10" x14ac:dyDescent="0.2">
      <c r="A60" t="s">
        <v>1383</v>
      </c>
      <c r="B60">
        <f>COUNTIF(tweets!D:D,A60)</f>
        <v>6</v>
      </c>
      <c r="D60" t="s">
        <v>5214</v>
      </c>
      <c r="E60">
        <f>COUNTIF(tweets!C:C,D60)</f>
        <v>4</v>
      </c>
      <c r="I60"/>
      <c r="J60"/>
    </row>
    <row r="61" spans="1:10" x14ac:dyDescent="0.2">
      <c r="A61" t="s">
        <v>776</v>
      </c>
      <c r="B61">
        <f>COUNTIF(tweets!D:D,A61)</f>
        <v>6</v>
      </c>
      <c r="D61" t="s">
        <v>5233</v>
      </c>
      <c r="E61">
        <f>COUNTIF(tweets!C:C,D61)</f>
        <v>4</v>
      </c>
      <c r="I61"/>
      <c r="J61"/>
    </row>
    <row r="62" spans="1:10" x14ac:dyDescent="0.2">
      <c r="A62" t="s">
        <v>3833</v>
      </c>
      <c r="B62">
        <f>COUNTIF(tweets!D:D,A62)</f>
        <v>5</v>
      </c>
      <c r="D62" t="s">
        <v>5445</v>
      </c>
      <c r="E62">
        <f>COUNTIF(tweets!C:C,D62)</f>
        <v>4</v>
      </c>
      <c r="I62"/>
      <c r="J62"/>
    </row>
    <row r="63" spans="1:10" x14ac:dyDescent="0.2">
      <c r="A63" t="s">
        <v>1963</v>
      </c>
      <c r="B63">
        <f>COUNTIF(tweets!D:D,A63)</f>
        <v>5</v>
      </c>
      <c r="D63" t="s">
        <v>5704</v>
      </c>
      <c r="E63">
        <f>COUNTIF(tweets!C:C,D63)</f>
        <v>4</v>
      </c>
      <c r="I63"/>
      <c r="J63"/>
    </row>
    <row r="64" spans="1:10" x14ac:dyDescent="0.2">
      <c r="A64" t="s">
        <v>1308</v>
      </c>
      <c r="B64">
        <f>COUNTIF(tweets!D:D,A64)</f>
        <v>5</v>
      </c>
      <c r="D64" t="s">
        <v>5930</v>
      </c>
      <c r="E64">
        <f>COUNTIF(tweets!C:C,D64)</f>
        <v>4</v>
      </c>
      <c r="I64"/>
      <c r="J64"/>
    </row>
    <row r="65" spans="1:10" x14ac:dyDescent="0.2">
      <c r="A65" t="s">
        <v>1110</v>
      </c>
      <c r="B65">
        <f>COUNTIF(tweets!D:D,A65)</f>
        <v>5</v>
      </c>
      <c r="D65" t="s">
        <v>77</v>
      </c>
      <c r="E65">
        <f>COUNTIF(tweets!C:C,D65)</f>
        <v>3</v>
      </c>
      <c r="I65"/>
      <c r="J65"/>
    </row>
    <row r="66" spans="1:10" x14ac:dyDescent="0.2">
      <c r="A66" t="s">
        <v>1278</v>
      </c>
      <c r="B66">
        <f>COUNTIF(tweets!D:D,A66)</f>
        <v>5</v>
      </c>
      <c r="D66" t="s">
        <v>103</v>
      </c>
      <c r="E66">
        <f>COUNTIF(tweets!C:C,D66)</f>
        <v>3</v>
      </c>
      <c r="I66"/>
      <c r="J66"/>
    </row>
    <row r="67" spans="1:10" x14ac:dyDescent="0.2">
      <c r="A67" t="s">
        <v>1448</v>
      </c>
      <c r="B67">
        <f>COUNTIF(tweets!D:D,A67)</f>
        <v>5</v>
      </c>
      <c r="D67" t="s">
        <v>208</v>
      </c>
      <c r="E67">
        <f>COUNTIF(tweets!C:C,D67)</f>
        <v>3</v>
      </c>
      <c r="I67"/>
      <c r="J67"/>
    </row>
    <row r="68" spans="1:10" x14ac:dyDescent="0.2">
      <c r="A68" t="s">
        <v>176</v>
      </c>
      <c r="B68">
        <f>COUNTIF(tweets!D:D,A68)</f>
        <v>5</v>
      </c>
      <c r="D68" t="s">
        <v>381</v>
      </c>
      <c r="E68">
        <f>COUNTIF(tweets!C:C,D68)</f>
        <v>3</v>
      </c>
      <c r="I68"/>
      <c r="J68"/>
    </row>
    <row r="69" spans="1:10" x14ac:dyDescent="0.2">
      <c r="A69" t="s">
        <v>2814</v>
      </c>
      <c r="B69">
        <f>COUNTIF(tweets!D:D,A69)</f>
        <v>5</v>
      </c>
      <c r="D69" t="s">
        <v>500</v>
      </c>
      <c r="E69">
        <f>COUNTIF(tweets!C:C,D69)</f>
        <v>3</v>
      </c>
      <c r="I69"/>
      <c r="J69"/>
    </row>
    <row r="70" spans="1:10" x14ac:dyDescent="0.2">
      <c r="A70" t="s">
        <v>1874</v>
      </c>
      <c r="B70">
        <f>COUNTIF(tweets!D:D,A70)</f>
        <v>5</v>
      </c>
      <c r="D70" t="s">
        <v>675</v>
      </c>
      <c r="E70">
        <f>COUNTIF(tweets!C:C,D70)</f>
        <v>3</v>
      </c>
      <c r="I70"/>
      <c r="J70"/>
    </row>
    <row r="71" spans="1:10" x14ac:dyDescent="0.2">
      <c r="A71" t="s">
        <v>1045</v>
      </c>
      <c r="B71">
        <f>COUNTIF(tweets!D:D,A71)</f>
        <v>5</v>
      </c>
      <c r="D71" t="s">
        <v>703</v>
      </c>
      <c r="E71">
        <f>COUNTIF(tweets!C:C,D71)</f>
        <v>3</v>
      </c>
      <c r="I71"/>
      <c r="J71"/>
    </row>
    <row r="72" spans="1:10" x14ac:dyDescent="0.2">
      <c r="A72" t="s">
        <v>883</v>
      </c>
      <c r="B72">
        <f>COUNTIF(tweets!D:D,A72)</f>
        <v>5</v>
      </c>
      <c r="D72" t="s">
        <v>840</v>
      </c>
      <c r="E72">
        <f>COUNTIF(tweets!C:C,D72)</f>
        <v>3</v>
      </c>
      <c r="I72"/>
      <c r="J72"/>
    </row>
    <row r="73" spans="1:10" x14ac:dyDescent="0.2">
      <c r="A73" t="s">
        <v>1051</v>
      </c>
      <c r="B73">
        <f>COUNTIF(tweets!D:D,A73)</f>
        <v>4</v>
      </c>
      <c r="D73" t="s">
        <v>950</v>
      </c>
      <c r="E73">
        <f>COUNTIF(tweets!C:C,D73)</f>
        <v>3</v>
      </c>
      <c r="I73"/>
      <c r="J73"/>
    </row>
    <row r="74" spans="1:10" x14ac:dyDescent="0.2">
      <c r="A74" t="s">
        <v>1061</v>
      </c>
      <c r="B74">
        <f>COUNTIF(tweets!D:D,A74)</f>
        <v>4</v>
      </c>
      <c r="D74" t="s">
        <v>1346</v>
      </c>
      <c r="E74">
        <f>COUNTIF(tweets!C:C,D74)</f>
        <v>3</v>
      </c>
      <c r="I74"/>
      <c r="J74"/>
    </row>
    <row r="75" spans="1:10" x14ac:dyDescent="0.2">
      <c r="A75" t="s">
        <v>3778</v>
      </c>
      <c r="B75">
        <f>COUNTIF(tweets!D:D,A75)</f>
        <v>4</v>
      </c>
      <c r="D75" t="s">
        <v>1557</v>
      </c>
      <c r="E75">
        <f>COUNTIF(tweets!C:C,D75)</f>
        <v>3</v>
      </c>
      <c r="I75"/>
      <c r="J75"/>
    </row>
    <row r="76" spans="1:10" x14ac:dyDescent="0.2">
      <c r="A76" t="s">
        <v>2327</v>
      </c>
      <c r="B76">
        <f>COUNTIF(tweets!D:D,A76)</f>
        <v>4</v>
      </c>
      <c r="D76" t="s">
        <v>1643</v>
      </c>
      <c r="E76">
        <f>COUNTIF(tweets!C:C,D76)</f>
        <v>3</v>
      </c>
      <c r="I76"/>
      <c r="J76"/>
    </row>
    <row r="77" spans="1:10" x14ac:dyDescent="0.2">
      <c r="A77" t="s">
        <v>30</v>
      </c>
      <c r="B77">
        <f>COUNTIF(tweets!D:D,A77)</f>
        <v>4</v>
      </c>
      <c r="D77" t="s">
        <v>1933</v>
      </c>
      <c r="E77">
        <f>COUNTIF(tweets!C:C,D77)</f>
        <v>3</v>
      </c>
      <c r="I77"/>
      <c r="J77"/>
    </row>
    <row r="78" spans="1:10" x14ac:dyDescent="0.2">
      <c r="A78" t="s">
        <v>493</v>
      </c>
      <c r="B78">
        <f>COUNTIF(tweets!D:D,A78)</f>
        <v>4</v>
      </c>
      <c r="D78" t="s">
        <v>1978</v>
      </c>
      <c r="E78">
        <f>COUNTIF(tweets!C:C,D78)</f>
        <v>3</v>
      </c>
      <c r="I78"/>
      <c r="J78"/>
    </row>
    <row r="79" spans="1:10" x14ac:dyDescent="0.2">
      <c r="A79" t="s">
        <v>3125</v>
      </c>
      <c r="B79">
        <f>COUNTIF(tweets!D:D,A79)</f>
        <v>4</v>
      </c>
      <c r="D79" t="s">
        <v>2191</v>
      </c>
      <c r="E79">
        <f>COUNTIF(tweets!C:C,D79)</f>
        <v>3</v>
      </c>
      <c r="I79"/>
      <c r="J79"/>
    </row>
    <row r="80" spans="1:10" x14ac:dyDescent="0.2">
      <c r="A80" t="s">
        <v>1328</v>
      </c>
      <c r="B80">
        <f>COUNTIF(tweets!D:D,A80)</f>
        <v>4</v>
      </c>
      <c r="D80" t="s">
        <v>2248</v>
      </c>
      <c r="E80">
        <f>COUNTIF(tweets!C:C,D80)</f>
        <v>3</v>
      </c>
      <c r="I80"/>
      <c r="J80"/>
    </row>
    <row r="81" spans="1:10" x14ac:dyDescent="0.2">
      <c r="A81" t="s">
        <v>1254</v>
      </c>
      <c r="B81">
        <f>COUNTIF(tweets!D:D,A81)</f>
        <v>4</v>
      </c>
      <c r="D81" t="s">
        <v>2478</v>
      </c>
      <c r="E81">
        <f>COUNTIF(tweets!C:C,D81)</f>
        <v>3</v>
      </c>
      <c r="I81"/>
      <c r="J81"/>
    </row>
    <row r="82" spans="1:10" x14ac:dyDescent="0.2">
      <c r="A82" t="s">
        <v>2002</v>
      </c>
      <c r="B82">
        <f>COUNTIF(tweets!D:D,A82)</f>
        <v>4</v>
      </c>
      <c r="D82" t="s">
        <v>2857</v>
      </c>
      <c r="E82">
        <f>COUNTIF(tweets!C:C,D82)</f>
        <v>3</v>
      </c>
      <c r="I82"/>
      <c r="J82"/>
    </row>
    <row r="83" spans="1:10" x14ac:dyDescent="0.2">
      <c r="A83" t="s">
        <v>986</v>
      </c>
      <c r="B83">
        <f>COUNTIF(tweets!D:D,A83)</f>
        <v>4</v>
      </c>
      <c r="D83" t="s">
        <v>2888</v>
      </c>
      <c r="E83">
        <f>COUNTIF(tweets!C:C,D83)</f>
        <v>3</v>
      </c>
      <c r="I83"/>
      <c r="J83"/>
    </row>
    <row r="84" spans="1:10" x14ac:dyDescent="0.2">
      <c r="A84" t="s">
        <v>2366</v>
      </c>
      <c r="B84">
        <f>COUNTIF(tweets!D:D,A84)</f>
        <v>4</v>
      </c>
      <c r="D84" t="s">
        <v>2989</v>
      </c>
      <c r="E84">
        <f>COUNTIF(tweets!C:C,D84)</f>
        <v>3</v>
      </c>
      <c r="I84"/>
      <c r="J84"/>
    </row>
    <row r="85" spans="1:10" x14ac:dyDescent="0.2">
      <c r="A85" t="s">
        <v>3517</v>
      </c>
      <c r="B85">
        <f>COUNTIF(tweets!D:D,A85)</f>
        <v>4</v>
      </c>
      <c r="D85" t="s">
        <v>3075</v>
      </c>
      <c r="E85">
        <f>COUNTIF(tweets!C:C,D85)</f>
        <v>3</v>
      </c>
      <c r="I85"/>
      <c r="J85"/>
    </row>
    <row r="86" spans="1:10" x14ac:dyDescent="0.2">
      <c r="A86" t="s">
        <v>5115</v>
      </c>
      <c r="B86">
        <f>COUNTIF(tweets!D:D,A86)</f>
        <v>4</v>
      </c>
      <c r="D86" t="s">
        <v>3086</v>
      </c>
      <c r="E86">
        <f>COUNTIF(tweets!C:C,D86)</f>
        <v>3</v>
      </c>
      <c r="I86"/>
      <c r="J86"/>
    </row>
    <row r="87" spans="1:10" x14ac:dyDescent="0.2">
      <c r="A87" t="s">
        <v>2994</v>
      </c>
      <c r="B87">
        <f>COUNTIF(tweets!D:D,A87)</f>
        <v>4</v>
      </c>
      <c r="D87" t="s">
        <v>3442</v>
      </c>
      <c r="E87">
        <f>COUNTIF(tweets!C:C,D87)</f>
        <v>3</v>
      </c>
      <c r="I87"/>
      <c r="J87"/>
    </row>
    <row r="88" spans="1:10" x14ac:dyDescent="0.2">
      <c r="A88" t="s">
        <v>2955</v>
      </c>
      <c r="B88">
        <f>COUNTIF(tweets!D:D,A88)</f>
        <v>4</v>
      </c>
      <c r="D88" t="s">
        <v>3745</v>
      </c>
      <c r="E88">
        <f>COUNTIF(tweets!C:C,D88)</f>
        <v>3</v>
      </c>
      <c r="I88"/>
      <c r="J88"/>
    </row>
    <row r="89" spans="1:10" x14ac:dyDescent="0.2">
      <c r="A89" t="s">
        <v>1830</v>
      </c>
      <c r="B89">
        <f>COUNTIF(tweets!D:D,A89)</f>
        <v>4</v>
      </c>
      <c r="D89" t="s">
        <v>3792</v>
      </c>
      <c r="E89">
        <f>COUNTIF(tweets!C:C,D89)</f>
        <v>3</v>
      </c>
      <c r="I89"/>
      <c r="J89"/>
    </row>
    <row r="90" spans="1:10" x14ac:dyDescent="0.2">
      <c r="A90" t="s">
        <v>419</v>
      </c>
      <c r="B90">
        <f>COUNTIF(tweets!D:D,A90)</f>
        <v>4</v>
      </c>
      <c r="D90" t="s">
        <v>4167</v>
      </c>
      <c r="E90">
        <f>COUNTIF(tweets!C:C,D90)</f>
        <v>3</v>
      </c>
      <c r="I90"/>
      <c r="J90"/>
    </row>
    <row r="91" spans="1:10" x14ac:dyDescent="0.2">
      <c r="A91" t="s">
        <v>5215</v>
      </c>
      <c r="B91">
        <f>COUNTIF(tweets!D:D,A91)</f>
        <v>4</v>
      </c>
      <c r="D91" t="s">
        <v>4173</v>
      </c>
      <c r="E91">
        <f>COUNTIF(tweets!C:C,D91)</f>
        <v>3</v>
      </c>
      <c r="I91"/>
      <c r="J91"/>
    </row>
    <row r="92" spans="1:10" x14ac:dyDescent="0.2">
      <c r="A92" t="s">
        <v>535</v>
      </c>
      <c r="B92">
        <f>COUNTIF(tweets!D:D,A92)</f>
        <v>4</v>
      </c>
      <c r="D92" t="s">
        <v>4487</v>
      </c>
      <c r="E92">
        <f>COUNTIF(tweets!C:C,D92)</f>
        <v>3</v>
      </c>
      <c r="I92"/>
      <c r="J92"/>
    </row>
    <row r="93" spans="1:10" x14ac:dyDescent="0.2">
      <c r="A93" t="s">
        <v>2153</v>
      </c>
      <c r="B93">
        <f>COUNTIF(tweets!D:D,A93)</f>
        <v>3</v>
      </c>
      <c r="D93" t="s">
        <v>4505</v>
      </c>
      <c r="E93">
        <f>COUNTIF(tweets!C:C,D93)</f>
        <v>3</v>
      </c>
      <c r="I93"/>
      <c r="J93"/>
    </row>
    <row r="94" spans="1:10" x14ac:dyDescent="0.2">
      <c r="A94" t="s">
        <v>676</v>
      </c>
      <c r="B94">
        <f>COUNTIF(tweets!D:D,A94)</f>
        <v>3</v>
      </c>
      <c r="D94" t="s">
        <v>5291</v>
      </c>
      <c r="E94">
        <f>COUNTIF(tweets!C:C,D94)</f>
        <v>3</v>
      </c>
      <c r="I94"/>
      <c r="J94"/>
    </row>
    <row r="95" spans="1:10" x14ac:dyDescent="0.2">
      <c r="A95" t="s">
        <v>4174</v>
      </c>
      <c r="B95">
        <f>COUNTIF(tweets!D:D,A95)</f>
        <v>3</v>
      </c>
      <c r="D95" t="s">
        <v>5334</v>
      </c>
      <c r="E95">
        <f>COUNTIF(tweets!C:C,D95)</f>
        <v>3</v>
      </c>
      <c r="I95"/>
      <c r="J95"/>
    </row>
    <row r="96" spans="1:10" x14ac:dyDescent="0.2">
      <c r="A96" t="s">
        <v>501</v>
      </c>
      <c r="B96">
        <f>COUNTIF(tweets!D:D,A96)</f>
        <v>3</v>
      </c>
      <c r="D96" t="s">
        <v>5473</v>
      </c>
      <c r="E96">
        <f>COUNTIF(tweets!C:C,D96)</f>
        <v>3</v>
      </c>
      <c r="I96"/>
      <c r="J96"/>
    </row>
    <row r="97" spans="1:10" x14ac:dyDescent="0.2">
      <c r="A97" t="s">
        <v>1146</v>
      </c>
      <c r="B97">
        <f>COUNTIF(tweets!D:D,A97)</f>
        <v>3</v>
      </c>
      <c r="D97" t="s">
        <v>5516</v>
      </c>
      <c r="E97">
        <f>COUNTIF(tweets!C:C,D97)</f>
        <v>3</v>
      </c>
      <c r="I97"/>
      <c r="J97"/>
    </row>
    <row r="98" spans="1:10" x14ac:dyDescent="0.2">
      <c r="A98" t="s">
        <v>2096</v>
      </c>
      <c r="B98">
        <f>COUNTIF(tweets!D:D,A98)</f>
        <v>3</v>
      </c>
      <c r="D98" t="s">
        <v>5753</v>
      </c>
      <c r="E98">
        <f>COUNTIF(tweets!C:C,D98)</f>
        <v>3</v>
      </c>
      <c r="I98"/>
      <c r="J98"/>
    </row>
    <row r="99" spans="1:10" x14ac:dyDescent="0.2">
      <c r="A99" t="s">
        <v>257</v>
      </c>
      <c r="B99">
        <f>COUNTIF(tweets!D:D,A99)</f>
        <v>3</v>
      </c>
      <c r="D99" t="s">
        <v>6211</v>
      </c>
      <c r="E99">
        <f>COUNTIF(tweets!C:C,D99)</f>
        <v>3</v>
      </c>
      <c r="I99"/>
      <c r="J99"/>
    </row>
    <row r="100" spans="1:10" x14ac:dyDescent="0.2">
      <c r="A100" t="s">
        <v>5044</v>
      </c>
      <c r="B100">
        <f>COUNTIF(tweets!D:D,A100)</f>
        <v>3</v>
      </c>
      <c r="D100" t="s">
        <v>7631</v>
      </c>
      <c r="E100">
        <f>COUNTIF(tweets!C:C,D100)</f>
        <v>3</v>
      </c>
      <c r="I100"/>
      <c r="J100"/>
    </row>
    <row r="101" spans="1:10" x14ac:dyDescent="0.2">
      <c r="A101" t="s">
        <v>3270</v>
      </c>
      <c r="B101">
        <f>COUNTIF(tweets!D:D,A101)</f>
        <v>3</v>
      </c>
      <c r="D101" t="s">
        <v>7648</v>
      </c>
      <c r="E101">
        <f>COUNTIF(tweets!C:C,D101)</f>
        <v>3</v>
      </c>
      <c r="I101"/>
      <c r="J101"/>
    </row>
    <row r="102" spans="1:10" x14ac:dyDescent="0.2">
      <c r="A102" t="s">
        <v>5474</v>
      </c>
      <c r="B102">
        <f>COUNTIF(tweets!D:D,A102)</f>
        <v>3</v>
      </c>
      <c r="D102" t="s">
        <v>7913</v>
      </c>
      <c r="E102">
        <f>COUNTIF(tweets!C:C,D102)</f>
        <v>3</v>
      </c>
      <c r="I102"/>
      <c r="J102"/>
    </row>
    <row r="103" spans="1:10" x14ac:dyDescent="0.2">
      <c r="A103" t="s">
        <v>621</v>
      </c>
      <c r="B103">
        <f>COUNTIF(tweets!D:D,A103)</f>
        <v>3</v>
      </c>
      <c r="D103" t="s">
        <v>62</v>
      </c>
      <c r="E103">
        <f>COUNTIF(tweets!C:C,D103)</f>
        <v>2</v>
      </c>
      <c r="I103"/>
      <c r="J103"/>
    </row>
    <row r="104" spans="1:10" x14ac:dyDescent="0.2">
      <c r="A104" t="s">
        <v>2289</v>
      </c>
      <c r="B104">
        <f>COUNTIF(tweets!D:D,A104)</f>
        <v>3</v>
      </c>
      <c r="D104" t="s">
        <v>80</v>
      </c>
      <c r="E104">
        <f>COUNTIF(tweets!C:C,D104)</f>
        <v>2</v>
      </c>
      <c r="I104"/>
      <c r="J104"/>
    </row>
    <row r="105" spans="1:10" x14ac:dyDescent="0.2">
      <c r="A105" t="s">
        <v>1767</v>
      </c>
      <c r="B105">
        <f>COUNTIF(tweets!D:D,A105)</f>
        <v>3</v>
      </c>
      <c r="D105" t="s">
        <v>111</v>
      </c>
      <c r="E105">
        <f>COUNTIF(tweets!C:C,D105)</f>
        <v>2</v>
      </c>
      <c r="I105"/>
      <c r="J105"/>
    </row>
    <row r="106" spans="1:10" x14ac:dyDescent="0.2">
      <c r="A106" t="s">
        <v>5335</v>
      </c>
      <c r="B106">
        <f>COUNTIF(tweets!D:D,A106)</f>
        <v>3</v>
      </c>
      <c r="D106" t="s">
        <v>115</v>
      </c>
      <c r="E106">
        <f>COUNTIF(tweets!C:C,D106)</f>
        <v>2</v>
      </c>
      <c r="I106"/>
      <c r="J106"/>
    </row>
    <row r="107" spans="1:10" x14ac:dyDescent="0.2">
      <c r="A107" t="s">
        <v>577</v>
      </c>
      <c r="B107">
        <f>COUNTIF(tweets!D:D,A107)</f>
        <v>3</v>
      </c>
      <c r="D107" t="s">
        <v>138</v>
      </c>
      <c r="E107">
        <f>COUNTIF(tweets!C:C,D107)</f>
        <v>2</v>
      </c>
      <c r="I107"/>
      <c r="J107"/>
    </row>
    <row r="108" spans="1:10" x14ac:dyDescent="0.2">
      <c r="A108" t="s">
        <v>235</v>
      </c>
      <c r="B108">
        <f>COUNTIF(tweets!D:D,A108)</f>
        <v>3</v>
      </c>
      <c r="D108" t="s">
        <v>256</v>
      </c>
      <c r="E108">
        <f>COUNTIF(tweets!C:C,D108)</f>
        <v>2</v>
      </c>
      <c r="I108"/>
      <c r="J108"/>
    </row>
    <row r="109" spans="1:10" x14ac:dyDescent="0.2">
      <c r="A109" t="s">
        <v>902</v>
      </c>
      <c r="B109">
        <f>COUNTIF(tweets!D:D,A109)</f>
        <v>3</v>
      </c>
      <c r="D109" t="s">
        <v>263</v>
      </c>
      <c r="E109">
        <f>COUNTIF(tweets!C:C,D109)</f>
        <v>2</v>
      </c>
      <c r="I109"/>
      <c r="J109"/>
    </row>
    <row r="110" spans="1:10" x14ac:dyDescent="0.2">
      <c r="A110" t="s">
        <v>2990</v>
      </c>
      <c r="B110">
        <f>COUNTIF(tweets!D:D,A110)</f>
        <v>3</v>
      </c>
      <c r="D110" t="s">
        <v>289</v>
      </c>
      <c r="E110">
        <f>COUNTIF(tweets!C:C,D110)</f>
        <v>2</v>
      </c>
      <c r="I110"/>
      <c r="J110"/>
    </row>
    <row r="111" spans="1:10" x14ac:dyDescent="0.2">
      <c r="A111" t="s">
        <v>2249</v>
      </c>
      <c r="B111">
        <f>COUNTIF(tweets!D:D,A111)</f>
        <v>3</v>
      </c>
      <c r="D111" t="s">
        <v>322</v>
      </c>
      <c r="E111">
        <f>COUNTIF(tweets!C:C,D111)</f>
        <v>2</v>
      </c>
      <c r="I111"/>
      <c r="J111"/>
    </row>
    <row r="112" spans="1:10" x14ac:dyDescent="0.2">
      <c r="A112" t="s">
        <v>209</v>
      </c>
      <c r="B112">
        <f>COUNTIF(tweets!D:D,A112)</f>
        <v>3</v>
      </c>
      <c r="D112" t="s">
        <v>332</v>
      </c>
      <c r="E112">
        <f>COUNTIF(tweets!C:C,D112)</f>
        <v>2</v>
      </c>
      <c r="I112"/>
      <c r="J112"/>
    </row>
    <row r="113" spans="1:10" x14ac:dyDescent="0.2">
      <c r="A113" t="s">
        <v>1618</v>
      </c>
      <c r="B113">
        <f>COUNTIF(tweets!D:D,A113)</f>
        <v>3</v>
      </c>
      <c r="D113" t="s">
        <v>340</v>
      </c>
      <c r="E113">
        <f>COUNTIF(tweets!C:C,D113)</f>
        <v>2</v>
      </c>
      <c r="I113"/>
      <c r="J113"/>
    </row>
    <row r="114" spans="1:10" x14ac:dyDescent="0.2">
      <c r="A114" t="s">
        <v>718</v>
      </c>
      <c r="B114">
        <f>COUNTIF(tweets!D:D,A114)</f>
        <v>3</v>
      </c>
      <c r="D114" t="s">
        <v>358</v>
      </c>
      <c r="E114">
        <f>COUNTIF(tweets!C:C,D114)</f>
        <v>2</v>
      </c>
      <c r="I114"/>
      <c r="J114"/>
    </row>
    <row r="115" spans="1:10" x14ac:dyDescent="0.2">
      <c r="A115" t="s">
        <v>2192</v>
      </c>
      <c r="B115">
        <f>COUNTIF(tweets!D:D,A115)</f>
        <v>3</v>
      </c>
      <c r="D115" t="s">
        <v>374</v>
      </c>
      <c r="E115">
        <f>COUNTIF(tweets!C:C,D115)</f>
        <v>2</v>
      </c>
      <c r="I115"/>
      <c r="J115"/>
    </row>
    <row r="116" spans="1:10" x14ac:dyDescent="0.2">
      <c r="A116" t="s">
        <v>704</v>
      </c>
      <c r="B116">
        <f>COUNTIF(tweets!D:D,A116)</f>
        <v>3</v>
      </c>
      <c r="D116" t="s">
        <v>452</v>
      </c>
      <c r="E116">
        <f>COUNTIF(tweets!C:C,D116)</f>
        <v>2</v>
      </c>
      <c r="I116"/>
      <c r="J116"/>
    </row>
    <row r="117" spans="1:10" x14ac:dyDescent="0.2">
      <c r="A117" t="s">
        <v>3341</v>
      </c>
      <c r="B117">
        <f>COUNTIF(tweets!D:D,A117)</f>
        <v>3</v>
      </c>
      <c r="D117" t="s">
        <v>469</v>
      </c>
      <c r="E117">
        <f>COUNTIF(tweets!C:C,D117)</f>
        <v>2</v>
      </c>
      <c r="I117"/>
      <c r="J117"/>
    </row>
    <row r="118" spans="1:10" x14ac:dyDescent="0.2">
      <c r="A118" t="s">
        <v>6212</v>
      </c>
      <c r="B118">
        <f>COUNTIF(tweets!D:D,A118)</f>
        <v>3</v>
      </c>
      <c r="D118" t="s">
        <v>572</v>
      </c>
      <c r="E118">
        <f>COUNTIF(tweets!C:C,D118)</f>
        <v>2</v>
      </c>
      <c r="I118"/>
      <c r="J118"/>
    </row>
    <row r="119" spans="1:10" x14ac:dyDescent="0.2">
      <c r="A119" t="s">
        <v>2546</v>
      </c>
      <c r="B119">
        <f>COUNTIF(tweets!D:D,A119)</f>
        <v>3</v>
      </c>
      <c r="D119" t="s">
        <v>645</v>
      </c>
      <c r="E119">
        <f>COUNTIF(tweets!C:C,D119)</f>
        <v>2</v>
      </c>
      <c r="I119"/>
      <c r="J119"/>
    </row>
    <row r="120" spans="1:10" x14ac:dyDescent="0.2">
      <c r="A120" t="s">
        <v>116</v>
      </c>
      <c r="B120">
        <f>COUNTIF(tweets!D:D,A120)</f>
        <v>3</v>
      </c>
      <c r="D120" t="s">
        <v>684</v>
      </c>
      <c r="E120">
        <f>COUNTIF(tweets!C:C,D120)</f>
        <v>2</v>
      </c>
      <c r="I120"/>
      <c r="J120"/>
    </row>
    <row r="121" spans="1:10" x14ac:dyDescent="0.2">
      <c r="A121" t="s">
        <v>7649</v>
      </c>
      <c r="B121">
        <f>COUNTIF(tweets!D:D,A121)</f>
        <v>3</v>
      </c>
      <c r="D121" t="s">
        <v>742</v>
      </c>
      <c r="E121">
        <f>COUNTIF(tweets!C:C,D121)</f>
        <v>2</v>
      </c>
      <c r="I121"/>
      <c r="J121"/>
    </row>
    <row r="122" spans="1:10" x14ac:dyDescent="0.2">
      <c r="A122" t="s">
        <v>2858</v>
      </c>
      <c r="B122">
        <f>COUNTIF(tweets!D:D,A122)</f>
        <v>3</v>
      </c>
      <c r="D122" t="s">
        <v>871</v>
      </c>
      <c r="E122">
        <f>COUNTIF(tweets!C:C,D122)</f>
        <v>2</v>
      </c>
      <c r="I122"/>
      <c r="J122"/>
    </row>
    <row r="123" spans="1:10" x14ac:dyDescent="0.2">
      <c r="A123" t="s">
        <v>3076</v>
      </c>
      <c r="B123">
        <f>COUNTIF(tweets!D:D,A123)</f>
        <v>3</v>
      </c>
      <c r="D123" t="s">
        <v>1007</v>
      </c>
      <c r="E123">
        <f>COUNTIF(tweets!C:C,D123)</f>
        <v>2</v>
      </c>
      <c r="I123"/>
      <c r="J123"/>
    </row>
    <row r="124" spans="1:10" x14ac:dyDescent="0.2">
      <c r="A124" t="s">
        <v>3087</v>
      </c>
      <c r="B124">
        <f>COUNTIF(tweets!D:D,A124)</f>
        <v>3</v>
      </c>
      <c r="D124" t="s">
        <v>1030</v>
      </c>
      <c r="E124">
        <f>COUNTIF(tweets!C:C,D124)</f>
        <v>2</v>
      </c>
      <c r="I124"/>
      <c r="J124"/>
    </row>
    <row r="125" spans="1:10" x14ac:dyDescent="0.2">
      <c r="A125" t="s">
        <v>1272</v>
      </c>
      <c r="B125">
        <f>COUNTIF(tweets!D:D,A125)</f>
        <v>3</v>
      </c>
      <c r="D125" t="s">
        <v>1099</v>
      </c>
      <c r="E125">
        <f>COUNTIF(tweets!C:C,D125)</f>
        <v>2</v>
      </c>
      <c r="I125"/>
      <c r="J125"/>
    </row>
    <row r="126" spans="1:10" x14ac:dyDescent="0.2">
      <c r="A126" t="s">
        <v>4324</v>
      </c>
      <c r="B126">
        <f>COUNTIF(tweets!D:D,A126)</f>
        <v>3</v>
      </c>
      <c r="D126" t="s">
        <v>1145</v>
      </c>
      <c r="E126">
        <f>COUNTIF(tweets!C:C,D126)</f>
        <v>2</v>
      </c>
      <c r="I126"/>
      <c r="J126"/>
    </row>
    <row r="127" spans="1:10" x14ac:dyDescent="0.2">
      <c r="A127" t="s">
        <v>5754</v>
      </c>
      <c r="B127">
        <f>COUNTIF(tweets!D:D,A127)</f>
        <v>3</v>
      </c>
      <c r="D127" t="s">
        <v>1191</v>
      </c>
      <c r="E127">
        <f>COUNTIF(tweets!C:C,D127)</f>
        <v>2</v>
      </c>
      <c r="I127"/>
      <c r="J127"/>
    </row>
    <row r="128" spans="1:10" x14ac:dyDescent="0.2">
      <c r="A128" t="s">
        <v>104</v>
      </c>
      <c r="B128">
        <f>COUNTIF(tweets!D:D,A128)</f>
        <v>3</v>
      </c>
      <c r="D128" t="s">
        <v>1219</v>
      </c>
      <c r="E128">
        <f>COUNTIF(tweets!C:C,D128)</f>
        <v>2</v>
      </c>
      <c r="I128"/>
      <c r="J128"/>
    </row>
    <row r="129" spans="1:10" x14ac:dyDescent="0.2">
      <c r="A129" t="s">
        <v>7796</v>
      </c>
      <c r="B129">
        <f>COUNTIF(tweets!D:D,A129)</f>
        <v>3</v>
      </c>
      <c r="D129" t="s">
        <v>1243</v>
      </c>
      <c r="E129">
        <f>COUNTIF(tweets!C:C,D129)</f>
        <v>2</v>
      </c>
      <c r="I129"/>
      <c r="J129"/>
    </row>
    <row r="130" spans="1:10" x14ac:dyDescent="0.2">
      <c r="A130" t="s">
        <v>1440</v>
      </c>
      <c r="B130">
        <f>COUNTIF(tweets!D:D,A130)</f>
        <v>3</v>
      </c>
      <c r="D130" t="s">
        <v>1281</v>
      </c>
      <c r="E130">
        <f>COUNTIF(tweets!C:C,D130)</f>
        <v>2</v>
      </c>
      <c r="I130"/>
      <c r="J130"/>
    </row>
    <row r="131" spans="1:10" x14ac:dyDescent="0.2">
      <c r="A131" t="s">
        <v>875</v>
      </c>
      <c r="B131">
        <f>COUNTIF(tweets!D:D,A131)</f>
        <v>3</v>
      </c>
      <c r="D131" t="s">
        <v>1285</v>
      </c>
      <c r="E131">
        <f>COUNTIF(tweets!C:C,D131)</f>
        <v>2</v>
      </c>
      <c r="I131"/>
      <c r="J131"/>
    </row>
    <row r="132" spans="1:10" x14ac:dyDescent="0.2">
      <c r="A132">
        <v>1988</v>
      </c>
      <c r="B132">
        <f>COUNTIF(tweets!D:D,A132)</f>
        <v>2</v>
      </c>
      <c r="D132" t="s">
        <v>1390</v>
      </c>
      <c r="E132">
        <f>COUNTIF(tweets!C:C,D132)</f>
        <v>2</v>
      </c>
      <c r="I132"/>
      <c r="J132"/>
    </row>
    <row r="133" spans="1:10" x14ac:dyDescent="0.2">
      <c r="A133" t="s">
        <v>8200</v>
      </c>
      <c r="B133">
        <f>COUNTIF(tweets!D:D,A133)</f>
        <v>2</v>
      </c>
      <c r="D133" t="s">
        <v>1463</v>
      </c>
      <c r="E133">
        <f>COUNTIF(tweets!C:C,D133)</f>
        <v>2</v>
      </c>
      <c r="I133"/>
      <c r="J133"/>
    </row>
    <row r="134" spans="1:10" x14ac:dyDescent="0.2">
      <c r="A134" t="s">
        <v>1220</v>
      </c>
      <c r="B134">
        <f>COUNTIF(tweets!D:D,A134)</f>
        <v>2</v>
      </c>
      <c r="D134" t="s">
        <v>1501</v>
      </c>
      <c r="E134">
        <f>COUNTIF(tweets!C:C,D134)</f>
        <v>2</v>
      </c>
      <c r="I134"/>
      <c r="J134"/>
    </row>
    <row r="135" spans="1:10" x14ac:dyDescent="0.2">
      <c r="A135" t="s">
        <v>6575</v>
      </c>
      <c r="B135">
        <f>COUNTIF(tweets!D:D,A135)</f>
        <v>2</v>
      </c>
      <c r="D135" t="s">
        <v>1530</v>
      </c>
      <c r="E135">
        <f>COUNTIF(tweets!C:C,D135)</f>
        <v>2</v>
      </c>
      <c r="I135"/>
      <c r="J135"/>
    </row>
    <row r="136" spans="1:10" x14ac:dyDescent="0.2">
      <c r="A136" t="s">
        <v>5592</v>
      </c>
      <c r="B136">
        <f>COUNTIF(tweets!D:D,A136)</f>
        <v>2</v>
      </c>
      <c r="D136" t="s">
        <v>1566</v>
      </c>
      <c r="E136">
        <f>COUNTIF(tweets!C:C,D136)</f>
        <v>2</v>
      </c>
      <c r="I136"/>
      <c r="J136"/>
    </row>
    <row r="137" spans="1:10" x14ac:dyDescent="0.2">
      <c r="A137" t="s">
        <v>786</v>
      </c>
      <c r="B137">
        <f>COUNTIF(tweets!D:D,A137)</f>
        <v>2</v>
      </c>
      <c r="D137" t="s">
        <v>1617</v>
      </c>
      <c r="E137">
        <f>COUNTIF(tweets!C:C,D137)</f>
        <v>2</v>
      </c>
      <c r="I137"/>
      <c r="J137"/>
    </row>
    <row r="138" spans="1:10" x14ac:dyDescent="0.2">
      <c r="A138" t="s">
        <v>3879</v>
      </c>
      <c r="B138">
        <f>COUNTIF(tweets!D:D,A138)</f>
        <v>2</v>
      </c>
      <c r="D138" t="s">
        <v>1640</v>
      </c>
      <c r="E138">
        <f>COUNTIF(tweets!C:C,D138)</f>
        <v>2</v>
      </c>
      <c r="I138"/>
      <c r="J138"/>
    </row>
    <row r="139" spans="1:10" x14ac:dyDescent="0.2">
      <c r="A139" t="s">
        <v>2686</v>
      </c>
      <c r="B139">
        <f>COUNTIF(tweets!D:D,A139)</f>
        <v>2</v>
      </c>
      <c r="D139" t="s">
        <v>1652</v>
      </c>
      <c r="E139">
        <f>COUNTIF(tweets!C:C,D139)</f>
        <v>2</v>
      </c>
      <c r="I139"/>
      <c r="J139"/>
    </row>
    <row r="140" spans="1:10" x14ac:dyDescent="0.2">
      <c r="A140" t="s">
        <v>5353</v>
      </c>
      <c r="B140">
        <f>COUNTIF(tweets!D:D,A140)</f>
        <v>2</v>
      </c>
      <c r="D140" t="s">
        <v>1658</v>
      </c>
      <c r="E140">
        <f>COUNTIF(tweets!C:C,D140)</f>
        <v>2</v>
      </c>
      <c r="I140"/>
      <c r="J140"/>
    </row>
    <row r="141" spans="1:10" x14ac:dyDescent="0.2">
      <c r="A141" t="s">
        <v>7092</v>
      </c>
      <c r="B141">
        <f>COUNTIF(tweets!D:D,A141)</f>
        <v>2</v>
      </c>
      <c r="D141" t="s">
        <v>1751</v>
      </c>
      <c r="E141">
        <f>COUNTIF(tweets!C:C,D141)</f>
        <v>2</v>
      </c>
      <c r="I141"/>
      <c r="J141"/>
    </row>
    <row r="142" spans="1:10" x14ac:dyDescent="0.2">
      <c r="A142" t="s">
        <v>1567</v>
      </c>
      <c r="B142">
        <f>COUNTIF(tweets!D:D,A142)</f>
        <v>2</v>
      </c>
      <c r="D142" t="s">
        <v>1766</v>
      </c>
      <c r="E142">
        <f>COUNTIF(tweets!C:C,D142)</f>
        <v>2</v>
      </c>
      <c r="I142"/>
      <c r="J142"/>
    </row>
    <row r="143" spans="1:10" x14ac:dyDescent="0.2">
      <c r="A143" t="s">
        <v>7318</v>
      </c>
      <c r="B143">
        <f>COUNTIF(tweets!D:D,A143)</f>
        <v>2</v>
      </c>
      <c r="D143" t="s">
        <v>1795</v>
      </c>
      <c r="E143">
        <f>COUNTIF(tweets!C:C,D143)</f>
        <v>2</v>
      </c>
      <c r="I143"/>
      <c r="J143"/>
    </row>
    <row r="144" spans="1:10" x14ac:dyDescent="0.2">
      <c r="A144" t="s">
        <v>4664</v>
      </c>
      <c r="B144">
        <f>COUNTIF(tweets!D:D,A144)</f>
        <v>2</v>
      </c>
      <c r="D144" t="s">
        <v>1833</v>
      </c>
      <c r="E144">
        <f>COUNTIF(tweets!C:C,D144)</f>
        <v>2</v>
      </c>
      <c r="I144"/>
      <c r="J144"/>
    </row>
    <row r="145" spans="1:10" x14ac:dyDescent="0.2">
      <c r="A145" t="s">
        <v>1571</v>
      </c>
      <c r="B145">
        <f>COUNTIF(tweets!D:D,A145)</f>
        <v>2</v>
      </c>
      <c r="D145" t="s">
        <v>1889</v>
      </c>
      <c r="E145">
        <f>COUNTIF(tweets!C:C,D145)</f>
        <v>2</v>
      </c>
      <c r="I145"/>
      <c r="J145"/>
    </row>
    <row r="146" spans="1:10" x14ac:dyDescent="0.2">
      <c r="A146" t="s">
        <v>6083</v>
      </c>
      <c r="B146">
        <f>COUNTIF(tweets!D:D,A146)</f>
        <v>2</v>
      </c>
      <c r="D146" t="s">
        <v>1902</v>
      </c>
      <c r="E146">
        <f>COUNTIF(tweets!C:C,D146)</f>
        <v>2</v>
      </c>
      <c r="I146"/>
      <c r="J146"/>
    </row>
    <row r="147" spans="1:10" x14ac:dyDescent="0.2">
      <c r="A147" t="s">
        <v>2058</v>
      </c>
      <c r="B147">
        <f>COUNTIF(tweets!D:D,A147)</f>
        <v>2</v>
      </c>
      <c r="D147" t="s">
        <v>1926</v>
      </c>
      <c r="E147">
        <f>COUNTIF(tweets!C:C,D147)</f>
        <v>2</v>
      </c>
      <c r="I147"/>
      <c r="J147"/>
    </row>
    <row r="148" spans="1:10" x14ac:dyDescent="0.2">
      <c r="A148" t="s">
        <v>879</v>
      </c>
      <c r="B148">
        <f>COUNTIF(tweets!D:D,A148)</f>
        <v>2</v>
      </c>
      <c r="D148" t="s">
        <v>1973</v>
      </c>
      <c r="E148">
        <f>COUNTIF(tweets!C:C,D148)</f>
        <v>2</v>
      </c>
      <c r="I148"/>
      <c r="J148"/>
    </row>
    <row r="149" spans="1:10" x14ac:dyDescent="0.2">
      <c r="A149" t="s">
        <v>803</v>
      </c>
      <c r="B149">
        <f>COUNTIF(tweets!D:D,A149)</f>
        <v>2</v>
      </c>
      <c r="D149" t="s">
        <v>2044</v>
      </c>
      <c r="E149">
        <f>COUNTIF(tweets!C:C,D149)</f>
        <v>2</v>
      </c>
      <c r="I149"/>
      <c r="J149"/>
    </row>
    <row r="150" spans="1:10" x14ac:dyDescent="0.2">
      <c r="A150" t="s">
        <v>2905</v>
      </c>
      <c r="B150">
        <f>COUNTIF(tweets!D:D,A150)</f>
        <v>2</v>
      </c>
      <c r="D150" t="s">
        <v>2057</v>
      </c>
      <c r="E150">
        <f>COUNTIF(tweets!C:C,D150)</f>
        <v>2</v>
      </c>
      <c r="I150"/>
      <c r="J150"/>
    </row>
    <row r="151" spans="1:10" x14ac:dyDescent="0.2">
      <c r="A151" t="s">
        <v>4229</v>
      </c>
      <c r="B151">
        <f>COUNTIF(tweets!D:D,A151)</f>
        <v>2</v>
      </c>
      <c r="D151" t="s">
        <v>2163</v>
      </c>
      <c r="E151">
        <f>COUNTIF(tweets!C:C,D151)</f>
        <v>2</v>
      </c>
      <c r="I151"/>
      <c r="J151"/>
    </row>
    <row r="152" spans="1:10" x14ac:dyDescent="0.2">
      <c r="A152" t="s">
        <v>333</v>
      </c>
      <c r="B152">
        <f>COUNTIF(tweets!D:D,A152)</f>
        <v>2</v>
      </c>
      <c r="D152" t="s">
        <v>2292</v>
      </c>
      <c r="E152">
        <f>COUNTIF(tweets!C:C,D152)</f>
        <v>2</v>
      </c>
      <c r="I152"/>
      <c r="J152"/>
    </row>
    <row r="153" spans="1:10" x14ac:dyDescent="0.2">
      <c r="A153" t="s">
        <v>1752</v>
      </c>
      <c r="B153">
        <f>COUNTIF(tweets!D:D,A153)</f>
        <v>2</v>
      </c>
      <c r="D153" t="s">
        <v>2362</v>
      </c>
      <c r="E153">
        <f>COUNTIF(tweets!C:C,D153)</f>
        <v>2</v>
      </c>
      <c r="I153"/>
      <c r="J153"/>
    </row>
    <row r="154" spans="1:10" x14ac:dyDescent="0.2">
      <c r="A154" t="s">
        <v>3355</v>
      </c>
      <c r="B154">
        <f>COUNTIF(tweets!D:D,A154)</f>
        <v>2</v>
      </c>
      <c r="D154" t="s">
        <v>2416</v>
      </c>
      <c r="E154">
        <f>COUNTIF(tweets!C:C,D154)</f>
        <v>2</v>
      </c>
      <c r="I154"/>
      <c r="J154"/>
    </row>
    <row r="155" spans="1:10" x14ac:dyDescent="0.2">
      <c r="A155" t="s">
        <v>5162</v>
      </c>
      <c r="B155">
        <f>COUNTIF(tweets!D:D,A155)</f>
        <v>2</v>
      </c>
      <c r="D155" t="s">
        <v>2554</v>
      </c>
      <c r="E155">
        <f>COUNTIF(tweets!C:C,D155)</f>
        <v>2</v>
      </c>
      <c r="I155"/>
      <c r="J155"/>
    </row>
    <row r="156" spans="1:10" x14ac:dyDescent="0.2">
      <c r="A156" t="s">
        <v>4950</v>
      </c>
      <c r="B156">
        <f>COUNTIF(tweets!D:D,A156)</f>
        <v>2</v>
      </c>
      <c r="D156" t="s">
        <v>2582</v>
      </c>
      <c r="E156">
        <f>COUNTIF(tweets!C:C,D156)</f>
        <v>2</v>
      </c>
      <c r="I156"/>
      <c r="J156"/>
    </row>
    <row r="157" spans="1:10" x14ac:dyDescent="0.2">
      <c r="A157" t="s">
        <v>4206</v>
      </c>
      <c r="B157">
        <f>COUNTIF(tweets!D:D,A157)</f>
        <v>2</v>
      </c>
      <c r="D157" t="s">
        <v>2585</v>
      </c>
      <c r="E157">
        <f>COUNTIF(tweets!C:C,D157)</f>
        <v>2</v>
      </c>
      <c r="I157"/>
      <c r="J157"/>
    </row>
    <row r="158" spans="1:10" x14ac:dyDescent="0.2">
      <c r="A158" t="s">
        <v>1998</v>
      </c>
      <c r="B158">
        <f>COUNTIF(tweets!D:D,A158)</f>
        <v>2</v>
      </c>
      <c r="D158" t="s">
        <v>2685</v>
      </c>
      <c r="E158">
        <f>COUNTIF(tweets!C:C,D158)</f>
        <v>2</v>
      </c>
      <c r="I158"/>
      <c r="J158"/>
    </row>
    <row r="159" spans="1:10" x14ac:dyDescent="0.2">
      <c r="A159" t="s">
        <v>5345</v>
      </c>
      <c r="B159">
        <f>COUNTIF(tweets!D:D,A159)</f>
        <v>2</v>
      </c>
      <c r="D159" t="s">
        <v>2720</v>
      </c>
      <c r="E159">
        <f>COUNTIF(tweets!C:C,D159)</f>
        <v>2</v>
      </c>
      <c r="I159"/>
      <c r="J159"/>
    </row>
    <row r="160" spans="1:10" x14ac:dyDescent="0.2">
      <c r="A160" t="s">
        <v>4685</v>
      </c>
      <c r="B160">
        <f>COUNTIF(tweets!D:D,A160)</f>
        <v>2</v>
      </c>
      <c r="D160" t="s">
        <v>2804</v>
      </c>
      <c r="E160">
        <f>COUNTIF(tweets!C:C,D160)</f>
        <v>2</v>
      </c>
      <c r="I160"/>
      <c r="J160"/>
    </row>
    <row r="161" spans="1:10" x14ac:dyDescent="0.2">
      <c r="A161" t="s">
        <v>5081</v>
      </c>
      <c r="B161">
        <f>COUNTIF(tweets!D:D,A161)</f>
        <v>2</v>
      </c>
      <c r="D161" t="s">
        <v>2891</v>
      </c>
      <c r="E161">
        <f>COUNTIF(tweets!C:C,D161)</f>
        <v>2</v>
      </c>
      <c r="I161"/>
      <c r="J161"/>
    </row>
    <row r="162" spans="1:10" x14ac:dyDescent="0.2">
      <c r="A162" t="s">
        <v>5339</v>
      </c>
      <c r="B162">
        <f>COUNTIF(tweets!D:D,A162)</f>
        <v>2</v>
      </c>
      <c r="D162" t="s">
        <v>2904</v>
      </c>
      <c r="E162">
        <f>COUNTIF(tweets!C:C,D162)</f>
        <v>2</v>
      </c>
      <c r="I162"/>
      <c r="J162"/>
    </row>
    <row r="163" spans="1:10" x14ac:dyDescent="0.2">
      <c r="A163" t="s">
        <v>1697</v>
      </c>
      <c r="B163">
        <f>COUNTIF(tweets!D:D,A163)</f>
        <v>2</v>
      </c>
      <c r="D163" t="s">
        <v>2926</v>
      </c>
      <c r="E163">
        <f>COUNTIF(tweets!C:C,D163)</f>
        <v>2</v>
      </c>
      <c r="I163"/>
      <c r="J163"/>
    </row>
    <row r="164" spans="1:10" x14ac:dyDescent="0.2">
      <c r="A164" t="s">
        <v>646</v>
      </c>
      <c r="B164">
        <f>COUNTIF(tweets!D:D,A164)</f>
        <v>2</v>
      </c>
      <c r="D164" t="s">
        <v>2930</v>
      </c>
      <c r="E164">
        <f>COUNTIF(tweets!C:C,D164)</f>
        <v>2</v>
      </c>
      <c r="I164"/>
      <c r="J164"/>
    </row>
    <row r="165" spans="1:10" x14ac:dyDescent="0.2">
      <c r="A165" t="s">
        <v>1025</v>
      </c>
      <c r="B165">
        <f>COUNTIF(tweets!D:D,A165)</f>
        <v>2</v>
      </c>
      <c r="D165" t="s">
        <v>2954</v>
      </c>
      <c r="E165">
        <f>COUNTIF(tweets!C:C,D165)</f>
        <v>2</v>
      </c>
      <c r="I165"/>
      <c r="J165"/>
    </row>
    <row r="166" spans="1:10" x14ac:dyDescent="0.2">
      <c r="A166" t="s">
        <v>3846</v>
      </c>
      <c r="B166">
        <f>COUNTIF(tweets!D:D,A166)</f>
        <v>2</v>
      </c>
      <c r="D166" t="s">
        <v>3024</v>
      </c>
      <c r="E166">
        <f>COUNTIF(tweets!C:C,D166)</f>
        <v>2</v>
      </c>
      <c r="I166"/>
      <c r="J166"/>
    </row>
    <row r="167" spans="1:10" x14ac:dyDescent="0.2">
      <c r="A167" t="s">
        <v>3107</v>
      </c>
      <c r="B167">
        <f>COUNTIF(tweets!D:D,A167)</f>
        <v>2</v>
      </c>
      <c r="D167" t="s">
        <v>3106</v>
      </c>
      <c r="E167">
        <f>COUNTIF(tweets!C:C,D167)</f>
        <v>2</v>
      </c>
      <c r="I167"/>
      <c r="J167"/>
    </row>
    <row r="168" spans="1:10" x14ac:dyDescent="0.2">
      <c r="A168" t="s">
        <v>4024</v>
      </c>
      <c r="B168">
        <f>COUNTIF(tweets!D:D,A168)</f>
        <v>2</v>
      </c>
      <c r="D168" t="s">
        <v>3110</v>
      </c>
      <c r="E168">
        <f>COUNTIF(tweets!C:C,D168)</f>
        <v>2</v>
      </c>
      <c r="I168"/>
      <c r="J168"/>
    </row>
    <row r="169" spans="1:10" x14ac:dyDescent="0.2">
      <c r="A169" t="s">
        <v>4123</v>
      </c>
      <c r="B169">
        <f>COUNTIF(tweets!D:D,A169)</f>
        <v>2</v>
      </c>
      <c r="D169" t="s">
        <v>3214</v>
      </c>
      <c r="E169">
        <f>COUNTIF(tweets!C:C,D169)</f>
        <v>2</v>
      </c>
      <c r="I169"/>
      <c r="J169"/>
    </row>
    <row r="170" spans="1:10" x14ac:dyDescent="0.2">
      <c r="A170" t="s">
        <v>8083</v>
      </c>
      <c r="B170">
        <f>COUNTIF(tweets!D:D,A170)</f>
        <v>2</v>
      </c>
      <c r="D170" t="s">
        <v>3228</v>
      </c>
      <c r="E170">
        <f>COUNTIF(tweets!C:C,D170)</f>
        <v>2</v>
      </c>
      <c r="I170"/>
      <c r="J170"/>
    </row>
    <row r="171" spans="1:10" x14ac:dyDescent="0.2">
      <c r="A171" t="s">
        <v>573</v>
      </c>
      <c r="B171">
        <f>COUNTIF(tweets!D:D,A171)</f>
        <v>2</v>
      </c>
      <c r="D171" t="s">
        <v>3290</v>
      </c>
      <c r="E171">
        <f>COUNTIF(tweets!C:C,D171)</f>
        <v>2</v>
      </c>
      <c r="I171"/>
      <c r="J171"/>
    </row>
    <row r="172" spans="1:10" x14ac:dyDescent="0.2">
      <c r="A172" t="s">
        <v>6053</v>
      </c>
      <c r="B172">
        <f>COUNTIF(tweets!D:D,A172)</f>
        <v>2</v>
      </c>
      <c r="D172" t="s">
        <v>3459</v>
      </c>
      <c r="E172">
        <f>COUNTIF(tweets!C:C,D172)</f>
        <v>2</v>
      </c>
      <c r="I172"/>
      <c r="J172"/>
    </row>
    <row r="173" spans="1:10" x14ac:dyDescent="0.2">
      <c r="A173" t="s">
        <v>470</v>
      </c>
      <c r="B173">
        <f>COUNTIF(tweets!D:D,A173)</f>
        <v>2</v>
      </c>
      <c r="D173" t="s">
        <v>3476</v>
      </c>
      <c r="E173">
        <f>COUNTIF(tweets!C:C,D173)</f>
        <v>2</v>
      </c>
      <c r="I173"/>
      <c r="J173"/>
    </row>
    <row r="174" spans="1:10" x14ac:dyDescent="0.2">
      <c r="A174" t="s">
        <v>7893</v>
      </c>
      <c r="B174">
        <f>COUNTIF(tweets!D:D,A174)</f>
        <v>2</v>
      </c>
      <c r="D174" t="s">
        <v>3549</v>
      </c>
      <c r="E174">
        <f>COUNTIF(tweets!C:C,D174)</f>
        <v>2</v>
      </c>
      <c r="I174"/>
      <c r="J174"/>
    </row>
    <row r="175" spans="1:10" x14ac:dyDescent="0.2">
      <c r="A175" t="s">
        <v>2460</v>
      </c>
      <c r="B175">
        <f>COUNTIF(tweets!D:D,A175)</f>
        <v>2</v>
      </c>
      <c r="D175" t="s">
        <v>3672</v>
      </c>
      <c r="E175">
        <f>COUNTIF(tweets!C:C,D175)</f>
        <v>2</v>
      </c>
      <c r="I175"/>
      <c r="J175"/>
    </row>
    <row r="176" spans="1:10" x14ac:dyDescent="0.2">
      <c r="A176" t="s">
        <v>1036</v>
      </c>
      <c r="B176">
        <f>COUNTIF(tweets!D:D,A176)</f>
        <v>2</v>
      </c>
      <c r="D176" t="s">
        <v>3681</v>
      </c>
      <c r="E176">
        <f>COUNTIF(tweets!C:C,D176)</f>
        <v>2</v>
      </c>
      <c r="I176"/>
      <c r="J176"/>
    </row>
    <row r="177" spans="1:10" x14ac:dyDescent="0.2">
      <c r="A177" t="s">
        <v>4711</v>
      </c>
      <c r="B177">
        <f>COUNTIF(tweets!D:D,A177)</f>
        <v>2</v>
      </c>
      <c r="D177" t="s">
        <v>3806</v>
      </c>
      <c r="E177">
        <f>COUNTIF(tweets!C:C,D177)</f>
        <v>2</v>
      </c>
      <c r="I177"/>
      <c r="J177"/>
    </row>
    <row r="178" spans="1:10" x14ac:dyDescent="0.2">
      <c r="A178" t="s">
        <v>3215</v>
      </c>
      <c r="B178">
        <f>COUNTIF(tweets!D:D,A178)</f>
        <v>2</v>
      </c>
      <c r="D178" t="s">
        <v>3878</v>
      </c>
      <c r="E178">
        <f>COUNTIF(tweets!C:C,D178)</f>
        <v>2</v>
      </c>
      <c r="I178"/>
      <c r="J178"/>
    </row>
    <row r="179" spans="1:10" x14ac:dyDescent="0.2">
      <c r="A179" t="s">
        <v>5197</v>
      </c>
      <c r="B179">
        <f>COUNTIF(tweets!D:D,A179)</f>
        <v>2</v>
      </c>
      <c r="D179" t="s">
        <v>3884</v>
      </c>
      <c r="E179">
        <f>COUNTIF(tweets!C:C,D179)</f>
        <v>2</v>
      </c>
      <c r="I179"/>
      <c r="J179"/>
    </row>
    <row r="180" spans="1:10" x14ac:dyDescent="0.2">
      <c r="A180" t="s">
        <v>100</v>
      </c>
      <c r="B180">
        <f>COUNTIF(tweets!D:D,A180)</f>
        <v>2</v>
      </c>
      <c r="D180" t="s">
        <v>3911</v>
      </c>
      <c r="E180">
        <f>COUNTIF(tweets!C:C,D180)</f>
        <v>2</v>
      </c>
      <c r="I180"/>
      <c r="J180"/>
    </row>
    <row r="181" spans="1:10" x14ac:dyDescent="0.2">
      <c r="A181" t="s">
        <v>3912</v>
      </c>
      <c r="B181">
        <f>COUNTIF(tweets!D:D,A181)</f>
        <v>2</v>
      </c>
      <c r="D181" t="s">
        <v>4023</v>
      </c>
      <c r="E181">
        <f>COUNTIF(tweets!C:C,D181)</f>
        <v>2</v>
      </c>
      <c r="I181"/>
      <c r="J181"/>
    </row>
    <row r="182" spans="1:10" x14ac:dyDescent="0.2">
      <c r="A182" t="s">
        <v>1244</v>
      </c>
      <c r="B182">
        <f>COUNTIF(tweets!D:D,A182)</f>
        <v>2</v>
      </c>
      <c r="D182" t="s">
        <v>4049</v>
      </c>
      <c r="E182">
        <f>COUNTIF(tweets!C:C,D182)</f>
        <v>2</v>
      </c>
      <c r="I182"/>
      <c r="J182"/>
    </row>
    <row r="183" spans="1:10" x14ac:dyDescent="0.2">
      <c r="A183" t="s">
        <v>1540</v>
      </c>
      <c r="B183">
        <f>COUNTIF(tweets!D:D,A183)</f>
        <v>2</v>
      </c>
      <c r="D183" t="s">
        <v>4052</v>
      </c>
      <c r="E183">
        <f>COUNTIF(tweets!C:C,D183)</f>
        <v>2</v>
      </c>
      <c r="I183"/>
      <c r="J183"/>
    </row>
    <row r="184" spans="1:10" x14ac:dyDescent="0.2">
      <c r="A184" t="s">
        <v>6420</v>
      </c>
      <c r="B184">
        <f>COUNTIF(tweets!D:D,A184)</f>
        <v>2</v>
      </c>
      <c r="D184" t="s">
        <v>4059</v>
      </c>
      <c r="E184">
        <f>COUNTIF(tweets!C:C,D184)</f>
        <v>2</v>
      </c>
      <c r="I184"/>
      <c r="J184"/>
    </row>
    <row r="185" spans="1:10" x14ac:dyDescent="0.2">
      <c r="A185" t="s">
        <v>404</v>
      </c>
      <c r="B185">
        <f>COUNTIF(tweets!D:D,A185)</f>
        <v>2</v>
      </c>
      <c r="D185" t="s">
        <v>4064</v>
      </c>
      <c r="E185">
        <f>COUNTIF(tweets!C:C,D185)</f>
        <v>2</v>
      </c>
      <c r="I185"/>
      <c r="J185"/>
    </row>
    <row r="186" spans="1:10" x14ac:dyDescent="0.2">
      <c r="A186" t="s">
        <v>359</v>
      </c>
      <c r="B186">
        <f>COUNTIF(tweets!D:D,A186)</f>
        <v>2</v>
      </c>
      <c r="D186" t="s">
        <v>4081</v>
      </c>
      <c r="E186">
        <f>COUNTIF(tweets!C:C,D186)</f>
        <v>2</v>
      </c>
      <c r="I186"/>
      <c r="J186"/>
    </row>
    <row r="187" spans="1:10" x14ac:dyDescent="0.2">
      <c r="A187" t="s">
        <v>5201</v>
      </c>
      <c r="B187">
        <f>COUNTIF(tweets!D:D,A187)</f>
        <v>2</v>
      </c>
      <c r="D187" t="s">
        <v>4088</v>
      </c>
      <c r="E187">
        <f>COUNTIF(tweets!C:C,D187)</f>
        <v>2</v>
      </c>
      <c r="I187"/>
      <c r="J187"/>
    </row>
    <row r="188" spans="1:10" x14ac:dyDescent="0.2">
      <c r="A188" t="s">
        <v>7124</v>
      </c>
      <c r="B188">
        <f>COUNTIF(tweets!D:D,A188)</f>
        <v>2</v>
      </c>
      <c r="D188" t="s">
        <v>4107</v>
      </c>
      <c r="E188">
        <f>COUNTIF(tweets!C:C,D188)</f>
        <v>2</v>
      </c>
      <c r="I188"/>
      <c r="J188"/>
    </row>
    <row r="189" spans="1:10" x14ac:dyDescent="0.2">
      <c r="A189" t="s">
        <v>4065</v>
      </c>
      <c r="B189">
        <f>COUNTIF(tweets!D:D,A189)</f>
        <v>2</v>
      </c>
      <c r="D189" t="s">
        <v>4115</v>
      </c>
      <c r="E189">
        <f>COUNTIF(tweets!C:C,D189)</f>
        <v>2</v>
      </c>
      <c r="I189"/>
      <c r="J189"/>
    </row>
    <row r="190" spans="1:10" x14ac:dyDescent="0.2">
      <c r="A190" t="s">
        <v>135</v>
      </c>
      <c r="B190">
        <f>COUNTIF(tweets!D:D,A190)</f>
        <v>2</v>
      </c>
      <c r="D190" t="s">
        <v>4122</v>
      </c>
      <c r="E190">
        <f>COUNTIF(tweets!C:C,D190)</f>
        <v>2</v>
      </c>
      <c r="I190"/>
      <c r="J190"/>
    </row>
    <row r="191" spans="1:10" x14ac:dyDescent="0.2">
      <c r="A191" t="s">
        <v>3885</v>
      </c>
      <c r="B191">
        <f>COUNTIF(tweets!D:D,A191)</f>
        <v>2</v>
      </c>
      <c r="D191" t="s">
        <v>4228</v>
      </c>
      <c r="E191">
        <f>COUNTIF(tweets!C:C,D191)</f>
        <v>2</v>
      </c>
      <c r="I191"/>
      <c r="J191"/>
    </row>
    <row r="192" spans="1:10" x14ac:dyDescent="0.2">
      <c r="A192" t="s">
        <v>368</v>
      </c>
      <c r="B192">
        <f>COUNTIF(tweets!D:D,A192)</f>
        <v>2</v>
      </c>
      <c r="D192" t="s">
        <v>4351</v>
      </c>
      <c r="E192">
        <f>COUNTIF(tweets!C:C,D192)</f>
        <v>2</v>
      </c>
      <c r="I192"/>
      <c r="J192"/>
    </row>
    <row r="193" spans="1:10" x14ac:dyDescent="0.2">
      <c r="A193" t="s">
        <v>7006</v>
      </c>
      <c r="B193">
        <f>COUNTIF(tweets!D:D,A193)</f>
        <v>2</v>
      </c>
      <c r="D193" t="s">
        <v>4354</v>
      </c>
      <c r="E193">
        <f>COUNTIF(tweets!C:C,D193)</f>
        <v>2</v>
      </c>
      <c r="I193"/>
      <c r="J193"/>
    </row>
    <row r="194" spans="1:10" x14ac:dyDescent="0.2">
      <c r="A194" t="s">
        <v>5520</v>
      </c>
      <c r="B194">
        <f>COUNTIF(tweets!D:D,A194)</f>
        <v>2</v>
      </c>
      <c r="D194" t="s">
        <v>4547</v>
      </c>
      <c r="E194">
        <f>COUNTIF(tweets!C:C,D194)</f>
        <v>2</v>
      </c>
      <c r="I194"/>
      <c r="J194"/>
    </row>
    <row r="195" spans="1:10" x14ac:dyDescent="0.2">
      <c r="A195" t="s">
        <v>1282</v>
      </c>
      <c r="B195">
        <f>COUNTIF(tweets!D:D,A195)</f>
        <v>2</v>
      </c>
      <c r="D195" t="s">
        <v>4663</v>
      </c>
      <c r="E195">
        <f>COUNTIF(tweets!C:C,D195)</f>
        <v>2</v>
      </c>
      <c r="I195"/>
      <c r="J195"/>
    </row>
    <row r="196" spans="1:10" x14ac:dyDescent="0.2">
      <c r="A196" t="s">
        <v>1870</v>
      </c>
      <c r="B196">
        <f>COUNTIF(tweets!D:D,A196)</f>
        <v>2</v>
      </c>
      <c r="D196" t="s">
        <v>4679</v>
      </c>
      <c r="E196">
        <f>COUNTIF(tweets!C:C,D196)</f>
        <v>2</v>
      </c>
      <c r="I196"/>
      <c r="J196"/>
    </row>
    <row r="197" spans="1:10" x14ac:dyDescent="0.2">
      <c r="A197" t="s">
        <v>1296</v>
      </c>
      <c r="B197">
        <f>COUNTIF(tweets!D:D,A197)</f>
        <v>2</v>
      </c>
      <c r="D197" t="s">
        <v>4729</v>
      </c>
      <c r="E197">
        <f>COUNTIF(tweets!C:C,D197)</f>
        <v>2</v>
      </c>
      <c r="I197"/>
      <c r="J197"/>
    </row>
    <row r="198" spans="1:10" x14ac:dyDescent="0.2">
      <c r="A198" t="s">
        <v>1464</v>
      </c>
      <c r="B198">
        <f>COUNTIF(tweets!D:D,A198)</f>
        <v>2</v>
      </c>
      <c r="D198" t="s">
        <v>4799</v>
      </c>
      <c r="E198">
        <f>COUNTIF(tweets!C:C,D198)</f>
        <v>2</v>
      </c>
      <c r="I198"/>
      <c r="J198"/>
    </row>
    <row r="199" spans="1:10" x14ac:dyDescent="0.2">
      <c r="A199" t="s">
        <v>4826</v>
      </c>
      <c r="B199">
        <f>COUNTIF(tweets!D:D,A199)</f>
        <v>2</v>
      </c>
      <c r="D199" t="s">
        <v>4946</v>
      </c>
      <c r="E199">
        <f>COUNTIF(tweets!C:C,D199)</f>
        <v>2</v>
      </c>
      <c r="I199"/>
      <c r="J199"/>
    </row>
    <row r="200" spans="1:10" x14ac:dyDescent="0.2">
      <c r="A200" t="s">
        <v>3900</v>
      </c>
      <c r="B200">
        <f>COUNTIF(tweets!D:D,A200)</f>
        <v>2</v>
      </c>
      <c r="D200" t="s">
        <v>4949</v>
      </c>
      <c r="E200">
        <f>COUNTIF(tweets!C:C,D200)</f>
        <v>2</v>
      </c>
      <c r="I200"/>
      <c r="J200"/>
    </row>
    <row r="201" spans="1:10" x14ac:dyDescent="0.2">
      <c r="A201" t="s">
        <v>2738</v>
      </c>
      <c r="B201">
        <f>COUNTIF(tweets!D:D,A201)</f>
        <v>2</v>
      </c>
      <c r="D201" t="s">
        <v>4975</v>
      </c>
      <c r="E201">
        <f>COUNTIF(tweets!C:C,D201)</f>
        <v>2</v>
      </c>
      <c r="I201"/>
      <c r="J201"/>
    </row>
    <row r="202" spans="1:10" x14ac:dyDescent="0.2">
      <c r="A202" t="s">
        <v>1653</v>
      </c>
      <c r="B202">
        <f>COUNTIF(tweets!D:D,A202)</f>
        <v>2</v>
      </c>
      <c r="D202" t="s">
        <v>4992</v>
      </c>
      <c r="E202">
        <f>COUNTIF(tweets!C:C,D202)</f>
        <v>2</v>
      </c>
      <c r="I202"/>
      <c r="J202"/>
    </row>
    <row r="203" spans="1:10" x14ac:dyDescent="0.2">
      <c r="A203" t="s">
        <v>1286</v>
      </c>
      <c r="B203">
        <f>COUNTIF(tweets!D:D,A203)</f>
        <v>2</v>
      </c>
      <c r="D203" t="s">
        <v>4995</v>
      </c>
      <c r="E203">
        <f>COUNTIF(tweets!C:C,D203)</f>
        <v>2</v>
      </c>
      <c r="I203"/>
      <c r="J203"/>
    </row>
    <row r="204" spans="1:10" x14ac:dyDescent="0.2">
      <c r="A204" t="s">
        <v>1153</v>
      </c>
      <c r="B204">
        <f>COUNTIF(tweets!D:D,A204)</f>
        <v>2</v>
      </c>
      <c r="D204" t="s">
        <v>5024</v>
      </c>
      <c r="E204">
        <f>COUNTIF(tweets!C:C,D204)</f>
        <v>2</v>
      </c>
      <c r="I204"/>
      <c r="J204"/>
    </row>
    <row r="205" spans="1:10" x14ac:dyDescent="0.2">
      <c r="A205" t="s">
        <v>3294</v>
      </c>
      <c r="B205">
        <f>COUNTIF(tweets!D:D,A205)</f>
        <v>2</v>
      </c>
      <c r="D205" t="s">
        <v>5125</v>
      </c>
      <c r="E205">
        <f>COUNTIF(tweets!C:C,D205)</f>
        <v>2</v>
      </c>
      <c r="I205"/>
      <c r="J205"/>
    </row>
    <row r="206" spans="1:10" x14ac:dyDescent="0.2">
      <c r="A206" t="s">
        <v>5941</v>
      </c>
      <c r="B206">
        <f>COUNTIF(tweets!D:D,A206)</f>
        <v>2</v>
      </c>
      <c r="D206" t="s">
        <v>5134</v>
      </c>
      <c r="E206">
        <f>COUNTIF(tweets!C:C,D206)</f>
        <v>2</v>
      </c>
      <c r="I206"/>
      <c r="J206"/>
    </row>
    <row r="207" spans="1:10" x14ac:dyDescent="0.2">
      <c r="A207" t="s">
        <v>2970</v>
      </c>
      <c r="B207">
        <f>COUNTIF(tweets!D:D,A207)</f>
        <v>2</v>
      </c>
      <c r="D207" t="s">
        <v>5161</v>
      </c>
      <c r="E207">
        <f>COUNTIF(tweets!C:C,D207)</f>
        <v>2</v>
      </c>
      <c r="I207"/>
      <c r="J207"/>
    </row>
    <row r="208" spans="1:10" x14ac:dyDescent="0.2">
      <c r="A208" t="s">
        <v>1483</v>
      </c>
      <c r="B208">
        <f>COUNTIF(tweets!D:D,A208)</f>
        <v>2</v>
      </c>
      <c r="D208" t="s">
        <v>5257</v>
      </c>
      <c r="E208">
        <f>COUNTIF(tweets!C:C,D208)</f>
        <v>2</v>
      </c>
      <c r="I208"/>
      <c r="J208"/>
    </row>
    <row r="209" spans="1:10" x14ac:dyDescent="0.2">
      <c r="A209" t="s">
        <v>323</v>
      </c>
      <c r="B209">
        <f>COUNTIF(tweets!D:D,A209)</f>
        <v>2</v>
      </c>
      <c r="D209" t="s">
        <v>5322</v>
      </c>
      <c r="E209">
        <f>COUNTIF(tweets!C:C,D209)</f>
        <v>2</v>
      </c>
      <c r="I209"/>
      <c r="J209"/>
    </row>
    <row r="210" spans="1:10" x14ac:dyDescent="0.2">
      <c r="A210" t="s">
        <v>282</v>
      </c>
      <c r="B210">
        <f>COUNTIF(tweets!D:D,A210)</f>
        <v>2</v>
      </c>
      <c r="D210" t="s">
        <v>5338</v>
      </c>
      <c r="E210">
        <f>COUNTIF(tweets!C:C,D210)</f>
        <v>2</v>
      </c>
      <c r="I210"/>
      <c r="J210"/>
    </row>
    <row r="211" spans="1:10" x14ac:dyDescent="0.2">
      <c r="A211" t="s">
        <v>1890</v>
      </c>
      <c r="B211">
        <f>COUNTIF(tweets!D:D,A211)</f>
        <v>2</v>
      </c>
      <c r="D211" t="s">
        <v>5382</v>
      </c>
      <c r="E211">
        <f>COUNTIF(tweets!C:C,D211)</f>
        <v>2</v>
      </c>
      <c r="I211"/>
      <c r="J211"/>
    </row>
    <row r="212" spans="1:10" x14ac:dyDescent="0.2">
      <c r="A212" t="s">
        <v>4209</v>
      </c>
      <c r="B212">
        <f>COUNTIF(tweets!D:D,A212)</f>
        <v>2</v>
      </c>
      <c r="D212" t="s">
        <v>5390</v>
      </c>
      <c r="E212">
        <f>COUNTIF(tweets!C:C,D212)</f>
        <v>2</v>
      </c>
      <c r="I212"/>
      <c r="J212"/>
    </row>
    <row r="213" spans="1:10" x14ac:dyDescent="0.2">
      <c r="A213" t="s">
        <v>4361</v>
      </c>
      <c r="B213">
        <f>COUNTIF(tweets!D:D,A213)</f>
        <v>2</v>
      </c>
      <c r="D213" t="s">
        <v>5440</v>
      </c>
      <c r="E213">
        <f>COUNTIF(tweets!C:C,D213)</f>
        <v>2</v>
      </c>
      <c r="I213"/>
      <c r="J213"/>
    </row>
    <row r="214" spans="1:10" x14ac:dyDescent="0.2">
      <c r="A214" t="s">
        <v>2721</v>
      </c>
      <c r="B214">
        <f>COUNTIF(tweets!D:D,A214)</f>
        <v>2</v>
      </c>
      <c r="D214" t="s">
        <v>5505</v>
      </c>
      <c r="E214">
        <f>COUNTIF(tweets!C:C,D214)</f>
        <v>2</v>
      </c>
      <c r="I214"/>
      <c r="J214"/>
    </row>
    <row r="215" spans="1:10" x14ac:dyDescent="0.2">
      <c r="A215" t="s">
        <v>1391</v>
      </c>
      <c r="B215">
        <f>COUNTIF(tweets!D:D,A215)</f>
        <v>2</v>
      </c>
      <c r="D215" t="s">
        <v>5548</v>
      </c>
      <c r="E215">
        <f>COUNTIF(tweets!C:C,D215)</f>
        <v>2</v>
      </c>
      <c r="I215"/>
      <c r="J215"/>
    </row>
    <row r="216" spans="1:10" x14ac:dyDescent="0.2">
      <c r="A216" t="s">
        <v>4548</v>
      </c>
      <c r="B216">
        <f>COUNTIF(tweets!D:D,A216)</f>
        <v>2</v>
      </c>
      <c r="D216" t="s">
        <v>5591</v>
      </c>
      <c r="E216">
        <f>COUNTIF(tweets!C:C,D216)</f>
        <v>2</v>
      </c>
      <c r="I216"/>
      <c r="J216"/>
    </row>
    <row r="217" spans="1:10" x14ac:dyDescent="0.2">
      <c r="A217" t="s">
        <v>3985</v>
      </c>
      <c r="B217">
        <f>COUNTIF(tweets!D:D,A217)</f>
        <v>2</v>
      </c>
      <c r="D217" t="s">
        <v>5607</v>
      </c>
      <c r="E217">
        <f>COUNTIF(tweets!C:C,D217)</f>
        <v>2</v>
      </c>
      <c r="I217"/>
      <c r="J217"/>
    </row>
    <row r="218" spans="1:10" x14ac:dyDescent="0.2">
      <c r="A218" t="s">
        <v>3694</v>
      </c>
      <c r="B218">
        <f>COUNTIF(tweets!D:D,A218)</f>
        <v>2</v>
      </c>
      <c r="D218" t="s">
        <v>5636</v>
      </c>
      <c r="E218">
        <f>COUNTIF(tweets!C:C,D218)</f>
        <v>2</v>
      </c>
      <c r="I218"/>
      <c r="J218"/>
    </row>
    <row r="219" spans="1:10" x14ac:dyDescent="0.2">
      <c r="A219" t="s">
        <v>4669</v>
      </c>
      <c r="B219">
        <f>COUNTIF(tweets!D:D,A219)</f>
        <v>2</v>
      </c>
      <c r="D219" t="s">
        <v>5669</v>
      </c>
      <c r="E219">
        <f>COUNTIF(tweets!C:C,D219)</f>
        <v>2</v>
      </c>
      <c r="I219"/>
      <c r="J219"/>
    </row>
    <row r="220" spans="1:10" x14ac:dyDescent="0.2">
      <c r="A220" t="s">
        <v>1192</v>
      </c>
      <c r="B220">
        <f>COUNTIF(tweets!D:D,A220)</f>
        <v>2</v>
      </c>
      <c r="D220" t="s">
        <v>5678</v>
      </c>
      <c r="E220">
        <f>COUNTIF(tweets!C:C,D220)</f>
        <v>2</v>
      </c>
      <c r="I220"/>
      <c r="J220"/>
    </row>
    <row r="221" spans="1:10" x14ac:dyDescent="0.2">
      <c r="A221" t="s">
        <v>453</v>
      </c>
      <c r="B221">
        <f>COUNTIF(tweets!D:D,A221)</f>
        <v>2</v>
      </c>
      <c r="D221" t="s">
        <v>5725</v>
      </c>
      <c r="E221">
        <f>COUNTIF(tweets!C:C,D221)</f>
        <v>2</v>
      </c>
      <c r="I221"/>
      <c r="J221"/>
    </row>
    <row r="222" spans="1:10" x14ac:dyDescent="0.2">
      <c r="A222" t="s">
        <v>6293</v>
      </c>
      <c r="B222">
        <f>COUNTIF(tweets!D:D,A222)</f>
        <v>2</v>
      </c>
      <c r="D222" t="s">
        <v>5823</v>
      </c>
      <c r="E222">
        <f>COUNTIF(tweets!C:C,D222)</f>
        <v>2</v>
      </c>
      <c r="I222"/>
      <c r="J222"/>
    </row>
    <row r="223" spans="1:10" x14ac:dyDescent="0.2">
      <c r="A223" t="s">
        <v>63</v>
      </c>
      <c r="B223">
        <f>COUNTIF(tweets!D:D,A223)</f>
        <v>2</v>
      </c>
      <c r="D223" t="s">
        <v>5841</v>
      </c>
      <c r="E223">
        <f>COUNTIF(tweets!C:C,D223)</f>
        <v>2</v>
      </c>
      <c r="I223"/>
      <c r="J223"/>
    </row>
    <row r="224" spans="1:10" x14ac:dyDescent="0.2">
      <c r="A224" t="s">
        <v>6998</v>
      </c>
      <c r="B224">
        <f>COUNTIF(tweets!D:D,A224)</f>
        <v>2</v>
      </c>
      <c r="D224" t="s">
        <v>5867</v>
      </c>
      <c r="E224">
        <f>COUNTIF(tweets!C:C,D224)</f>
        <v>2</v>
      </c>
      <c r="I224"/>
      <c r="J224"/>
    </row>
    <row r="225" spans="1:10" x14ac:dyDescent="0.2">
      <c r="A225" t="s">
        <v>161</v>
      </c>
      <c r="B225">
        <f>COUNTIF(tweets!D:D,A225)</f>
        <v>2</v>
      </c>
      <c r="D225" t="s">
        <v>6052</v>
      </c>
      <c r="E225">
        <f>COUNTIF(tweets!C:C,D225)</f>
        <v>2</v>
      </c>
      <c r="I225"/>
      <c r="J225"/>
    </row>
    <row r="226" spans="1:10" x14ac:dyDescent="0.2">
      <c r="A226" t="s">
        <v>4800</v>
      </c>
      <c r="B226">
        <f>COUNTIF(tweets!D:D,A226)</f>
        <v>2</v>
      </c>
      <c r="D226" t="s">
        <v>6082</v>
      </c>
      <c r="E226">
        <f>COUNTIF(tweets!C:C,D226)</f>
        <v>2</v>
      </c>
      <c r="I226"/>
      <c r="J226"/>
    </row>
    <row r="227" spans="1:10" x14ac:dyDescent="0.2">
      <c r="A227" t="s">
        <v>2927</v>
      </c>
      <c r="B227">
        <f>COUNTIF(tweets!D:D,A227)</f>
        <v>2</v>
      </c>
      <c r="D227" t="s">
        <v>6142</v>
      </c>
      <c r="E227">
        <f>COUNTIF(tweets!C:C,D227)</f>
        <v>2</v>
      </c>
      <c r="I227"/>
      <c r="J227"/>
    </row>
    <row r="228" spans="1:10" x14ac:dyDescent="0.2">
      <c r="A228" t="s">
        <v>628</v>
      </c>
      <c r="B228">
        <f>COUNTIF(tweets!D:D,A228)</f>
        <v>2</v>
      </c>
      <c r="D228" t="s">
        <v>6189</v>
      </c>
      <c r="E228">
        <f>COUNTIF(tweets!C:C,D228)</f>
        <v>2</v>
      </c>
      <c r="I228"/>
      <c r="J228"/>
    </row>
    <row r="229" spans="1:10" x14ac:dyDescent="0.2">
      <c r="A229" t="s">
        <v>2555</v>
      </c>
      <c r="B229">
        <f>COUNTIF(tweets!D:D,A229)</f>
        <v>2</v>
      </c>
      <c r="D229" t="s">
        <v>6311</v>
      </c>
      <c r="E229">
        <f>COUNTIF(tweets!C:C,D229)</f>
        <v>2</v>
      </c>
      <c r="I229"/>
      <c r="J229"/>
    </row>
    <row r="230" spans="1:10" x14ac:dyDescent="0.2">
      <c r="A230" t="s">
        <v>7635</v>
      </c>
      <c r="B230">
        <f>COUNTIF(tweets!D:D,A230)</f>
        <v>2</v>
      </c>
      <c r="D230" t="s">
        <v>6314</v>
      </c>
      <c r="E230">
        <f>COUNTIF(tweets!C:C,D230)</f>
        <v>2</v>
      </c>
      <c r="I230"/>
      <c r="J230"/>
    </row>
    <row r="231" spans="1:10" x14ac:dyDescent="0.2">
      <c r="A231" t="s">
        <v>3550</v>
      </c>
      <c r="B231">
        <f>COUNTIF(tweets!D:D,A231)</f>
        <v>2</v>
      </c>
      <c r="D231" t="s">
        <v>6395</v>
      </c>
      <c r="E231">
        <f>COUNTIF(tweets!C:C,D231)</f>
        <v>2</v>
      </c>
      <c r="I231"/>
      <c r="J231"/>
    </row>
    <row r="232" spans="1:10" x14ac:dyDescent="0.2">
      <c r="A232" t="s">
        <v>5258</v>
      </c>
      <c r="B232">
        <f>COUNTIF(tweets!D:D,A232)</f>
        <v>2</v>
      </c>
      <c r="D232" t="s">
        <v>6481</v>
      </c>
      <c r="E232">
        <f>COUNTIF(tweets!C:C,D232)</f>
        <v>2</v>
      </c>
      <c r="I232"/>
      <c r="J232"/>
    </row>
    <row r="233" spans="1:10" x14ac:dyDescent="0.2">
      <c r="A233" t="s">
        <v>1927</v>
      </c>
      <c r="B233">
        <f>COUNTIF(tweets!D:D,A233)</f>
        <v>2</v>
      </c>
      <c r="D233" t="s">
        <v>6490</v>
      </c>
      <c r="E233">
        <f>COUNTIF(tweets!C:C,D233)</f>
        <v>2</v>
      </c>
      <c r="I233"/>
      <c r="J233"/>
    </row>
    <row r="234" spans="1:10" x14ac:dyDescent="0.2">
      <c r="A234" t="s">
        <v>3008</v>
      </c>
      <c r="B234">
        <f>COUNTIF(tweets!D:D,A234)</f>
        <v>2</v>
      </c>
      <c r="D234" t="s">
        <v>6658</v>
      </c>
      <c r="E234">
        <f>COUNTIF(tweets!C:C,D234)</f>
        <v>2</v>
      </c>
      <c r="I234"/>
      <c r="J234"/>
    </row>
    <row r="235" spans="1:10" x14ac:dyDescent="0.2">
      <c r="A235" t="s">
        <v>6143</v>
      </c>
      <c r="B235">
        <f>COUNTIF(tweets!D:D,A235)</f>
        <v>2</v>
      </c>
      <c r="D235" t="s">
        <v>6783</v>
      </c>
      <c r="E235">
        <f>COUNTIF(tweets!C:C,D235)</f>
        <v>2</v>
      </c>
      <c r="I235"/>
      <c r="J235"/>
    </row>
    <row r="236" spans="1:10" x14ac:dyDescent="0.2">
      <c r="A236" t="s">
        <v>887</v>
      </c>
      <c r="B236">
        <f>COUNTIF(tweets!D:D,A236)</f>
        <v>2</v>
      </c>
      <c r="D236" t="s">
        <v>6802</v>
      </c>
      <c r="E236">
        <f>COUNTIF(tweets!C:C,D236)</f>
        <v>2</v>
      </c>
      <c r="I236"/>
      <c r="J236"/>
    </row>
    <row r="237" spans="1:10" x14ac:dyDescent="0.2">
      <c r="A237" t="s">
        <v>4069</v>
      </c>
      <c r="B237">
        <f>COUNTIF(tweets!D:D,A237)</f>
        <v>2</v>
      </c>
      <c r="D237" t="s">
        <v>6929</v>
      </c>
      <c r="E237">
        <f>COUNTIF(tweets!C:C,D237)</f>
        <v>2</v>
      </c>
      <c r="I237"/>
      <c r="J237"/>
    </row>
    <row r="238" spans="1:10" x14ac:dyDescent="0.2">
      <c r="A238" t="s">
        <v>3682</v>
      </c>
      <c r="B238">
        <f>COUNTIF(tweets!D:D,A238)</f>
        <v>2</v>
      </c>
      <c r="D238" t="s">
        <v>6997</v>
      </c>
      <c r="E238">
        <f>COUNTIF(tweets!C:C,D238)</f>
        <v>2</v>
      </c>
      <c r="I238"/>
      <c r="J238"/>
    </row>
    <row r="239" spans="1:10" x14ac:dyDescent="0.2">
      <c r="A239" t="s">
        <v>6482</v>
      </c>
      <c r="B239">
        <f>COUNTIF(tweets!D:D,A239)</f>
        <v>2</v>
      </c>
      <c r="D239" t="s">
        <v>7023</v>
      </c>
      <c r="E239">
        <f>COUNTIF(tweets!C:C,D239)</f>
        <v>2</v>
      </c>
      <c r="I239"/>
      <c r="J239"/>
    </row>
    <row r="240" spans="1:10" x14ac:dyDescent="0.2">
      <c r="A240" t="s">
        <v>5383</v>
      </c>
      <c r="B240">
        <f>COUNTIF(tweets!D:D,A240)</f>
        <v>2</v>
      </c>
      <c r="D240" t="s">
        <v>7091</v>
      </c>
      <c r="E240">
        <f>COUNTIF(tweets!C:C,D240)</f>
        <v>2</v>
      </c>
      <c r="I240"/>
      <c r="J240"/>
    </row>
    <row r="241" spans="1:10" x14ac:dyDescent="0.2">
      <c r="A241" t="s">
        <v>2523</v>
      </c>
      <c r="B241">
        <f>COUNTIF(tweets!D:D,A241)</f>
        <v>2</v>
      </c>
      <c r="D241" t="s">
        <v>7123</v>
      </c>
      <c r="E241">
        <f>COUNTIF(tweets!C:C,D241)</f>
        <v>2</v>
      </c>
      <c r="I241"/>
      <c r="J241"/>
    </row>
    <row r="242" spans="1:10" x14ac:dyDescent="0.2">
      <c r="A242" t="s">
        <v>2300</v>
      </c>
      <c r="B242">
        <f>COUNTIF(tweets!D:D,A242)</f>
        <v>2</v>
      </c>
      <c r="D242" t="s">
        <v>7222</v>
      </c>
      <c r="E242">
        <f>COUNTIF(tweets!C:C,D242)</f>
        <v>2</v>
      </c>
      <c r="I242"/>
      <c r="J242"/>
    </row>
    <row r="243" spans="1:10" x14ac:dyDescent="0.2">
      <c r="A243" t="s">
        <v>7024</v>
      </c>
      <c r="B243">
        <f>COUNTIF(tweets!D:D,A243)</f>
        <v>2</v>
      </c>
      <c r="D243" t="s">
        <v>7303</v>
      </c>
      <c r="E243">
        <f>COUNTIF(tweets!C:C,D243)</f>
        <v>2</v>
      </c>
      <c r="I243"/>
      <c r="J243"/>
    </row>
    <row r="244" spans="1:10" x14ac:dyDescent="0.2">
      <c r="A244" t="s">
        <v>7307</v>
      </c>
      <c r="B244">
        <f>COUNTIF(tweets!D:D,A244)</f>
        <v>2</v>
      </c>
      <c r="D244" t="s">
        <v>7306</v>
      </c>
      <c r="E244">
        <f>COUNTIF(tweets!C:C,D244)</f>
        <v>2</v>
      </c>
      <c r="I244"/>
      <c r="J244"/>
    </row>
    <row r="245" spans="1:10" x14ac:dyDescent="0.2">
      <c r="A245" t="s">
        <v>1796</v>
      </c>
      <c r="B245">
        <f>COUNTIF(tweets!D:D,A245)</f>
        <v>2</v>
      </c>
      <c r="D245" t="s">
        <v>7317</v>
      </c>
      <c r="E245">
        <f>COUNTIF(tweets!C:C,D245)</f>
        <v>2</v>
      </c>
      <c r="I245"/>
      <c r="J245"/>
    </row>
    <row r="246" spans="1:10" x14ac:dyDescent="0.2">
      <c r="A246" t="s">
        <v>66</v>
      </c>
      <c r="B246">
        <f>COUNTIF(tweets!D:D,A246)</f>
        <v>2</v>
      </c>
      <c r="D246" t="s">
        <v>7405</v>
      </c>
      <c r="E246">
        <f>COUNTIF(tweets!C:C,D246)</f>
        <v>2</v>
      </c>
      <c r="I246"/>
      <c r="J246"/>
    </row>
    <row r="247" spans="1:10" x14ac:dyDescent="0.2">
      <c r="A247" t="s">
        <v>7246</v>
      </c>
      <c r="B247">
        <f>COUNTIF(tweets!D:D,A247)</f>
        <v>2</v>
      </c>
      <c r="D247" t="s">
        <v>7479</v>
      </c>
      <c r="E247">
        <f>COUNTIF(tweets!C:C,D247)</f>
        <v>2</v>
      </c>
      <c r="I247"/>
      <c r="J247"/>
    </row>
    <row r="248" spans="1:10" x14ac:dyDescent="0.2">
      <c r="A248">
        <v>0</v>
      </c>
      <c r="B248">
        <f>COUNTIF(tweets!D:D,A248)</f>
        <v>1</v>
      </c>
      <c r="D248" t="s">
        <v>7634</v>
      </c>
      <c r="E248">
        <f>COUNTIF(tweets!C:C,D248)</f>
        <v>2</v>
      </c>
      <c r="I248"/>
      <c r="J248"/>
    </row>
    <row r="249" spans="1:10" x14ac:dyDescent="0.2">
      <c r="A249">
        <v>904</v>
      </c>
      <c r="B249">
        <f>COUNTIF(tweets!D:D,A249)</f>
        <v>1</v>
      </c>
      <c r="D249" t="s">
        <v>7717</v>
      </c>
      <c r="E249">
        <f>COUNTIF(tweets!C:C,D249)</f>
        <v>2</v>
      </c>
      <c r="I249"/>
      <c r="J249"/>
    </row>
    <row r="250" spans="1:10" x14ac:dyDescent="0.2">
      <c r="A250" t="s">
        <v>7461</v>
      </c>
      <c r="B250">
        <f>COUNTIF(tweets!D:D,A250)</f>
        <v>1</v>
      </c>
      <c r="D250" t="s">
        <v>7744</v>
      </c>
      <c r="E250">
        <f>COUNTIF(tweets!C:C,D250)</f>
        <v>2</v>
      </c>
      <c r="I250"/>
      <c r="J250"/>
    </row>
    <row r="251" spans="1:10" x14ac:dyDescent="0.2">
      <c r="A251" t="s">
        <v>275</v>
      </c>
      <c r="B251">
        <f>COUNTIF(tweets!D:D,A251)</f>
        <v>1</v>
      </c>
      <c r="D251" t="s">
        <v>7850</v>
      </c>
      <c r="E251">
        <f>COUNTIF(tweets!C:C,D251)</f>
        <v>2</v>
      </c>
      <c r="I251"/>
      <c r="J251"/>
    </row>
    <row r="252" spans="1:10" x14ac:dyDescent="0.2">
      <c r="A252" t="s">
        <v>1878</v>
      </c>
      <c r="B252">
        <f>COUNTIF(tweets!D:D,A252)</f>
        <v>1</v>
      </c>
      <c r="D252" t="s">
        <v>7892</v>
      </c>
      <c r="E252">
        <f>COUNTIF(tweets!C:C,D252)</f>
        <v>2</v>
      </c>
      <c r="I252"/>
      <c r="J252"/>
    </row>
    <row r="253" spans="1:10" x14ac:dyDescent="0.2">
      <c r="A253" t="s">
        <v>6504</v>
      </c>
      <c r="B253">
        <f>COUNTIF(tweets!D:D,A253)</f>
        <v>1</v>
      </c>
      <c r="D253" t="s">
        <v>7980</v>
      </c>
      <c r="E253">
        <f>COUNTIF(tweets!C:C,D253)</f>
        <v>2</v>
      </c>
      <c r="I253"/>
      <c r="J253"/>
    </row>
    <row r="254" spans="1:10" x14ac:dyDescent="0.2">
      <c r="A254" t="s">
        <v>5974</v>
      </c>
      <c r="B254">
        <f>COUNTIF(tweets!D:D,A254)</f>
        <v>1</v>
      </c>
      <c r="D254" t="s">
        <v>8082</v>
      </c>
      <c r="E254">
        <f>COUNTIF(tweets!C:C,D254)</f>
        <v>2</v>
      </c>
      <c r="I254"/>
      <c r="J254"/>
    </row>
    <row r="255" spans="1:10" x14ac:dyDescent="0.2">
      <c r="A255" t="s">
        <v>7282</v>
      </c>
      <c r="B255">
        <f>COUNTIF(tweets!D:D,A255)</f>
        <v>1</v>
      </c>
      <c r="D255" t="s">
        <v>8199</v>
      </c>
      <c r="E255">
        <f>COUNTIF(tweets!C:C,D255)</f>
        <v>2</v>
      </c>
      <c r="I255"/>
      <c r="J255"/>
    </row>
    <row r="256" spans="1:10" x14ac:dyDescent="0.2">
      <c r="A256" t="s">
        <v>7207</v>
      </c>
      <c r="B256">
        <f>COUNTIF(tweets!D:D,A256)</f>
        <v>1</v>
      </c>
      <c r="D256" t="s">
        <v>8336</v>
      </c>
      <c r="E256">
        <f>COUNTIF(tweets!C:C,D256)</f>
        <v>2</v>
      </c>
      <c r="I256"/>
      <c r="J256"/>
    </row>
    <row r="257" spans="1:10" x14ac:dyDescent="0.2">
      <c r="A257" t="s">
        <v>6961</v>
      </c>
      <c r="B257">
        <f>COUNTIF(tweets!D:D,A257)</f>
        <v>1</v>
      </c>
      <c r="D257" t="s">
        <v>8467</v>
      </c>
      <c r="E257">
        <f>COUNTIF(tweets!C:C,D257)</f>
        <v>2</v>
      </c>
      <c r="I257"/>
      <c r="J257"/>
    </row>
    <row r="258" spans="1:10" x14ac:dyDescent="0.2">
      <c r="A258" t="s">
        <v>3151</v>
      </c>
      <c r="B258">
        <f>COUNTIF(tweets!D:D,A258)</f>
        <v>1</v>
      </c>
      <c r="D258" t="s">
        <v>8511</v>
      </c>
      <c r="E258">
        <f>COUNTIF(tweets!C:C,D258)</f>
        <v>2</v>
      </c>
      <c r="I258"/>
      <c r="J258"/>
    </row>
    <row r="259" spans="1:10" x14ac:dyDescent="0.2">
      <c r="A259" t="s">
        <v>1226</v>
      </c>
      <c r="B259">
        <f>COUNTIF(tweets!D:D,A259)</f>
        <v>1</v>
      </c>
      <c r="D259" t="s">
        <v>11</v>
      </c>
      <c r="E259">
        <f>COUNTIF(tweets!C:C,D259)</f>
        <v>1</v>
      </c>
      <c r="I259"/>
      <c r="J259"/>
    </row>
    <row r="260" spans="1:10" x14ac:dyDescent="0.2">
      <c r="A260" t="s">
        <v>7345</v>
      </c>
      <c r="B260">
        <f>COUNTIF(tweets!D:D,A260)</f>
        <v>1</v>
      </c>
      <c r="D260" t="s">
        <v>17</v>
      </c>
      <c r="E260">
        <f>COUNTIF(tweets!C:C,D260)</f>
        <v>1</v>
      </c>
      <c r="I260"/>
      <c r="J260"/>
    </row>
    <row r="261" spans="1:10" x14ac:dyDescent="0.2">
      <c r="A261" t="s">
        <v>4255</v>
      </c>
      <c r="B261">
        <f>COUNTIF(tweets!D:D,A261)</f>
        <v>1</v>
      </c>
      <c r="D261" t="s">
        <v>25</v>
      </c>
      <c r="E261">
        <f>COUNTIF(tweets!C:C,D261)</f>
        <v>1</v>
      </c>
      <c r="I261"/>
      <c r="J261"/>
    </row>
    <row r="262" spans="1:10" x14ac:dyDescent="0.2">
      <c r="A262" t="s">
        <v>4966</v>
      </c>
      <c r="B262">
        <f>COUNTIF(tweets!D:D,A262)</f>
        <v>1</v>
      </c>
      <c r="D262" t="s">
        <v>29</v>
      </c>
      <c r="E262">
        <f>COUNTIF(tweets!C:C,D262)</f>
        <v>1</v>
      </c>
      <c r="I262"/>
      <c r="J262"/>
    </row>
    <row r="263" spans="1:10" x14ac:dyDescent="0.2">
      <c r="A263" t="s">
        <v>4566</v>
      </c>
      <c r="B263">
        <f>COUNTIF(tweets!D:D,A263)</f>
        <v>1</v>
      </c>
      <c r="D263" t="s">
        <v>33</v>
      </c>
      <c r="E263">
        <f>COUNTIF(tweets!C:C,D263)</f>
        <v>1</v>
      </c>
      <c r="I263"/>
      <c r="J263"/>
    </row>
    <row r="264" spans="1:10" x14ac:dyDescent="0.2">
      <c r="A264" t="s">
        <v>2452</v>
      </c>
      <c r="B264">
        <f>COUNTIF(tweets!D:D,A264)</f>
        <v>1</v>
      </c>
      <c r="D264" t="s">
        <v>37</v>
      </c>
      <c r="E264">
        <f>COUNTIF(tweets!C:C,D264)</f>
        <v>1</v>
      </c>
      <c r="I264"/>
      <c r="J264"/>
    </row>
    <row r="265" spans="1:10" x14ac:dyDescent="0.2">
      <c r="A265" t="s">
        <v>4119</v>
      </c>
      <c r="B265">
        <f>COUNTIF(tweets!D:D,A265)</f>
        <v>1</v>
      </c>
      <c r="D265" t="s">
        <v>40</v>
      </c>
      <c r="E265">
        <f>COUNTIF(tweets!C:C,D265)</f>
        <v>1</v>
      </c>
      <c r="I265"/>
      <c r="J265"/>
    </row>
    <row r="266" spans="1:10" x14ac:dyDescent="0.2">
      <c r="A266" t="s">
        <v>2895</v>
      </c>
      <c r="B266">
        <f>COUNTIF(tweets!D:D,A266)</f>
        <v>1</v>
      </c>
      <c r="D266" t="s">
        <v>45</v>
      </c>
      <c r="E266">
        <f>COUNTIF(tweets!C:C,D266)</f>
        <v>1</v>
      </c>
      <c r="I266"/>
      <c r="J266"/>
    </row>
    <row r="267" spans="1:10" x14ac:dyDescent="0.2">
      <c r="A267" t="s">
        <v>7020</v>
      </c>
      <c r="B267">
        <f>COUNTIF(tweets!D:D,A267)</f>
        <v>1</v>
      </c>
      <c r="D267" t="s">
        <v>54</v>
      </c>
      <c r="E267">
        <f>COUNTIF(tweets!C:C,D267)</f>
        <v>1</v>
      </c>
      <c r="I267"/>
      <c r="J267"/>
    </row>
    <row r="268" spans="1:10" x14ac:dyDescent="0.2">
      <c r="A268" t="s">
        <v>7300</v>
      </c>
      <c r="B268">
        <f>COUNTIF(tweets!D:D,A268)</f>
        <v>1</v>
      </c>
      <c r="D268" t="s">
        <v>57</v>
      </c>
      <c r="E268">
        <f>COUNTIF(tweets!C:C,D268)</f>
        <v>1</v>
      </c>
      <c r="I268"/>
      <c r="J268"/>
    </row>
    <row r="269" spans="1:10" x14ac:dyDescent="0.2">
      <c r="A269" t="s">
        <v>8568</v>
      </c>
      <c r="B269">
        <f>COUNTIF(tweets!D:D,A269)</f>
        <v>1</v>
      </c>
      <c r="D269" t="s">
        <v>65</v>
      </c>
      <c r="E269">
        <f>COUNTIF(tweets!C:C,D269)</f>
        <v>1</v>
      </c>
      <c r="I269"/>
      <c r="J269"/>
    </row>
    <row r="270" spans="1:10" x14ac:dyDescent="0.2">
      <c r="A270" t="s">
        <v>2123</v>
      </c>
      <c r="B270">
        <f>COUNTIF(tweets!D:D,A270)</f>
        <v>1</v>
      </c>
      <c r="D270" t="s">
        <v>69</v>
      </c>
      <c r="E270">
        <f>COUNTIF(tweets!C:C,D270)</f>
        <v>1</v>
      </c>
      <c r="I270"/>
      <c r="J270"/>
    </row>
    <row r="271" spans="1:10" x14ac:dyDescent="0.2">
      <c r="A271" t="s">
        <v>6704</v>
      </c>
      <c r="B271">
        <f>COUNTIF(tweets!D:D,A271)</f>
        <v>1</v>
      </c>
      <c r="D271" t="s">
        <v>84</v>
      </c>
      <c r="E271">
        <f>COUNTIF(tweets!C:C,D271)</f>
        <v>1</v>
      </c>
      <c r="I271"/>
      <c r="J271"/>
    </row>
    <row r="272" spans="1:10" x14ac:dyDescent="0.2">
      <c r="A272" t="s">
        <v>5055</v>
      </c>
      <c r="B272">
        <f>COUNTIF(tweets!D:D,A272)</f>
        <v>1</v>
      </c>
      <c r="D272" t="s">
        <v>89</v>
      </c>
      <c r="E272">
        <f>COUNTIF(tweets!C:C,D272)</f>
        <v>1</v>
      </c>
      <c r="I272"/>
      <c r="J272"/>
    </row>
    <row r="273" spans="1:10" x14ac:dyDescent="0.2">
      <c r="A273" t="s">
        <v>2829</v>
      </c>
      <c r="B273">
        <f>COUNTIF(tweets!D:D,A273)</f>
        <v>1</v>
      </c>
      <c r="D273" t="s">
        <v>92</v>
      </c>
      <c r="E273">
        <f>COUNTIF(tweets!C:C,D273)</f>
        <v>1</v>
      </c>
      <c r="I273"/>
      <c r="J273"/>
    </row>
    <row r="274" spans="1:10" x14ac:dyDescent="0.2">
      <c r="A274" t="s">
        <v>672</v>
      </c>
      <c r="B274">
        <f>COUNTIF(tweets!D:D,A274)</f>
        <v>1</v>
      </c>
      <c r="D274" t="s">
        <v>95</v>
      </c>
      <c r="E274">
        <f>COUNTIF(tweets!C:C,D274)</f>
        <v>1</v>
      </c>
      <c r="I274"/>
      <c r="J274"/>
    </row>
    <row r="275" spans="1:10" x14ac:dyDescent="0.2">
      <c r="A275" t="s">
        <v>7215</v>
      </c>
      <c r="B275">
        <f>COUNTIF(tweets!D:D,A275)</f>
        <v>1</v>
      </c>
      <c r="D275" t="s">
        <v>99</v>
      </c>
      <c r="E275">
        <f>COUNTIF(tweets!C:C,D275)</f>
        <v>1</v>
      </c>
      <c r="I275"/>
      <c r="J275"/>
    </row>
    <row r="276" spans="1:10" x14ac:dyDescent="0.2">
      <c r="A276" t="s">
        <v>7349</v>
      </c>
      <c r="B276">
        <f>COUNTIF(tweets!D:D,A276)</f>
        <v>1</v>
      </c>
      <c r="D276" t="s">
        <v>107</v>
      </c>
      <c r="E276">
        <f>COUNTIF(tweets!C:C,D276)</f>
        <v>1</v>
      </c>
      <c r="I276"/>
      <c r="J276"/>
    </row>
    <row r="277" spans="1:10" x14ac:dyDescent="0.2">
      <c r="A277" t="s">
        <v>2794</v>
      </c>
      <c r="B277">
        <f>COUNTIF(tweets!D:D,A277)</f>
        <v>1</v>
      </c>
      <c r="D277" t="s">
        <v>134</v>
      </c>
      <c r="E277">
        <f>COUNTIF(tweets!C:C,D277)</f>
        <v>1</v>
      </c>
      <c r="I277"/>
      <c r="J277"/>
    </row>
    <row r="278" spans="1:10" x14ac:dyDescent="0.2">
      <c r="A278" t="s">
        <v>5271</v>
      </c>
      <c r="B278">
        <f>COUNTIF(tweets!D:D,A278)</f>
        <v>1</v>
      </c>
      <c r="D278" t="s">
        <v>142</v>
      </c>
      <c r="E278">
        <f>COUNTIF(tweets!C:C,D278)</f>
        <v>1</v>
      </c>
      <c r="I278"/>
      <c r="J278"/>
    </row>
    <row r="279" spans="1:10" x14ac:dyDescent="0.2">
      <c r="A279" t="s">
        <v>7878</v>
      </c>
      <c r="B279">
        <f>COUNTIF(tweets!D:D,A279)</f>
        <v>1</v>
      </c>
      <c r="D279" t="s">
        <v>146</v>
      </c>
      <c r="E279">
        <f>COUNTIF(tweets!C:C,D279)</f>
        <v>1</v>
      </c>
      <c r="I279"/>
      <c r="J279"/>
    </row>
    <row r="280" spans="1:10" x14ac:dyDescent="0.2">
      <c r="A280" t="s">
        <v>2773</v>
      </c>
      <c r="B280">
        <f>COUNTIF(tweets!D:D,A280)</f>
        <v>1</v>
      </c>
      <c r="D280" t="s">
        <v>150</v>
      </c>
      <c r="E280">
        <f>COUNTIF(tweets!C:C,D280)</f>
        <v>1</v>
      </c>
      <c r="I280"/>
      <c r="J280"/>
    </row>
    <row r="281" spans="1:10" x14ac:dyDescent="0.2">
      <c r="A281" t="s">
        <v>5373</v>
      </c>
      <c r="B281">
        <f>COUNTIF(tweets!D:D,A281)</f>
        <v>1</v>
      </c>
      <c r="D281" t="s">
        <v>153</v>
      </c>
      <c r="E281">
        <f>COUNTIF(tweets!C:C,D281)</f>
        <v>1</v>
      </c>
      <c r="I281"/>
      <c r="J281"/>
    </row>
    <row r="282" spans="1:10" x14ac:dyDescent="0.2">
      <c r="A282" t="s">
        <v>5188</v>
      </c>
      <c r="B282">
        <f>COUNTIF(tweets!D:D,A282)</f>
        <v>1</v>
      </c>
      <c r="D282" t="s">
        <v>156</v>
      </c>
      <c r="E282">
        <f>COUNTIF(tweets!C:C,D282)</f>
        <v>1</v>
      </c>
      <c r="I282"/>
      <c r="J282"/>
    </row>
    <row r="283" spans="1:10" x14ac:dyDescent="0.2">
      <c r="A283" t="s">
        <v>1737</v>
      </c>
      <c r="B283">
        <f>COUNTIF(tweets!D:D,A283)</f>
        <v>1</v>
      </c>
      <c r="D283" t="s">
        <v>160</v>
      </c>
      <c r="E283">
        <f>COUNTIF(tweets!C:C,D283)</f>
        <v>1</v>
      </c>
      <c r="I283"/>
      <c r="J283"/>
    </row>
    <row r="284" spans="1:10" x14ac:dyDescent="0.2">
      <c r="A284" t="s">
        <v>6940</v>
      </c>
      <c r="B284">
        <f>COUNTIF(tweets!D:D,A284)</f>
        <v>1</v>
      </c>
      <c r="D284" t="s">
        <v>164</v>
      </c>
      <c r="E284">
        <f>COUNTIF(tweets!C:C,D284)</f>
        <v>1</v>
      </c>
      <c r="I284"/>
      <c r="J284"/>
    </row>
    <row r="285" spans="1:10" x14ac:dyDescent="0.2">
      <c r="A285" t="s">
        <v>4056</v>
      </c>
      <c r="B285">
        <f>COUNTIF(tweets!D:D,A285)</f>
        <v>1</v>
      </c>
      <c r="D285" t="s">
        <v>168</v>
      </c>
      <c r="E285">
        <f>COUNTIF(tweets!C:C,D285)</f>
        <v>1</v>
      </c>
      <c r="I285"/>
      <c r="J285"/>
    </row>
    <row r="286" spans="1:10" x14ac:dyDescent="0.2">
      <c r="A286" t="s">
        <v>7574</v>
      </c>
      <c r="B286">
        <f>COUNTIF(tweets!D:D,A286)</f>
        <v>1</v>
      </c>
      <c r="D286" t="s">
        <v>185</v>
      </c>
      <c r="E286">
        <f>COUNTIF(tweets!C:C,D286)</f>
        <v>1</v>
      </c>
      <c r="I286"/>
      <c r="J286"/>
    </row>
    <row r="287" spans="1:10" x14ac:dyDescent="0.2">
      <c r="A287" t="s">
        <v>3718</v>
      </c>
      <c r="B287">
        <f>COUNTIF(tweets!D:D,A287)</f>
        <v>1</v>
      </c>
      <c r="D287" t="s">
        <v>189</v>
      </c>
      <c r="E287">
        <f>COUNTIF(tweets!C:C,D287)</f>
        <v>1</v>
      </c>
      <c r="I287"/>
      <c r="J287"/>
    </row>
    <row r="288" spans="1:10" x14ac:dyDescent="0.2">
      <c r="A288" t="s">
        <v>3351</v>
      </c>
      <c r="B288">
        <f>COUNTIF(tweets!D:D,A288)</f>
        <v>1</v>
      </c>
      <c r="D288" t="s">
        <v>192</v>
      </c>
      <c r="E288">
        <f>COUNTIF(tweets!C:C,D288)</f>
        <v>1</v>
      </c>
      <c r="I288"/>
      <c r="J288"/>
    </row>
    <row r="289" spans="1:10" x14ac:dyDescent="0.2">
      <c r="A289" t="s">
        <v>8430</v>
      </c>
      <c r="B289">
        <f>COUNTIF(tweets!D:D,A289)</f>
        <v>1</v>
      </c>
      <c r="D289" t="s">
        <v>196</v>
      </c>
      <c r="E289">
        <f>COUNTIF(tweets!C:C,D289)</f>
        <v>1</v>
      </c>
      <c r="I289"/>
      <c r="J289"/>
    </row>
    <row r="290" spans="1:10" x14ac:dyDescent="0.2">
      <c r="A290" t="s">
        <v>3626</v>
      </c>
      <c r="B290">
        <f>COUNTIF(tweets!D:D,A290)</f>
        <v>1</v>
      </c>
      <c r="D290" t="s">
        <v>200</v>
      </c>
      <c r="E290">
        <f>COUNTIF(tweets!C:C,D290)</f>
        <v>1</v>
      </c>
      <c r="I290"/>
      <c r="J290"/>
    </row>
    <row r="291" spans="1:10" x14ac:dyDescent="0.2">
      <c r="A291" t="s">
        <v>1240</v>
      </c>
      <c r="B291">
        <f>COUNTIF(tweets!D:D,A291)</f>
        <v>1</v>
      </c>
      <c r="D291" t="s">
        <v>212</v>
      </c>
      <c r="E291">
        <f>COUNTIF(tweets!C:C,D291)</f>
        <v>1</v>
      </c>
      <c r="I291"/>
      <c r="J291"/>
    </row>
    <row r="292" spans="1:10" x14ac:dyDescent="0.2">
      <c r="A292" t="s">
        <v>6619</v>
      </c>
      <c r="B292">
        <f>COUNTIF(tweets!D:D,A292)</f>
        <v>1</v>
      </c>
      <c r="D292" t="s">
        <v>216</v>
      </c>
      <c r="E292">
        <f>COUNTIF(tweets!C:C,D292)</f>
        <v>1</v>
      </c>
      <c r="I292"/>
      <c r="J292"/>
    </row>
    <row r="293" spans="1:10" x14ac:dyDescent="0.2">
      <c r="A293" t="s">
        <v>8357</v>
      </c>
      <c r="B293">
        <f>COUNTIF(tweets!D:D,A293)</f>
        <v>1</v>
      </c>
      <c r="D293" t="s">
        <v>219</v>
      </c>
      <c r="E293">
        <f>COUNTIF(tweets!C:C,D293)</f>
        <v>1</v>
      </c>
      <c r="I293"/>
      <c r="J293"/>
    </row>
    <row r="294" spans="1:10" x14ac:dyDescent="0.2">
      <c r="A294" t="s">
        <v>3796</v>
      </c>
      <c r="B294">
        <f>COUNTIF(tweets!D:D,A294)</f>
        <v>1</v>
      </c>
      <c r="D294" t="s">
        <v>223</v>
      </c>
      <c r="E294">
        <f>COUNTIF(tweets!C:C,D294)</f>
        <v>1</v>
      </c>
      <c r="I294"/>
      <c r="J294"/>
    </row>
    <row r="295" spans="1:10" x14ac:dyDescent="0.2">
      <c r="A295" t="s">
        <v>7454</v>
      </c>
      <c r="B295">
        <f>COUNTIF(tweets!D:D,A295)</f>
        <v>1</v>
      </c>
      <c r="D295" t="s">
        <v>227</v>
      </c>
      <c r="E295">
        <f>COUNTIF(tweets!C:C,D295)</f>
        <v>1</v>
      </c>
      <c r="I295"/>
      <c r="J295"/>
    </row>
    <row r="296" spans="1:10" x14ac:dyDescent="0.2">
      <c r="A296" t="s">
        <v>7337</v>
      </c>
      <c r="B296">
        <f>COUNTIF(tweets!D:D,A296)</f>
        <v>1</v>
      </c>
      <c r="D296" t="s">
        <v>230</v>
      </c>
      <c r="E296">
        <f>COUNTIF(tweets!C:C,D296)</f>
        <v>1</v>
      </c>
      <c r="I296"/>
      <c r="J296"/>
    </row>
    <row r="297" spans="1:10" x14ac:dyDescent="0.2">
      <c r="A297" t="s">
        <v>5011</v>
      </c>
      <c r="B297">
        <f>COUNTIF(tweets!D:D,A297)</f>
        <v>1</v>
      </c>
      <c r="D297" t="s">
        <v>234</v>
      </c>
      <c r="E297">
        <f>COUNTIF(tweets!C:C,D297)</f>
        <v>1</v>
      </c>
      <c r="I297"/>
      <c r="J297"/>
    </row>
    <row r="298" spans="1:10" x14ac:dyDescent="0.2">
      <c r="A298" t="s">
        <v>1763</v>
      </c>
      <c r="B298">
        <f>COUNTIF(tweets!D:D,A298)</f>
        <v>1</v>
      </c>
      <c r="D298" t="s">
        <v>238</v>
      </c>
      <c r="E298">
        <f>COUNTIF(tweets!C:C,D298)</f>
        <v>1</v>
      </c>
      <c r="I298"/>
      <c r="J298"/>
    </row>
    <row r="299" spans="1:10" x14ac:dyDescent="0.2">
      <c r="A299" t="s">
        <v>5319</v>
      </c>
      <c r="B299">
        <f>COUNTIF(tweets!D:D,A299)</f>
        <v>1</v>
      </c>
      <c r="D299" t="s">
        <v>245</v>
      </c>
      <c r="E299">
        <f>COUNTIF(tweets!C:C,D299)</f>
        <v>1</v>
      </c>
      <c r="I299"/>
      <c r="J299"/>
    </row>
    <row r="300" spans="1:10" x14ac:dyDescent="0.2">
      <c r="A300" t="s">
        <v>927</v>
      </c>
      <c r="B300">
        <f>COUNTIF(tweets!D:D,A300)</f>
        <v>1</v>
      </c>
      <c r="D300" t="s">
        <v>249</v>
      </c>
      <c r="E300">
        <f>COUNTIF(tweets!C:C,D300)</f>
        <v>1</v>
      </c>
      <c r="I300"/>
      <c r="J300"/>
    </row>
    <row r="301" spans="1:10" x14ac:dyDescent="0.2">
      <c r="A301" t="s">
        <v>1363</v>
      </c>
      <c r="B301">
        <f>COUNTIF(tweets!D:D,A301)</f>
        <v>1</v>
      </c>
      <c r="D301" t="s">
        <v>253</v>
      </c>
      <c r="E301">
        <f>COUNTIF(tweets!C:C,D301)</f>
        <v>1</v>
      </c>
      <c r="I301"/>
      <c r="J301"/>
    </row>
    <row r="302" spans="1:10" x14ac:dyDescent="0.2">
      <c r="A302" t="s">
        <v>3725</v>
      </c>
      <c r="B302">
        <f>COUNTIF(tweets!D:D,A302)</f>
        <v>1</v>
      </c>
      <c r="D302" t="s">
        <v>260</v>
      </c>
      <c r="E302">
        <f>COUNTIF(tweets!C:C,D302)</f>
        <v>1</v>
      </c>
      <c r="I302"/>
      <c r="J302"/>
    </row>
    <row r="303" spans="1:10" x14ac:dyDescent="0.2">
      <c r="A303" t="s">
        <v>7154</v>
      </c>
      <c r="B303">
        <f>COUNTIF(tweets!D:D,A303)</f>
        <v>1</v>
      </c>
      <c r="D303" t="s">
        <v>266</v>
      </c>
      <c r="E303">
        <f>COUNTIF(tweets!C:C,D303)</f>
        <v>1</v>
      </c>
      <c r="I303"/>
      <c r="J303"/>
    </row>
    <row r="304" spans="1:10" x14ac:dyDescent="0.2">
      <c r="A304" t="s">
        <v>3814</v>
      </c>
      <c r="B304">
        <f>COUNTIF(tweets!D:D,A304)</f>
        <v>1</v>
      </c>
      <c r="D304" t="s">
        <v>270</v>
      </c>
      <c r="E304">
        <f>COUNTIF(tweets!C:C,D304)</f>
        <v>1</v>
      </c>
      <c r="I304"/>
      <c r="J304"/>
    </row>
    <row r="305" spans="1:10" x14ac:dyDescent="0.2">
      <c r="A305" t="s">
        <v>6002</v>
      </c>
      <c r="B305">
        <f>COUNTIF(tweets!D:D,A305)</f>
        <v>1</v>
      </c>
      <c r="D305" t="s">
        <v>274</v>
      </c>
      <c r="E305">
        <f>COUNTIF(tweets!C:C,D305)</f>
        <v>1</v>
      </c>
      <c r="I305"/>
      <c r="J305"/>
    </row>
    <row r="306" spans="1:10" x14ac:dyDescent="0.2">
      <c r="A306" t="s">
        <v>1518</v>
      </c>
      <c r="B306">
        <f>COUNTIF(tweets!D:D,A306)</f>
        <v>1</v>
      </c>
      <c r="D306" t="s">
        <v>278</v>
      </c>
      <c r="E306">
        <f>COUNTIF(tweets!C:C,D306)</f>
        <v>1</v>
      </c>
      <c r="I306"/>
      <c r="J306"/>
    </row>
    <row r="307" spans="1:10" x14ac:dyDescent="0.2">
      <c r="A307" t="s">
        <v>3252</v>
      </c>
      <c r="B307">
        <f>COUNTIF(tweets!D:D,A307)</f>
        <v>1</v>
      </c>
      <c r="D307" t="s">
        <v>281</v>
      </c>
      <c r="E307">
        <f>COUNTIF(tweets!C:C,D307)</f>
        <v>1</v>
      </c>
      <c r="I307"/>
      <c r="J307"/>
    </row>
    <row r="308" spans="1:10" x14ac:dyDescent="0.2">
      <c r="A308" t="s">
        <v>1606</v>
      </c>
      <c r="B308">
        <f>COUNTIF(tweets!D:D,A308)</f>
        <v>1</v>
      </c>
      <c r="D308" t="s">
        <v>286</v>
      </c>
      <c r="E308">
        <f>COUNTIF(tweets!C:C,D308)</f>
        <v>1</v>
      </c>
      <c r="I308"/>
      <c r="J308"/>
    </row>
    <row r="309" spans="1:10" x14ac:dyDescent="0.2">
      <c r="A309" t="s">
        <v>2654</v>
      </c>
      <c r="B309">
        <f>COUNTIF(tweets!D:D,A309)</f>
        <v>1</v>
      </c>
      <c r="D309" t="s">
        <v>292</v>
      </c>
      <c r="E309">
        <f>COUNTIF(tweets!C:C,D309)</f>
        <v>1</v>
      </c>
      <c r="I309"/>
      <c r="J309"/>
    </row>
    <row r="310" spans="1:10" x14ac:dyDescent="0.2">
      <c r="A310" t="s">
        <v>4040</v>
      </c>
      <c r="B310">
        <f>COUNTIF(tweets!D:D,A310)</f>
        <v>1</v>
      </c>
      <c r="D310" t="s">
        <v>296</v>
      </c>
      <c r="E310">
        <f>COUNTIF(tweets!C:C,D310)</f>
        <v>1</v>
      </c>
      <c r="I310"/>
      <c r="J310"/>
    </row>
    <row r="311" spans="1:10" x14ac:dyDescent="0.2">
      <c r="A311" t="s">
        <v>2260</v>
      </c>
      <c r="B311">
        <f>COUNTIF(tweets!D:D,A311)</f>
        <v>1</v>
      </c>
      <c r="D311" t="s">
        <v>300</v>
      </c>
      <c r="E311">
        <f>COUNTIF(tweets!C:C,D311)</f>
        <v>1</v>
      </c>
      <c r="I311"/>
      <c r="J311"/>
    </row>
    <row r="312" spans="1:10" x14ac:dyDescent="0.2">
      <c r="A312" t="s">
        <v>5364</v>
      </c>
      <c r="B312">
        <f>COUNTIF(tweets!D:D,A312)</f>
        <v>1</v>
      </c>
      <c r="D312" t="s">
        <v>303</v>
      </c>
      <c r="E312">
        <f>COUNTIF(tweets!C:C,D312)</f>
        <v>1</v>
      </c>
      <c r="I312"/>
      <c r="J312"/>
    </row>
    <row r="313" spans="1:10" x14ac:dyDescent="0.2">
      <c r="A313" t="s">
        <v>293</v>
      </c>
      <c r="B313">
        <f>COUNTIF(tweets!D:D,A313)</f>
        <v>1</v>
      </c>
      <c r="D313" t="s">
        <v>313</v>
      </c>
      <c r="E313">
        <f>COUNTIF(tweets!C:C,D313)</f>
        <v>1</v>
      </c>
      <c r="I313"/>
      <c r="J313"/>
    </row>
    <row r="314" spans="1:10" x14ac:dyDescent="0.2">
      <c r="A314" t="s">
        <v>3782</v>
      </c>
      <c r="B314">
        <f>COUNTIF(tweets!D:D,A314)</f>
        <v>1</v>
      </c>
      <c r="D314" t="s">
        <v>326</v>
      </c>
      <c r="E314">
        <f>COUNTIF(tweets!C:C,D314)</f>
        <v>1</v>
      </c>
      <c r="I314"/>
      <c r="J314"/>
    </row>
    <row r="315" spans="1:10" x14ac:dyDescent="0.2">
      <c r="A315" t="s">
        <v>560</v>
      </c>
      <c r="B315">
        <f>COUNTIF(tweets!D:D,A315)</f>
        <v>1</v>
      </c>
      <c r="D315" t="s">
        <v>329</v>
      </c>
      <c r="E315">
        <f>COUNTIF(tweets!C:C,D315)</f>
        <v>1</v>
      </c>
      <c r="I315"/>
      <c r="J315"/>
    </row>
    <row r="316" spans="1:10" x14ac:dyDescent="0.2">
      <c r="A316" t="s">
        <v>1076</v>
      </c>
      <c r="B316">
        <f>COUNTIF(tweets!D:D,A316)</f>
        <v>1</v>
      </c>
      <c r="D316" t="s">
        <v>336</v>
      </c>
      <c r="E316">
        <f>COUNTIF(tweets!C:C,D316)</f>
        <v>1</v>
      </c>
      <c r="I316"/>
      <c r="J316"/>
    </row>
    <row r="317" spans="1:10" x14ac:dyDescent="0.2">
      <c r="A317" t="s">
        <v>3927</v>
      </c>
      <c r="B317">
        <f>COUNTIF(tweets!D:D,A317)</f>
        <v>1</v>
      </c>
      <c r="D317" t="s">
        <v>343</v>
      </c>
      <c r="E317">
        <f>COUNTIF(tweets!C:C,D317)</f>
        <v>1</v>
      </c>
      <c r="I317"/>
      <c r="J317"/>
    </row>
    <row r="318" spans="1:10" x14ac:dyDescent="0.2">
      <c r="A318" t="s">
        <v>3414</v>
      </c>
      <c r="B318">
        <f>COUNTIF(tweets!D:D,A318)</f>
        <v>1</v>
      </c>
      <c r="D318" t="s">
        <v>347</v>
      </c>
      <c r="E318">
        <f>COUNTIF(tweets!C:C,D318)</f>
        <v>1</v>
      </c>
      <c r="I318"/>
      <c r="J318"/>
    </row>
    <row r="319" spans="1:10" x14ac:dyDescent="0.2">
      <c r="A319" t="s">
        <v>3191</v>
      </c>
      <c r="B319">
        <f>COUNTIF(tweets!D:D,A319)</f>
        <v>1</v>
      </c>
      <c r="D319" t="s">
        <v>350</v>
      </c>
      <c r="E319">
        <f>COUNTIF(tweets!C:C,D319)</f>
        <v>1</v>
      </c>
      <c r="I319"/>
      <c r="J319"/>
    </row>
    <row r="320" spans="1:10" x14ac:dyDescent="0.2">
      <c r="A320" t="s">
        <v>5827</v>
      </c>
      <c r="B320">
        <f>COUNTIF(tweets!D:D,A320)</f>
        <v>1</v>
      </c>
      <c r="D320" t="s">
        <v>354</v>
      </c>
      <c r="E320">
        <f>COUNTIF(tweets!C:C,D320)</f>
        <v>1</v>
      </c>
      <c r="I320"/>
      <c r="J320"/>
    </row>
    <row r="321" spans="1:10" x14ac:dyDescent="0.2">
      <c r="A321" t="s">
        <v>2646</v>
      </c>
      <c r="B321">
        <f>COUNTIF(tweets!D:D,A321)</f>
        <v>1</v>
      </c>
      <c r="D321" t="s">
        <v>363</v>
      </c>
      <c r="E321">
        <f>COUNTIF(tweets!C:C,D321)</f>
        <v>1</v>
      </c>
      <c r="I321"/>
      <c r="J321"/>
    </row>
    <row r="322" spans="1:10" x14ac:dyDescent="0.2">
      <c r="A322" t="s">
        <v>4754</v>
      </c>
      <c r="B322">
        <f>COUNTIF(tweets!D:D,A322)</f>
        <v>1</v>
      </c>
      <c r="D322" t="s">
        <v>367</v>
      </c>
      <c r="E322">
        <f>COUNTIF(tweets!C:C,D322)</f>
        <v>1</v>
      </c>
      <c r="I322"/>
      <c r="J322"/>
    </row>
    <row r="323" spans="1:10" x14ac:dyDescent="0.2">
      <c r="A323" t="s">
        <v>70</v>
      </c>
      <c r="B323">
        <f>COUNTIF(tweets!D:D,A323)</f>
        <v>1</v>
      </c>
      <c r="D323" t="s">
        <v>377</v>
      </c>
      <c r="E323">
        <f>COUNTIF(tweets!C:C,D323)</f>
        <v>1</v>
      </c>
      <c r="I323"/>
      <c r="J323"/>
    </row>
    <row r="324" spans="1:10" x14ac:dyDescent="0.2">
      <c r="A324" t="s">
        <v>1015</v>
      </c>
      <c r="B324">
        <f>COUNTIF(tweets!D:D,A324)</f>
        <v>1</v>
      </c>
      <c r="D324" t="s">
        <v>385</v>
      </c>
      <c r="E324">
        <f>COUNTIF(tweets!C:C,D324)</f>
        <v>1</v>
      </c>
      <c r="I324"/>
      <c r="J324"/>
    </row>
    <row r="325" spans="1:10" x14ac:dyDescent="0.2">
      <c r="A325" t="s">
        <v>2742</v>
      </c>
      <c r="B325">
        <f>COUNTIF(tweets!D:D,A325)</f>
        <v>1</v>
      </c>
      <c r="D325" t="s">
        <v>391</v>
      </c>
      <c r="E325">
        <f>COUNTIF(tweets!C:C,D325)</f>
        <v>1</v>
      </c>
      <c r="I325"/>
      <c r="J325"/>
    </row>
    <row r="326" spans="1:10" x14ac:dyDescent="0.2">
      <c r="A326" t="s">
        <v>6265</v>
      </c>
      <c r="B326">
        <f>COUNTIF(tweets!D:D,A326)</f>
        <v>1</v>
      </c>
      <c r="D326" t="s">
        <v>399</v>
      </c>
      <c r="E326">
        <f>COUNTIF(tweets!C:C,D326)</f>
        <v>1</v>
      </c>
      <c r="I326"/>
      <c r="J326"/>
    </row>
    <row r="327" spans="1:10" x14ac:dyDescent="0.2">
      <c r="A327" t="s">
        <v>2006</v>
      </c>
      <c r="B327">
        <f>COUNTIF(tweets!D:D,A327)</f>
        <v>1</v>
      </c>
      <c r="D327" t="s">
        <v>403</v>
      </c>
      <c r="E327">
        <f>COUNTIF(tweets!C:C,D327)</f>
        <v>1</v>
      </c>
      <c r="I327"/>
      <c r="J327"/>
    </row>
    <row r="328" spans="1:10" x14ac:dyDescent="0.2">
      <c r="A328" t="s">
        <v>4344</v>
      </c>
      <c r="B328">
        <f>COUNTIF(tweets!D:D,A328)</f>
        <v>1</v>
      </c>
      <c r="D328" t="s">
        <v>407</v>
      </c>
      <c r="E328">
        <f>COUNTIF(tweets!C:C,D328)</f>
        <v>1</v>
      </c>
      <c r="I328"/>
      <c r="J328"/>
    </row>
    <row r="329" spans="1:10" x14ac:dyDescent="0.2">
      <c r="A329" t="s">
        <v>5764</v>
      </c>
      <c r="B329">
        <f>COUNTIF(tweets!D:D,A329)</f>
        <v>1</v>
      </c>
      <c r="D329" t="s">
        <v>410</v>
      </c>
      <c r="E329">
        <f>COUNTIF(tweets!C:C,D329)</f>
        <v>1</v>
      </c>
      <c r="I329"/>
      <c r="J329"/>
    </row>
    <row r="330" spans="1:10" x14ac:dyDescent="0.2">
      <c r="A330" t="s">
        <v>5402</v>
      </c>
      <c r="B330">
        <f>COUNTIF(tweets!D:D,A330)</f>
        <v>1</v>
      </c>
      <c r="D330" t="s">
        <v>414</v>
      </c>
      <c r="E330">
        <f>COUNTIF(tweets!C:C,D330)</f>
        <v>1</v>
      </c>
      <c r="I330"/>
      <c r="J330"/>
    </row>
    <row r="331" spans="1:10" x14ac:dyDescent="0.2">
      <c r="A331" t="s">
        <v>2435</v>
      </c>
      <c r="B331">
        <f>COUNTIF(tweets!D:D,A331)</f>
        <v>1</v>
      </c>
      <c r="D331" t="s">
        <v>422</v>
      </c>
      <c r="E331">
        <f>COUNTIF(tweets!C:C,D331)</f>
        <v>1</v>
      </c>
      <c r="I331"/>
      <c r="J331"/>
    </row>
    <row r="332" spans="1:10" x14ac:dyDescent="0.2">
      <c r="A332" t="s">
        <v>4233</v>
      </c>
      <c r="B332">
        <f>COUNTIF(tweets!D:D,A332)</f>
        <v>1</v>
      </c>
      <c r="D332" t="s">
        <v>425</v>
      </c>
      <c r="E332">
        <f>COUNTIF(tweets!C:C,D332)</f>
        <v>1</v>
      </c>
      <c r="I332"/>
      <c r="J332"/>
    </row>
    <row r="333" spans="1:10" x14ac:dyDescent="0.2">
      <c r="A333" t="s">
        <v>8278</v>
      </c>
      <c r="B333">
        <f>COUNTIF(tweets!D:D,A333)</f>
        <v>1</v>
      </c>
      <c r="D333" t="s">
        <v>433</v>
      </c>
      <c r="E333">
        <f>COUNTIF(tweets!C:C,D333)</f>
        <v>1</v>
      </c>
      <c r="I333"/>
      <c r="J333"/>
    </row>
    <row r="334" spans="1:10" x14ac:dyDescent="0.2">
      <c r="A334" t="s">
        <v>5349</v>
      </c>
      <c r="B334">
        <f>COUNTIF(tweets!D:D,A334)</f>
        <v>1</v>
      </c>
      <c r="D334" t="s">
        <v>437</v>
      </c>
      <c r="E334">
        <f>COUNTIF(tweets!C:C,D334)</f>
        <v>1</v>
      </c>
      <c r="I334"/>
      <c r="J334"/>
    </row>
    <row r="335" spans="1:10" x14ac:dyDescent="0.2">
      <c r="A335" t="s">
        <v>7997</v>
      </c>
      <c r="B335">
        <f>COUNTIF(tweets!D:D,A335)</f>
        <v>1</v>
      </c>
      <c r="D335" t="s">
        <v>444</v>
      </c>
      <c r="E335">
        <f>COUNTIF(tweets!C:C,D335)</f>
        <v>1</v>
      </c>
      <c r="I335"/>
      <c r="J335"/>
    </row>
    <row r="336" spans="1:10" x14ac:dyDescent="0.2">
      <c r="A336" t="s">
        <v>7031</v>
      </c>
      <c r="B336">
        <f>COUNTIF(tweets!D:D,A336)</f>
        <v>1</v>
      </c>
      <c r="D336" t="s">
        <v>456</v>
      </c>
      <c r="E336">
        <f>COUNTIF(tweets!C:C,D336)</f>
        <v>1</v>
      </c>
      <c r="I336"/>
      <c r="J336"/>
    </row>
    <row r="337" spans="1:10" x14ac:dyDescent="0.2">
      <c r="A337" t="s">
        <v>5524</v>
      </c>
      <c r="B337">
        <f>COUNTIF(tweets!D:D,A337)</f>
        <v>1</v>
      </c>
      <c r="D337" t="s">
        <v>462</v>
      </c>
      <c r="E337">
        <f>COUNTIF(tweets!C:C,D337)</f>
        <v>1</v>
      </c>
      <c r="I337"/>
      <c r="J337"/>
    </row>
    <row r="338" spans="1:10" x14ac:dyDescent="0.2">
      <c r="A338" t="s">
        <v>553</v>
      </c>
      <c r="B338">
        <f>COUNTIF(tweets!D:D,A338)</f>
        <v>1</v>
      </c>
      <c r="D338" t="s">
        <v>466</v>
      </c>
      <c r="E338">
        <f>COUNTIF(tweets!C:C,D338)</f>
        <v>1</v>
      </c>
      <c r="I338"/>
      <c r="J338"/>
    </row>
    <row r="339" spans="1:10" x14ac:dyDescent="0.2">
      <c r="A339" t="s">
        <v>4331</v>
      </c>
      <c r="B339">
        <f>COUNTIF(tweets!D:D,A339)</f>
        <v>1</v>
      </c>
      <c r="D339" t="s">
        <v>473</v>
      </c>
      <c r="E339">
        <f>COUNTIF(tweets!C:C,D339)</f>
        <v>1</v>
      </c>
      <c r="I339"/>
      <c r="J339"/>
    </row>
    <row r="340" spans="1:10" x14ac:dyDescent="0.2">
      <c r="A340" t="s">
        <v>351</v>
      </c>
      <c r="B340">
        <f>COUNTIF(tweets!D:D,A340)</f>
        <v>1</v>
      </c>
      <c r="D340" t="s">
        <v>479</v>
      </c>
      <c r="E340">
        <f>COUNTIF(tweets!C:C,D340)</f>
        <v>1</v>
      </c>
      <c r="I340"/>
      <c r="J340"/>
    </row>
    <row r="341" spans="1:10" x14ac:dyDescent="0.2">
      <c r="A341" t="s">
        <v>4586</v>
      </c>
      <c r="B341">
        <f>COUNTIF(tweets!D:D,A341)</f>
        <v>1</v>
      </c>
      <c r="D341" t="s">
        <v>476</v>
      </c>
      <c r="E341">
        <f>COUNTIF(tweets!C:C,D341)</f>
        <v>1</v>
      </c>
      <c r="I341"/>
      <c r="J341"/>
    </row>
    <row r="342" spans="1:10" x14ac:dyDescent="0.2">
      <c r="A342" t="s">
        <v>7002</v>
      </c>
      <c r="B342">
        <f>COUNTIF(tweets!D:D,A342)</f>
        <v>1</v>
      </c>
      <c r="D342" t="s">
        <v>483</v>
      </c>
      <c r="E342">
        <f>COUNTIF(tweets!C:C,D342)</f>
        <v>1</v>
      </c>
      <c r="I342"/>
      <c r="J342"/>
    </row>
    <row r="343" spans="1:10" x14ac:dyDescent="0.2">
      <c r="A343" t="s">
        <v>4979</v>
      </c>
      <c r="B343">
        <f>COUNTIF(tweets!D:D,A343)</f>
        <v>1</v>
      </c>
      <c r="D343" t="s">
        <v>486</v>
      </c>
      <c r="E343">
        <f>COUNTIF(tweets!C:C,D343)</f>
        <v>1</v>
      </c>
      <c r="I343"/>
      <c r="J343"/>
    </row>
    <row r="344" spans="1:10" x14ac:dyDescent="0.2">
      <c r="A344" t="s">
        <v>6872</v>
      </c>
      <c r="B344">
        <f>COUNTIF(tweets!D:D,A344)</f>
        <v>1</v>
      </c>
      <c r="D344" t="s">
        <v>489</v>
      </c>
      <c r="E344">
        <f>COUNTIF(tweets!C:C,D344)</f>
        <v>1</v>
      </c>
      <c r="I344"/>
      <c r="J344"/>
    </row>
    <row r="345" spans="1:10" x14ac:dyDescent="0.2">
      <c r="A345" t="s">
        <v>5300</v>
      </c>
      <c r="B345">
        <f>COUNTIF(tweets!D:D,A345)</f>
        <v>1</v>
      </c>
      <c r="D345" t="s">
        <v>504</v>
      </c>
      <c r="E345">
        <f>COUNTIF(tweets!C:C,D345)</f>
        <v>1</v>
      </c>
      <c r="I345"/>
      <c r="J345"/>
    </row>
    <row r="346" spans="1:10" x14ac:dyDescent="0.2">
      <c r="A346" t="s">
        <v>1848</v>
      </c>
      <c r="B346">
        <f>COUNTIF(tweets!D:D,A346)</f>
        <v>1</v>
      </c>
      <c r="D346" t="s">
        <v>508</v>
      </c>
      <c r="E346">
        <f>COUNTIF(tweets!C:C,D346)</f>
        <v>1</v>
      </c>
      <c r="I346"/>
      <c r="J346"/>
    </row>
    <row r="347" spans="1:10" x14ac:dyDescent="0.2">
      <c r="A347" t="s">
        <v>6991</v>
      </c>
      <c r="B347">
        <f>COUNTIF(tweets!D:D,A347)</f>
        <v>1</v>
      </c>
      <c r="D347" t="s">
        <v>515</v>
      </c>
      <c r="E347">
        <f>COUNTIF(tweets!C:C,D347)</f>
        <v>1</v>
      </c>
      <c r="I347"/>
      <c r="J347"/>
    </row>
    <row r="348" spans="1:10" x14ac:dyDescent="0.2">
      <c r="A348" t="s">
        <v>2185</v>
      </c>
      <c r="B348">
        <f>COUNTIF(tweets!D:D,A348)</f>
        <v>1</v>
      </c>
      <c r="D348" t="s">
        <v>519</v>
      </c>
      <c r="E348">
        <f>COUNTIF(tweets!C:C,D348)</f>
        <v>1</v>
      </c>
      <c r="I348"/>
      <c r="J348"/>
    </row>
    <row r="349" spans="1:10" x14ac:dyDescent="0.2">
      <c r="A349" t="s">
        <v>7827</v>
      </c>
      <c r="B349">
        <f>COUNTIF(tweets!D:D,A349)</f>
        <v>1</v>
      </c>
      <c r="D349" t="s">
        <v>524</v>
      </c>
      <c r="E349">
        <f>COUNTIF(tweets!C:C,D349)</f>
        <v>1</v>
      </c>
      <c r="I349"/>
      <c r="J349"/>
    </row>
    <row r="350" spans="1:10" x14ac:dyDescent="0.2">
      <c r="A350" t="s">
        <v>5865</v>
      </c>
      <c r="B350">
        <f>COUNTIF(tweets!D:D,A350)</f>
        <v>1</v>
      </c>
      <c r="D350" t="s">
        <v>530</v>
      </c>
      <c r="E350">
        <f>COUNTIF(tweets!C:C,D350)</f>
        <v>1</v>
      </c>
      <c r="I350"/>
      <c r="J350"/>
    </row>
    <row r="351" spans="1:10" x14ac:dyDescent="0.2">
      <c r="A351" t="s">
        <v>7589</v>
      </c>
      <c r="B351">
        <f>COUNTIF(tweets!D:D,A351)</f>
        <v>1</v>
      </c>
      <c r="D351" t="s">
        <v>534</v>
      </c>
      <c r="E351">
        <f>COUNTIF(tweets!C:C,D351)</f>
        <v>1</v>
      </c>
      <c r="I351"/>
      <c r="J351"/>
    </row>
    <row r="352" spans="1:10" x14ac:dyDescent="0.2">
      <c r="A352" t="s">
        <v>463</v>
      </c>
      <c r="B352">
        <f>COUNTIF(tweets!D:D,A352)</f>
        <v>1</v>
      </c>
      <c r="D352" t="s">
        <v>538</v>
      </c>
      <c r="E352">
        <f>COUNTIF(tweets!C:C,D352)</f>
        <v>1</v>
      </c>
      <c r="I352"/>
      <c r="J352"/>
    </row>
    <row r="353" spans="1:10" x14ac:dyDescent="0.2">
      <c r="A353" t="s">
        <v>4623</v>
      </c>
      <c r="B353">
        <f>COUNTIF(tweets!D:D,A353)</f>
        <v>1</v>
      </c>
      <c r="D353" t="s">
        <v>542</v>
      </c>
      <c r="E353">
        <f>COUNTIF(tweets!C:C,D353)</f>
        <v>1</v>
      </c>
      <c r="I353"/>
      <c r="J353"/>
    </row>
    <row r="354" spans="1:10" x14ac:dyDescent="0.2">
      <c r="A354" t="s">
        <v>1589</v>
      </c>
      <c r="B354">
        <f>COUNTIF(tweets!D:D,A354)</f>
        <v>1</v>
      </c>
      <c r="D354" t="s">
        <v>545</v>
      </c>
      <c r="E354">
        <f>COUNTIF(tweets!C:C,D354)</f>
        <v>1</v>
      </c>
      <c r="I354"/>
      <c r="J354"/>
    </row>
    <row r="355" spans="1:10" x14ac:dyDescent="0.2">
      <c r="A355" t="s">
        <v>3155</v>
      </c>
      <c r="B355">
        <f>COUNTIF(tweets!D:D,A355)</f>
        <v>1</v>
      </c>
      <c r="D355" t="s">
        <v>548</v>
      </c>
      <c r="E355">
        <f>COUNTIF(tweets!C:C,D355)</f>
        <v>1</v>
      </c>
      <c r="I355"/>
      <c r="J355"/>
    </row>
    <row r="356" spans="1:10" x14ac:dyDescent="0.2">
      <c r="A356" t="s">
        <v>1444</v>
      </c>
      <c r="B356">
        <f>COUNTIF(tweets!D:D,A356)</f>
        <v>1</v>
      </c>
      <c r="D356" t="s">
        <v>552</v>
      </c>
      <c r="E356">
        <f>COUNTIF(tweets!C:C,D356)</f>
        <v>1</v>
      </c>
      <c r="I356"/>
      <c r="J356"/>
    </row>
    <row r="357" spans="1:10" x14ac:dyDescent="0.2">
      <c r="A357" t="s">
        <v>4785</v>
      </c>
      <c r="B357">
        <f>COUNTIF(tweets!D:D,A357)</f>
        <v>1</v>
      </c>
      <c r="D357" t="s">
        <v>556</v>
      </c>
      <c r="E357">
        <f>COUNTIF(tweets!C:C,D357)</f>
        <v>1</v>
      </c>
      <c r="I357"/>
      <c r="J357"/>
    </row>
    <row r="358" spans="1:10" x14ac:dyDescent="0.2">
      <c r="A358" t="s">
        <v>6977</v>
      </c>
      <c r="B358">
        <f>COUNTIF(tweets!D:D,A358)</f>
        <v>1</v>
      </c>
      <c r="D358" t="s">
        <v>559</v>
      </c>
      <c r="E358">
        <f>COUNTIF(tweets!C:C,D358)</f>
        <v>1</v>
      </c>
      <c r="I358"/>
      <c r="J358"/>
    </row>
    <row r="359" spans="1:10" x14ac:dyDescent="0.2">
      <c r="A359" t="s">
        <v>894</v>
      </c>
      <c r="B359">
        <f>COUNTIF(tweets!D:D,A359)</f>
        <v>1</v>
      </c>
      <c r="D359" t="s">
        <v>563</v>
      </c>
      <c r="E359">
        <f>COUNTIF(tweets!C:C,D359)</f>
        <v>1</v>
      </c>
      <c r="I359"/>
      <c r="J359"/>
    </row>
    <row r="360" spans="1:10" x14ac:dyDescent="0.2">
      <c r="A360" t="s">
        <v>1842</v>
      </c>
      <c r="B360">
        <f>COUNTIF(tweets!D:D,A360)</f>
        <v>1</v>
      </c>
      <c r="D360" t="s">
        <v>567</v>
      </c>
      <c r="E360">
        <f>COUNTIF(tweets!C:C,D360)</f>
        <v>1</v>
      </c>
      <c r="I360"/>
      <c r="J360"/>
    </row>
    <row r="361" spans="1:10" x14ac:dyDescent="0.2">
      <c r="A361" t="s">
        <v>7423</v>
      </c>
      <c r="B361">
        <f>COUNTIF(tweets!D:D,A361)</f>
        <v>1</v>
      </c>
      <c r="D361" t="s">
        <v>576</v>
      </c>
      <c r="E361">
        <f>COUNTIF(tweets!C:C,D361)</f>
        <v>1</v>
      </c>
      <c r="I361"/>
      <c r="J361"/>
    </row>
    <row r="362" spans="1:10" x14ac:dyDescent="0.2">
      <c r="A362" t="s">
        <v>7365</v>
      </c>
      <c r="B362">
        <f>COUNTIF(tweets!D:D,A362)</f>
        <v>1</v>
      </c>
      <c r="D362" t="s">
        <v>582</v>
      </c>
      <c r="E362">
        <f>COUNTIF(tweets!C:C,D362)</f>
        <v>1</v>
      </c>
      <c r="I362"/>
      <c r="J362"/>
    </row>
    <row r="363" spans="1:10" x14ac:dyDescent="0.2">
      <c r="A363" t="s">
        <v>26</v>
      </c>
      <c r="B363">
        <f>COUNTIF(tweets!D:D,A363)</f>
        <v>1</v>
      </c>
      <c r="D363" t="s">
        <v>593</v>
      </c>
      <c r="E363">
        <f>COUNTIF(tweets!C:C,D363)</f>
        <v>1</v>
      </c>
      <c r="I363"/>
      <c r="J363"/>
    </row>
    <row r="364" spans="1:10" x14ac:dyDescent="0.2">
      <c r="A364" t="s">
        <v>8454</v>
      </c>
      <c r="B364">
        <f>COUNTIF(tweets!D:D,A364)</f>
        <v>1</v>
      </c>
      <c r="D364" t="s">
        <v>608</v>
      </c>
      <c r="E364">
        <f>COUNTIF(tweets!C:C,D364)</f>
        <v>1</v>
      </c>
      <c r="I364"/>
      <c r="J364"/>
    </row>
    <row r="365" spans="1:10" x14ac:dyDescent="0.2">
      <c r="A365" t="s">
        <v>856</v>
      </c>
      <c r="B365">
        <f>COUNTIF(tweets!D:D,A365)</f>
        <v>1</v>
      </c>
      <c r="D365" t="s">
        <v>614</v>
      </c>
      <c r="E365">
        <f>COUNTIF(tweets!C:C,D365)</f>
        <v>1</v>
      </c>
      <c r="I365"/>
      <c r="J365"/>
    </row>
    <row r="366" spans="1:10" x14ac:dyDescent="0.2">
      <c r="A366" t="s">
        <v>8022</v>
      </c>
      <c r="B366">
        <f>COUNTIF(tweets!D:D,A366)</f>
        <v>1</v>
      </c>
      <c r="D366" t="s">
        <v>620</v>
      </c>
      <c r="E366">
        <f>COUNTIF(tweets!C:C,D366)</f>
        <v>1</v>
      </c>
      <c r="I366"/>
      <c r="J366"/>
    </row>
    <row r="367" spans="1:10" x14ac:dyDescent="0.2">
      <c r="A367" t="s">
        <v>954</v>
      </c>
      <c r="B367">
        <f>COUNTIF(tweets!D:D,A367)</f>
        <v>1</v>
      </c>
      <c r="D367" t="s">
        <v>624</v>
      </c>
      <c r="E367">
        <f>COUNTIF(tweets!C:C,D367)</f>
        <v>1</v>
      </c>
      <c r="I367"/>
      <c r="J367"/>
    </row>
    <row r="368" spans="1:10" x14ac:dyDescent="0.2">
      <c r="A368" t="s">
        <v>2395</v>
      </c>
      <c r="B368">
        <f>COUNTIF(tweets!D:D,A368)</f>
        <v>1</v>
      </c>
      <c r="D368" t="s">
        <v>627</v>
      </c>
      <c r="E368">
        <f>COUNTIF(tweets!C:C,D368)</f>
        <v>1</v>
      </c>
      <c r="I368"/>
      <c r="J368"/>
    </row>
    <row r="369" spans="1:10" x14ac:dyDescent="0.2">
      <c r="A369" t="s">
        <v>7835</v>
      </c>
      <c r="B369">
        <f>COUNTIF(tweets!D:D,A369)</f>
        <v>1</v>
      </c>
      <c r="D369" t="s">
        <v>638</v>
      </c>
      <c r="E369">
        <f>COUNTIF(tweets!C:C,D369)</f>
        <v>1</v>
      </c>
      <c r="I369"/>
      <c r="J369"/>
    </row>
    <row r="370" spans="1:10" x14ac:dyDescent="0.2">
      <c r="A370" t="s">
        <v>1495</v>
      </c>
      <c r="B370">
        <f>COUNTIF(tweets!D:D,A370)</f>
        <v>1</v>
      </c>
      <c r="D370" t="s">
        <v>641</v>
      </c>
      <c r="E370">
        <f>COUNTIF(tweets!C:C,D370)</f>
        <v>1</v>
      </c>
      <c r="I370"/>
      <c r="J370"/>
    </row>
    <row r="371" spans="1:10" x14ac:dyDescent="0.2">
      <c r="A371" t="s">
        <v>400</v>
      </c>
      <c r="B371">
        <f>COUNTIF(tweets!D:D,A371)</f>
        <v>1</v>
      </c>
      <c r="D371" t="s">
        <v>661</v>
      </c>
      <c r="E371">
        <f>COUNTIF(tweets!C:C,D371)</f>
        <v>1</v>
      </c>
      <c r="I371"/>
      <c r="J371"/>
    </row>
    <row r="372" spans="1:10" x14ac:dyDescent="0.2">
      <c r="A372" t="s">
        <v>8046</v>
      </c>
      <c r="B372">
        <f>COUNTIF(tweets!D:D,A372)</f>
        <v>1</v>
      </c>
      <c r="D372" t="s">
        <v>664</v>
      </c>
      <c r="E372">
        <f>COUNTIF(tweets!C:C,D372)</f>
        <v>1</v>
      </c>
      <c r="I372"/>
      <c r="J372"/>
    </row>
    <row r="373" spans="1:10" x14ac:dyDescent="0.2">
      <c r="A373" t="s">
        <v>6863</v>
      </c>
      <c r="B373">
        <f>COUNTIF(tweets!D:D,A373)</f>
        <v>1</v>
      </c>
      <c r="D373" t="s">
        <v>667</v>
      </c>
      <c r="E373">
        <f>COUNTIF(tweets!C:C,D373)</f>
        <v>1</v>
      </c>
      <c r="I373"/>
      <c r="J373"/>
    </row>
    <row r="374" spans="1:10" x14ac:dyDescent="0.2">
      <c r="A374" t="s">
        <v>3234</v>
      </c>
      <c r="B374">
        <f>COUNTIF(tweets!D:D,A374)</f>
        <v>1</v>
      </c>
      <c r="D374" t="s">
        <v>671</v>
      </c>
      <c r="E374">
        <f>COUNTIF(tweets!C:C,D374)</f>
        <v>1</v>
      </c>
      <c r="I374"/>
      <c r="J374"/>
    </row>
    <row r="375" spans="1:10" x14ac:dyDescent="0.2">
      <c r="A375" t="s">
        <v>5624</v>
      </c>
      <c r="B375">
        <f>COUNTIF(tweets!D:D,A375)</f>
        <v>1</v>
      </c>
      <c r="D375" t="s">
        <v>681</v>
      </c>
      <c r="E375">
        <f>COUNTIF(tweets!C:C,D375)</f>
        <v>1</v>
      </c>
      <c r="I375"/>
      <c r="J375"/>
    </row>
    <row r="376" spans="1:10" x14ac:dyDescent="0.2">
      <c r="A376" t="s">
        <v>6079</v>
      </c>
      <c r="B376">
        <f>COUNTIF(tweets!D:D,A376)</f>
        <v>1</v>
      </c>
      <c r="D376" t="s">
        <v>692</v>
      </c>
      <c r="E376">
        <f>COUNTIF(tweets!C:C,D376)</f>
        <v>1</v>
      </c>
      <c r="I376"/>
      <c r="J376"/>
    </row>
    <row r="377" spans="1:10" x14ac:dyDescent="0.2">
      <c r="A377" t="s">
        <v>3618</v>
      </c>
      <c r="B377">
        <f>COUNTIF(tweets!D:D,A377)</f>
        <v>1</v>
      </c>
      <c r="D377" t="s">
        <v>700</v>
      </c>
      <c r="E377">
        <f>COUNTIF(tweets!C:C,D377)</f>
        <v>1</v>
      </c>
      <c r="I377"/>
      <c r="J377"/>
    </row>
    <row r="378" spans="1:10" x14ac:dyDescent="0.2">
      <c r="A378" t="s">
        <v>480</v>
      </c>
      <c r="B378">
        <f>COUNTIF(tweets!D:D,A378)</f>
        <v>1</v>
      </c>
      <c r="D378" t="s">
        <v>707</v>
      </c>
      <c r="E378">
        <f>COUNTIF(tweets!C:C,D378)</f>
        <v>1</v>
      </c>
      <c r="I378"/>
      <c r="J378"/>
    </row>
    <row r="379" spans="1:10" x14ac:dyDescent="0.2">
      <c r="A379" t="s">
        <v>7699</v>
      </c>
      <c r="B379">
        <f>COUNTIF(tweets!D:D,A379)</f>
        <v>1</v>
      </c>
      <c r="D379" t="s">
        <v>710</v>
      </c>
      <c r="E379">
        <f>COUNTIF(tweets!C:C,D379)</f>
        <v>1</v>
      </c>
      <c r="I379"/>
      <c r="J379"/>
    </row>
    <row r="380" spans="1:10" x14ac:dyDescent="0.2">
      <c r="A380" t="s">
        <v>5633</v>
      </c>
      <c r="B380">
        <f>COUNTIF(tweets!D:D,A380)</f>
        <v>1</v>
      </c>
      <c r="D380" t="s">
        <v>717</v>
      </c>
      <c r="E380">
        <f>COUNTIF(tweets!C:C,D380)</f>
        <v>1</v>
      </c>
      <c r="I380"/>
      <c r="J380"/>
    </row>
    <row r="381" spans="1:10" x14ac:dyDescent="0.2">
      <c r="A381" t="s">
        <v>1248</v>
      </c>
      <c r="B381">
        <f>COUNTIF(tweets!D:D,A381)</f>
        <v>1</v>
      </c>
      <c r="D381" t="s">
        <v>721</v>
      </c>
      <c r="E381">
        <f>COUNTIF(tweets!C:C,D381)</f>
        <v>1</v>
      </c>
      <c r="I381"/>
      <c r="J381"/>
    </row>
    <row r="382" spans="1:10" x14ac:dyDescent="0.2">
      <c r="A382" t="s">
        <v>7219</v>
      </c>
      <c r="B382">
        <f>COUNTIF(tweets!D:D,A382)</f>
        <v>1</v>
      </c>
      <c r="D382" t="s">
        <v>724</v>
      </c>
      <c r="E382">
        <f>COUNTIF(tweets!C:C,D382)</f>
        <v>1</v>
      </c>
      <c r="I382"/>
      <c r="J382"/>
    </row>
    <row r="383" spans="1:10" x14ac:dyDescent="0.2">
      <c r="A383" t="s">
        <v>6770</v>
      </c>
      <c r="B383">
        <f>COUNTIF(tweets!D:D,A383)</f>
        <v>1</v>
      </c>
      <c r="D383" t="s">
        <v>727</v>
      </c>
      <c r="E383">
        <f>COUNTIF(tweets!C:C,D383)</f>
        <v>1</v>
      </c>
      <c r="I383"/>
      <c r="J383"/>
    </row>
    <row r="384" spans="1:10" x14ac:dyDescent="0.2">
      <c r="A384" t="s">
        <v>147</v>
      </c>
      <c r="B384">
        <f>COUNTIF(tweets!D:D,A384)</f>
        <v>1</v>
      </c>
      <c r="D384" t="s">
        <v>732</v>
      </c>
      <c r="E384">
        <f>COUNTIF(tweets!C:C,D384)</f>
        <v>1</v>
      </c>
      <c r="I384"/>
      <c r="J384"/>
    </row>
    <row r="385" spans="1:10" x14ac:dyDescent="0.2">
      <c r="A385" t="s">
        <v>4634</v>
      </c>
      <c r="B385">
        <f>COUNTIF(tweets!D:D,A385)</f>
        <v>1</v>
      </c>
      <c r="D385" t="s">
        <v>735</v>
      </c>
      <c r="E385">
        <f>COUNTIF(tweets!C:C,D385)</f>
        <v>1</v>
      </c>
      <c r="I385"/>
      <c r="J385"/>
    </row>
    <row r="386" spans="1:10" x14ac:dyDescent="0.2">
      <c r="A386" t="s">
        <v>7447</v>
      </c>
      <c r="B386">
        <f>COUNTIF(tweets!D:D,A386)</f>
        <v>1</v>
      </c>
      <c r="D386" t="s">
        <v>739</v>
      </c>
      <c r="E386">
        <f>COUNTIF(tweets!C:C,D386)</f>
        <v>1</v>
      </c>
      <c r="I386"/>
      <c r="J386"/>
    </row>
    <row r="387" spans="1:10" x14ac:dyDescent="0.2">
      <c r="A387" t="s">
        <v>755</v>
      </c>
      <c r="B387">
        <f>COUNTIF(tweets!D:D,A387)</f>
        <v>1</v>
      </c>
      <c r="D387" t="s">
        <v>750</v>
      </c>
      <c r="E387">
        <f>COUNTIF(tweets!C:C,D387)</f>
        <v>1</v>
      </c>
      <c r="I387"/>
      <c r="J387"/>
    </row>
    <row r="388" spans="1:10" x14ac:dyDescent="0.2">
      <c r="A388" t="s">
        <v>7196</v>
      </c>
      <c r="B388">
        <f>COUNTIF(tweets!D:D,A388)</f>
        <v>1</v>
      </c>
      <c r="D388" t="s">
        <v>754</v>
      </c>
      <c r="E388">
        <f>COUNTIF(tweets!C:C,D388)</f>
        <v>1</v>
      </c>
      <c r="I388"/>
      <c r="J388"/>
    </row>
    <row r="389" spans="1:10" x14ac:dyDescent="0.2">
      <c r="A389" t="s">
        <v>6852</v>
      </c>
      <c r="B389">
        <f>COUNTIF(tweets!D:D,A389)</f>
        <v>1</v>
      </c>
      <c r="D389" t="s">
        <v>758</v>
      </c>
      <c r="E389">
        <f>COUNTIF(tweets!C:C,D389)</f>
        <v>1</v>
      </c>
      <c r="I389"/>
      <c r="J389"/>
    </row>
    <row r="390" spans="1:10" x14ac:dyDescent="0.2">
      <c r="A390" t="s">
        <v>7074</v>
      </c>
      <c r="B390">
        <f>COUNTIF(tweets!D:D,A390)</f>
        <v>1</v>
      </c>
      <c r="D390" t="s">
        <v>772</v>
      </c>
      <c r="E390">
        <f>COUNTIF(tweets!C:C,D390)</f>
        <v>1</v>
      </c>
      <c r="I390"/>
      <c r="J390"/>
    </row>
    <row r="391" spans="1:10" x14ac:dyDescent="0.2">
      <c r="A391" t="s">
        <v>6498</v>
      </c>
      <c r="B391">
        <f>COUNTIF(tweets!D:D,A391)</f>
        <v>1</v>
      </c>
      <c r="D391" t="s">
        <v>775</v>
      </c>
      <c r="E391">
        <f>COUNTIF(tweets!C:C,D391)</f>
        <v>1</v>
      </c>
      <c r="I391"/>
      <c r="J391"/>
    </row>
    <row r="392" spans="1:10" x14ac:dyDescent="0.2">
      <c r="A392" t="s">
        <v>2347</v>
      </c>
      <c r="B392">
        <f>COUNTIF(tweets!D:D,A392)</f>
        <v>1</v>
      </c>
      <c r="D392" t="s">
        <v>779</v>
      </c>
      <c r="E392">
        <f>COUNTIF(tweets!C:C,D392)</f>
        <v>1</v>
      </c>
      <c r="I392"/>
      <c r="J392"/>
    </row>
    <row r="393" spans="1:10" x14ac:dyDescent="0.2">
      <c r="A393" t="s">
        <v>6718</v>
      </c>
      <c r="B393">
        <f>COUNTIF(tweets!D:D,A393)</f>
        <v>1</v>
      </c>
      <c r="D393" t="s">
        <v>785</v>
      </c>
      <c r="E393">
        <f>COUNTIF(tweets!C:C,D393)</f>
        <v>1</v>
      </c>
      <c r="I393"/>
      <c r="J393"/>
    </row>
    <row r="394" spans="1:10" x14ac:dyDescent="0.2">
      <c r="A394" t="s">
        <v>1522</v>
      </c>
      <c r="B394">
        <f>COUNTIF(tweets!D:D,A394)</f>
        <v>1</v>
      </c>
      <c r="D394" t="s">
        <v>789</v>
      </c>
      <c r="E394">
        <f>COUNTIF(tweets!C:C,D394)</f>
        <v>1</v>
      </c>
      <c r="I394"/>
      <c r="J394"/>
    </row>
    <row r="395" spans="1:10" x14ac:dyDescent="0.2">
      <c r="A395" t="s">
        <v>2172</v>
      </c>
      <c r="B395">
        <f>COUNTIF(tweets!D:D,A395)</f>
        <v>1</v>
      </c>
      <c r="D395" t="s">
        <v>793</v>
      </c>
      <c r="E395">
        <f>COUNTIF(tweets!C:C,D395)</f>
        <v>1</v>
      </c>
      <c r="I395"/>
      <c r="J395"/>
    </row>
    <row r="396" spans="1:10" x14ac:dyDescent="0.2">
      <c r="A396" t="s">
        <v>3307</v>
      </c>
      <c r="B396">
        <f>COUNTIF(tweets!D:D,A396)</f>
        <v>1</v>
      </c>
      <c r="D396" t="s">
        <v>802</v>
      </c>
      <c r="E396">
        <f>COUNTIF(tweets!C:C,D396)</f>
        <v>1</v>
      </c>
      <c r="I396"/>
      <c r="J396"/>
    </row>
    <row r="397" spans="1:10" x14ac:dyDescent="0.2">
      <c r="A397" t="s">
        <v>8217</v>
      </c>
      <c r="B397">
        <f>COUNTIF(tweets!D:D,A397)</f>
        <v>1</v>
      </c>
      <c r="D397" t="s">
        <v>806</v>
      </c>
      <c r="E397">
        <f>COUNTIF(tweets!C:C,D397)</f>
        <v>1</v>
      </c>
      <c r="I397"/>
      <c r="J397"/>
    </row>
    <row r="398" spans="1:10" x14ac:dyDescent="0.2">
      <c r="A398" t="s">
        <v>4251</v>
      </c>
      <c r="B398">
        <f>COUNTIF(tweets!D:D,A398)</f>
        <v>1</v>
      </c>
      <c r="D398" t="s">
        <v>809</v>
      </c>
      <c r="E398">
        <f>COUNTIF(tweets!C:C,D398)</f>
        <v>1</v>
      </c>
      <c r="I398"/>
      <c r="J398"/>
    </row>
    <row r="399" spans="1:10" x14ac:dyDescent="0.2">
      <c r="A399" t="s">
        <v>898</v>
      </c>
      <c r="B399">
        <f>COUNTIF(tweets!D:D,A399)</f>
        <v>1</v>
      </c>
      <c r="D399" t="s">
        <v>812</v>
      </c>
      <c r="E399">
        <f>COUNTIF(tweets!C:C,D399)</f>
        <v>1</v>
      </c>
      <c r="I399"/>
      <c r="J399"/>
    </row>
    <row r="400" spans="1:10" x14ac:dyDescent="0.2">
      <c r="A400" t="s">
        <v>2923</v>
      </c>
      <c r="B400">
        <f>COUNTIF(tweets!D:D,A400)</f>
        <v>1</v>
      </c>
      <c r="D400" t="s">
        <v>815</v>
      </c>
      <c r="E400">
        <f>COUNTIF(tweets!C:C,D400)</f>
        <v>1</v>
      </c>
      <c r="I400"/>
      <c r="J400"/>
    </row>
    <row r="401" spans="1:10" x14ac:dyDescent="0.2">
      <c r="A401" t="s">
        <v>1866</v>
      </c>
      <c r="B401">
        <f>COUNTIF(tweets!D:D,A401)</f>
        <v>1</v>
      </c>
      <c r="D401" t="s">
        <v>818</v>
      </c>
      <c r="E401">
        <f>COUNTIF(tweets!C:C,D401)</f>
        <v>1</v>
      </c>
      <c r="I401"/>
      <c r="J401"/>
    </row>
    <row r="402" spans="1:10" x14ac:dyDescent="0.2">
      <c r="A402" t="s">
        <v>4026</v>
      </c>
      <c r="B402">
        <f>COUNTIF(tweets!D:D,A402)</f>
        <v>1</v>
      </c>
      <c r="D402" t="s">
        <v>822</v>
      </c>
      <c r="E402">
        <f>COUNTIF(tweets!C:C,D402)</f>
        <v>1</v>
      </c>
      <c r="I402"/>
      <c r="J402"/>
    </row>
    <row r="403" spans="1:10" x14ac:dyDescent="0.2">
      <c r="A403" t="s">
        <v>7658</v>
      </c>
      <c r="B403">
        <f>COUNTIF(tweets!D:D,A403)</f>
        <v>1</v>
      </c>
      <c r="D403" t="s">
        <v>827</v>
      </c>
      <c r="E403">
        <f>COUNTIF(tweets!C:C,D403)</f>
        <v>1</v>
      </c>
      <c r="I403"/>
      <c r="J403"/>
    </row>
    <row r="404" spans="1:10" x14ac:dyDescent="0.2">
      <c r="A404" t="s">
        <v>8165</v>
      </c>
      <c r="B404">
        <f>COUNTIF(tweets!D:D,A404)</f>
        <v>1</v>
      </c>
      <c r="D404" t="s">
        <v>832</v>
      </c>
      <c r="E404">
        <f>COUNTIF(tweets!C:C,D404)</f>
        <v>1</v>
      </c>
      <c r="I404"/>
      <c r="J404"/>
    </row>
    <row r="405" spans="1:10" x14ac:dyDescent="0.2">
      <c r="A405" t="s">
        <v>6456</v>
      </c>
      <c r="B405">
        <f>COUNTIF(tweets!D:D,A405)</f>
        <v>1</v>
      </c>
      <c r="D405" t="s">
        <v>837</v>
      </c>
      <c r="E405">
        <f>COUNTIF(tweets!C:C,D405)</f>
        <v>1</v>
      </c>
      <c r="I405"/>
      <c r="J405"/>
    </row>
    <row r="406" spans="1:10" x14ac:dyDescent="0.2">
      <c r="A406" t="s">
        <v>5288</v>
      </c>
      <c r="B406">
        <f>COUNTIF(tweets!D:D,A406)</f>
        <v>1</v>
      </c>
      <c r="D406" t="s">
        <v>845</v>
      </c>
      <c r="E406">
        <f>COUNTIF(tweets!C:C,D406)</f>
        <v>1</v>
      </c>
      <c r="I406"/>
      <c r="J406"/>
    </row>
    <row r="407" spans="1:10" x14ac:dyDescent="0.2">
      <c r="A407" t="s">
        <v>1955</v>
      </c>
      <c r="B407">
        <f>COUNTIF(tweets!D:D,A407)</f>
        <v>1</v>
      </c>
      <c r="D407" t="s">
        <v>849</v>
      </c>
      <c r="E407">
        <f>COUNTIF(tweets!C:C,D407)</f>
        <v>1</v>
      </c>
      <c r="I407"/>
      <c r="J407"/>
    </row>
    <row r="408" spans="1:10" x14ac:dyDescent="0.2">
      <c r="A408" t="s">
        <v>4217</v>
      </c>
      <c r="B408">
        <f>COUNTIF(tweets!D:D,A408)</f>
        <v>1</v>
      </c>
      <c r="D408" t="s">
        <v>855</v>
      </c>
      <c r="E408">
        <f>COUNTIF(tweets!C:C,D408)</f>
        <v>1</v>
      </c>
      <c r="I408"/>
      <c r="J408"/>
    </row>
    <row r="409" spans="1:10" x14ac:dyDescent="0.2">
      <c r="A409" t="s">
        <v>3582</v>
      </c>
      <c r="B409">
        <f>COUNTIF(tweets!D:D,A409)</f>
        <v>1</v>
      </c>
      <c r="D409" t="s">
        <v>859</v>
      </c>
      <c r="E409">
        <f>COUNTIF(tweets!C:C,D409)</f>
        <v>1</v>
      </c>
      <c r="I409"/>
      <c r="J409"/>
    </row>
    <row r="410" spans="1:10" x14ac:dyDescent="0.2">
      <c r="A410" t="s">
        <v>1157</v>
      </c>
      <c r="B410">
        <f>COUNTIF(tweets!D:D,A410)</f>
        <v>1</v>
      </c>
      <c r="D410" t="s">
        <v>865</v>
      </c>
      <c r="E410">
        <f>COUNTIF(tweets!C:C,D410)</f>
        <v>1</v>
      </c>
      <c r="I410"/>
      <c r="J410"/>
    </row>
    <row r="411" spans="1:10" x14ac:dyDescent="0.2">
      <c r="A411" t="s">
        <v>2511</v>
      </c>
      <c r="B411">
        <f>COUNTIF(tweets!D:D,A411)</f>
        <v>1</v>
      </c>
      <c r="D411" t="s">
        <v>868</v>
      </c>
      <c r="E411">
        <f>COUNTIF(tweets!C:C,D411)</f>
        <v>1</v>
      </c>
      <c r="I411"/>
      <c r="J411"/>
    </row>
    <row r="412" spans="1:10" x14ac:dyDescent="0.2">
      <c r="A412" t="s">
        <v>392</v>
      </c>
      <c r="B412">
        <f>COUNTIF(tweets!D:D,A412)</f>
        <v>1</v>
      </c>
      <c r="D412" t="s">
        <v>874</v>
      </c>
      <c r="E412">
        <f>COUNTIF(tweets!C:C,D412)</f>
        <v>1</v>
      </c>
      <c r="I412"/>
      <c r="J412"/>
    </row>
    <row r="413" spans="1:10" x14ac:dyDescent="0.2">
      <c r="A413" t="s">
        <v>6091</v>
      </c>
      <c r="B413">
        <f>COUNTIF(tweets!D:D,A413)</f>
        <v>1</v>
      </c>
      <c r="D413" t="s">
        <v>878</v>
      </c>
      <c r="E413">
        <f>COUNTIF(tweets!C:C,D413)</f>
        <v>1</v>
      </c>
      <c r="I413"/>
      <c r="J413"/>
    </row>
    <row r="414" spans="1:10" x14ac:dyDescent="0.2">
      <c r="A414" t="s">
        <v>3521</v>
      </c>
      <c r="B414">
        <f>COUNTIF(tweets!D:D,A414)</f>
        <v>1</v>
      </c>
      <c r="D414" t="s">
        <v>882</v>
      </c>
      <c r="E414">
        <f>COUNTIF(tweets!C:C,D414)</f>
        <v>1</v>
      </c>
      <c r="I414"/>
      <c r="J414"/>
    </row>
    <row r="415" spans="1:10" x14ac:dyDescent="0.2">
      <c r="A415" t="s">
        <v>3749</v>
      </c>
      <c r="B415">
        <f>COUNTIF(tweets!D:D,A415)</f>
        <v>1</v>
      </c>
      <c r="D415" t="s">
        <v>886</v>
      </c>
      <c r="E415">
        <f>COUNTIF(tweets!C:C,D415)</f>
        <v>1</v>
      </c>
      <c r="I415"/>
      <c r="J415"/>
    </row>
    <row r="416" spans="1:10" x14ac:dyDescent="0.2">
      <c r="A416" t="s">
        <v>8414</v>
      </c>
      <c r="B416">
        <f>COUNTIF(tweets!D:D,A416)</f>
        <v>1</v>
      </c>
      <c r="D416" t="s">
        <v>890</v>
      </c>
      <c r="E416">
        <f>COUNTIF(tweets!C:C,D416)</f>
        <v>1</v>
      </c>
      <c r="I416"/>
      <c r="J416"/>
    </row>
    <row r="417" spans="1:10" x14ac:dyDescent="0.2">
      <c r="A417" t="s">
        <v>975</v>
      </c>
      <c r="B417">
        <f>COUNTIF(tweets!D:D,A417)</f>
        <v>1</v>
      </c>
      <c r="D417" t="s">
        <v>893</v>
      </c>
      <c r="E417">
        <f>COUNTIF(tweets!C:C,D417)</f>
        <v>1</v>
      </c>
      <c r="I417"/>
      <c r="J417"/>
    </row>
    <row r="418" spans="1:10" x14ac:dyDescent="0.2">
      <c r="A418" t="s">
        <v>7887</v>
      </c>
      <c r="B418">
        <f>COUNTIF(tweets!D:D,A418)</f>
        <v>1</v>
      </c>
      <c r="D418" t="s">
        <v>897</v>
      </c>
      <c r="E418">
        <f>COUNTIF(tweets!C:C,D418)</f>
        <v>1</v>
      </c>
      <c r="I418"/>
      <c r="J418"/>
    </row>
    <row r="419" spans="1:10" x14ac:dyDescent="0.2">
      <c r="A419" t="s">
        <v>3248</v>
      </c>
      <c r="B419">
        <f>COUNTIF(tweets!D:D,A419)</f>
        <v>1</v>
      </c>
      <c r="D419" t="s">
        <v>901</v>
      </c>
      <c r="E419">
        <f>COUNTIF(tweets!C:C,D419)</f>
        <v>1</v>
      </c>
      <c r="I419"/>
      <c r="J419"/>
    </row>
    <row r="420" spans="1:10" x14ac:dyDescent="0.2">
      <c r="A420" t="s">
        <v>1168</v>
      </c>
      <c r="B420">
        <f>COUNTIF(tweets!D:D,A420)</f>
        <v>1</v>
      </c>
      <c r="D420" t="s">
        <v>906</v>
      </c>
      <c r="E420">
        <f>COUNTIF(tweets!C:C,D420)</f>
        <v>1</v>
      </c>
      <c r="I420"/>
      <c r="J420"/>
    </row>
    <row r="421" spans="1:10" x14ac:dyDescent="0.2">
      <c r="A421" t="s">
        <v>1561</v>
      </c>
      <c r="B421">
        <f>COUNTIF(tweets!D:D,A421)</f>
        <v>1</v>
      </c>
      <c r="D421" t="s">
        <v>909</v>
      </c>
      <c r="E421">
        <f>COUNTIF(tweets!C:C,D421)</f>
        <v>1</v>
      </c>
      <c r="I421"/>
      <c r="J421"/>
    </row>
    <row r="422" spans="1:10" x14ac:dyDescent="0.2">
      <c r="A422" t="s">
        <v>7993</v>
      </c>
      <c r="B422">
        <f>COUNTIF(tweets!D:D,A422)</f>
        <v>1</v>
      </c>
      <c r="D422" t="s">
        <v>912</v>
      </c>
      <c r="E422">
        <f>COUNTIF(tweets!C:C,D422)</f>
        <v>1</v>
      </c>
      <c r="I422"/>
      <c r="J422"/>
    </row>
    <row r="423" spans="1:10" x14ac:dyDescent="0.2">
      <c r="A423" t="s">
        <v>2070</v>
      </c>
      <c r="B423">
        <f>COUNTIF(tweets!D:D,A423)</f>
        <v>1</v>
      </c>
      <c r="D423" t="s">
        <v>917</v>
      </c>
      <c r="E423">
        <f>COUNTIF(tweets!C:C,D423)</f>
        <v>1</v>
      </c>
      <c r="I423"/>
      <c r="J423"/>
    </row>
    <row r="424" spans="1:10" x14ac:dyDescent="0.2">
      <c r="A424" t="s">
        <v>3647</v>
      </c>
      <c r="B424">
        <f>COUNTIF(tweets!D:D,A424)</f>
        <v>1</v>
      </c>
      <c r="D424" t="s">
        <v>921</v>
      </c>
      <c r="E424">
        <f>COUNTIF(tweets!C:C,D424)</f>
        <v>1</v>
      </c>
      <c r="I424"/>
      <c r="J424"/>
    </row>
    <row r="425" spans="1:10" x14ac:dyDescent="0.2">
      <c r="A425" t="s">
        <v>4839</v>
      </c>
      <c r="B425">
        <f>COUNTIF(tweets!D:D,A425)</f>
        <v>1</v>
      </c>
      <c r="D425" t="s">
        <v>926</v>
      </c>
      <c r="E425">
        <f>COUNTIF(tweets!C:C,D425)</f>
        <v>1</v>
      </c>
      <c r="I425"/>
      <c r="J425"/>
    </row>
    <row r="426" spans="1:10" x14ac:dyDescent="0.2">
      <c r="A426" t="s">
        <v>1487</v>
      </c>
      <c r="B426">
        <f>COUNTIF(tweets!D:D,A426)</f>
        <v>1</v>
      </c>
      <c r="D426" t="s">
        <v>930</v>
      </c>
      <c r="E426">
        <f>COUNTIF(tweets!C:C,D426)</f>
        <v>1</v>
      </c>
      <c r="I426"/>
      <c r="J426"/>
    </row>
    <row r="427" spans="1:10" x14ac:dyDescent="0.2">
      <c r="A427" t="s">
        <v>4879</v>
      </c>
      <c r="B427">
        <f>COUNTIF(tweets!D:D,A427)</f>
        <v>1</v>
      </c>
      <c r="D427" t="s">
        <v>933</v>
      </c>
      <c r="E427">
        <f>COUNTIF(tweets!C:C,D427)</f>
        <v>1</v>
      </c>
      <c r="I427"/>
      <c r="J427"/>
    </row>
    <row r="428" spans="1:10" x14ac:dyDescent="0.2">
      <c r="A428" t="s">
        <v>7415</v>
      </c>
      <c r="B428">
        <f>COUNTIF(tweets!D:D,A428)</f>
        <v>1</v>
      </c>
      <c r="D428" t="s">
        <v>936</v>
      </c>
      <c r="E428">
        <f>COUNTIF(tweets!C:C,D428)</f>
        <v>1</v>
      </c>
      <c r="I428"/>
      <c r="J428"/>
    </row>
    <row r="429" spans="1:10" x14ac:dyDescent="0.2">
      <c r="A429" t="s">
        <v>6027</v>
      </c>
      <c r="B429">
        <f>COUNTIF(tweets!D:D,A429)</f>
        <v>1</v>
      </c>
      <c r="D429" t="s">
        <v>939</v>
      </c>
      <c r="E429">
        <f>COUNTIF(tweets!C:C,D429)</f>
        <v>1</v>
      </c>
      <c r="I429"/>
      <c r="J429"/>
    </row>
    <row r="430" spans="1:10" x14ac:dyDescent="0.2">
      <c r="A430" t="s">
        <v>5211</v>
      </c>
      <c r="B430">
        <f>COUNTIF(tweets!D:D,A430)</f>
        <v>1</v>
      </c>
      <c r="D430" t="s">
        <v>942</v>
      </c>
      <c r="E430">
        <f>COUNTIF(tweets!C:C,D430)</f>
        <v>1</v>
      </c>
      <c r="I430"/>
      <c r="J430"/>
    </row>
    <row r="431" spans="1:10" x14ac:dyDescent="0.2">
      <c r="A431" t="s">
        <v>1471</v>
      </c>
      <c r="B431">
        <f>COUNTIF(tweets!D:D,A431)</f>
        <v>1</v>
      </c>
      <c r="D431" t="s">
        <v>947</v>
      </c>
      <c r="E431">
        <f>COUNTIF(tweets!C:C,D431)</f>
        <v>1</v>
      </c>
      <c r="I431"/>
      <c r="J431"/>
    </row>
    <row r="432" spans="1:10" x14ac:dyDescent="0.2">
      <c r="A432" t="s">
        <v>3065</v>
      </c>
      <c r="B432">
        <f>COUNTIF(tweets!D:D,A432)</f>
        <v>1</v>
      </c>
      <c r="D432" t="s">
        <v>953</v>
      </c>
      <c r="E432">
        <f>COUNTIF(tweets!C:C,D432)</f>
        <v>1</v>
      </c>
      <c r="I432"/>
      <c r="J432"/>
    </row>
    <row r="433" spans="1:10" x14ac:dyDescent="0.2">
      <c r="A433" t="s">
        <v>5426</v>
      </c>
      <c r="B433">
        <f>COUNTIF(tweets!D:D,A433)</f>
        <v>1</v>
      </c>
      <c r="D433" t="s">
        <v>957</v>
      </c>
      <c r="E433">
        <f>COUNTIF(tweets!C:C,D433)</f>
        <v>1</v>
      </c>
      <c r="I433"/>
      <c r="J433"/>
    </row>
    <row r="434" spans="1:10" x14ac:dyDescent="0.2">
      <c r="A434" t="s">
        <v>5326</v>
      </c>
      <c r="B434">
        <f>COUNTIF(tweets!D:D,A434)</f>
        <v>1</v>
      </c>
      <c r="D434" t="s">
        <v>960</v>
      </c>
      <c r="E434">
        <f>COUNTIF(tweets!C:C,D434)</f>
        <v>1</v>
      </c>
      <c r="I434"/>
      <c r="J434"/>
    </row>
    <row r="435" spans="1:10" x14ac:dyDescent="0.2">
      <c r="A435" t="s">
        <v>3530</v>
      </c>
      <c r="B435">
        <f>COUNTIF(tweets!D:D,A435)</f>
        <v>1</v>
      </c>
      <c r="D435" t="s">
        <v>963</v>
      </c>
      <c r="E435">
        <f>COUNTIF(tweets!C:C,D435)</f>
        <v>1</v>
      </c>
      <c r="I435"/>
      <c r="J435"/>
    </row>
    <row r="436" spans="1:10" x14ac:dyDescent="0.2">
      <c r="A436" t="s">
        <v>4704</v>
      </c>
      <c r="B436">
        <f>COUNTIF(tweets!D:D,A436)</f>
        <v>1</v>
      </c>
      <c r="D436" t="s">
        <v>968</v>
      </c>
      <c r="E436">
        <f>COUNTIF(tweets!C:C,D436)</f>
        <v>1</v>
      </c>
      <c r="I436"/>
      <c r="J436"/>
    </row>
    <row r="437" spans="1:10" x14ac:dyDescent="0.2">
      <c r="A437" t="s">
        <v>3660</v>
      </c>
      <c r="B437">
        <f>COUNTIF(tweets!D:D,A437)</f>
        <v>1</v>
      </c>
      <c r="D437" t="s">
        <v>971</v>
      </c>
      <c r="E437">
        <f>COUNTIF(tweets!C:C,D437)</f>
        <v>1</v>
      </c>
      <c r="I437"/>
      <c r="J437"/>
    </row>
    <row r="438" spans="1:10" x14ac:dyDescent="0.2">
      <c r="A438" t="s">
        <v>4544</v>
      </c>
      <c r="B438">
        <f>COUNTIF(tweets!D:D,A438)</f>
        <v>1</v>
      </c>
      <c r="D438" t="s">
        <v>974</v>
      </c>
      <c r="E438">
        <f>COUNTIF(tweets!C:C,D438)</f>
        <v>1</v>
      </c>
      <c r="I438"/>
      <c r="J438"/>
    </row>
    <row r="439" spans="1:10" x14ac:dyDescent="0.2">
      <c r="A439" t="s">
        <v>6530</v>
      </c>
      <c r="B439">
        <f>COUNTIF(tweets!D:D,A439)</f>
        <v>1</v>
      </c>
      <c r="D439" t="s">
        <v>978</v>
      </c>
      <c r="E439">
        <f>COUNTIF(tweets!C:C,D439)</f>
        <v>1</v>
      </c>
      <c r="I439"/>
      <c r="J439"/>
    </row>
    <row r="440" spans="1:10" x14ac:dyDescent="0.2">
      <c r="A440" t="s">
        <v>1647</v>
      </c>
      <c r="B440">
        <f>COUNTIF(tweets!D:D,A440)</f>
        <v>1</v>
      </c>
      <c r="D440" t="s">
        <v>981</v>
      </c>
      <c r="E440">
        <f>COUNTIF(tweets!C:C,D440)</f>
        <v>1</v>
      </c>
      <c r="I440"/>
      <c r="J440"/>
    </row>
    <row r="441" spans="1:10" x14ac:dyDescent="0.2">
      <c r="A441" t="s">
        <v>1701</v>
      </c>
      <c r="B441">
        <f>COUNTIF(tweets!D:D,A441)</f>
        <v>1</v>
      </c>
      <c r="D441" t="s">
        <v>985</v>
      </c>
      <c r="E441">
        <f>COUNTIF(tweets!C:C,D441)</f>
        <v>1</v>
      </c>
      <c r="I441"/>
      <c r="J441"/>
    </row>
    <row r="442" spans="1:10" x14ac:dyDescent="0.2">
      <c r="A442" t="s">
        <v>4647</v>
      </c>
      <c r="B442">
        <f>COUNTIF(tweets!D:D,A442)</f>
        <v>1</v>
      </c>
      <c r="D442" t="s">
        <v>989</v>
      </c>
      <c r="E442">
        <f>COUNTIF(tweets!C:C,D442)</f>
        <v>1</v>
      </c>
      <c r="I442"/>
      <c r="J442"/>
    </row>
    <row r="443" spans="1:10" x14ac:dyDescent="0.2">
      <c r="A443" t="s">
        <v>5018</v>
      </c>
      <c r="B443">
        <f>COUNTIF(tweets!D:D,A443)</f>
        <v>1</v>
      </c>
      <c r="D443" t="s">
        <v>995</v>
      </c>
      <c r="E443">
        <f>COUNTIF(tweets!C:C,D443)</f>
        <v>1</v>
      </c>
      <c r="I443"/>
      <c r="J443"/>
    </row>
    <row r="444" spans="1:10" x14ac:dyDescent="0.2">
      <c r="A444" t="s">
        <v>1715</v>
      </c>
      <c r="B444">
        <f>COUNTIF(tweets!D:D,A444)</f>
        <v>1</v>
      </c>
      <c r="D444" t="s">
        <v>998</v>
      </c>
      <c r="E444">
        <f>COUNTIF(tweets!C:C,D444)</f>
        <v>1</v>
      </c>
      <c r="I444"/>
      <c r="J444"/>
    </row>
    <row r="445" spans="1:10" x14ac:dyDescent="0.2">
      <c r="A445" t="s">
        <v>3225</v>
      </c>
      <c r="B445">
        <f>COUNTIF(tweets!D:D,A445)</f>
        <v>1</v>
      </c>
      <c r="D445" t="s">
        <v>1001</v>
      </c>
      <c r="E445">
        <f>COUNTIF(tweets!C:C,D445)</f>
        <v>1</v>
      </c>
      <c r="I445"/>
      <c r="J445"/>
    </row>
    <row r="446" spans="1:10" x14ac:dyDescent="0.2">
      <c r="A446" t="s">
        <v>4263</v>
      </c>
      <c r="B446">
        <f>COUNTIF(tweets!D:D,A446)</f>
        <v>1</v>
      </c>
      <c r="D446" t="s">
        <v>1004</v>
      </c>
      <c r="E446">
        <f>COUNTIF(tweets!C:C,D446)</f>
        <v>1</v>
      </c>
      <c r="I446"/>
      <c r="J446"/>
    </row>
    <row r="447" spans="1:10" x14ac:dyDescent="0.2">
      <c r="A447" t="s">
        <v>193</v>
      </c>
      <c r="B447">
        <f>COUNTIF(tweets!D:D,A447)</f>
        <v>1</v>
      </c>
      <c r="D447" t="s">
        <v>1014</v>
      </c>
      <c r="E447">
        <f>COUNTIF(tweets!C:C,D447)</f>
        <v>1</v>
      </c>
      <c r="I447"/>
      <c r="J447"/>
    </row>
    <row r="448" spans="1:10" x14ac:dyDescent="0.2">
      <c r="A448" t="s">
        <v>7938</v>
      </c>
      <c r="B448">
        <f>COUNTIF(tweets!D:D,A448)</f>
        <v>1</v>
      </c>
      <c r="D448" t="s">
        <v>1018</v>
      </c>
      <c r="E448">
        <f>COUNTIF(tweets!C:C,D448)</f>
        <v>1</v>
      </c>
      <c r="I448"/>
      <c r="J448"/>
    </row>
    <row r="449" spans="1:10" x14ac:dyDescent="0.2">
      <c r="A449" t="s">
        <v>7529</v>
      </c>
      <c r="B449">
        <f>COUNTIF(tweets!D:D,A449)</f>
        <v>1</v>
      </c>
      <c r="D449" t="s">
        <v>1021</v>
      </c>
      <c r="E449">
        <f>COUNTIF(tweets!C:C,D449)</f>
        <v>1</v>
      </c>
      <c r="I449"/>
      <c r="J449"/>
    </row>
    <row r="450" spans="1:10" x14ac:dyDescent="0.2">
      <c r="A450" t="s">
        <v>4521</v>
      </c>
      <c r="B450">
        <f>COUNTIF(tweets!D:D,A450)</f>
        <v>1</v>
      </c>
      <c r="D450" t="s">
        <v>1024</v>
      </c>
      <c r="E450">
        <f>COUNTIF(tweets!C:C,D450)</f>
        <v>1</v>
      </c>
      <c r="I450"/>
      <c r="J450"/>
    </row>
    <row r="451" spans="1:10" x14ac:dyDescent="0.2">
      <c r="A451" t="s">
        <v>3378</v>
      </c>
      <c r="B451">
        <f>COUNTIF(tweets!D:D,A451)</f>
        <v>1</v>
      </c>
      <c r="D451" t="s">
        <v>1035</v>
      </c>
      <c r="E451">
        <f>COUNTIF(tweets!C:C,D451)</f>
        <v>1</v>
      </c>
      <c r="I451"/>
      <c r="J451"/>
    </row>
    <row r="452" spans="1:10" x14ac:dyDescent="0.2">
      <c r="A452" t="s">
        <v>3265</v>
      </c>
      <c r="B452">
        <f>COUNTIF(tweets!D:D,A452)</f>
        <v>1</v>
      </c>
      <c r="D452" t="s">
        <v>1039</v>
      </c>
      <c r="E452">
        <f>COUNTIF(tweets!C:C,D452)</f>
        <v>1</v>
      </c>
      <c r="I452"/>
      <c r="J452"/>
    </row>
    <row r="453" spans="1:10" x14ac:dyDescent="0.2">
      <c r="A453" t="s">
        <v>3221</v>
      </c>
      <c r="B453">
        <f>COUNTIF(tweets!D:D,A453)</f>
        <v>1</v>
      </c>
      <c r="D453" t="s">
        <v>1044</v>
      </c>
      <c r="E453">
        <f>COUNTIF(tweets!C:C,D453)</f>
        <v>1</v>
      </c>
      <c r="I453"/>
      <c r="J453"/>
    </row>
    <row r="454" spans="1:10" x14ac:dyDescent="0.2">
      <c r="A454" t="s">
        <v>7578</v>
      </c>
      <c r="B454">
        <f>COUNTIF(tweets!D:D,A454)</f>
        <v>1</v>
      </c>
      <c r="D454" t="s">
        <v>1054</v>
      </c>
      <c r="E454">
        <f>COUNTIF(tweets!C:C,D454)</f>
        <v>1</v>
      </c>
      <c r="I454"/>
      <c r="J454"/>
    </row>
    <row r="455" spans="1:10" x14ac:dyDescent="0.2">
      <c r="A455" t="s">
        <v>3211</v>
      </c>
      <c r="B455">
        <f>COUNTIF(tweets!D:D,A455)</f>
        <v>1</v>
      </c>
      <c r="D455" t="s">
        <v>1057</v>
      </c>
      <c r="E455">
        <f>COUNTIF(tweets!C:C,D455)</f>
        <v>1</v>
      </c>
      <c r="I455"/>
      <c r="J455"/>
    </row>
    <row r="456" spans="1:10" x14ac:dyDescent="0.2">
      <c r="A456" t="s">
        <v>2650</v>
      </c>
      <c r="B456">
        <f>COUNTIF(tweets!D:D,A456)</f>
        <v>1</v>
      </c>
      <c r="D456" t="s">
        <v>1060</v>
      </c>
      <c r="E456">
        <f>COUNTIF(tweets!C:C,D456)</f>
        <v>1</v>
      </c>
      <c r="I456"/>
      <c r="J456"/>
    </row>
    <row r="457" spans="1:10" x14ac:dyDescent="0.2">
      <c r="A457" t="s">
        <v>7831</v>
      </c>
      <c r="B457">
        <f>COUNTIF(tweets!D:D,A457)</f>
        <v>1</v>
      </c>
      <c r="D457" t="s">
        <v>1064</v>
      </c>
      <c r="E457">
        <f>COUNTIF(tweets!C:C,D457)</f>
        <v>1</v>
      </c>
      <c r="I457"/>
      <c r="J457"/>
    </row>
    <row r="458" spans="1:10" x14ac:dyDescent="0.2">
      <c r="A458" t="s">
        <v>7956</v>
      </c>
      <c r="B458">
        <f>COUNTIF(tweets!D:D,A458)</f>
        <v>1</v>
      </c>
      <c r="D458" t="s">
        <v>1068</v>
      </c>
      <c r="E458">
        <f>COUNTIF(tweets!C:C,D458)</f>
        <v>1</v>
      </c>
      <c r="I458"/>
      <c r="J458"/>
    </row>
    <row r="459" spans="1:10" x14ac:dyDescent="0.2">
      <c r="A459" t="s">
        <v>8288</v>
      </c>
      <c r="B459">
        <f>COUNTIF(tweets!D:D,A459)</f>
        <v>1</v>
      </c>
      <c r="D459" t="s">
        <v>1072</v>
      </c>
      <c r="E459">
        <f>COUNTIF(tweets!C:C,D459)</f>
        <v>1</v>
      </c>
      <c r="I459"/>
      <c r="J459"/>
    </row>
    <row r="460" spans="1:10" x14ac:dyDescent="0.2">
      <c r="A460" t="s">
        <v>2577</v>
      </c>
      <c r="B460">
        <f>COUNTIF(tweets!D:D,A460)</f>
        <v>1</v>
      </c>
      <c r="D460" t="s">
        <v>1075</v>
      </c>
      <c r="E460">
        <f>COUNTIF(tweets!C:C,D460)</f>
        <v>1</v>
      </c>
      <c r="I460"/>
      <c r="J460"/>
    </row>
    <row r="461" spans="1:10" x14ac:dyDescent="0.2">
      <c r="A461" t="s">
        <v>8500</v>
      </c>
      <c r="B461">
        <f>COUNTIF(tweets!D:D,A461)</f>
        <v>1</v>
      </c>
      <c r="D461" t="s">
        <v>1079</v>
      </c>
      <c r="E461">
        <f>COUNTIF(tweets!C:C,D461)</f>
        <v>1</v>
      </c>
      <c r="I461"/>
      <c r="J461"/>
    </row>
    <row r="462" spans="1:10" x14ac:dyDescent="0.2">
      <c r="A462" t="s">
        <v>4247</v>
      </c>
      <c r="B462">
        <f>COUNTIF(tweets!D:D,A462)</f>
        <v>1</v>
      </c>
      <c r="D462" t="s">
        <v>1082</v>
      </c>
      <c r="E462">
        <f>COUNTIF(tweets!C:C,D462)</f>
        <v>1</v>
      </c>
      <c r="I462"/>
      <c r="J462"/>
    </row>
    <row r="463" spans="1:10" x14ac:dyDescent="0.2">
      <c r="A463" t="s">
        <v>1804</v>
      </c>
      <c r="B463">
        <f>COUNTIF(tweets!D:D,A463)</f>
        <v>1</v>
      </c>
      <c r="D463" t="s">
        <v>1085</v>
      </c>
      <c r="E463">
        <f>COUNTIF(tweets!C:C,D463)</f>
        <v>1</v>
      </c>
      <c r="I463"/>
      <c r="J463"/>
    </row>
    <row r="464" spans="1:10" x14ac:dyDescent="0.2">
      <c r="A464" t="s">
        <v>8196</v>
      </c>
      <c r="B464">
        <f>COUNTIF(tweets!D:D,A464)</f>
        <v>1</v>
      </c>
      <c r="D464" t="s">
        <v>1090</v>
      </c>
      <c r="E464">
        <f>COUNTIF(tweets!C:C,D464)</f>
        <v>1</v>
      </c>
      <c r="I464"/>
      <c r="J464"/>
    </row>
    <row r="465" spans="1:10" x14ac:dyDescent="0.2">
      <c r="A465" t="s">
        <v>4942</v>
      </c>
      <c r="B465">
        <f>COUNTIF(tweets!D:D,A465)</f>
        <v>1</v>
      </c>
      <c r="D465" t="s">
        <v>1094</v>
      </c>
      <c r="E465">
        <f>COUNTIF(tweets!C:C,D465)</f>
        <v>1</v>
      </c>
      <c r="I465"/>
      <c r="J465"/>
    </row>
    <row r="466" spans="1:10" x14ac:dyDescent="0.2">
      <c r="A466" t="s">
        <v>3573</v>
      </c>
      <c r="B466">
        <f>COUNTIF(tweets!D:D,A466)</f>
        <v>1</v>
      </c>
      <c r="D466" t="s">
        <v>1097</v>
      </c>
      <c r="E466">
        <f>COUNTIF(tweets!C:C,D466)</f>
        <v>1</v>
      </c>
      <c r="I466"/>
      <c r="J466"/>
    </row>
    <row r="467" spans="1:10" x14ac:dyDescent="0.2">
      <c r="A467" t="s">
        <v>7501</v>
      </c>
      <c r="B467">
        <f>COUNTIF(tweets!D:D,A467)</f>
        <v>1</v>
      </c>
      <c r="D467" t="s">
        <v>1102</v>
      </c>
      <c r="E467">
        <f>COUNTIF(tweets!C:C,D467)</f>
        <v>1</v>
      </c>
      <c r="I467"/>
      <c r="J467"/>
    </row>
    <row r="468" spans="1:10" x14ac:dyDescent="0.2">
      <c r="A468" t="s">
        <v>8353</v>
      </c>
      <c r="B468">
        <f>COUNTIF(tweets!D:D,A468)</f>
        <v>1</v>
      </c>
      <c r="D468" t="s">
        <v>1105</v>
      </c>
      <c r="E468">
        <f>COUNTIF(tweets!C:C,D468)</f>
        <v>1</v>
      </c>
      <c r="I468"/>
      <c r="J468"/>
    </row>
    <row r="469" spans="1:10" x14ac:dyDescent="0.2">
      <c r="A469" t="s">
        <v>4225</v>
      </c>
      <c r="B469">
        <f>COUNTIF(tweets!D:D,A469)</f>
        <v>1</v>
      </c>
      <c r="D469" t="s">
        <v>1113</v>
      </c>
      <c r="E469">
        <f>COUNTIF(tweets!C:C,D469)</f>
        <v>1</v>
      </c>
      <c r="I469"/>
      <c r="J469"/>
    </row>
    <row r="470" spans="1:10" x14ac:dyDescent="0.2">
      <c r="A470" t="s">
        <v>2048</v>
      </c>
      <c r="B470">
        <f>COUNTIF(tweets!D:D,A470)</f>
        <v>1</v>
      </c>
      <c r="D470" t="s">
        <v>1117</v>
      </c>
      <c r="E470">
        <f>COUNTIF(tweets!C:C,D470)</f>
        <v>1</v>
      </c>
      <c r="I470"/>
      <c r="J470"/>
    </row>
    <row r="471" spans="1:10" x14ac:dyDescent="0.2">
      <c r="A471" t="s">
        <v>1415</v>
      </c>
      <c r="B471">
        <f>COUNTIF(tweets!D:D,A471)</f>
        <v>1</v>
      </c>
      <c r="D471" t="s">
        <v>1122</v>
      </c>
      <c r="E471">
        <f>COUNTIF(tweets!C:C,D471)</f>
        <v>1</v>
      </c>
      <c r="I471"/>
      <c r="J471"/>
    </row>
    <row r="472" spans="1:10" x14ac:dyDescent="0.2">
      <c r="A472" t="s">
        <v>6906</v>
      </c>
      <c r="B472">
        <f>COUNTIF(tweets!D:D,A472)</f>
        <v>1</v>
      </c>
      <c r="D472" t="s">
        <v>1125</v>
      </c>
      <c r="E472">
        <f>COUNTIF(tweets!C:C,D472)</f>
        <v>1</v>
      </c>
      <c r="I472"/>
      <c r="J472"/>
    </row>
    <row r="473" spans="1:10" x14ac:dyDescent="0.2">
      <c r="A473" t="s">
        <v>2619</v>
      </c>
      <c r="B473">
        <f>COUNTIF(tweets!D:D,A473)</f>
        <v>1</v>
      </c>
      <c r="D473" t="s">
        <v>1128</v>
      </c>
      <c r="E473">
        <f>COUNTIF(tweets!C:C,D473)</f>
        <v>1</v>
      </c>
      <c r="I473"/>
      <c r="J473"/>
    </row>
    <row r="474" spans="1:10" x14ac:dyDescent="0.2">
      <c r="A474" t="s">
        <v>5152</v>
      </c>
      <c r="B474">
        <f>COUNTIF(tweets!D:D,A474)</f>
        <v>1</v>
      </c>
      <c r="D474" t="s">
        <v>1132</v>
      </c>
      <c r="E474">
        <f>COUNTIF(tweets!C:C,D474)</f>
        <v>1</v>
      </c>
      <c r="I474"/>
      <c r="J474"/>
    </row>
    <row r="475" spans="1:10" x14ac:dyDescent="0.2">
      <c r="A475" t="s">
        <v>157</v>
      </c>
      <c r="B475">
        <f>COUNTIF(tweets!D:D,A475)</f>
        <v>1</v>
      </c>
      <c r="D475" t="s">
        <v>1136</v>
      </c>
      <c r="E475">
        <f>COUNTIF(tweets!C:C,D475)</f>
        <v>1</v>
      </c>
      <c r="I475"/>
      <c r="J475"/>
    </row>
    <row r="476" spans="1:10" x14ac:dyDescent="0.2">
      <c r="A476" t="s">
        <v>8391</v>
      </c>
      <c r="B476">
        <f>COUNTIF(tweets!D:D,A476)</f>
        <v>1</v>
      </c>
      <c r="D476" t="s">
        <v>1139</v>
      </c>
      <c r="E476">
        <f>COUNTIF(tweets!C:C,D476)</f>
        <v>1</v>
      </c>
      <c r="I476"/>
      <c r="J476"/>
    </row>
    <row r="477" spans="1:10" x14ac:dyDescent="0.2">
      <c r="A477" t="s">
        <v>2264</v>
      </c>
      <c r="B477">
        <f>COUNTIF(tweets!D:D,A477)</f>
        <v>1</v>
      </c>
      <c r="D477" t="s">
        <v>1152</v>
      </c>
      <c r="E477">
        <f>COUNTIF(tweets!C:C,D477)</f>
        <v>1</v>
      </c>
      <c r="I477"/>
      <c r="J477"/>
    </row>
    <row r="478" spans="1:10" x14ac:dyDescent="0.2">
      <c r="A478" t="s">
        <v>7290</v>
      </c>
      <c r="B478">
        <f>COUNTIF(tweets!D:D,A478)</f>
        <v>1</v>
      </c>
      <c r="D478" t="s">
        <v>1156</v>
      </c>
      <c r="E478">
        <f>COUNTIF(tweets!C:C,D478)</f>
        <v>1</v>
      </c>
      <c r="I478"/>
      <c r="J478"/>
    </row>
    <row r="479" spans="1:10" x14ac:dyDescent="0.2">
      <c r="A479" t="s">
        <v>2615</v>
      </c>
      <c r="B479">
        <f>COUNTIF(tweets!D:D,A479)</f>
        <v>1</v>
      </c>
      <c r="D479" t="s">
        <v>1160</v>
      </c>
      <c r="E479">
        <f>COUNTIF(tweets!C:C,D479)</f>
        <v>1</v>
      </c>
      <c r="I479"/>
      <c r="J479"/>
    </row>
    <row r="480" spans="1:10" x14ac:dyDescent="0.2">
      <c r="A480" t="s">
        <v>18</v>
      </c>
      <c r="B480">
        <f>COUNTIF(tweets!D:D,A480)</f>
        <v>1</v>
      </c>
      <c r="D480" t="s">
        <v>1164</v>
      </c>
      <c r="E480">
        <f>COUNTIF(tweets!C:C,D480)</f>
        <v>1</v>
      </c>
      <c r="I480"/>
      <c r="J480"/>
    </row>
    <row r="481" spans="1:10" x14ac:dyDescent="0.2">
      <c r="A481" t="s">
        <v>7946</v>
      </c>
      <c r="B481">
        <f>COUNTIF(tweets!D:D,A481)</f>
        <v>1</v>
      </c>
      <c r="D481" t="s">
        <v>1167</v>
      </c>
      <c r="E481">
        <f>COUNTIF(tweets!C:C,D481)</f>
        <v>1</v>
      </c>
      <c r="I481"/>
      <c r="J481"/>
    </row>
    <row r="482" spans="1:10" x14ac:dyDescent="0.2">
      <c r="A482" t="s">
        <v>7874</v>
      </c>
      <c r="B482">
        <f>COUNTIF(tweets!D:D,A482)</f>
        <v>1</v>
      </c>
      <c r="D482" t="s">
        <v>1171</v>
      </c>
      <c r="E482">
        <f>COUNTIF(tweets!C:C,D482)</f>
        <v>1</v>
      </c>
      <c r="I482"/>
      <c r="J482"/>
    </row>
    <row r="483" spans="1:10" x14ac:dyDescent="0.2">
      <c r="A483" t="s">
        <v>6626</v>
      </c>
      <c r="B483">
        <f>COUNTIF(tweets!D:D,A483)</f>
        <v>1</v>
      </c>
      <c r="D483" t="s">
        <v>1175</v>
      </c>
      <c r="E483">
        <f>COUNTIF(tweets!C:C,D483)</f>
        <v>1</v>
      </c>
      <c r="I483"/>
      <c r="J483"/>
    </row>
    <row r="484" spans="1:10" x14ac:dyDescent="0.2">
      <c r="A484" t="s">
        <v>549</v>
      </c>
      <c r="B484">
        <f>COUNTIF(tweets!D:D,A484)</f>
        <v>1</v>
      </c>
      <c r="D484" t="s">
        <v>1178</v>
      </c>
      <c r="E484">
        <f>COUNTIF(tweets!C:C,D484)</f>
        <v>1</v>
      </c>
      <c r="I484"/>
      <c r="J484"/>
    </row>
    <row r="485" spans="1:10" x14ac:dyDescent="0.2">
      <c r="A485" t="s">
        <v>3756</v>
      </c>
      <c r="B485">
        <f>COUNTIF(tweets!D:D,A485)</f>
        <v>1</v>
      </c>
      <c r="D485" t="s">
        <v>1181</v>
      </c>
      <c r="E485">
        <f>COUNTIF(tweets!C:C,D485)</f>
        <v>1</v>
      </c>
      <c r="I485"/>
      <c r="J485"/>
    </row>
    <row r="486" spans="1:10" x14ac:dyDescent="0.2">
      <c r="A486" t="s">
        <v>1106</v>
      </c>
      <c r="B486">
        <f>COUNTIF(tweets!D:D,A486)</f>
        <v>1</v>
      </c>
      <c r="D486" t="s">
        <v>1185</v>
      </c>
      <c r="E486">
        <f>COUNTIF(tweets!C:C,D486)</f>
        <v>1</v>
      </c>
      <c r="I486"/>
      <c r="J486"/>
    </row>
    <row r="487" spans="1:10" x14ac:dyDescent="0.2">
      <c r="A487" t="s">
        <v>4700</v>
      </c>
      <c r="B487">
        <f>COUNTIF(tweets!D:D,A487)</f>
        <v>1</v>
      </c>
      <c r="D487" t="s">
        <v>1188</v>
      </c>
      <c r="E487">
        <f>COUNTIF(tweets!C:C,D487)</f>
        <v>1</v>
      </c>
      <c r="I487"/>
      <c r="J487"/>
    </row>
    <row r="488" spans="1:10" x14ac:dyDescent="0.2">
      <c r="A488" t="s">
        <v>5360</v>
      </c>
      <c r="B488">
        <f>COUNTIF(tweets!D:D,A488)</f>
        <v>1</v>
      </c>
      <c r="D488" t="s">
        <v>1195</v>
      </c>
      <c r="E488">
        <f>COUNTIF(tweets!C:C,D488)</f>
        <v>1</v>
      </c>
      <c r="I488"/>
      <c r="J488"/>
    </row>
    <row r="489" spans="1:10" x14ac:dyDescent="0.2">
      <c r="A489" t="s">
        <v>3850</v>
      </c>
      <c r="B489">
        <f>COUNTIF(tweets!D:D,A489)</f>
        <v>1</v>
      </c>
      <c r="D489" t="s">
        <v>1200</v>
      </c>
      <c r="E489">
        <f>COUNTIF(tweets!C:C,D489)</f>
        <v>1</v>
      </c>
      <c r="I489"/>
      <c r="J489"/>
    </row>
    <row r="490" spans="1:10" x14ac:dyDescent="0.2">
      <c r="A490" t="s">
        <v>1800</v>
      </c>
      <c r="B490">
        <f>COUNTIF(tweets!D:D,A490)</f>
        <v>1</v>
      </c>
      <c r="D490" t="s">
        <v>1206</v>
      </c>
      <c r="E490">
        <f>COUNTIF(tweets!C:C,D490)</f>
        <v>1</v>
      </c>
      <c r="I490"/>
      <c r="J490"/>
    </row>
    <row r="491" spans="1:10" x14ac:dyDescent="0.2">
      <c r="A491" t="s">
        <v>5845</v>
      </c>
      <c r="B491">
        <f>COUNTIF(tweets!D:D,A491)</f>
        <v>1</v>
      </c>
      <c r="D491" t="s">
        <v>1210</v>
      </c>
      <c r="E491">
        <f>COUNTIF(tweets!C:C,D491)</f>
        <v>1</v>
      </c>
      <c r="I491"/>
      <c r="J491"/>
    </row>
    <row r="492" spans="1:10" x14ac:dyDescent="0.2">
      <c r="A492" t="s">
        <v>2381</v>
      </c>
      <c r="B492">
        <f>COUNTIF(tweets!D:D,A492)</f>
        <v>1</v>
      </c>
      <c r="D492" t="s">
        <v>1215</v>
      </c>
      <c r="E492">
        <f>COUNTIF(tweets!C:C,D492)</f>
        <v>1</v>
      </c>
      <c r="I492"/>
      <c r="J492"/>
    </row>
    <row r="493" spans="1:10" x14ac:dyDescent="0.2">
      <c r="A493" t="s">
        <v>1709</v>
      </c>
      <c r="B493">
        <f>COUNTIF(tweets!D:D,A493)</f>
        <v>1</v>
      </c>
      <c r="D493" t="s">
        <v>1225</v>
      </c>
      <c r="E493">
        <f>COUNTIF(tweets!C:C,D493)</f>
        <v>1</v>
      </c>
      <c r="I493"/>
      <c r="J493"/>
    </row>
    <row r="494" spans="1:10" x14ac:dyDescent="0.2">
      <c r="A494" t="s">
        <v>8032</v>
      </c>
      <c r="B494">
        <f>COUNTIF(tweets!D:D,A494)</f>
        <v>1</v>
      </c>
      <c r="D494" t="s">
        <v>1229</v>
      </c>
      <c r="E494">
        <f>COUNTIF(tweets!C:C,D494)</f>
        <v>1</v>
      </c>
      <c r="I494"/>
      <c r="J494"/>
    </row>
    <row r="495" spans="1:10" x14ac:dyDescent="0.2">
      <c r="A495" t="s">
        <v>846</v>
      </c>
      <c r="B495">
        <f>COUNTIF(tweets!D:D,A495)</f>
        <v>1</v>
      </c>
      <c r="D495" t="s">
        <v>1232</v>
      </c>
      <c r="E495">
        <f>COUNTIF(tweets!C:C,D495)</f>
        <v>1</v>
      </c>
      <c r="I495"/>
      <c r="J495"/>
    </row>
    <row r="496" spans="1:10" x14ac:dyDescent="0.2">
      <c r="A496" t="s">
        <v>6839</v>
      </c>
      <c r="B496">
        <f>COUNTIF(tweets!D:D,A496)</f>
        <v>1</v>
      </c>
      <c r="D496" t="s">
        <v>1236</v>
      </c>
      <c r="E496">
        <f>COUNTIF(tweets!C:C,D496)</f>
        <v>1</v>
      </c>
      <c r="I496"/>
      <c r="J496"/>
    </row>
    <row r="497" spans="1:10" x14ac:dyDescent="0.2">
      <c r="A497" t="s">
        <v>3029</v>
      </c>
      <c r="B497">
        <f>COUNTIF(tweets!D:D,A497)</f>
        <v>1</v>
      </c>
      <c r="D497" t="s">
        <v>1239</v>
      </c>
      <c r="E497">
        <f>COUNTIF(tweets!C:C,D497)</f>
        <v>1</v>
      </c>
      <c r="I497"/>
      <c r="J497"/>
    </row>
    <row r="498" spans="1:10" x14ac:dyDescent="0.2">
      <c r="A498" t="s">
        <v>7814</v>
      </c>
      <c r="B498">
        <f>COUNTIF(tweets!D:D,A498)</f>
        <v>1</v>
      </c>
      <c r="D498" t="s">
        <v>1247</v>
      </c>
      <c r="E498">
        <f>COUNTIF(tweets!C:C,D498)</f>
        <v>1</v>
      </c>
      <c r="I498"/>
      <c r="J498"/>
    </row>
    <row r="499" spans="1:10" x14ac:dyDescent="0.2">
      <c r="A499" t="s">
        <v>2317</v>
      </c>
      <c r="B499">
        <f>COUNTIF(tweets!D:D,A499)</f>
        <v>1</v>
      </c>
      <c r="D499" t="s">
        <v>1251</v>
      </c>
      <c r="E499">
        <f>COUNTIF(tweets!C:C,D499)</f>
        <v>1</v>
      </c>
      <c r="I499"/>
      <c r="J499"/>
    </row>
    <row r="500" spans="1:10" x14ac:dyDescent="0.2">
      <c r="A500" t="s">
        <v>583</v>
      </c>
      <c r="B500">
        <f>COUNTIF(tweets!D:D,A500)</f>
        <v>1</v>
      </c>
      <c r="D500" t="s">
        <v>1253</v>
      </c>
      <c r="E500">
        <f>COUNTIF(tweets!C:C,D500)</f>
        <v>1</v>
      </c>
      <c r="I500"/>
      <c r="J500"/>
    </row>
    <row r="501" spans="1:10" x14ac:dyDescent="0.2">
      <c r="A501" t="s">
        <v>3072</v>
      </c>
      <c r="B501">
        <f>COUNTIF(tweets!D:D,A501)</f>
        <v>1</v>
      </c>
      <c r="D501" t="s">
        <v>1257</v>
      </c>
      <c r="E501">
        <f>COUNTIF(tweets!C:C,D501)</f>
        <v>1</v>
      </c>
      <c r="I501"/>
      <c r="J501"/>
    </row>
    <row r="502" spans="1:10" x14ac:dyDescent="0.2">
      <c r="A502" t="s">
        <v>1773</v>
      </c>
      <c r="B502">
        <f>COUNTIF(tweets!D:D,A502)</f>
        <v>1</v>
      </c>
      <c r="D502" t="s">
        <v>1261</v>
      </c>
      <c r="E502">
        <f>COUNTIF(tweets!C:C,D502)</f>
        <v>1</v>
      </c>
      <c r="I502"/>
      <c r="J502"/>
    </row>
    <row r="503" spans="1:10" x14ac:dyDescent="0.2">
      <c r="A503" t="s">
        <v>3889</v>
      </c>
      <c r="B503">
        <f>COUNTIF(tweets!D:D,A503)</f>
        <v>1</v>
      </c>
      <c r="D503" t="s">
        <v>1271</v>
      </c>
      <c r="E503">
        <f>COUNTIF(tweets!C:C,D503)</f>
        <v>1</v>
      </c>
      <c r="I503"/>
      <c r="J503"/>
    </row>
    <row r="504" spans="1:10" x14ac:dyDescent="0.2">
      <c r="A504" t="s">
        <v>4689</v>
      </c>
      <c r="B504">
        <f>COUNTIF(tweets!D:D,A504)</f>
        <v>1</v>
      </c>
      <c r="D504" t="s">
        <v>1291</v>
      </c>
      <c r="E504">
        <f>COUNTIF(tweets!C:C,D504)</f>
        <v>1</v>
      </c>
      <c r="I504"/>
      <c r="J504"/>
    </row>
    <row r="505" spans="1:10" x14ac:dyDescent="0.2">
      <c r="A505" t="s">
        <v>6510</v>
      </c>
      <c r="B505">
        <f>COUNTIF(tweets!D:D,A505)</f>
        <v>1</v>
      </c>
      <c r="D505" t="s">
        <v>1295</v>
      </c>
      <c r="E505">
        <f>COUNTIF(tweets!C:C,D505)</f>
        <v>1</v>
      </c>
      <c r="I505"/>
      <c r="J505"/>
    </row>
    <row r="506" spans="1:10" x14ac:dyDescent="0.2">
      <c r="A506" t="s">
        <v>6542</v>
      </c>
      <c r="B506">
        <f>COUNTIF(tweets!D:D,A506)</f>
        <v>1</v>
      </c>
      <c r="D506" t="s">
        <v>1301</v>
      </c>
      <c r="E506">
        <f>COUNTIF(tweets!C:C,D506)</f>
        <v>1</v>
      </c>
      <c r="I506"/>
      <c r="J506"/>
    </row>
    <row r="507" spans="1:10" x14ac:dyDescent="0.2">
      <c r="A507" t="s">
        <v>6147</v>
      </c>
      <c r="B507">
        <f>COUNTIF(tweets!D:D,A507)</f>
        <v>1</v>
      </c>
      <c r="D507" t="s">
        <v>1311</v>
      </c>
      <c r="E507">
        <f>COUNTIF(tweets!C:C,D507)</f>
        <v>1</v>
      </c>
      <c r="I507"/>
      <c r="J507"/>
    </row>
    <row r="508" spans="1:10" x14ac:dyDescent="0.2">
      <c r="A508" t="s">
        <v>3633</v>
      </c>
      <c r="B508">
        <f>COUNTIF(tweets!D:D,A508)</f>
        <v>1</v>
      </c>
      <c r="D508" t="s">
        <v>1327</v>
      </c>
      <c r="E508">
        <f>COUNTIF(tweets!C:C,D508)</f>
        <v>1</v>
      </c>
      <c r="I508"/>
      <c r="J508"/>
    </row>
    <row r="509" spans="1:10" x14ac:dyDescent="0.2">
      <c r="A509" t="s">
        <v>7010</v>
      </c>
      <c r="B509">
        <f>COUNTIF(tweets!D:D,A509)</f>
        <v>1</v>
      </c>
      <c r="D509" t="s">
        <v>1333</v>
      </c>
      <c r="E509">
        <f>COUNTIF(tweets!C:C,D509)</f>
        <v>1</v>
      </c>
      <c r="I509"/>
      <c r="J509"/>
    </row>
    <row r="510" spans="1:10" x14ac:dyDescent="0.2">
      <c r="A510" t="s">
        <v>2979</v>
      </c>
      <c r="B510">
        <f>COUNTIF(tweets!D:D,A510)</f>
        <v>1</v>
      </c>
      <c r="D510" t="s">
        <v>1336</v>
      </c>
      <c r="E510">
        <f>COUNTIF(tweets!C:C,D510)</f>
        <v>1</v>
      </c>
      <c r="I510"/>
      <c r="J510"/>
    </row>
    <row r="511" spans="1:10" x14ac:dyDescent="0.2">
      <c r="A511" t="s">
        <v>6674</v>
      </c>
      <c r="B511">
        <f>COUNTIF(tweets!D:D,A511)</f>
        <v>1</v>
      </c>
      <c r="D511" t="s">
        <v>1339</v>
      </c>
      <c r="E511">
        <f>COUNTIF(tweets!C:C,D511)</f>
        <v>1</v>
      </c>
      <c r="I511"/>
      <c r="J511"/>
    </row>
    <row r="512" spans="1:10" x14ac:dyDescent="0.2">
      <c r="A512" t="s">
        <v>7311</v>
      </c>
      <c r="B512">
        <f>COUNTIF(tweets!D:D,A512)</f>
        <v>1</v>
      </c>
      <c r="D512" t="s">
        <v>1351</v>
      </c>
      <c r="E512">
        <f>COUNTIF(tweets!C:C,D512)</f>
        <v>1</v>
      </c>
      <c r="I512"/>
      <c r="J512"/>
    </row>
    <row r="513" spans="1:10" x14ac:dyDescent="0.2">
      <c r="A513" t="s">
        <v>2338</v>
      </c>
      <c r="B513">
        <f>COUNTIF(tweets!D:D,A513)</f>
        <v>1</v>
      </c>
      <c r="D513" t="s">
        <v>1358</v>
      </c>
      <c r="E513">
        <f>COUNTIF(tweets!C:C,D513)</f>
        <v>1</v>
      </c>
      <c r="I513"/>
      <c r="J513"/>
    </row>
    <row r="514" spans="1:10" x14ac:dyDescent="0.2">
      <c r="A514" t="s">
        <v>169</v>
      </c>
      <c r="B514">
        <f>COUNTIF(tweets!D:D,A514)</f>
        <v>1</v>
      </c>
      <c r="D514" t="s">
        <v>1362</v>
      </c>
      <c r="E514">
        <f>COUNTIF(tweets!C:C,D514)</f>
        <v>1</v>
      </c>
      <c r="I514"/>
      <c r="J514"/>
    </row>
    <row r="515" spans="1:10" x14ac:dyDescent="0.2">
      <c r="A515" t="s">
        <v>6774</v>
      </c>
      <c r="B515">
        <f>COUNTIF(tweets!D:D,A515)</f>
        <v>1</v>
      </c>
      <c r="D515" t="s">
        <v>1366</v>
      </c>
      <c r="E515">
        <f>COUNTIF(tweets!C:C,D515)</f>
        <v>1</v>
      </c>
      <c r="I515"/>
      <c r="J515"/>
    </row>
    <row r="516" spans="1:10" x14ac:dyDescent="0.2">
      <c r="A516" t="s">
        <v>297</v>
      </c>
      <c r="B516">
        <f>COUNTIF(tweets!D:D,A516)</f>
        <v>1</v>
      </c>
      <c r="D516" t="s">
        <v>1369</v>
      </c>
      <c r="E516">
        <f>COUNTIF(tweets!C:C,D516)</f>
        <v>1</v>
      </c>
      <c r="I516"/>
      <c r="J516"/>
    </row>
    <row r="517" spans="1:10" x14ac:dyDescent="0.2">
      <c r="A517" t="s">
        <v>3669</v>
      </c>
      <c r="B517">
        <f>COUNTIF(tweets!D:D,A517)</f>
        <v>1</v>
      </c>
      <c r="D517" t="s">
        <v>1373</v>
      </c>
      <c r="E517">
        <f>COUNTIF(tweets!C:C,D517)</f>
        <v>1</v>
      </c>
      <c r="I517"/>
      <c r="J517"/>
    </row>
    <row r="518" spans="1:10" x14ac:dyDescent="0.2">
      <c r="A518" t="s">
        <v>7392</v>
      </c>
      <c r="B518">
        <f>COUNTIF(tweets!D:D,A518)</f>
        <v>1</v>
      </c>
      <c r="D518" t="s">
        <v>1378</v>
      </c>
      <c r="E518">
        <f>COUNTIF(tweets!C:C,D518)</f>
        <v>1</v>
      </c>
      <c r="I518"/>
      <c r="J518"/>
    </row>
    <row r="519" spans="1:10" x14ac:dyDescent="0.2">
      <c r="A519" t="s">
        <v>7361</v>
      </c>
      <c r="B519">
        <f>COUNTIF(tweets!D:D,A519)</f>
        <v>1</v>
      </c>
      <c r="D519" t="s">
        <v>1382</v>
      </c>
      <c r="E519">
        <f>COUNTIF(tweets!C:C,D519)</f>
        <v>1</v>
      </c>
      <c r="I519"/>
      <c r="J519"/>
    </row>
    <row r="520" spans="1:10" x14ac:dyDescent="0.2">
      <c r="A520" t="s">
        <v>6984</v>
      </c>
      <c r="B520">
        <f>COUNTIF(tweets!D:D,A520)</f>
        <v>1</v>
      </c>
      <c r="D520" t="s">
        <v>1387</v>
      </c>
      <c r="E520">
        <f>COUNTIF(tweets!C:C,D520)</f>
        <v>1</v>
      </c>
      <c r="I520"/>
      <c r="J520"/>
    </row>
    <row r="521" spans="1:10" x14ac:dyDescent="0.2">
      <c r="A521" t="s">
        <v>3698</v>
      </c>
      <c r="B521">
        <f>COUNTIF(tweets!D:D,A521)</f>
        <v>1</v>
      </c>
      <c r="D521" t="s">
        <v>1394</v>
      </c>
      <c r="E521">
        <f>COUNTIF(tweets!C:C,D521)</f>
        <v>1</v>
      </c>
      <c r="I521"/>
      <c r="J521"/>
    </row>
    <row r="522" spans="1:10" x14ac:dyDescent="0.2">
      <c r="A522" t="s">
        <v>3117</v>
      </c>
      <c r="B522">
        <f>COUNTIF(tweets!D:D,A522)</f>
        <v>1</v>
      </c>
      <c r="D522" t="s">
        <v>1399</v>
      </c>
      <c r="E522">
        <f>COUNTIF(tweets!C:C,D522)</f>
        <v>1</v>
      </c>
      <c r="I522"/>
      <c r="J522"/>
    </row>
    <row r="523" spans="1:10" x14ac:dyDescent="0.2">
      <c r="A523" t="s">
        <v>6165</v>
      </c>
      <c r="B523">
        <f>COUNTIF(tweets!D:D,A523)</f>
        <v>1</v>
      </c>
      <c r="D523" t="s">
        <v>1402</v>
      </c>
      <c r="E523">
        <f>COUNTIF(tweets!C:C,D523)</f>
        <v>1</v>
      </c>
      <c r="I523"/>
      <c r="J523"/>
    </row>
    <row r="524" spans="1:10" x14ac:dyDescent="0.2">
      <c r="A524" t="s">
        <v>2967</v>
      </c>
      <c r="B524">
        <f>COUNTIF(tweets!D:D,A524)</f>
        <v>1</v>
      </c>
      <c r="D524" t="s">
        <v>1406</v>
      </c>
      <c r="E524">
        <f>COUNTIF(tweets!C:C,D524)</f>
        <v>1</v>
      </c>
      <c r="I524"/>
      <c r="J524"/>
    </row>
    <row r="525" spans="1:10" x14ac:dyDescent="0.2">
      <c r="A525" t="s">
        <v>7183</v>
      </c>
      <c r="B525">
        <f>COUNTIF(tweets!D:D,A525)</f>
        <v>1</v>
      </c>
      <c r="D525" t="s">
        <v>1410</v>
      </c>
      <c r="E525">
        <f>COUNTIF(tweets!C:C,D525)</f>
        <v>1</v>
      </c>
      <c r="I525"/>
      <c r="J525"/>
    </row>
    <row r="526" spans="1:10" x14ac:dyDescent="0.2">
      <c r="A526" t="s">
        <v>4575</v>
      </c>
      <c r="B526">
        <f>COUNTIF(tweets!D:D,A526)</f>
        <v>1</v>
      </c>
      <c r="D526" t="s">
        <v>1414</v>
      </c>
      <c r="E526">
        <f>COUNTIF(tweets!C:C,D526)</f>
        <v>1</v>
      </c>
      <c r="I526"/>
      <c r="J526"/>
    </row>
    <row r="527" spans="1:10" x14ac:dyDescent="0.2">
      <c r="A527" t="s">
        <v>6150</v>
      </c>
      <c r="B527">
        <f>COUNTIF(tweets!D:D,A527)</f>
        <v>1</v>
      </c>
      <c r="D527" t="s">
        <v>1418</v>
      </c>
      <c r="E527">
        <f>COUNTIF(tweets!C:C,D527)</f>
        <v>1</v>
      </c>
      <c r="I527"/>
      <c r="J527"/>
    </row>
    <row r="528" spans="1:10" x14ac:dyDescent="0.2">
      <c r="A528" t="s">
        <v>3094</v>
      </c>
      <c r="B528">
        <f>COUNTIF(tweets!D:D,A528)</f>
        <v>1</v>
      </c>
      <c r="D528" t="s">
        <v>1421</v>
      </c>
      <c r="E528">
        <f>COUNTIF(tweets!C:C,D528)</f>
        <v>1</v>
      </c>
      <c r="I528"/>
      <c r="J528"/>
    </row>
    <row r="529" spans="1:10" x14ac:dyDescent="0.2">
      <c r="A529" t="s">
        <v>3204</v>
      </c>
      <c r="B529">
        <f>COUNTIF(tweets!D:D,A529)</f>
        <v>1</v>
      </c>
      <c r="D529" t="s">
        <v>1425</v>
      </c>
      <c r="E529">
        <f>COUNTIF(tweets!C:C,D529)</f>
        <v>1</v>
      </c>
      <c r="I529"/>
      <c r="J529"/>
    </row>
    <row r="530" spans="1:10" x14ac:dyDescent="0.2">
      <c r="A530" t="s">
        <v>3039</v>
      </c>
      <c r="B530">
        <f>COUNTIF(tweets!D:D,A530)</f>
        <v>1</v>
      </c>
      <c r="D530" t="s">
        <v>1428</v>
      </c>
      <c r="E530">
        <f>COUNTIF(tweets!C:C,D530)</f>
        <v>1</v>
      </c>
      <c r="I530"/>
      <c r="J530"/>
    </row>
    <row r="531" spans="1:10" x14ac:dyDescent="0.2">
      <c r="A531" t="s">
        <v>3975</v>
      </c>
      <c r="B531">
        <f>COUNTIF(tweets!D:D,A531)</f>
        <v>1</v>
      </c>
      <c r="D531" t="s">
        <v>1431</v>
      </c>
      <c r="E531">
        <f>COUNTIF(tweets!C:C,D531)</f>
        <v>1</v>
      </c>
      <c r="I531"/>
      <c r="J531"/>
    </row>
    <row r="532" spans="1:10" x14ac:dyDescent="0.2">
      <c r="A532" t="s">
        <v>6412</v>
      </c>
      <c r="B532">
        <f>COUNTIF(tweets!D:D,A532)</f>
        <v>1</v>
      </c>
      <c r="D532" t="s">
        <v>1439</v>
      </c>
      <c r="E532">
        <f>COUNTIF(tweets!C:C,D532)</f>
        <v>1</v>
      </c>
      <c r="I532"/>
      <c r="J532"/>
    </row>
    <row r="533" spans="1:10" x14ac:dyDescent="0.2">
      <c r="A533" t="s">
        <v>3337</v>
      </c>
      <c r="B533">
        <f>COUNTIF(tweets!D:D,A533)</f>
        <v>1</v>
      </c>
      <c r="D533" t="s">
        <v>1443</v>
      </c>
      <c r="E533">
        <f>COUNTIF(tweets!C:C,D533)</f>
        <v>1</v>
      </c>
      <c r="I533"/>
      <c r="J533"/>
    </row>
    <row r="534" spans="1:10" x14ac:dyDescent="0.2">
      <c r="A534" t="s">
        <v>3771</v>
      </c>
      <c r="B534">
        <f>COUNTIF(tweets!D:D,A534)</f>
        <v>1</v>
      </c>
      <c r="D534" t="s">
        <v>1447</v>
      </c>
      <c r="E534">
        <f>COUNTIF(tweets!C:C,D534)</f>
        <v>1</v>
      </c>
      <c r="I534"/>
      <c r="J534"/>
    </row>
    <row r="535" spans="1:10" x14ac:dyDescent="0.2">
      <c r="A535" t="s">
        <v>7597</v>
      </c>
      <c r="B535">
        <f>COUNTIF(tweets!D:D,A535)</f>
        <v>1</v>
      </c>
      <c r="D535" t="s">
        <v>1453</v>
      </c>
      <c r="E535">
        <f>COUNTIF(tweets!C:C,D535)</f>
        <v>1</v>
      </c>
      <c r="I535"/>
      <c r="J535"/>
    </row>
    <row r="536" spans="1:10" x14ac:dyDescent="0.2">
      <c r="A536" t="s">
        <v>6040</v>
      </c>
      <c r="B536">
        <f>COUNTIF(tweets!D:D,A536)</f>
        <v>1</v>
      </c>
      <c r="D536" t="s">
        <v>1457</v>
      </c>
      <c r="E536">
        <f>COUNTIF(tweets!C:C,D536)</f>
        <v>1</v>
      </c>
      <c r="I536"/>
      <c r="J536"/>
    </row>
    <row r="537" spans="1:10" x14ac:dyDescent="0.2">
      <c r="A537" t="s">
        <v>7162</v>
      </c>
      <c r="B537">
        <f>COUNTIF(tweets!D:D,A537)</f>
        <v>1</v>
      </c>
      <c r="D537" t="s">
        <v>1460</v>
      </c>
      <c r="E537">
        <f>COUNTIF(tweets!C:C,D537)</f>
        <v>1</v>
      </c>
      <c r="I537"/>
      <c r="J537"/>
    </row>
    <row r="538" spans="1:10" x14ac:dyDescent="0.2">
      <c r="A538" t="s">
        <v>6361</v>
      </c>
      <c r="B538">
        <f>COUNTIF(tweets!D:D,A538)</f>
        <v>1</v>
      </c>
      <c r="D538" t="s">
        <v>1467</v>
      </c>
      <c r="E538">
        <f>COUNTIF(tweets!C:C,D538)</f>
        <v>1</v>
      </c>
      <c r="I538"/>
      <c r="J538"/>
    </row>
    <row r="539" spans="1:10" x14ac:dyDescent="0.2">
      <c r="A539" t="s">
        <v>6308</v>
      </c>
      <c r="B539">
        <f>COUNTIF(tweets!D:D,A539)</f>
        <v>1</v>
      </c>
      <c r="D539" t="s">
        <v>1470</v>
      </c>
      <c r="E539">
        <f>COUNTIF(tweets!C:C,D539)</f>
        <v>1</v>
      </c>
      <c r="I539"/>
      <c r="J539"/>
    </row>
    <row r="540" spans="1:10" x14ac:dyDescent="0.2">
      <c r="A540" t="s">
        <v>8152</v>
      </c>
      <c r="B540">
        <f>COUNTIF(tweets!D:D,A540)</f>
        <v>1</v>
      </c>
      <c r="D540" t="s">
        <v>1474</v>
      </c>
      <c r="E540">
        <f>COUNTIF(tweets!C:C,D540)</f>
        <v>1</v>
      </c>
      <c r="I540"/>
      <c r="J540"/>
    </row>
    <row r="541" spans="1:10" x14ac:dyDescent="0.2">
      <c r="A541" t="s">
        <v>4394</v>
      </c>
      <c r="B541">
        <f>COUNTIF(tweets!D:D,A541)</f>
        <v>1</v>
      </c>
      <c r="D541" t="s">
        <v>1478</v>
      </c>
      <c r="E541">
        <f>COUNTIF(tweets!C:C,D541)</f>
        <v>1</v>
      </c>
      <c r="I541"/>
      <c r="J541"/>
    </row>
    <row r="542" spans="1:10" x14ac:dyDescent="0.2">
      <c r="A542" t="s">
        <v>5463</v>
      </c>
      <c r="B542">
        <f>COUNTIF(tweets!D:D,A542)</f>
        <v>1</v>
      </c>
      <c r="D542" t="s">
        <v>1482</v>
      </c>
      <c r="E542">
        <f>COUNTIF(tweets!C:C,D542)</f>
        <v>1</v>
      </c>
      <c r="I542"/>
      <c r="J542"/>
    </row>
    <row r="543" spans="1:10" x14ac:dyDescent="0.2">
      <c r="A543" t="s">
        <v>4762</v>
      </c>
      <c r="B543">
        <f>COUNTIF(tweets!D:D,A543)</f>
        <v>1</v>
      </c>
      <c r="D543" t="s">
        <v>1486</v>
      </c>
      <c r="E543">
        <f>COUNTIF(tweets!C:C,D543)</f>
        <v>1</v>
      </c>
      <c r="I543"/>
      <c r="J543"/>
    </row>
    <row r="544" spans="1:10" x14ac:dyDescent="0.2">
      <c r="A544" t="s">
        <v>8055</v>
      </c>
      <c r="B544">
        <f>COUNTIF(tweets!D:D,A544)</f>
        <v>1</v>
      </c>
      <c r="D544" t="s">
        <v>1494</v>
      </c>
      <c r="E544">
        <f>COUNTIF(tweets!C:C,D544)</f>
        <v>1</v>
      </c>
      <c r="I544"/>
      <c r="J544"/>
    </row>
    <row r="545" spans="1:10" x14ac:dyDescent="0.2">
      <c r="A545" t="s">
        <v>5061</v>
      </c>
      <c r="B545">
        <f>COUNTIF(tweets!D:D,A545)</f>
        <v>1</v>
      </c>
      <c r="D545" t="s">
        <v>1498</v>
      </c>
      <c r="E545">
        <f>COUNTIF(tweets!C:C,D545)</f>
        <v>1</v>
      </c>
      <c r="I545"/>
      <c r="J545"/>
    </row>
    <row r="546" spans="1:10" x14ac:dyDescent="0.2">
      <c r="A546" t="s">
        <v>6416</v>
      </c>
      <c r="B546">
        <f>COUNTIF(tweets!D:D,A546)</f>
        <v>1</v>
      </c>
      <c r="D546" t="s">
        <v>1504</v>
      </c>
      <c r="E546">
        <f>COUNTIF(tweets!C:C,D546)</f>
        <v>1</v>
      </c>
      <c r="I546"/>
      <c r="J546"/>
    </row>
    <row r="547" spans="1:10" x14ac:dyDescent="0.2">
      <c r="A547" t="s">
        <v>1370</v>
      </c>
      <c r="B547">
        <f>COUNTIF(tweets!D:D,A547)</f>
        <v>1</v>
      </c>
      <c r="D547" t="s">
        <v>1507</v>
      </c>
      <c r="E547">
        <f>COUNTIF(tweets!C:C,D547)</f>
        <v>1</v>
      </c>
      <c r="I547"/>
      <c r="J547"/>
    </row>
    <row r="548" spans="1:10" x14ac:dyDescent="0.2">
      <c r="A548" t="s">
        <v>8125</v>
      </c>
      <c r="B548">
        <f>COUNTIF(tweets!D:D,A548)</f>
        <v>1</v>
      </c>
      <c r="D548" t="s">
        <v>1510</v>
      </c>
      <c r="E548">
        <f>COUNTIF(tweets!C:C,D548)</f>
        <v>1</v>
      </c>
      <c r="I548"/>
      <c r="J548"/>
    </row>
    <row r="549" spans="1:10" x14ac:dyDescent="0.2">
      <c r="A549" t="s">
        <v>4972</v>
      </c>
      <c r="B549">
        <f>COUNTIF(tweets!D:D,A549)</f>
        <v>1</v>
      </c>
      <c r="D549" t="s">
        <v>1514</v>
      </c>
      <c r="E549">
        <f>COUNTIF(tweets!C:C,D549)</f>
        <v>1</v>
      </c>
      <c r="I549"/>
      <c r="J549"/>
    </row>
    <row r="550" spans="1:10" x14ac:dyDescent="0.2">
      <c r="A550" t="s">
        <v>4559</v>
      </c>
      <c r="B550">
        <f>COUNTIF(tweets!D:D,A550)</f>
        <v>1</v>
      </c>
      <c r="D550" t="s">
        <v>1517</v>
      </c>
      <c r="E550">
        <f>COUNTIF(tweets!C:C,D550)</f>
        <v>1</v>
      </c>
      <c r="I550"/>
      <c r="J550"/>
    </row>
    <row r="551" spans="1:10" x14ac:dyDescent="0.2">
      <c r="A551" t="s">
        <v>8328</v>
      </c>
      <c r="B551">
        <f>COUNTIF(tweets!D:D,A551)</f>
        <v>1</v>
      </c>
      <c r="D551" t="s">
        <v>1521</v>
      </c>
      <c r="E551">
        <f>COUNTIF(tweets!C:C,D551)</f>
        <v>1</v>
      </c>
      <c r="I551"/>
      <c r="J551"/>
    </row>
    <row r="552" spans="1:10" x14ac:dyDescent="0.2">
      <c r="A552" t="s">
        <v>4776</v>
      </c>
      <c r="B552">
        <f>COUNTIF(tweets!D:D,A552)</f>
        <v>1</v>
      </c>
      <c r="D552" t="s">
        <v>1525</v>
      </c>
      <c r="E552">
        <f>COUNTIF(tweets!C:C,D552)</f>
        <v>1</v>
      </c>
      <c r="I552"/>
      <c r="J552"/>
    </row>
    <row r="553" spans="1:10" x14ac:dyDescent="0.2">
      <c r="A553" t="s">
        <v>1065</v>
      </c>
      <c r="B553">
        <f>COUNTIF(tweets!D:D,A553)</f>
        <v>1</v>
      </c>
      <c r="D553" t="s">
        <v>1533</v>
      </c>
      <c r="E553">
        <f>COUNTIF(tweets!C:C,D553)</f>
        <v>1</v>
      </c>
      <c r="I553"/>
      <c r="J553"/>
    </row>
    <row r="554" spans="1:10" x14ac:dyDescent="0.2">
      <c r="A554" t="s">
        <v>6095</v>
      </c>
      <c r="B554">
        <f>COUNTIF(tweets!D:D,A554)</f>
        <v>1</v>
      </c>
      <c r="D554" t="s">
        <v>1536</v>
      </c>
      <c r="E554">
        <f>COUNTIF(tweets!C:C,D554)</f>
        <v>1</v>
      </c>
      <c r="I554"/>
      <c r="J554"/>
    </row>
    <row r="555" spans="1:10" x14ac:dyDescent="0.2">
      <c r="A555" t="s">
        <v>2708</v>
      </c>
      <c r="B555">
        <f>COUNTIF(tweets!D:D,A555)</f>
        <v>1</v>
      </c>
      <c r="D555" t="s">
        <v>1539</v>
      </c>
      <c r="E555">
        <f>COUNTIF(tweets!C:C,D555)</f>
        <v>1</v>
      </c>
      <c r="I555"/>
      <c r="J555"/>
    </row>
    <row r="556" spans="1:10" x14ac:dyDescent="0.2">
      <c r="A556" t="s">
        <v>5786</v>
      </c>
      <c r="B556">
        <f>COUNTIF(tweets!D:D,A556)</f>
        <v>1</v>
      </c>
      <c r="D556" t="s">
        <v>1543</v>
      </c>
      <c r="E556">
        <f>COUNTIF(tweets!C:C,D556)</f>
        <v>1</v>
      </c>
      <c r="I556"/>
      <c r="J556"/>
    </row>
    <row r="557" spans="1:10" x14ac:dyDescent="0.2">
      <c r="A557" t="s">
        <v>6648</v>
      </c>
      <c r="B557">
        <f>COUNTIF(tweets!D:D,A557)</f>
        <v>1</v>
      </c>
      <c r="D557" t="s">
        <v>1548</v>
      </c>
      <c r="E557">
        <f>COUNTIF(tweets!C:C,D557)</f>
        <v>1</v>
      </c>
      <c r="I557"/>
      <c r="J557"/>
    </row>
    <row r="558" spans="1:10" x14ac:dyDescent="0.2">
      <c r="A558" t="s">
        <v>1854</v>
      </c>
      <c r="B558">
        <f>COUNTIF(tweets!D:D,A558)</f>
        <v>1</v>
      </c>
      <c r="D558" t="s">
        <v>1551</v>
      </c>
      <c r="E558">
        <f>COUNTIF(tweets!C:C,D558)</f>
        <v>1</v>
      </c>
      <c r="I558"/>
      <c r="J558"/>
    </row>
    <row r="559" spans="1:10" x14ac:dyDescent="0.2">
      <c r="A559" t="s">
        <v>5513</v>
      </c>
      <c r="B559">
        <f>COUNTIF(tweets!D:D,A559)</f>
        <v>1</v>
      </c>
      <c r="D559" t="s">
        <v>1560</v>
      </c>
      <c r="E559">
        <f>COUNTIF(tweets!C:C,D559)</f>
        <v>1</v>
      </c>
      <c r="I559"/>
      <c r="J559"/>
    </row>
    <row r="560" spans="1:10" x14ac:dyDescent="0.2">
      <c r="A560" t="s">
        <v>6013</v>
      </c>
      <c r="B560">
        <f>COUNTIF(tweets!D:D,A560)</f>
        <v>1</v>
      </c>
      <c r="D560" t="s">
        <v>1570</v>
      </c>
      <c r="E560">
        <f>COUNTIF(tweets!C:C,D560)</f>
        <v>1</v>
      </c>
      <c r="I560"/>
      <c r="J560"/>
    </row>
    <row r="561" spans="1:10" x14ac:dyDescent="0.2">
      <c r="A561" t="s">
        <v>3330</v>
      </c>
      <c r="B561">
        <f>COUNTIF(tweets!D:D,A561)</f>
        <v>1</v>
      </c>
      <c r="D561" t="s">
        <v>1574</v>
      </c>
      <c r="E561">
        <f>COUNTIF(tweets!C:C,D561)</f>
        <v>1</v>
      </c>
      <c r="I561"/>
      <c r="J561"/>
    </row>
    <row r="562" spans="1:10" x14ac:dyDescent="0.2">
      <c r="A562" t="s">
        <v>5628</v>
      </c>
      <c r="B562">
        <f>COUNTIF(tweets!D:D,A562)</f>
        <v>1</v>
      </c>
      <c r="D562" t="s">
        <v>1577</v>
      </c>
      <c r="E562">
        <f>COUNTIF(tweets!C:C,D562)</f>
        <v>1</v>
      </c>
      <c r="I562"/>
      <c r="J562"/>
    </row>
    <row r="563" spans="1:10" x14ac:dyDescent="0.2">
      <c r="A563" t="s">
        <v>8109</v>
      </c>
      <c r="B563">
        <f>COUNTIF(tweets!D:D,A563)</f>
        <v>1</v>
      </c>
      <c r="D563" t="s">
        <v>1581</v>
      </c>
      <c r="E563">
        <f>COUNTIF(tweets!C:C,D563)</f>
        <v>1</v>
      </c>
      <c r="I563"/>
      <c r="J563"/>
    </row>
    <row r="564" spans="1:10" x14ac:dyDescent="0.2">
      <c r="A564" t="s">
        <v>378</v>
      </c>
      <c r="B564">
        <f>COUNTIF(tweets!D:D,A564)</f>
        <v>1</v>
      </c>
      <c r="D564" t="s">
        <v>1585</v>
      </c>
      <c r="E564">
        <f>COUNTIF(tweets!C:C,D564)</f>
        <v>1</v>
      </c>
      <c r="I564"/>
      <c r="J564"/>
    </row>
    <row r="565" spans="1:10" x14ac:dyDescent="0.2">
      <c r="A565" t="s">
        <v>5882</v>
      </c>
      <c r="B565">
        <f>COUNTIF(tweets!D:D,A565)</f>
        <v>1</v>
      </c>
      <c r="D565" t="s">
        <v>1588</v>
      </c>
      <c r="E565">
        <f>COUNTIF(tweets!C:C,D565)</f>
        <v>1</v>
      </c>
      <c r="I565"/>
      <c r="J565"/>
    </row>
    <row r="566" spans="1:10" x14ac:dyDescent="0.2">
      <c r="A566" t="s">
        <v>41</v>
      </c>
      <c r="B566">
        <f>COUNTIF(tweets!D:D,A566)</f>
        <v>1</v>
      </c>
      <c r="D566" t="s">
        <v>1594</v>
      </c>
      <c r="E566">
        <f>COUNTIF(tweets!C:C,D566)</f>
        <v>1</v>
      </c>
      <c r="I566"/>
      <c r="J566"/>
    </row>
    <row r="567" spans="1:10" x14ac:dyDescent="0.2">
      <c r="A567" t="s">
        <v>7158</v>
      </c>
      <c r="B567">
        <f>COUNTIF(tweets!D:D,A567)</f>
        <v>1</v>
      </c>
      <c r="D567" t="s">
        <v>1597</v>
      </c>
      <c r="E567">
        <f>COUNTIF(tweets!C:C,D567)</f>
        <v>1</v>
      </c>
      <c r="I567"/>
      <c r="J567"/>
    </row>
    <row r="568" spans="1:10" x14ac:dyDescent="0.2">
      <c r="A568" t="s">
        <v>7037</v>
      </c>
      <c r="B568">
        <f>COUNTIF(tweets!D:D,A568)</f>
        <v>1</v>
      </c>
      <c r="D568" t="s">
        <v>1601</v>
      </c>
      <c r="E568">
        <f>COUNTIF(tweets!C:C,D568)</f>
        <v>1</v>
      </c>
      <c r="I568"/>
      <c r="J568"/>
    </row>
    <row r="569" spans="1:10" x14ac:dyDescent="0.2">
      <c r="A569" t="s">
        <v>6494</v>
      </c>
      <c r="B569">
        <f>COUNTIF(tweets!D:D,A569)</f>
        <v>1</v>
      </c>
      <c r="D569" t="s">
        <v>1605</v>
      </c>
      <c r="E569">
        <f>COUNTIF(tweets!C:C,D569)</f>
        <v>1</v>
      </c>
      <c r="I569"/>
      <c r="J569"/>
    </row>
    <row r="570" spans="1:10" x14ac:dyDescent="0.2">
      <c r="A570" t="s">
        <v>8477</v>
      </c>
      <c r="B570">
        <f>COUNTIF(tweets!D:D,A570)</f>
        <v>1</v>
      </c>
      <c r="D570" t="s">
        <v>1609</v>
      </c>
      <c r="E570">
        <f>COUNTIF(tweets!C:C,D570)</f>
        <v>1</v>
      </c>
      <c r="I570"/>
      <c r="J570"/>
    </row>
    <row r="571" spans="1:10" x14ac:dyDescent="0.2">
      <c r="A571" t="s">
        <v>8384</v>
      </c>
      <c r="B571">
        <f>COUNTIF(tweets!D:D,A571)</f>
        <v>1</v>
      </c>
      <c r="D571" t="s">
        <v>1621</v>
      </c>
      <c r="E571">
        <f>COUNTIF(tweets!C:C,D571)</f>
        <v>1</v>
      </c>
      <c r="I571"/>
      <c r="J571"/>
    </row>
    <row r="572" spans="1:10" x14ac:dyDescent="0.2">
      <c r="A572" t="s">
        <v>143</v>
      </c>
      <c r="B572">
        <f>COUNTIF(tweets!D:D,A572)</f>
        <v>1</v>
      </c>
      <c r="D572" t="s">
        <v>1625</v>
      </c>
      <c r="E572">
        <f>COUNTIF(tweets!C:C,D572)</f>
        <v>1</v>
      </c>
      <c r="I572"/>
      <c r="J572"/>
    </row>
    <row r="573" spans="1:10" x14ac:dyDescent="0.2">
      <c r="A573" t="s">
        <v>1129</v>
      </c>
      <c r="B573">
        <f>COUNTIF(tweets!D:D,A573)</f>
        <v>1</v>
      </c>
      <c r="D573" t="s">
        <v>1628</v>
      </c>
      <c r="E573">
        <f>COUNTIF(tweets!C:C,D573)</f>
        <v>1</v>
      </c>
      <c r="I573"/>
      <c r="J573"/>
    </row>
    <row r="574" spans="1:10" x14ac:dyDescent="0.2">
      <c r="A574" t="s">
        <v>250</v>
      </c>
      <c r="B574">
        <f>COUNTIF(tweets!D:D,A574)</f>
        <v>1</v>
      </c>
      <c r="D574" t="s">
        <v>1632</v>
      </c>
      <c r="E574">
        <f>COUNTIF(tweets!C:C,D574)</f>
        <v>1</v>
      </c>
      <c r="I574"/>
      <c r="J574"/>
    </row>
    <row r="575" spans="1:10" x14ac:dyDescent="0.2">
      <c r="A575" t="s">
        <v>2734</v>
      </c>
      <c r="B575">
        <f>COUNTIF(tweets!D:D,A575)</f>
        <v>1</v>
      </c>
      <c r="D575" t="s">
        <v>1637</v>
      </c>
      <c r="E575">
        <f>COUNTIF(tweets!C:C,D575)</f>
        <v>1</v>
      </c>
      <c r="I575"/>
      <c r="J575"/>
    </row>
    <row r="576" spans="1:10" x14ac:dyDescent="0.2">
      <c r="A576" t="s">
        <v>2589</v>
      </c>
      <c r="B576">
        <f>COUNTIF(tweets!D:D,A576)</f>
        <v>1</v>
      </c>
      <c r="D576" t="s">
        <v>1646</v>
      </c>
      <c r="E576">
        <f>COUNTIF(tweets!C:C,D576)</f>
        <v>1</v>
      </c>
      <c r="I576"/>
      <c r="J576"/>
    </row>
    <row r="577" spans="1:10" x14ac:dyDescent="0.2">
      <c r="A577" t="s">
        <v>386</v>
      </c>
      <c r="B577">
        <f>COUNTIF(tweets!D:D,A577)</f>
        <v>1</v>
      </c>
      <c r="D577" t="s">
        <v>1661</v>
      </c>
      <c r="E577">
        <f>COUNTIF(tweets!C:C,D577)</f>
        <v>1</v>
      </c>
      <c r="I577"/>
      <c r="J577"/>
    </row>
    <row r="578" spans="1:10" x14ac:dyDescent="0.2">
      <c r="A578" t="s">
        <v>4448</v>
      </c>
      <c r="B578">
        <f>COUNTIF(tweets!D:D,A578)</f>
        <v>1</v>
      </c>
      <c r="D578" t="s">
        <v>1664</v>
      </c>
      <c r="E578">
        <f>COUNTIF(tweets!C:C,D578)</f>
        <v>1</v>
      </c>
      <c r="I578"/>
      <c r="J578"/>
    </row>
    <row r="579" spans="1:10" x14ac:dyDescent="0.2">
      <c r="A579" t="s">
        <v>3873</v>
      </c>
      <c r="B579">
        <f>COUNTIF(tweets!D:D,A579)</f>
        <v>1</v>
      </c>
      <c r="D579" t="s">
        <v>1667</v>
      </c>
      <c r="E579">
        <f>COUNTIF(tweets!C:C,D579)</f>
        <v>1</v>
      </c>
      <c r="I579"/>
      <c r="J579"/>
    </row>
    <row r="580" spans="1:10" x14ac:dyDescent="0.2">
      <c r="A580" t="s">
        <v>3359</v>
      </c>
      <c r="B580">
        <f>COUNTIF(tweets!D:D,A580)</f>
        <v>1</v>
      </c>
      <c r="D580" t="s">
        <v>1671</v>
      </c>
      <c r="E580">
        <f>COUNTIF(tweets!C:C,D580)</f>
        <v>1</v>
      </c>
      <c r="I580"/>
      <c r="J580"/>
    </row>
    <row r="581" spans="1:10" x14ac:dyDescent="0.2">
      <c r="A581" t="s">
        <v>7807</v>
      </c>
      <c r="B581">
        <f>COUNTIF(tweets!D:D,A581)</f>
        <v>1</v>
      </c>
      <c r="D581" t="s">
        <v>1674</v>
      </c>
      <c r="E581">
        <f>COUNTIF(tweets!C:C,D581)</f>
        <v>1</v>
      </c>
      <c r="I581"/>
      <c r="J581"/>
    </row>
    <row r="582" spans="1:10" x14ac:dyDescent="0.2">
      <c r="A582" t="s">
        <v>4044</v>
      </c>
      <c r="B582">
        <f>COUNTIF(tweets!D:D,A582)</f>
        <v>1</v>
      </c>
      <c r="D582" t="s">
        <v>1680</v>
      </c>
      <c r="E582">
        <f>COUNTIF(tweets!C:C,D582)</f>
        <v>1</v>
      </c>
      <c r="I582"/>
      <c r="J582"/>
    </row>
    <row r="583" spans="1:10" x14ac:dyDescent="0.2">
      <c r="A583" t="s">
        <v>165</v>
      </c>
      <c r="B583">
        <f>COUNTIF(tweets!D:D,A583)</f>
        <v>1</v>
      </c>
      <c r="D583" t="s">
        <v>1685</v>
      </c>
      <c r="E583">
        <f>COUNTIF(tweets!C:C,D583)</f>
        <v>1</v>
      </c>
      <c r="I583"/>
      <c r="J583"/>
    </row>
    <row r="584" spans="1:10" x14ac:dyDescent="0.2">
      <c r="A584" t="s">
        <v>8474</v>
      </c>
      <c r="B584">
        <f>COUNTIF(tweets!D:D,A584)</f>
        <v>1</v>
      </c>
      <c r="D584" t="s">
        <v>1688</v>
      </c>
      <c r="E584">
        <f>COUNTIF(tweets!C:C,D584)</f>
        <v>1</v>
      </c>
      <c r="I584"/>
      <c r="J584"/>
    </row>
    <row r="585" spans="1:10" x14ac:dyDescent="0.2">
      <c r="A585" t="s">
        <v>7166</v>
      </c>
      <c r="B585">
        <f>COUNTIF(tweets!D:D,A585)</f>
        <v>1</v>
      </c>
      <c r="D585" t="s">
        <v>1692</v>
      </c>
      <c r="E585">
        <f>COUNTIF(tweets!C:C,D585)</f>
        <v>1</v>
      </c>
      <c r="I585"/>
      <c r="J585"/>
    </row>
    <row r="586" spans="1:10" x14ac:dyDescent="0.2">
      <c r="A586" t="s">
        <v>5959</v>
      </c>
      <c r="B586">
        <f>COUNTIF(tweets!D:D,A586)</f>
        <v>1</v>
      </c>
      <c r="D586" t="s">
        <v>1696</v>
      </c>
      <c r="E586">
        <f>COUNTIF(tweets!C:C,D586)</f>
        <v>1</v>
      </c>
      <c r="I586"/>
      <c r="J586"/>
    </row>
    <row r="587" spans="1:10" x14ac:dyDescent="0.2">
      <c r="A587" t="s">
        <v>1602</v>
      </c>
      <c r="B587">
        <f>COUNTIF(tweets!D:D,A587)</f>
        <v>1</v>
      </c>
      <c r="D587" t="s">
        <v>1700</v>
      </c>
      <c r="E587">
        <f>COUNTIF(tweets!C:C,D587)</f>
        <v>1</v>
      </c>
      <c r="I587"/>
      <c r="J587"/>
    </row>
    <row r="588" spans="1:10" x14ac:dyDescent="0.2">
      <c r="A588" t="s">
        <v>2505</v>
      </c>
      <c r="B588">
        <f>COUNTIF(tweets!D:D,A588)</f>
        <v>1</v>
      </c>
      <c r="D588" t="s">
        <v>1704</v>
      </c>
      <c r="E588">
        <f>COUNTIF(tweets!C:C,D588)</f>
        <v>1</v>
      </c>
      <c r="I588"/>
      <c r="J588"/>
    </row>
    <row r="589" spans="1:10" x14ac:dyDescent="0.2">
      <c r="A589" t="s">
        <v>6822</v>
      </c>
      <c r="B589">
        <f>COUNTIF(tweets!D:D,A589)</f>
        <v>1</v>
      </c>
      <c r="D589" t="s">
        <v>1708</v>
      </c>
      <c r="E589">
        <f>COUNTIF(tweets!C:C,D589)</f>
        <v>1</v>
      </c>
      <c r="I589"/>
      <c r="J589"/>
    </row>
    <row r="590" spans="1:10" x14ac:dyDescent="0.2">
      <c r="A590" t="s">
        <v>7253</v>
      </c>
      <c r="B590">
        <f>COUNTIF(tweets!D:D,A590)</f>
        <v>1</v>
      </c>
      <c r="D590" t="s">
        <v>1714</v>
      </c>
      <c r="E590">
        <f>COUNTIF(tweets!C:C,D590)</f>
        <v>1</v>
      </c>
      <c r="I590"/>
      <c r="J590"/>
    </row>
    <row r="591" spans="1:10" x14ac:dyDescent="0.2">
      <c r="A591" t="s">
        <v>4290</v>
      </c>
      <c r="B591">
        <f>COUNTIF(tweets!D:D,A591)</f>
        <v>1</v>
      </c>
      <c r="D591" t="s">
        <v>1724</v>
      </c>
      <c r="E591">
        <f>COUNTIF(tweets!C:C,D591)</f>
        <v>1</v>
      </c>
      <c r="I591"/>
      <c r="J591"/>
    </row>
    <row r="592" spans="1:10" x14ac:dyDescent="0.2">
      <c r="A592" t="s">
        <v>3145</v>
      </c>
      <c r="B592">
        <f>COUNTIF(tweets!D:D,A592)</f>
        <v>1</v>
      </c>
      <c r="D592" t="s">
        <v>1727</v>
      </c>
      <c r="E592">
        <f>COUNTIF(tweets!C:C,D592)</f>
        <v>1</v>
      </c>
      <c r="I592"/>
      <c r="J592"/>
    </row>
    <row r="593" spans="1:10" x14ac:dyDescent="0.2">
      <c r="A593" t="s">
        <v>1991</v>
      </c>
      <c r="B593">
        <f>COUNTIF(tweets!D:D,A593)</f>
        <v>1</v>
      </c>
      <c r="D593" t="s">
        <v>1730</v>
      </c>
      <c r="E593">
        <f>COUNTIF(tweets!C:C,D593)</f>
        <v>1</v>
      </c>
      <c r="I593"/>
      <c r="J593"/>
    </row>
    <row r="594" spans="1:10" x14ac:dyDescent="0.2">
      <c r="A594" t="s">
        <v>2160</v>
      </c>
      <c r="B594">
        <f>COUNTIF(tweets!D:D,A594)</f>
        <v>1</v>
      </c>
      <c r="D594" t="s">
        <v>1733</v>
      </c>
      <c r="E594">
        <f>COUNTIF(tweets!C:C,D594)</f>
        <v>1</v>
      </c>
      <c r="I594"/>
      <c r="J594"/>
    </row>
    <row r="595" spans="1:10" x14ac:dyDescent="0.2">
      <c r="A595" t="s">
        <v>7486</v>
      </c>
      <c r="B595">
        <f>COUNTIF(tweets!D:D,A595)</f>
        <v>1</v>
      </c>
      <c r="D595" t="s">
        <v>1736</v>
      </c>
      <c r="E595">
        <f>COUNTIF(tweets!C:C,D595)</f>
        <v>1</v>
      </c>
      <c r="I595"/>
      <c r="J595"/>
    </row>
    <row r="596" spans="1:10" x14ac:dyDescent="0.2">
      <c r="A596" t="s">
        <v>3480</v>
      </c>
      <c r="B596">
        <f>COUNTIF(tweets!D:D,A596)</f>
        <v>1</v>
      </c>
      <c r="D596" t="s">
        <v>1740</v>
      </c>
      <c r="E596">
        <f>COUNTIF(tweets!C:C,D596)</f>
        <v>1</v>
      </c>
      <c r="I596"/>
      <c r="J596"/>
    </row>
    <row r="597" spans="1:10" x14ac:dyDescent="0.2">
      <c r="A597" t="s">
        <v>7803</v>
      </c>
      <c r="B597">
        <f>COUNTIF(tweets!D:D,A597)</f>
        <v>1</v>
      </c>
      <c r="D597" t="s">
        <v>1744</v>
      </c>
      <c r="E597">
        <f>COUNTIF(tweets!C:C,D597)</f>
        <v>1</v>
      </c>
      <c r="I597"/>
      <c r="J597"/>
    </row>
    <row r="598" spans="1:10" x14ac:dyDescent="0.2">
      <c r="A598" t="s">
        <v>8011</v>
      </c>
      <c r="B598">
        <f>COUNTIF(tweets!D:D,A598)</f>
        <v>1</v>
      </c>
      <c r="D598" t="s">
        <v>1748</v>
      </c>
      <c r="E598">
        <f>COUNTIF(tweets!C:C,D598)</f>
        <v>1</v>
      </c>
      <c r="I598"/>
      <c r="J598"/>
    </row>
    <row r="599" spans="1:10" x14ac:dyDescent="0.2">
      <c r="A599" t="s">
        <v>246</v>
      </c>
      <c r="B599">
        <f>COUNTIF(tweets!D:D,A599)</f>
        <v>1</v>
      </c>
      <c r="D599" t="s">
        <v>1755</v>
      </c>
      <c r="E599">
        <f>COUNTIF(tweets!C:C,D599)</f>
        <v>1</v>
      </c>
      <c r="I599"/>
      <c r="J599"/>
    </row>
    <row r="600" spans="1:10" x14ac:dyDescent="0.2">
      <c r="A600" t="s">
        <v>5480</v>
      </c>
      <c r="B600">
        <f>COUNTIF(tweets!D:D,A600)</f>
        <v>1</v>
      </c>
      <c r="D600" t="s">
        <v>1762</v>
      </c>
      <c r="E600">
        <f>COUNTIF(tweets!C:C,D600)</f>
        <v>1</v>
      </c>
      <c r="I600"/>
      <c r="J600"/>
    </row>
    <row r="601" spans="1:10" x14ac:dyDescent="0.2">
      <c r="A601" t="s">
        <v>3650</v>
      </c>
      <c r="B601">
        <f>COUNTIF(tweets!D:D,A601)</f>
        <v>1</v>
      </c>
      <c r="D601" t="s">
        <v>1772</v>
      </c>
      <c r="E601">
        <f>COUNTIF(tweets!C:C,D601)</f>
        <v>1</v>
      </c>
      <c r="I601"/>
      <c r="J601"/>
    </row>
    <row r="602" spans="1:10" x14ac:dyDescent="0.2">
      <c r="A602" t="s">
        <v>6338</v>
      </c>
      <c r="B602">
        <f>COUNTIF(tweets!D:D,A602)</f>
        <v>1</v>
      </c>
      <c r="D602" t="s">
        <v>1776</v>
      </c>
      <c r="E602">
        <f>COUNTIF(tweets!C:C,D602)</f>
        <v>1</v>
      </c>
      <c r="I602"/>
      <c r="J602"/>
    </row>
    <row r="603" spans="1:10" x14ac:dyDescent="0.2">
      <c r="A603" t="s">
        <v>8232</v>
      </c>
      <c r="B603">
        <f>COUNTIF(tweets!D:D,A603)</f>
        <v>1</v>
      </c>
      <c r="D603" t="s">
        <v>1780</v>
      </c>
      <c r="E603">
        <f>COUNTIF(tweets!C:C,D603)</f>
        <v>1</v>
      </c>
      <c r="I603"/>
      <c r="J603"/>
    </row>
    <row r="604" spans="1:10" x14ac:dyDescent="0.2">
      <c r="A604" t="s">
        <v>7523</v>
      </c>
      <c r="B604">
        <f>COUNTIF(tweets!D:D,A604)</f>
        <v>1</v>
      </c>
      <c r="D604" t="s">
        <v>1784</v>
      </c>
      <c r="E604">
        <f>COUNTIF(tweets!C:C,D604)</f>
        <v>1</v>
      </c>
      <c r="I604"/>
      <c r="J604"/>
    </row>
    <row r="605" spans="1:10" x14ac:dyDescent="0.2">
      <c r="A605" t="s">
        <v>2285</v>
      </c>
      <c r="B605">
        <f>COUNTIF(tweets!D:D,A605)</f>
        <v>1</v>
      </c>
      <c r="D605" t="s">
        <v>1787</v>
      </c>
      <c r="E605">
        <f>COUNTIF(tweets!C:C,D605)</f>
        <v>1</v>
      </c>
      <c r="I605"/>
      <c r="J605"/>
    </row>
    <row r="606" spans="1:10" x14ac:dyDescent="0.2">
      <c r="A606" t="s">
        <v>2308</v>
      </c>
      <c r="B606">
        <f>COUNTIF(tweets!D:D,A606)</f>
        <v>1</v>
      </c>
      <c r="D606" t="s">
        <v>1790</v>
      </c>
      <c r="E606">
        <f>COUNTIF(tweets!C:C,D606)</f>
        <v>1</v>
      </c>
      <c r="I606"/>
      <c r="J606"/>
    </row>
    <row r="607" spans="1:10" x14ac:dyDescent="0.2">
      <c r="A607" t="s">
        <v>6328</v>
      </c>
      <c r="B607">
        <f>COUNTIF(tweets!D:D,A607)</f>
        <v>1</v>
      </c>
      <c r="D607" t="s">
        <v>1799</v>
      </c>
      <c r="E607">
        <f>COUNTIF(tweets!C:C,D607)</f>
        <v>1</v>
      </c>
      <c r="I607"/>
      <c r="J607"/>
    </row>
    <row r="608" spans="1:10" x14ac:dyDescent="0.2">
      <c r="A608" t="s">
        <v>2658</v>
      </c>
      <c r="B608">
        <f>COUNTIF(tweets!D:D,A608)</f>
        <v>1</v>
      </c>
      <c r="D608" t="s">
        <v>1803</v>
      </c>
      <c r="E608">
        <f>COUNTIF(tweets!C:C,D608)</f>
        <v>1</v>
      </c>
      <c r="I608"/>
      <c r="J608"/>
    </row>
    <row r="609" spans="1:10" x14ac:dyDescent="0.2">
      <c r="A609" t="s">
        <v>6700</v>
      </c>
      <c r="B609">
        <f>COUNTIF(tweets!D:D,A609)</f>
        <v>1</v>
      </c>
      <c r="D609" t="s">
        <v>1807</v>
      </c>
      <c r="E609">
        <f>COUNTIF(tweets!C:C,D609)</f>
        <v>1</v>
      </c>
      <c r="I609"/>
      <c r="J609"/>
    </row>
    <row r="610" spans="1:10" x14ac:dyDescent="0.2">
      <c r="A610" t="s">
        <v>5715</v>
      </c>
      <c r="B610">
        <f>COUNTIF(tweets!D:D,A610)</f>
        <v>1</v>
      </c>
      <c r="D610" t="s">
        <v>1810</v>
      </c>
      <c r="E610">
        <f>COUNTIF(tweets!C:C,D610)</f>
        <v>1</v>
      </c>
      <c r="I610"/>
      <c r="J610"/>
    </row>
    <row r="611" spans="1:10" x14ac:dyDescent="0.2">
      <c r="A611" t="s">
        <v>58</v>
      </c>
      <c r="B611">
        <f>COUNTIF(tweets!D:D,A611)</f>
        <v>1</v>
      </c>
      <c r="D611" t="s">
        <v>1813</v>
      </c>
      <c r="E611">
        <f>COUNTIF(tweets!C:C,D611)</f>
        <v>1</v>
      </c>
      <c r="I611"/>
      <c r="J611"/>
    </row>
    <row r="612" spans="1:10" x14ac:dyDescent="0.2">
      <c r="A612" t="s">
        <v>3893</v>
      </c>
      <c r="B612">
        <f>COUNTIF(tweets!D:D,A612)</f>
        <v>1</v>
      </c>
      <c r="D612" t="s">
        <v>1816</v>
      </c>
      <c r="E612">
        <f>COUNTIF(tweets!C:C,D612)</f>
        <v>1</v>
      </c>
      <c r="I612"/>
      <c r="J612"/>
    </row>
    <row r="613" spans="1:10" x14ac:dyDescent="0.2">
      <c r="A613" t="s">
        <v>3968</v>
      </c>
      <c r="B613">
        <f>COUNTIF(tweets!D:D,A613)</f>
        <v>1</v>
      </c>
      <c r="D613" t="s">
        <v>1819</v>
      </c>
      <c r="E613">
        <f>COUNTIF(tweets!C:C,D613)</f>
        <v>1</v>
      </c>
      <c r="I613"/>
      <c r="J613"/>
    </row>
    <row r="614" spans="1:10" x14ac:dyDescent="0.2">
      <c r="A614" t="s">
        <v>6727</v>
      </c>
      <c r="B614">
        <f>COUNTIF(tweets!D:D,A614)</f>
        <v>1</v>
      </c>
      <c r="D614" t="s">
        <v>1822</v>
      </c>
      <c r="E614">
        <f>COUNTIF(tweets!C:C,D614)</f>
        <v>1</v>
      </c>
      <c r="I614"/>
      <c r="J614"/>
    </row>
    <row r="615" spans="1:10" x14ac:dyDescent="0.2">
      <c r="A615" t="s">
        <v>8324</v>
      </c>
      <c r="B615">
        <f>COUNTIF(tweets!D:D,A615)</f>
        <v>1</v>
      </c>
      <c r="D615" t="s">
        <v>1826</v>
      </c>
      <c r="E615">
        <f>COUNTIF(tweets!C:C,D615)</f>
        <v>1</v>
      </c>
      <c r="I615"/>
      <c r="J615"/>
    </row>
    <row r="616" spans="1:10" x14ac:dyDescent="0.2">
      <c r="A616" t="s">
        <v>3920</v>
      </c>
      <c r="B616">
        <f>COUNTIF(tweets!D:D,A616)</f>
        <v>1</v>
      </c>
      <c r="D616" t="s">
        <v>1829</v>
      </c>
      <c r="E616">
        <f>COUNTIF(tweets!C:C,D616)</f>
        <v>1</v>
      </c>
      <c r="I616"/>
      <c r="J616"/>
    </row>
    <row r="617" spans="1:10" x14ac:dyDescent="0.2">
      <c r="A617" t="s">
        <v>3988</v>
      </c>
      <c r="B617">
        <f>COUNTIF(tweets!D:D,A617)</f>
        <v>1</v>
      </c>
      <c r="D617" t="s">
        <v>1838</v>
      </c>
      <c r="E617">
        <f>COUNTIF(tweets!C:C,D617)</f>
        <v>1</v>
      </c>
      <c r="I617"/>
      <c r="J617"/>
    </row>
    <row r="618" spans="1:10" x14ac:dyDescent="0.2">
      <c r="A618" t="s">
        <v>6208</v>
      </c>
      <c r="B618">
        <f>COUNTIF(tweets!D:D,A618)</f>
        <v>1</v>
      </c>
      <c r="D618" t="s">
        <v>1841</v>
      </c>
      <c r="E618">
        <f>COUNTIF(tweets!C:C,D618)</f>
        <v>1</v>
      </c>
      <c r="I618"/>
      <c r="J618"/>
    </row>
    <row r="619" spans="1:10" x14ac:dyDescent="0.2">
      <c r="A619" t="s">
        <v>2022</v>
      </c>
      <c r="B619">
        <f>COUNTIF(tweets!D:D,A619)</f>
        <v>1</v>
      </c>
      <c r="D619" t="s">
        <v>1847</v>
      </c>
      <c r="E619">
        <f>COUNTIF(tweets!C:C,D619)</f>
        <v>1</v>
      </c>
      <c r="I619"/>
      <c r="J619"/>
    </row>
    <row r="620" spans="1:10" x14ac:dyDescent="0.2">
      <c r="A620" t="s">
        <v>4348</v>
      </c>
      <c r="B620">
        <f>COUNTIF(tweets!D:D,A620)</f>
        <v>1</v>
      </c>
      <c r="D620" t="s">
        <v>1853</v>
      </c>
      <c r="E620">
        <f>COUNTIF(tweets!C:C,D620)</f>
        <v>1</v>
      </c>
      <c r="I620"/>
      <c r="J620"/>
    </row>
    <row r="621" spans="1:10" x14ac:dyDescent="0.2">
      <c r="A621" t="s">
        <v>5566</v>
      </c>
      <c r="B621">
        <f>COUNTIF(tweets!D:D,A621)</f>
        <v>1</v>
      </c>
      <c r="D621" t="s">
        <v>1857</v>
      </c>
      <c r="E621">
        <f>COUNTIF(tweets!C:C,D621)</f>
        <v>1</v>
      </c>
      <c r="I621"/>
      <c r="J621"/>
    </row>
    <row r="622" spans="1:10" x14ac:dyDescent="0.2">
      <c r="A622" t="s">
        <v>415</v>
      </c>
      <c r="B622">
        <f>COUNTIF(tweets!D:D,A622)</f>
        <v>1</v>
      </c>
      <c r="D622" t="s">
        <v>1861</v>
      </c>
      <c r="E622">
        <f>COUNTIF(tweets!C:C,D622)</f>
        <v>1</v>
      </c>
      <c r="I622"/>
      <c r="J622"/>
    </row>
    <row r="623" spans="1:10" x14ac:dyDescent="0.2">
      <c r="A623" t="s">
        <v>2143</v>
      </c>
      <c r="B623">
        <f>COUNTIF(tweets!D:D,A623)</f>
        <v>1</v>
      </c>
      <c r="D623" t="s">
        <v>1865</v>
      </c>
      <c r="E623">
        <f>COUNTIF(tweets!C:C,D623)</f>
        <v>1</v>
      </c>
      <c r="I623"/>
      <c r="J623"/>
    </row>
    <row r="624" spans="1:10" x14ac:dyDescent="0.2">
      <c r="A624" t="s">
        <v>6856</v>
      </c>
      <c r="B624">
        <f>COUNTIF(tweets!D:D,A624)</f>
        <v>1</v>
      </c>
      <c r="D624" t="s">
        <v>1869</v>
      </c>
      <c r="E624">
        <f>COUNTIF(tweets!C:C,D624)</f>
        <v>1</v>
      </c>
      <c r="I624"/>
      <c r="J624"/>
    </row>
    <row r="625" spans="1:10" x14ac:dyDescent="0.2">
      <c r="A625" t="s">
        <v>5502</v>
      </c>
      <c r="B625">
        <f>COUNTIF(tweets!D:D,A625)</f>
        <v>1</v>
      </c>
      <c r="D625" t="s">
        <v>1873</v>
      </c>
      <c r="E625">
        <f>COUNTIF(tweets!C:C,D625)</f>
        <v>1</v>
      </c>
      <c r="I625"/>
      <c r="J625"/>
    </row>
    <row r="626" spans="1:10" x14ac:dyDescent="0.2">
      <c r="A626" t="s">
        <v>850</v>
      </c>
      <c r="B626">
        <f>COUNTIF(tweets!D:D,A626)</f>
        <v>1</v>
      </c>
      <c r="D626" t="s">
        <v>1877</v>
      </c>
      <c r="E626">
        <f>COUNTIF(tweets!C:C,D626)</f>
        <v>1</v>
      </c>
      <c r="I626"/>
      <c r="J626"/>
    </row>
    <row r="627" spans="1:10" x14ac:dyDescent="0.2">
      <c r="A627" t="s">
        <v>2630</v>
      </c>
      <c r="B627">
        <f>COUNTIF(tweets!D:D,A627)</f>
        <v>1</v>
      </c>
      <c r="D627" t="s">
        <v>1881</v>
      </c>
      <c r="E627">
        <f>COUNTIF(tweets!C:C,D627)</f>
        <v>1</v>
      </c>
      <c r="I627"/>
      <c r="J627"/>
    </row>
    <row r="628" spans="1:10" x14ac:dyDescent="0.2">
      <c r="A628" t="s">
        <v>8071</v>
      </c>
      <c r="B628">
        <f>COUNTIF(tweets!D:D,A628)</f>
        <v>1</v>
      </c>
      <c r="D628" t="s">
        <v>1893</v>
      </c>
      <c r="E628">
        <f>COUNTIF(tweets!C:C,D628)</f>
        <v>1</v>
      </c>
      <c r="I628"/>
      <c r="J628"/>
    </row>
    <row r="629" spans="1:10" x14ac:dyDescent="0.2">
      <c r="A629" t="s">
        <v>3046</v>
      </c>
      <c r="B629">
        <f>COUNTIF(tweets!D:D,A629)</f>
        <v>1</v>
      </c>
      <c r="D629" t="s">
        <v>1896</v>
      </c>
      <c r="E629">
        <f>COUNTIF(tweets!C:C,D629)</f>
        <v>1</v>
      </c>
      <c r="I629"/>
      <c r="J629"/>
    </row>
    <row r="630" spans="1:10" x14ac:dyDescent="0.2">
      <c r="A630" t="s">
        <v>7439</v>
      </c>
      <c r="B630">
        <f>COUNTIF(tweets!D:D,A630)</f>
        <v>1</v>
      </c>
      <c r="D630" t="s">
        <v>1899</v>
      </c>
      <c r="E630">
        <f>COUNTIF(tweets!C:C,D630)</f>
        <v>1</v>
      </c>
      <c r="I630"/>
      <c r="J630"/>
    </row>
    <row r="631" spans="1:10" x14ac:dyDescent="0.2">
      <c r="A631" t="s">
        <v>3916</v>
      </c>
      <c r="B631">
        <f>COUNTIF(tweets!D:D,A631)</f>
        <v>1</v>
      </c>
      <c r="D631" t="s">
        <v>1905</v>
      </c>
      <c r="E631">
        <f>COUNTIF(tweets!C:C,D631)</f>
        <v>1</v>
      </c>
      <c r="I631"/>
      <c r="J631"/>
    </row>
    <row r="632" spans="1:10" x14ac:dyDescent="0.2">
      <c r="A632" t="s">
        <v>4741</v>
      </c>
      <c r="B632">
        <f>COUNTIF(tweets!D:D,A632)</f>
        <v>1</v>
      </c>
      <c r="D632" t="s">
        <v>1912</v>
      </c>
      <c r="E632">
        <f>COUNTIF(tweets!C:C,D632)</f>
        <v>1</v>
      </c>
      <c r="I632"/>
      <c r="J632"/>
    </row>
    <row r="633" spans="1:10" x14ac:dyDescent="0.2">
      <c r="A633" t="s">
        <v>7706</v>
      </c>
      <c r="B633">
        <f>COUNTIF(tweets!D:D,A633)</f>
        <v>1</v>
      </c>
      <c r="D633" t="s">
        <v>1920</v>
      </c>
      <c r="E633">
        <f>COUNTIF(tweets!C:C,D633)</f>
        <v>1</v>
      </c>
      <c r="I633"/>
      <c r="J633"/>
    </row>
    <row r="634" spans="1:10" x14ac:dyDescent="0.2">
      <c r="A634" t="s">
        <v>5742</v>
      </c>
      <c r="B634">
        <f>COUNTIF(tweets!D:D,A634)</f>
        <v>1</v>
      </c>
      <c r="D634" t="s">
        <v>1930</v>
      </c>
      <c r="E634">
        <f>COUNTIF(tweets!C:C,D634)</f>
        <v>1</v>
      </c>
      <c r="I634"/>
      <c r="J634"/>
    </row>
    <row r="635" spans="1:10" x14ac:dyDescent="0.2">
      <c r="A635" t="s">
        <v>4809</v>
      </c>
      <c r="B635">
        <f>COUNTIF(tweets!D:D,A635)</f>
        <v>1</v>
      </c>
      <c r="D635" t="s">
        <v>1938</v>
      </c>
      <c r="E635">
        <f>COUNTIF(tweets!C:C,D635)</f>
        <v>1</v>
      </c>
      <c r="I635"/>
      <c r="J635"/>
    </row>
    <row r="636" spans="1:10" x14ac:dyDescent="0.2">
      <c r="A636" t="s">
        <v>4338</v>
      </c>
      <c r="B636">
        <f>COUNTIF(tweets!D:D,A636)</f>
        <v>1</v>
      </c>
      <c r="D636" t="s">
        <v>1941</v>
      </c>
      <c r="E636">
        <f>COUNTIF(tweets!C:C,D636)</f>
        <v>1</v>
      </c>
      <c r="I636"/>
      <c r="J636"/>
    </row>
    <row r="637" spans="1:10" x14ac:dyDescent="0.2">
      <c r="A637" t="s">
        <v>3320</v>
      </c>
      <c r="B637">
        <f>COUNTIF(tweets!D:D,A637)</f>
        <v>1</v>
      </c>
      <c r="D637" t="s">
        <v>1945</v>
      </c>
      <c r="E637">
        <f>COUNTIF(tweets!C:C,D637)</f>
        <v>1</v>
      </c>
      <c r="I637"/>
      <c r="J637"/>
    </row>
    <row r="638" spans="1:10" x14ac:dyDescent="0.2">
      <c r="A638" t="s">
        <v>2790</v>
      </c>
      <c r="B638">
        <f>COUNTIF(tweets!D:D,A638)</f>
        <v>1</v>
      </c>
      <c r="D638" t="s">
        <v>1948</v>
      </c>
      <c r="E638">
        <f>COUNTIF(tweets!C:C,D638)</f>
        <v>1</v>
      </c>
      <c r="I638"/>
      <c r="J638"/>
    </row>
    <row r="639" spans="1:10" x14ac:dyDescent="0.2">
      <c r="A639" t="s">
        <v>2273</v>
      </c>
      <c r="B639">
        <f>COUNTIF(tweets!D:D,A639)</f>
        <v>1</v>
      </c>
      <c r="D639" t="s">
        <v>1951</v>
      </c>
      <c r="E639">
        <f>COUNTIF(tweets!C:C,D639)</f>
        <v>1</v>
      </c>
      <c r="I639"/>
      <c r="J639"/>
    </row>
    <row r="640" spans="1:10" x14ac:dyDescent="0.2">
      <c r="A640" t="s">
        <v>2029</v>
      </c>
      <c r="B640">
        <f>COUNTIF(tweets!D:D,A640)</f>
        <v>1</v>
      </c>
      <c r="D640" t="s">
        <v>1954</v>
      </c>
      <c r="E640">
        <f>COUNTIF(tweets!C:C,D640)</f>
        <v>1</v>
      </c>
      <c r="I640"/>
      <c r="J640"/>
    </row>
    <row r="641" spans="1:10" x14ac:dyDescent="0.2">
      <c r="A641" t="s">
        <v>2878</v>
      </c>
      <c r="B641">
        <f>COUNTIF(tweets!D:D,A641)</f>
        <v>1</v>
      </c>
      <c r="D641" t="s">
        <v>1958</v>
      </c>
      <c r="E641">
        <f>COUNTIF(tweets!C:C,D641)</f>
        <v>1</v>
      </c>
      <c r="I641"/>
      <c r="J641"/>
    </row>
    <row r="642" spans="1:10" x14ac:dyDescent="0.2">
      <c r="A642" t="s">
        <v>8440</v>
      </c>
      <c r="B642">
        <f>COUNTIF(tweets!D:D,A642)</f>
        <v>1</v>
      </c>
      <c r="D642" t="s">
        <v>1962</v>
      </c>
      <c r="E642">
        <f>COUNTIF(tweets!C:C,D642)</f>
        <v>1</v>
      </c>
      <c r="I642"/>
      <c r="J642"/>
    </row>
    <row r="643" spans="1:10" x14ac:dyDescent="0.2">
      <c r="A643" t="s">
        <v>8171</v>
      </c>
      <c r="B643">
        <f>COUNTIF(tweets!D:D,A643)</f>
        <v>1</v>
      </c>
      <c r="D643" t="s">
        <v>1966</v>
      </c>
      <c r="E643">
        <f>COUNTIF(tweets!C:C,D643)</f>
        <v>1</v>
      </c>
      <c r="I643"/>
      <c r="J643"/>
    </row>
    <row r="644" spans="1:10" x14ac:dyDescent="0.2">
      <c r="A644" t="s">
        <v>6894</v>
      </c>
      <c r="B644">
        <f>COUNTIF(tweets!D:D,A644)</f>
        <v>1</v>
      </c>
      <c r="D644" t="s">
        <v>1970</v>
      </c>
      <c r="E644">
        <f>COUNTIF(tweets!C:C,D644)</f>
        <v>1</v>
      </c>
      <c r="I644"/>
      <c r="J644"/>
    </row>
    <row r="645" spans="1:10" x14ac:dyDescent="0.2">
      <c r="A645" t="s">
        <v>4766</v>
      </c>
      <c r="B645">
        <f>COUNTIF(tweets!D:D,A645)</f>
        <v>1</v>
      </c>
      <c r="D645" t="s">
        <v>1981</v>
      </c>
      <c r="E645">
        <f>COUNTIF(tweets!C:C,D645)</f>
        <v>1</v>
      </c>
      <c r="I645"/>
      <c r="J645"/>
    </row>
    <row r="646" spans="1:10" x14ac:dyDescent="0.2">
      <c r="A646" t="s">
        <v>4654</v>
      </c>
      <c r="B646">
        <f>COUNTIF(tweets!D:D,A646)</f>
        <v>1</v>
      </c>
      <c r="D646" t="s">
        <v>1985</v>
      </c>
      <c r="E646">
        <f>COUNTIF(tweets!C:C,D646)</f>
        <v>1</v>
      </c>
      <c r="I646"/>
      <c r="J646"/>
    </row>
    <row r="647" spans="1:10" x14ac:dyDescent="0.2">
      <c r="A647" t="s">
        <v>6936</v>
      </c>
      <c r="B647">
        <f>COUNTIF(tweets!D:D,A647)</f>
        <v>1</v>
      </c>
      <c r="D647" t="s">
        <v>1990</v>
      </c>
      <c r="E647">
        <f>COUNTIF(tweets!C:C,D647)</f>
        <v>1</v>
      </c>
      <c r="I647"/>
      <c r="J647"/>
    </row>
    <row r="648" spans="1:10" x14ac:dyDescent="0.2">
      <c r="A648" t="s">
        <v>6388</v>
      </c>
      <c r="B648">
        <f>COUNTIF(tweets!D:D,A648)</f>
        <v>1</v>
      </c>
      <c r="D648" t="s">
        <v>1994</v>
      </c>
      <c r="E648">
        <f>COUNTIF(tweets!C:C,D648)</f>
        <v>1</v>
      </c>
      <c r="I648"/>
      <c r="J648"/>
    </row>
    <row r="649" spans="1:10" x14ac:dyDescent="0.2">
      <c r="A649" t="s">
        <v>7275</v>
      </c>
      <c r="B649">
        <f>COUNTIF(tweets!D:D,A649)</f>
        <v>1</v>
      </c>
      <c r="D649" t="s">
        <v>1997</v>
      </c>
      <c r="E649">
        <f>COUNTIF(tweets!C:C,D649)</f>
        <v>1</v>
      </c>
      <c r="I649"/>
      <c r="J649"/>
    </row>
    <row r="650" spans="1:10" x14ac:dyDescent="0.2">
      <c r="A650" t="s">
        <v>2559</v>
      </c>
      <c r="B650">
        <f>COUNTIF(tweets!D:D,A650)</f>
        <v>1</v>
      </c>
      <c r="D650" t="s">
        <v>2001</v>
      </c>
      <c r="E650">
        <f>COUNTIF(tweets!C:C,D650)</f>
        <v>1</v>
      </c>
      <c r="I650"/>
      <c r="J650"/>
    </row>
    <row r="651" spans="1:10" x14ac:dyDescent="0.2">
      <c r="A651" t="s">
        <v>7905</v>
      </c>
      <c r="B651">
        <f>COUNTIF(tweets!D:D,A651)</f>
        <v>1</v>
      </c>
      <c r="D651" t="s">
        <v>2005</v>
      </c>
      <c r="E651">
        <f>COUNTIF(tweets!C:C,D651)</f>
        <v>1</v>
      </c>
      <c r="I651"/>
      <c r="J651"/>
    </row>
    <row r="652" spans="1:10" x14ac:dyDescent="0.2">
      <c r="A652" t="s">
        <v>411</v>
      </c>
      <c r="B652">
        <f>COUNTIF(tweets!D:D,A652)</f>
        <v>1</v>
      </c>
      <c r="D652" t="s">
        <v>2009</v>
      </c>
      <c r="E652">
        <f>COUNTIF(tweets!C:C,D652)</f>
        <v>1</v>
      </c>
      <c r="I652"/>
      <c r="J652"/>
    </row>
    <row r="653" spans="1:10" x14ac:dyDescent="0.2">
      <c r="A653" t="s">
        <v>6302</v>
      </c>
      <c r="B653">
        <f>COUNTIF(tweets!D:D,A653)</f>
        <v>1</v>
      </c>
      <c r="D653" t="s">
        <v>2012</v>
      </c>
      <c r="E653">
        <f>COUNTIF(tweets!C:C,D653)</f>
        <v>1</v>
      </c>
      <c r="I653"/>
      <c r="J653"/>
    </row>
    <row r="654" spans="1:10" x14ac:dyDescent="0.2">
      <c r="A654" t="s">
        <v>7721</v>
      </c>
      <c r="B654">
        <f>COUNTIF(tweets!D:D,A654)</f>
        <v>1</v>
      </c>
      <c r="D654" t="s">
        <v>2017</v>
      </c>
      <c r="E654">
        <f>COUNTIF(tweets!C:C,D654)</f>
        <v>1</v>
      </c>
      <c r="I654"/>
      <c r="J654"/>
    </row>
    <row r="655" spans="1:10" x14ac:dyDescent="0.2">
      <c r="A655" t="s">
        <v>8496</v>
      </c>
      <c r="B655">
        <f>COUNTIF(tweets!D:D,A655)</f>
        <v>1</v>
      </c>
      <c r="D655" t="s">
        <v>2021</v>
      </c>
      <c r="E655">
        <f>COUNTIF(tweets!C:C,D655)</f>
        <v>1</v>
      </c>
      <c r="I655"/>
      <c r="J655"/>
    </row>
    <row r="656" spans="1:10" x14ac:dyDescent="0.2">
      <c r="A656" t="s">
        <v>736</v>
      </c>
      <c r="B656">
        <f>COUNTIF(tweets!D:D,A656)</f>
        <v>1</v>
      </c>
      <c r="D656" t="s">
        <v>2025</v>
      </c>
      <c r="E656">
        <f>COUNTIF(tweets!C:C,D656)</f>
        <v>1</v>
      </c>
      <c r="I656"/>
      <c r="J656"/>
    </row>
    <row r="657" spans="1:10" x14ac:dyDescent="0.2">
      <c r="A657" t="s">
        <v>6967</v>
      </c>
      <c r="B657">
        <f>COUNTIF(tweets!D:D,A657)</f>
        <v>1</v>
      </c>
      <c r="D657" t="s">
        <v>2028</v>
      </c>
      <c r="E657">
        <f>COUNTIF(tweets!C:C,D657)</f>
        <v>1</v>
      </c>
      <c r="I657"/>
      <c r="J657"/>
    </row>
    <row r="658" spans="1:10" x14ac:dyDescent="0.2">
      <c r="A658" t="s">
        <v>1302</v>
      </c>
      <c r="B658">
        <f>COUNTIF(tweets!D:D,A658)</f>
        <v>1</v>
      </c>
      <c r="D658" t="s">
        <v>2032</v>
      </c>
      <c r="E658">
        <f>COUNTIF(tweets!C:C,D658)</f>
        <v>1</v>
      </c>
      <c r="I658"/>
      <c r="J658"/>
    </row>
    <row r="659" spans="1:10" x14ac:dyDescent="0.2">
      <c r="A659" t="s">
        <v>5800</v>
      </c>
      <c r="B659">
        <f>COUNTIF(tweets!D:D,A659)</f>
        <v>1</v>
      </c>
      <c r="D659" t="s">
        <v>2039</v>
      </c>
      <c r="E659">
        <f>COUNTIF(tweets!C:C,D659)</f>
        <v>1</v>
      </c>
      <c r="I659"/>
      <c r="J659"/>
    </row>
    <row r="660" spans="1:10" x14ac:dyDescent="0.2">
      <c r="A660" t="s">
        <v>3860</v>
      </c>
      <c r="B660">
        <f>COUNTIF(tweets!D:D,A660)</f>
        <v>1</v>
      </c>
      <c r="D660" t="s">
        <v>2047</v>
      </c>
      <c r="E660">
        <f>COUNTIF(tweets!C:C,D660)</f>
        <v>1</v>
      </c>
      <c r="I660"/>
      <c r="J660"/>
    </row>
    <row r="661" spans="1:10" x14ac:dyDescent="0.2">
      <c r="A661" t="s">
        <v>6261</v>
      </c>
      <c r="B661">
        <f>COUNTIF(tweets!D:D,A661)</f>
        <v>1</v>
      </c>
      <c r="D661" t="s">
        <v>2051</v>
      </c>
      <c r="E661">
        <f>COUNTIF(tweets!C:C,D661)</f>
        <v>1</v>
      </c>
      <c r="I661"/>
      <c r="J661"/>
    </row>
    <row r="662" spans="1:10" x14ac:dyDescent="0.2">
      <c r="A662" t="s">
        <v>5562</v>
      </c>
      <c r="B662">
        <f>COUNTIF(tweets!D:D,A662)</f>
        <v>1</v>
      </c>
      <c r="D662" t="s">
        <v>2054</v>
      </c>
      <c r="E662">
        <f>COUNTIF(tweets!C:C,D662)</f>
        <v>1</v>
      </c>
      <c r="I662"/>
      <c r="J662"/>
    </row>
    <row r="663" spans="1:10" x14ac:dyDescent="0.2">
      <c r="A663" t="s">
        <v>7536</v>
      </c>
      <c r="B663">
        <f>COUNTIF(tweets!D:D,A663)</f>
        <v>1</v>
      </c>
      <c r="D663" t="s">
        <v>2063</v>
      </c>
      <c r="E663">
        <f>COUNTIF(tweets!C:C,D663)</f>
        <v>1</v>
      </c>
      <c r="I663"/>
      <c r="J663"/>
    </row>
    <row r="664" spans="1:10" x14ac:dyDescent="0.2">
      <c r="A664" t="s">
        <v>7754</v>
      </c>
      <c r="B664">
        <f>COUNTIF(tweets!D:D,A664)</f>
        <v>1</v>
      </c>
      <c r="D664" t="s">
        <v>2066</v>
      </c>
      <c r="E664">
        <f>COUNTIF(tweets!C:C,D664)</f>
        <v>1</v>
      </c>
      <c r="I664"/>
      <c r="J664"/>
    </row>
    <row r="665" spans="1:10" x14ac:dyDescent="0.2">
      <c r="A665" t="s">
        <v>751</v>
      </c>
      <c r="B665">
        <f>COUNTIF(tweets!D:D,A665)</f>
        <v>1</v>
      </c>
      <c r="D665" t="s">
        <v>2069</v>
      </c>
      <c r="E665">
        <f>COUNTIF(tweets!C:C,D665)</f>
        <v>1</v>
      </c>
      <c r="I665"/>
      <c r="J665"/>
    </row>
    <row r="666" spans="1:10" x14ac:dyDescent="0.2">
      <c r="A666" t="s">
        <v>1172</v>
      </c>
      <c r="B666">
        <f>COUNTIF(tweets!D:D,A666)</f>
        <v>1</v>
      </c>
      <c r="D666" t="s">
        <v>2073</v>
      </c>
      <c r="E666">
        <f>COUNTIF(tweets!C:C,D666)</f>
        <v>1</v>
      </c>
      <c r="I666"/>
      <c r="J666"/>
    </row>
    <row r="667" spans="1:10" x14ac:dyDescent="0.2">
      <c r="A667" t="s">
        <v>4194</v>
      </c>
      <c r="B667">
        <f>COUNTIF(tweets!D:D,A667)</f>
        <v>1</v>
      </c>
      <c r="D667" t="s">
        <v>2087</v>
      </c>
      <c r="E667">
        <f>COUNTIF(tweets!C:C,D667)</f>
        <v>1</v>
      </c>
      <c r="I667"/>
      <c r="J667"/>
    </row>
    <row r="668" spans="1:10" x14ac:dyDescent="0.2">
      <c r="A668" t="s">
        <v>7497</v>
      </c>
      <c r="B668">
        <f>COUNTIF(tweets!D:D,A668)</f>
        <v>1</v>
      </c>
      <c r="D668" t="s">
        <v>2090</v>
      </c>
      <c r="E668">
        <f>COUNTIF(tweets!C:C,D668)</f>
        <v>1</v>
      </c>
      <c r="I668"/>
      <c r="J668"/>
    </row>
    <row r="669" spans="1:10" x14ac:dyDescent="0.2">
      <c r="A669" t="s">
        <v>3739</v>
      </c>
      <c r="B669">
        <f>COUNTIF(tweets!D:D,A669)</f>
        <v>1</v>
      </c>
      <c r="D669" t="s">
        <v>2095</v>
      </c>
      <c r="E669">
        <f>COUNTIF(tweets!C:C,D669)</f>
        <v>1</v>
      </c>
      <c r="I669"/>
      <c r="J669"/>
    </row>
    <row r="670" spans="1:10" x14ac:dyDescent="0.2">
      <c r="A670" t="s">
        <v>1982</v>
      </c>
      <c r="B670">
        <f>COUNTIF(tweets!D:D,A670)</f>
        <v>1</v>
      </c>
      <c r="D670" t="s">
        <v>2099</v>
      </c>
      <c r="E670">
        <f>COUNTIF(tweets!C:C,D670)</f>
        <v>1</v>
      </c>
      <c r="I670"/>
      <c r="J670"/>
    </row>
    <row r="671" spans="1:10" x14ac:dyDescent="0.2">
      <c r="A671" t="s">
        <v>8462</v>
      </c>
      <c r="B671">
        <f>COUNTIF(tweets!D:D,A671)</f>
        <v>1</v>
      </c>
      <c r="D671" t="s">
        <v>2106</v>
      </c>
      <c r="E671">
        <f>COUNTIF(tweets!C:C,D671)</f>
        <v>1</v>
      </c>
      <c r="I671"/>
      <c r="J671"/>
    </row>
    <row r="672" spans="1:10" x14ac:dyDescent="0.2">
      <c r="A672" t="s">
        <v>3722</v>
      </c>
      <c r="B672">
        <f>COUNTIF(tweets!D:D,A672)</f>
        <v>1</v>
      </c>
      <c r="D672" t="s">
        <v>2109</v>
      </c>
      <c r="E672">
        <f>COUNTIF(tweets!C:C,D672)</f>
        <v>1</v>
      </c>
      <c r="I672"/>
      <c r="J672"/>
    </row>
    <row r="673" spans="1:10" x14ac:dyDescent="0.2">
      <c r="A673" t="s">
        <v>3446</v>
      </c>
      <c r="B673">
        <f>COUNTIF(tweets!D:D,A673)</f>
        <v>1</v>
      </c>
      <c r="D673" t="s">
        <v>2114</v>
      </c>
      <c r="E673">
        <f>COUNTIF(tweets!C:C,D673)</f>
        <v>1</v>
      </c>
      <c r="I673"/>
      <c r="J673"/>
    </row>
    <row r="674" spans="1:10" x14ac:dyDescent="0.2">
      <c r="A674" t="s">
        <v>7192</v>
      </c>
      <c r="B674">
        <f>COUNTIF(tweets!D:D,A674)</f>
        <v>1</v>
      </c>
      <c r="D674" t="s">
        <v>2119</v>
      </c>
      <c r="E674">
        <f>COUNTIF(tweets!C:C,D674)</f>
        <v>1</v>
      </c>
      <c r="I674"/>
      <c r="J674"/>
    </row>
    <row r="675" spans="1:10" x14ac:dyDescent="0.2">
      <c r="A675" t="s">
        <v>4494</v>
      </c>
      <c r="B675">
        <f>COUNTIF(tweets!D:D,A675)</f>
        <v>1</v>
      </c>
      <c r="D675" t="s">
        <v>2122</v>
      </c>
      <c r="E675">
        <f>COUNTIF(tweets!C:C,D675)</f>
        <v>1</v>
      </c>
      <c r="I675"/>
      <c r="J675"/>
    </row>
    <row r="676" spans="1:10" x14ac:dyDescent="0.2">
      <c r="A676" t="s">
        <v>1777</v>
      </c>
      <c r="B676">
        <f>COUNTIF(tweets!D:D,A676)</f>
        <v>1</v>
      </c>
      <c r="D676" t="s">
        <v>2126</v>
      </c>
      <c r="E676">
        <f>COUNTIF(tweets!C:C,D676)</f>
        <v>1</v>
      </c>
      <c r="I676"/>
      <c r="J676"/>
    </row>
    <row r="677" spans="1:10" x14ac:dyDescent="0.2">
      <c r="A677" t="s">
        <v>8547</v>
      </c>
      <c r="B677">
        <f>COUNTIF(tweets!D:D,A677)</f>
        <v>1</v>
      </c>
      <c r="D677" t="s">
        <v>2129</v>
      </c>
      <c r="E677">
        <f>COUNTIF(tweets!C:C,D677)</f>
        <v>1</v>
      </c>
      <c r="I677"/>
      <c r="J677"/>
    </row>
    <row r="678" spans="1:10" x14ac:dyDescent="0.2">
      <c r="A678" t="s">
        <v>7341</v>
      </c>
      <c r="B678">
        <f>COUNTIF(tweets!D:D,A678)</f>
        <v>1</v>
      </c>
      <c r="D678" t="s">
        <v>2136</v>
      </c>
      <c r="E678">
        <f>COUNTIF(tweets!C:C,D678)</f>
        <v>1</v>
      </c>
      <c r="I678"/>
      <c r="J678"/>
    </row>
    <row r="679" spans="1:10" x14ac:dyDescent="0.2">
      <c r="A679" t="s">
        <v>1292</v>
      </c>
      <c r="B679">
        <f>COUNTIF(tweets!D:D,A679)</f>
        <v>1</v>
      </c>
      <c r="D679" t="s">
        <v>2142</v>
      </c>
      <c r="E679">
        <f>COUNTIF(tweets!C:C,D679)</f>
        <v>1</v>
      </c>
      <c r="I679"/>
      <c r="J679"/>
    </row>
    <row r="680" spans="1:10" x14ac:dyDescent="0.2">
      <c r="A680" t="s">
        <v>2750</v>
      </c>
      <c r="B680">
        <f>COUNTIF(tweets!D:D,A680)</f>
        <v>1</v>
      </c>
      <c r="D680" t="s">
        <v>2148</v>
      </c>
      <c r="E680">
        <f>COUNTIF(tweets!C:C,D680)</f>
        <v>1</v>
      </c>
      <c r="I680"/>
      <c r="J680"/>
    </row>
    <row r="681" spans="1:10" x14ac:dyDescent="0.2">
      <c r="A681" t="s">
        <v>3498</v>
      </c>
      <c r="B681">
        <f>COUNTIF(tweets!D:D,A681)</f>
        <v>1</v>
      </c>
      <c r="D681" t="s">
        <v>2152</v>
      </c>
      <c r="E681">
        <f>COUNTIF(tweets!C:C,D681)</f>
        <v>1</v>
      </c>
      <c r="I681"/>
      <c r="J681"/>
    </row>
    <row r="682" spans="1:10" x14ac:dyDescent="0.2">
      <c r="A682" t="s">
        <v>8560</v>
      </c>
      <c r="B682">
        <f>COUNTIF(tweets!D:D,A682)</f>
        <v>1</v>
      </c>
      <c r="D682" t="s">
        <v>2156</v>
      </c>
      <c r="E682">
        <f>COUNTIF(tweets!C:C,D682)</f>
        <v>1</v>
      </c>
      <c r="I682"/>
      <c r="J682"/>
    </row>
    <row r="683" spans="1:10" x14ac:dyDescent="0.2">
      <c r="A683" t="s">
        <v>3767</v>
      </c>
      <c r="B683">
        <f>COUNTIF(tweets!D:D,A683)</f>
        <v>1</v>
      </c>
      <c r="D683" t="s">
        <v>2159</v>
      </c>
      <c r="E683">
        <f>COUNTIF(tweets!C:C,D683)</f>
        <v>1</v>
      </c>
      <c r="I683"/>
      <c r="J683"/>
    </row>
    <row r="684" spans="1:10" x14ac:dyDescent="0.2">
      <c r="A684" t="s">
        <v>7604</v>
      </c>
      <c r="B684">
        <f>COUNTIF(tweets!D:D,A684)</f>
        <v>1</v>
      </c>
      <c r="D684" t="s">
        <v>2166</v>
      </c>
      <c r="E684">
        <f>COUNTIF(tweets!C:C,D684)</f>
        <v>1</v>
      </c>
      <c r="I684"/>
      <c r="J684"/>
    </row>
    <row r="685" spans="1:10" x14ac:dyDescent="0.2">
      <c r="A685" t="s">
        <v>2665</v>
      </c>
      <c r="B685">
        <f>COUNTIF(tweets!D:D,A685)</f>
        <v>1</v>
      </c>
      <c r="D685" t="s">
        <v>2171</v>
      </c>
      <c r="E685">
        <f>COUNTIF(tweets!C:C,D685)</f>
        <v>1</v>
      </c>
      <c r="I685"/>
      <c r="J685"/>
    </row>
    <row r="686" spans="1:10" x14ac:dyDescent="0.2">
      <c r="A686" t="s">
        <v>5171</v>
      </c>
      <c r="B686">
        <f>COUNTIF(tweets!D:D,A686)</f>
        <v>1</v>
      </c>
      <c r="D686" t="s">
        <v>2175</v>
      </c>
      <c r="E686">
        <f>COUNTIF(tweets!C:C,D686)</f>
        <v>1</v>
      </c>
      <c r="I686"/>
      <c r="J686"/>
    </row>
    <row r="687" spans="1:10" x14ac:dyDescent="0.2">
      <c r="A687" t="s">
        <v>3391</v>
      </c>
      <c r="B687">
        <f>COUNTIF(tweets!D:D,A687)</f>
        <v>1</v>
      </c>
      <c r="D687" t="s">
        <v>2178</v>
      </c>
      <c r="E687">
        <f>COUNTIF(tweets!C:C,D687)</f>
        <v>1</v>
      </c>
      <c r="I687"/>
      <c r="J687"/>
    </row>
    <row r="688" spans="1:10" x14ac:dyDescent="0.2">
      <c r="A688" t="s">
        <v>3281</v>
      </c>
      <c r="B688">
        <f>COUNTIF(tweets!D:D,A688)</f>
        <v>1</v>
      </c>
      <c r="D688" t="s">
        <v>2184</v>
      </c>
      <c r="E688">
        <f>COUNTIF(tweets!C:C,D688)</f>
        <v>1</v>
      </c>
      <c r="I688"/>
      <c r="J688"/>
    </row>
    <row r="689" spans="1:10" x14ac:dyDescent="0.2">
      <c r="A689" t="s">
        <v>3707</v>
      </c>
      <c r="B689">
        <f>COUNTIF(tweets!D:D,A689)</f>
        <v>1</v>
      </c>
      <c r="D689" t="s">
        <v>2188</v>
      </c>
      <c r="E689">
        <f>COUNTIF(tweets!C:C,D689)</f>
        <v>1</v>
      </c>
      <c r="I689"/>
      <c r="J689"/>
    </row>
    <row r="690" spans="1:10" x14ac:dyDescent="0.2">
      <c r="A690" t="s">
        <v>6044</v>
      </c>
      <c r="B690">
        <f>COUNTIF(tweets!D:D,A690)</f>
        <v>1</v>
      </c>
      <c r="D690" t="s">
        <v>2195</v>
      </c>
      <c r="E690">
        <f>COUNTIF(tweets!C:C,D690)</f>
        <v>1</v>
      </c>
      <c r="I690"/>
      <c r="J690"/>
    </row>
    <row r="691" spans="1:10" x14ac:dyDescent="0.2">
      <c r="A691" t="s">
        <v>5662</v>
      </c>
      <c r="B691">
        <f>COUNTIF(tweets!D:D,A691)</f>
        <v>1</v>
      </c>
      <c r="D691" t="s">
        <v>2198</v>
      </c>
      <c r="E691">
        <f>COUNTIF(tweets!C:C,D691)</f>
        <v>1</v>
      </c>
      <c r="I691"/>
      <c r="J691"/>
    </row>
    <row r="692" spans="1:10" x14ac:dyDescent="0.2">
      <c r="A692" t="s">
        <v>7286</v>
      </c>
      <c r="B692">
        <f>COUNTIF(tweets!D:D,A692)</f>
        <v>1</v>
      </c>
      <c r="D692" t="s">
        <v>2202</v>
      </c>
      <c r="E692">
        <f>COUNTIF(tweets!C:C,D692)</f>
        <v>1</v>
      </c>
      <c r="I692"/>
      <c r="J692"/>
    </row>
    <row r="693" spans="1:10" x14ac:dyDescent="0.2">
      <c r="A693" t="s">
        <v>7419</v>
      </c>
      <c r="B693">
        <f>COUNTIF(tweets!D:D,A693)</f>
        <v>1</v>
      </c>
      <c r="D693" t="s">
        <v>2205</v>
      </c>
      <c r="E693">
        <f>COUNTIF(tweets!C:C,D693)</f>
        <v>1</v>
      </c>
      <c r="I693"/>
      <c r="J693"/>
    </row>
    <row r="694" spans="1:10" x14ac:dyDescent="0.2">
      <c r="A694" t="s">
        <v>6392</v>
      </c>
      <c r="B694">
        <f>COUNTIF(tweets!D:D,A694)</f>
        <v>1</v>
      </c>
      <c r="D694" t="s">
        <v>2210</v>
      </c>
      <c r="E694">
        <f>COUNTIF(tweets!C:C,D694)</f>
        <v>1</v>
      </c>
      <c r="I694"/>
      <c r="J694"/>
    </row>
    <row r="695" spans="1:10" x14ac:dyDescent="0.2">
      <c r="A695" t="s">
        <v>1475</v>
      </c>
      <c r="B695">
        <f>COUNTIF(tweets!D:D,A695)</f>
        <v>1</v>
      </c>
      <c r="D695" t="s">
        <v>2213</v>
      </c>
      <c r="E695">
        <f>COUNTIF(tweets!C:C,D695)</f>
        <v>1</v>
      </c>
      <c r="I695"/>
      <c r="J695"/>
    </row>
    <row r="696" spans="1:10" x14ac:dyDescent="0.2">
      <c r="A696" t="s">
        <v>4816</v>
      </c>
      <c r="B696">
        <f>COUNTIF(tweets!D:D,A696)</f>
        <v>1</v>
      </c>
      <c r="D696" t="s">
        <v>2218</v>
      </c>
      <c r="E696">
        <f>COUNTIF(tweets!C:C,D696)</f>
        <v>1</v>
      </c>
      <c r="I696"/>
      <c r="J696"/>
    </row>
    <row r="697" spans="1:10" x14ac:dyDescent="0.2">
      <c r="A697" t="s">
        <v>8587</v>
      </c>
      <c r="B697">
        <f>COUNTIF(tweets!D:D,A697)</f>
        <v>1</v>
      </c>
      <c r="D697" t="s">
        <v>2221</v>
      </c>
      <c r="E697">
        <f>COUNTIF(tweets!C:C,D697)</f>
        <v>1</v>
      </c>
      <c r="I697"/>
      <c r="J697"/>
    </row>
    <row r="698" spans="1:10" x14ac:dyDescent="0.2">
      <c r="A698" t="s">
        <v>8310</v>
      </c>
      <c r="B698">
        <f>COUNTIF(tweets!D:D,A698)</f>
        <v>1</v>
      </c>
      <c r="D698" t="s">
        <v>2224</v>
      </c>
      <c r="E698">
        <f>COUNTIF(tweets!C:C,D698)</f>
        <v>1</v>
      </c>
      <c r="I698"/>
      <c r="J698"/>
    </row>
    <row r="699" spans="1:10" x14ac:dyDescent="0.2">
      <c r="A699" t="s">
        <v>2296</v>
      </c>
      <c r="B699">
        <f>COUNTIF(tweets!D:D,A699)</f>
        <v>1</v>
      </c>
      <c r="D699" t="s">
        <v>2227</v>
      </c>
      <c r="E699">
        <f>COUNTIF(tweets!C:C,D699)</f>
        <v>1</v>
      </c>
      <c r="I699"/>
      <c r="J699"/>
    </row>
    <row r="700" spans="1:10" x14ac:dyDescent="0.2">
      <c r="A700" t="s">
        <v>1781</v>
      </c>
      <c r="B700">
        <f>COUNTIF(tweets!D:D,A700)</f>
        <v>1</v>
      </c>
      <c r="D700" t="s">
        <v>2230</v>
      </c>
      <c r="E700">
        <f>COUNTIF(tweets!C:C,D700)</f>
        <v>1</v>
      </c>
      <c r="I700"/>
      <c r="J700"/>
    </row>
    <row r="701" spans="1:10" x14ac:dyDescent="0.2">
      <c r="A701" t="s">
        <v>1693</v>
      </c>
      <c r="B701">
        <f>COUNTIF(tweets!D:D,A701)</f>
        <v>1</v>
      </c>
      <c r="D701" t="s">
        <v>2235</v>
      </c>
      <c r="E701">
        <f>COUNTIF(tweets!C:C,D701)</f>
        <v>1</v>
      </c>
      <c r="I701"/>
      <c r="J701"/>
    </row>
    <row r="702" spans="1:10" x14ac:dyDescent="0.2">
      <c r="A702" t="s">
        <v>3506</v>
      </c>
      <c r="B702">
        <f>COUNTIF(tweets!D:D,A702)</f>
        <v>1</v>
      </c>
      <c r="D702" t="s">
        <v>2245</v>
      </c>
      <c r="E702">
        <f>COUNTIF(tweets!C:C,D702)</f>
        <v>1</v>
      </c>
      <c r="I702"/>
      <c r="J702"/>
    </row>
    <row r="703" spans="1:10" x14ac:dyDescent="0.2">
      <c r="A703" t="s">
        <v>5205</v>
      </c>
      <c r="B703">
        <f>COUNTIF(tweets!D:D,A703)</f>
        <v>1</v>
      </c>
      <c r="D703" t="s">
        <v>2254</v>
      </c>
      <c r="E703">
        <f>COUNTIF(tweets!C:C,D703)</f>
        <v>1</v>
      </c>
      <c r="I703"/>
      <c r="J703"/>
    </row>
    <row r="704" spans="1:10" x14ac:dyDescent="0.2">
      <c r="A704" t="s">
        <v>2351</v>
      </c>
      <c r="B704">
        <f>COUNTIF(tweets!D:D,A704)</f>
        <v>1</v>
      </c>
      <c r="D704" t="s">
        <v>2259</v>
      </c>
      <c r="E704">
        <f>COUNTIF(tweets!C:C,D704)</f>
        <v>1</v>
      </c>
      <c r="I704"/>
      <c r="J704"/>
    </row>
    <row r="705" spans="1:10" x14ac:dyDescent="0.2">
      <c r="A705" t="s">
        <v>7269</v>
      </c>
      <c r="B705">
        <f>COUNTIF(tweets!D:D,A705)</f>
        <v>1</v>
      </c>
      <c r="D705" t="s">
        <v>2263</v>
      </c>
      <c r="E705">
        <f>COUNTIF(tweets!C:C,D705)</f>
        <v>1</v>
      </c>
      <c r="I705"/>
      <c r="J705"/>
    </row>
    <row r="706" spans="1:10" x14ac:dyDescent="0.2">
      <c r="A706" t="s">
        <v>3822</v>
      </c>
      <c r="B706">
        <f>COUNTIF(tweets!D:D,A706)</f>
        <v>1</v>
      </c>
      <c r="D706" t="s">
        <v>2269</v>
      </c>
      <c r="E706">
        <f>COUNTIF(tweets!C:C,D706)</f>
        <v>1</v>
      </c>
      <c r="I706"/>
      <c r="J706"/>
    </row>
    <row r="707" spans="1:10" x14ac:dyDescent="0.2">
      <c r="A707" t="s">
        <v>1959</v>
      </c>
      <c r="B707">
        <f>COUNTIF(tweets!D:D,A707)</f>
        <v>1</v>
      </c>
      <c r="D707" t="s">
        <v>2272</v>
      </c>
      <c r="E707">
        <f>COUNTIF(tweets!C:C,D707)</f>
        <v>1</v>
      </c>
      <c r="I707"/>
      <c r="J707"/>
    </row>
    <row r="708" spans="1:10" x14ac:dyDescent="0.2">
      <c r="A708" t="s">
        <v>6944</v>
      </c>
      <c r="B708">
        <f>COUNTIF(tweets!D:D,A708)</f>
        <v>1</v>
      </c>
      <c r="D708" t="s">
        <v>2276</v>
      </c>
      <c r="E708">
        <f>COUNTIF(tweets!C:C,D708)</f>
        <v>1</v>
      </c>
      <c r="I708"/>
      <c r="J708"/>
    </row>
    <row r="709" spans="1:10" x14ac:dyDescent="0.2">
      <c r="A709" t="s">
        <v>2611</v>
      </c>
      <c r="B709">
        <f>COUNTIF(tweets!D:D,A709)</f>
        <v>1</v>
      </c>
      <c r="D709" t="s">
        <v>2279</v>
      </c>
      <c r="E709">
        <f>COUNTIF(tweets!C:C,D709)</f>
        <v>1</v>
      </c>
      <c r="I709"/>
      <c r="J709"/>
    </row>
    <row r="710" spans="1:10" x14ac:dyDescent="0.2">
      <c r="A710" t="s">
        <v>8300</v>
      </c>
      <c r="B710">
        <f>COUNTIF(tweets!D:D,A710)</f>
        <v>1</v>
      </c>
      <c r="D710" t="s">
        <v>2282</v>
      </c>
      <c r="E710">
        <f>COUNTIF(tweets!C:C,D710)</f>
        <v>1</v>
      </c>
      <c r="I710"/>
      <c r="J710"/>
    </row>
    <row r="711" spans="1:10" x14ac:dyDescent="0.2">
      <c r="A711" t="s">
        <v>8221</v>
      </c>
      <c r="B711">
        <f>COUNTIF(tweets!D:D,A711)</f>
        <v>1</v>
      </c>
      <c r="D711" t="s">
        <v>2284</v>
      </c>
      <c r="E711">
        <f>COUNTIF(tweets!C:C,D711)</f>
        <v>1</v>
      </c>
      <c r="I711"/>
      <c r="J711"/>
    </row>
    <row r="712" spans="1:10" x14ac:dyDescent="0.2">
      <c r="A712" t="s">
        <v>6193</v>
      </c>
      <c r="B712">
        <f>COUNTIF(tweets!D:D,A712)</f>
        <v>1</v>
      </c>
      <c r="D712" t="s">
        <v>2288</v>
      </c>
      <c r="E712">
        <f>COUNTIF(tweets!C:C,D712)</f>
        <v>1</v>
      </c>
      <c r="I712"/>
      <c r="J712"/>
    </row>
    <row r="713" spans="1:10" x14ac:dyDescent="0.2">
      <c r="A713" t="s">
        <v>1140</v>
      </c>
      <c r="B713">
        <f>COUNTIF(tweets!D:D,A713)</f>
        <v>1</v>
      </c>
      <c r="D713" t="s">
        <v>2295</v>
      </c>
      <c r="E713">
        <f>COUNTIF(tweets!C:C,D713)</f>
        <v>1</v>
      </c>
      <c r="I713"/>
      <c r="J713"/>
    </row>
    <row r="714" spans="1:10" x14ac:dyDescent="0.2">
      <c r="A714" t="s">
        <v>3803</v>
      </c>
      <c r="B714">
        <f>COUNTIF(tweets!D:D,A714)</f>
        <v>1</v>
      </c>
      <c r="D714" t="s">
        <v>2299</v>
      </c>
      <c r="E714">
        <f>COUNTIF(tweets!C:C,D714)</f>
        <v>1</v>
      </c>
      <c r="I714"/>
      <c r="J714"/>
    </row>
    <row r="715" spans="1:10" x14ac:dyDescent="0.2">
      <c r="A715" t="s">
        <v>4676</v>
      </c>
      <c r="B715">
        <f>COUNTIF(tweets!D:D,A715)</f>
        <v>1</v>
      </c>
      <c r="D715" t="s">
        <v>2303</v>
      </c>
      <c r="E715">
        <f>COUNTIF(tweets!C:C,D715)</f>
        <v>1</v>
      </c>
      <c r="I715"/>
      <c r="J715"/>
    </row>
    <row r="716" spans="1:10" x14ac:dyDescent="0.2">
      <c r="A716" t="s">
        <v>4772</v>
      </c>
      <c r="B716">
        <f>COUNTIF(tweets!D:D,A716)</f>
        <v>1</v>
      </c>
      <c r="D716" t="s">
        <v>2307</v>
      </c>
      <c r="E716">
        <f>COUNTIF(tweets!C:C,D716)</f>
        <v>1</v>
      </c>
      <c r="I716"/>
      <c r="J716"/>
    </row>
    <row r="717" spans="1:10" x14ac:dyDescent="0.2">
      <c r="A717" t="s">
        <v>5856</v>
      </c>
      <c r="B717">
        <f>COUNTIF(tweets!D:D,A717)</f>
        <v>1</v>
      </c>
      <c r="D717" t="s">
        <v>2313</v>
      </c>
      <c r="E717">
        <f>COUNTIF(tweets!C:C,D717)</f>
        <v>1</v>
      </c>
      <c r="I717"/>
      <c r="J717"/>
    </row>
    <row r="718" spans="1:10" x14ac:dyDescent="0.2">
      <c r="A718" t="s">
        <v>434</v>
      </c>
      <c r="B718">
        <f>COUNTIF(tweets!D:D,A718)</f>
        <v>1</v>
      </c>
      <c r="D718" t="s">
        <v>2316</v>
      </c>
      <c r="E718">
        <f>COUNTIF(tweets!C:C,D718)</f>
        <v>1</v>
      </c>
      <c r="I718"/>
      <c r="J718"/>
    </row>
    <row r="719" spans="1:10" x14ac:dyDescent="0.2">
      <c r="A719" t="s">
        <v>7435</v>
      </c>
      <c r="B719">
        <f>COUNTIF(tweets!D:D,A719)</f>
        <v>1</v>
      </c>
      <c r="D719" t="s">
        <v>2320</v>
      </c>
      <c r="E719">
        <f>COUNTIF(tweets!C:C,D719)</f>
        <v>1</v>
      </c>
      <c r="I719"/>
      <c r="J719"/>
    </row>
    <row r="720" spans="1:10" x14ac:dyDescent="0.2">
      <c r="A720" t="s">
        <v>5071</v>
      </c>
      <c r="B720">
        <f>COUNTIF(tweets!D:D,A720)</f>
        <v>1</v>
      </c>
      <c r="D720" t="s">
        <v>2323</v>
      </c>
      <c r="E720">
        <f>COUNTIF(tweets!C:C,D720)</f>
        <v>1</v>
      </c>
      <c r="I720"/>
      <c r="J720"/>
    </row>
    <row r="721" spans="1:10" x14ac:dyDescent="0.2">
      <c r="A721" t="s">
        <v>8595</v>
      </c>
      <c r="B721">
        <f>COUNTIF(tweets!D:D,A721)</f>
        <v>1</v>
      </c>
      <c r="D721" t="s">
        <v>2326</v>
      </c>
      <c r="E721">
        <f>COUNTIF(tweets!C:C,D721)</f>
        <v>1</v>
      </c>
      <c r="I721"/>
      <c r="J721"/>
    </row>
    <row r="722" spans="1:10" x14ac:dyDescent="0.2">
      <c r="A722" t="s">
        <v>2443</v>
      </c>
      <c r="B722">
        <f>COUNTIF(tweets!D:D,A722)</f>
        <v>1</v>
      </c>
      <c r="D722" t="s">
        <v>2334</v>
      </c>
      <c r="E722">
        <f>COUNTIF(tweets!C:C,D722)</f>
        <v>1</v>
      </c>
      <c r="I722"/>
      <c r="J722"/>
    </row>
    <row r="723" spans="1:10" x14ac:dyDescent="0.2">
      <c r="A723" t="s">
        <v>4421</v>
      </c>
      <c r="B723">
        <f>COUNTIF(tweets!D:D,A723)</f>
        <v>1</v>
      </c>
      <c r="D723" t="s">
        <v>2337</v>
      </c>
      <c r="E723">
        <f>COUNTIF(tweets!C:C,D723)</f>
        <v>1</v>
      </c>
      <c r="I723"/>
      <c r="J723"/>
    </row>
    <row r="724" spans="1:10" x14ac:dyDescent="0.2">
      <c r="A724" t="s">
        <v>2725</v>
      </c>
      <c r="B724">
        <f>COUNTIF(tweets!D:D,A724)</f>
        <v>1</v>
      </c>
      <c r="D724" t="s">
        <v>2343</v>
      </c>
      <c r="E724">
        <f>COUNTIF(tweets!C:C,D724)</f>
        <v>1</v>
      </c>
      <c r="I724"/>
      <c r="J724"/>
    </row>
    <row r="725" spans="1:10" x14ac:dyDescent="0.2">
      <c r="A725" t="s">
        <v>8458</v>
      </c>
      <c r="B725">
        <f>COUNTIF(tweets!D:D,A725)</f>
        <v>1</v>
      </c>
      <c r="D725" t="s">
        <v>2346</v>
      </c>
      <c r="E725">
        <f>COUNTIF(tweets!C:C,D725)</f>
        <v>1</v>
      </c>
      <c r="I725"/>
      <c r="J725"/>
    </row>
    <row r="726" spans="1:10" x14ac:dyDescent="0.2">
      <c r="A726" t="s">
        <v>1858</v>
      </c>
      <c r="B726">
        <f>COUNTIF(tweets!D:D,A726)</f>
        <v>1</v>
      </c>
      <c r="D726" t="s">
        <v>2350</v>
      </c>
      <c r="E726">
        <f>COUNTIF(tweets!C:C,D726)</f>
        <v>1</v>
      </c>
      <c r="I726"/>
      <c r="J726"/>
    </row>
    <row r="727" spans="1:10" x14ac:dyDescent="0.2">
      <c r="A727" t="s">
        <v>5750</v>
      </c>
      <c r="B727">
        <f>COUNTIF(tweets!D:D,A727)</f>
        <v>1</v>
      </c>
      <c r="D727" t="s">
        <v>2354</v>
      </c>
      <c r="E727">
        <f>COUNTIF(tweets!C:C,D727)</f>
        <v>1</v>
      </c>
      <c r="I727"/>
      <c r="J727"/>
    </row>
    <row r="728" spans="1:10" x14ac:dyDescent="0.2">
      <c r="A728" t="s">
        <v>1069</v>
      </c>
      <c r="B728">
        <f>COUNTIF(tweets!D:D,A728)</f>
        <v>1</v>
      </c>
      <c r="D728" t="s">
        <v>2359</v>
      </c>
      <c r="E728">
        <f>COUNTIF(tweets!C:C,D728)</f>
        <v>1</v>
      </c>
      <c r="I728"/>
      <c r="J728"/>
    </row>
    <row r="729" spans="1:10" x14ac:dyDescent="0.2">
      <c r="A729" t="s">
        <v>6170</v>
      </c>
      <c r="B729">
        <f>COUNTIF(tweets!D:D,A729)</f>
        <v>1</v>
      </c>
      <c r="D729" t="s">
        <v>2369</v>
      </c>
      <c r="E729">
        <f>COUNTIF(tweets!C:C,D729)</f>
        <v>1</v>
      </c>
      <c r="I729"/>
      <c r="J729"/>
    </row>
    <row r="730" spans="1:10" x14ac:dyDescent="0.2">
      <c r="A730" t="s">
        <v>7260</v>
      </c>
      <c r="B730">
        <f>COUNTIF(tweets!D:D,A730)</f>
        <v>1</v>
      </c>
      <c r="D730" t="s">
        <v>2372</v>
      </c>
      <c r="E730">
        <f>COUNTIF(tweets!C:C,D730)</f>
        <v>1</v>
      </c>
      <c r="I730"/>
      <c r="J730"/>
    </row>
    <row r="731" spans="1:10" x14ac:dyDescent="0.2">
      <c r="A731" t="s">
        <v>1942</v>
      </c>
      <c r="B731">
        <f>COUNTIF(tweets!D:D,A731)</f>
        <v>1</v>
      </c>
      <c r="D731" t="s">
        <v>2376</v>
      </c>
      <c r="E731">
        <f>COUNTIF(tweets!C:C,D731)</f>
        <v>1</v>
      </c>
      <c r="I731"/>
      <c r="J731"/>
    </row>
    <row r="732" spans="1:10" x14ac:dyDescent="0.2">
      <c r="A732" t="s">
        <v>3494</v>
      </c>
      <c r="B732">
        <f>COUNTIF(tweets!D:D,A732)</f>
        <v>1</v>
      </c>
      <c r="D732" t="s">
        <v>2380</v>
      </c>
      <c r="E732">
        <f>COUNTIF(tweets!C:C,D732)</f>
        <v>1</v>
      </c>
      <c r="I732"/>
      <c r="J732"/>
    </row>
    <row r="733" spans="1:10" x14ac:dyDescent="0.2">
      <c r="A733" t="s">
        <v>3995</v>
      </c>
      <c r="B733">
        <f>COUNTIF(tweets!D:D,A733)</f>
        <v>1</v>
      </c>
      <c r="D733" t="s">
        <v>2384</v>
      </c>
      <c r="E733">
        <f>COUNTIF(tweets!C:C,D733)</f>
        <v>1</v>
      </c>
      <c r="I733"/>
      <c r="J733"/>
    </row>
    <row r="734" spans="1:10" x14ac:dyDescent="0.2">
      <c r="A734" t="s">
        <v>1233</v>
      </c>
      <c r="B734">
        <f>COUNTIF(tweets!D:D,A734)</f>
        <v>1</v>
      </c>
      <c r="D734" t="s">
        <v>2391</v>
      </c>
      <c r="E734">
        <f>COUNTIF(tweets!C:C,D734)</f>
        <v>1</v>
      </c>
      <c r="I734"/>
      <c r="J734"/>
    </row>
    <row r="735" spans="1:10" x14ac:dyDescent="0.2">
      <c r="A735" t="s">
        <v>2571</v>
      </c>
      <c r="B735">
        <f>COUNTIF(tweets!D:D,A735)</f>
        <v>1</v>
      </c>
      <c r="D735" t="s">
        <v>2394</v>
      </c>
      <c r="E735">
        <f>COUNTIF(tweets!C:C,D735)</f>
        <v>1</v>
      </c>
      <c r="I735"/>
      <c r="J735"/>
    </row>
    <row r="736" spans="1:10" x14ac:dyDescent="0.2">
      <c r="A736" t="s">
        <v>2836</v>
      </c>
      <c r="B736">
        <f>COUNTIF(tweets!D:D,A736)</f>
        <v>1</v>
      </c>
      <c r="D736" t="s">
        <v>2398</v>
      </c>
      <c r="E736">
        <f>COUNTIF(tweets!C:C,D736)</f>
        <v>1</v>
      </c>
      <c r="I736"/>
      <c r="J736"/>
    </row>
    <row r="737" spans="1:10" x14ac:dyDescent="0.2">
      <c r="A737" t="s">
        <v>2976</v>
      </c>
      <c r="B737">
        <f>COUNTIF(tweets!D:D,A737)</f>
        <v>1</v>
      </c>
      <c r="D737" t="s">
        <v>2402</v>
      </c>
      <c r="E737">
        <f>COUNTIF(tweets!C:C,D737)</f>
        <v>1</v>
      </c>
      <c r="I737"/>
      <c r="J737"/>
    </row>
    <row r="738" spans="1:10" x14ac:dyDescent="0.2">
      <c r="A738" t="s">
        <v>5873</v>
      </c>
      <c r="B738">
        <f>COUNTIF(tweets!D:D,A738)</f>
        <v>1</v>
      </c>
      <c r="D738" t="s">
        <v>2405</v>
      </c>
      <c r="E738">
        <f>COUNTIF(tweets!C:C,D738)</f>
        <v>1</v>
      </c>
      <c r="I738"/>
      <c r="J738"/>
    </row>
    <row r="739" spans="1:10" x14ac:dyDescent="0.2">
      <c r="A739" t="s">
        <v>6569</v>
      </c>
      <c r="B739">
        <f>COUNTIF(tweets!D:D,A739)</f>
        <v>1</v>
      </c>
      <c r="D739" t="s">
        <v>2408</v>
      </c>
      <c r="E739">
        <f>COUNTIF(tweets!C:C,D739)</f>
        <v>1</v>
      </c>
      <c r="I739"/>
      <c r="J739"/>
    </row>
    <row r="740" spans="1:10" x14ac:dyDescent="0.2">
      <c r="A740" t="s">
        <v>6279</v>
      </c>
      <c r="B740">
        <f>COUNTIF(tweets!D:D,A740)</f>
        <v>1</v>
      </c>
      <c r="D740" t="s">
        <v>2412</v>
      </c>
      <c r="E740">
        <f>COUNTIF(tweets!C:C,D740)</f>
        <v>1</v>
      </c>
      <c r="I740"/>
      <c r="J740"/>
    </row>
    <row r="741" spans="1:10" x14ac:dyDescent="0.2">
      <c r="A741" t="s">
        <v>6914</v>
      </c>
      <c r="B741">
        <f>COUNTIF(tweets!D:D,A741)</f>
        <v>1</v>
      </c>
      <c r="D741" t="s">
        <v>2419</v>
      </c>
      <c r="E741">
        <f>COUNTIF(tweets!C:C,D741)</f>
        <v>1</v>
      </c>
      <c r="I741"/>
      <c r="J741"/>
    </row>
    <row r="742" spans="1:10" x14ac:dyDescent="0.2">
      <c r="A742" t="s">
        <v>4273</v>
      </c>
      <c r="B742">
        <f>COUNTIF(tweets!D:D,A742)</f>
        <v>1</v>
      </c>
      <c r="D742" t="s">
        <v>2423</v>
      </c>
      <c r="E742">
        <f>COUNTIF(tweets!C:C,D742)</f>
        <v>1</v>
      </c>
      <c r="I742"/>
      <c r="J742"/>
    </row>
    <row r="743" spans="1:10" x14ac:dyDescent="0.2">
      <c r="A743" t="s">
        <v>7110</v>
      </c>
      <c r="B743">
        <f>COUNTIF(tweets!D:D,A743)</f>
        <v>1</v>
      </c>
      <c r="D743" t="s">
        <v>2428</v>
      </c>
      <c r="E743">
        <f>COUNTIF(tweets!C:C,D743)</f>
        <v>1</v>
      </c>
      <c r="I743"/>
      <c r="J743"/>
    </row>
    <row r="744" spans="1:10" x14ac:dyDescent="0.2">
      <c r="A744" t="s">
        <v>1578</v>
      </c>
      <c r="B744">
        <f>COUNTIF(tweets!D:D,A744)</f>
        <v>1</v>
      </c>
      <c r="D744" t="s">
        <v>2431</v>
      </c>
      <c r="E744">
        <f>COUNTIF(tweets!C:C,D744)</f>
        <v>1</v>
      </c>
      <c r="I744"/>
      <c r="J744"/>
    </row>
    <row r="745" spans="1:10" x14ac:dyDescent="0.2">
      <c r="A745" t="s">
        <v>3429</v>
      </c>
      <c r="B745">
        <f>COUNTIF(tweets!D:D,A745)</f>
        <v>1</v>
      </c>
      <c r="D745" t="s">
        <v>2434</v>
      </c>
      <c r="E745">
        <f>COUNTIF(tweets!C:C,D745)</f>
        <v>1</v>
      </c>
      <c r="I745"/>
      <c r="J745"/>
    </row>
    <row r="746" spans="1:10" x14ac:dyDescent="0.2">
      <c r="A746" t="s">
        <v>2018</v>
      </c>
      <c r="B746">
        <f>COUNTIF(tweets!D:D,A746)</f>
        <v>1</v>
      </c>
      <c r="D746" t="s">
        <v>2438</v>
      </c>
      <c r="E746">
        <f>COUNTIF(tweets!C:C,D746)</f>
        <v>1</v>
      </c>
      <c r="I746"/>
      <c r="J746"/>
    </row>
    <row r="747" spans="1:10" x14ac:dyDescent="0.2">
      <c r="A747" t="s">
        <v>7490</v>
      </c>
      <c r="B747">
        <f>COUNTIF(tweets!D:D,A747)</f>
        <v>1</v>
      </c>
      <c r="D747" t="s">
        <v>2442</v>
      </c>
      <c r="E747">
        <f>COUNTIF(tweets!C:C,D747)</f>
        <v>1</v>
      </c>
      <c r="I747"/>
      <c r="J747"/>
    </row>
    <row r="748" spans="1:10" x14ac:dyDescent="0.2">
      <c r="A748" t="s">
        <v>4085</v>
      </c>
      <c r="B748">
        <f>COUNTIF(tweets!D:D,A748)</f>
        <v>1</v>
      </c>
      <c r="D748" t="s">
        <v>2448</v>
      </c>
      <c r="E748">
        <f>COUNTIF(tweets!C:C,D748)</f>
        <v>1</v>
      </c>
      <c r="I748"/>
      <c r="J748"/>
    </row>
    <row r="749" spans="1:10" x14ac:dyDescent="0.2">
      <c r="A749" t="s">
        <v>6107</v>
      </c>
      <c r="B749">
        <f>COUNTIF(tweets!D:D,A749)</f>
        <v>1</v>
      </c>
      <c r="D749" t="s">
        <v>2451</v>
      </c>
      <c r="E749">
        <f>COUNTIF(tweets!C:C,D749)</f>
        <v>1</v>
      </c>
      <c r="I749"/>
      <c r="J749"/>
    </row>
    <row r="750" spans="1:10" x14ac:dyDescent="0.2">
      <c r="A750" t="s">
        <v>7547</v>
      </c>
      <c r="B750">
        <f>COUNTIF(tweets!D:D,A750)</f>
        <v>1</v>
      </c>
      <c r="D750" t="s">
        <v>2455</v>
      </c>
      <c r="E750">
        <f>COUNTIF(tweets!C:C,D750)</f>
        <v>1</v>
      </c>
      <c r="I750"/>
      <c r="J750"/>
    </row>
    <row r="751" spans="1:10" x14ac:dyDescent="0.2">
      <c r="A751" t="s">
        <v>5531</v>
      </c>
      <c r="B751">
        <f>COUNTIF(tweets!D:D,A751)</f>
        <v>1</v>
      </c>
      <c r="D751" t="s">
        <v>2459</v>
      </c>
      <c r="E751">
        <f>COUNTIF(tweets!C:C,D751)</f>
        <v>1</v>
      </c>
      <c r="I751"/>
      <c r="J751"/>
    </row>
    <row r="752" spans="1:10" x14ac:dyDescent="0.2">
      <c r="A752" t="s">
        <v>213</v>
      </c>
      <c r="B752">
        <f>COUNTIF(tweets!D:D,A752)</f>
        <v>1</v>
      </c>
      <c r="D752" t="s">
        <v>2463</v>
      </c>
      <c r="E752">
        <f>COUNTIF(tweets!C:C,D752)</f>
        <v>1</v>
      </c>
      <c r="I752"/>
      <c r="J752"/>
    </row>
    <row r="753" spans="1:10" x14ac:dyDescent="0.2">
      <c r="A753" t="s">
        <v>1182</v>
      </c>
      <c r="B753">
        <f>COUNTIF(tweets!D:D,A753)</f>
        <v>1</v>
      </c>
      <c r="D753" t="s">
        <v>2472</v>
      </c>
      <c r="E753">
        <f>COUNTIF(tweets!C:C,D753)</f>
        <v>1</v>
      </c>
      <c r="I753"/>
      <c r="J753"/>
    </row>
    <row r="754" spans="1:10" x14ac:dyDescent="0.2">
      <c r="A754" t="s">
        <v>3016</v>
      </c>
      <c r="B754">
        <f>COUNTIF(tweets!D:D,A754)</f>
        <v>1</v>
      </c>
      <c r="D754" t="s">
        <v>2470</v>
      </c>
      <c r="E754">
        <f>COUNTIF(tweets!C:C,D754)</f>
        <v>1</v>
      </c>
      <c r="I754"/>
      <c r="J754"/>
    </row>
    <row r="755" spans="1:10" x14ac:dyDescent="0.2">
      <c r="A755" t="s">
        <v>5459</v>
      </c>
      <c r="B755">
        <f>COUNTIF(tweets!D:D,A755)</f>
        <v>1</v>
      </c>
      <c r="D755" t="s">
        <v>2475</v>
      </c>
      <c r="E755">
        <f>COUNTIF(tweets!C:C,D755)</f>
        <v>1</v>
      </c>
      <c r="I755"/>
      <c r="J755"/>
    </row>
    <row r="756" spans="1:10" x14ac:dyDescent="0.2">
      <c r="A756" t="s">
        <v>2439</v>
      </c>
      <c r="B756">
        <f>COUNTIF(tweets!D:D,A756)</f>
        <v>1</v>
      </c>
      <c r="D756" t="s">
        <v>2482</v>
      </c>
      <c r="E756">
        <f>COUNTIF(tweets!C:C,D756)</f>
        <v>1</v>
      </c>
      <c r="I756"/>
      <c r="J756"/>
    </row>
    <row r="757" spans="1:10" x14ac:dyDescent="0.2">
      <c r="A757" t="s">
        <v>3436</v>
      </c>
      <c r="B757">
        <f>COUNTIF(tweets!D:D,A757)</f>
        <v>1</v>
      </c>
      <c r="D757" t="s">
        <v>2489</v>
      </c>
      <c r="E757">
        <f>COUNTIF(tweets!C:C,D757)</f>
        <v>1</v>
      </c>
      <c r="I757"/>
      <c r="J757"/>
    </row>
    <row r="758" spans="1:10" x14ac:dyDescent="0.2">
      <c r="A758" t="s">
        <v>4221</v>
      </c>
      <c r="B758">
        <f>COUNTIF(tweets!D:D,A758)</f>
        <v>1</v>
      </c>
      <c r="D758" t="s">
        <v>2492</v>
      </c>
      <c r="E758">
        <f>COUNTIF(tweets!C:C,D758)</f>
        <v>1</v>
      </c>
      <c r="I758"/>
      <c r="J758"/>
    </row>
    <row r="759" spans="1:10" x14ac:dyDescent="0.2">
      <c r="A759" t="s">
        <v>4458</v>
      </c>
      <c r="B759">
        <f>COUNTIF(tweets!D:D,A759)</f>
        <v>1</v>
      </c>
      <c r="D759" t="s">
        <v>2496</v>
      </c>
      <c r="E759">
        <f>COUNTIF(tweets!C:C,D759)</f>
        <v>1</v>
      </c>
      <c r="I759"/>
      <c r="J759"/>
    </row>
    <row r="760" spans="1:10" x14ac:dyDescent="0.2">
      <c r="A760" t="s">
        <v>4016</v>
      </c>
      <c r="B760">
        <f>COUNTIF(tweets!D:D,A760)</f>
        <v>1</v>
      </c>
      <c r="D760" t="s">
        <v>2499</v>
      </c>
      <c r="E760">
        <f>COUNTIF(tweets!C:C,D760)</f>
        <v>1</v>
      </c>
      <c r="I760"/>
      <c r="J760"/>
    </row>
    <row r="761" spans="1:10" x14ac:dyDescent="0.2">
      <c r="A761" t="s">
        <v>3405</v>
      </c>
      <c r="B761">
        <f>COUNTIF(tweets!D:D,A761)</f>
        <v>1</v>
      </c>
      <c r="D761" t="s">
        <v>2504</v>
      </c>
      <c r="E761">
        <f>COUNTIF(tweets!C:C,D761)</f>
        <v>1</v>
      </c>
      <c r="I761"/>
      <c r="J761"/>
    </row>
    <row r="762" spans="1:10" x14ac:dyDescent="0.2">
      <c r="A762" t="s">
        <v>7616</v>
      </c>
      <c r="B762">
        <f>COUNTIF(tweets!D:D,A762)</f>
        <v>1</v>
      </c>
      <c r="D762" t="s">
        <v>2510</v>
      </c>
      <c r="E762">
        <f>COUNTIF(tweets!C:C,D762)</f>
        <v>1</v>
      </c>
      <c r="I762"/>
      <c r="J762"/>
    </row>
    <row r="763" spans="1:10" x14ac:dyDescent="0.2">
      <c r="A763" t="s">
        <v>4959</v>
      </c>
      <c r="B763">
        <f>COUNTIF(tweets!D:D,A763)</f>
        <v>1</v>
      </c>
      <c r="D763" t="s">
        <v>2514</v>
      </c>
      <c r="E763">
        <f>COUNTIF(tweets!C:C,D763)</f>
        <v>1</v>
      </c>
      <c r="I763"/>
      <c r="J763"/>
    </row>
    <row r="764" spans="1:10" x14ac:dyDescent="0.2">
      <c r="A764" t="s">
        <v>2137</v>
      </c>
      <c r="B764">
        <f>COUNTIF(tweets!D:D,A764)</f>
        <v>1</v>
      </c>
      <c r="D764" t="s">
        <v>2517</v>
      </c>
      <c r="E764">
        <f>COUNTIF(tweets!C:C,D764)</f>
        <v>1</v>
      </c>
      <c r="I764"/>
      <c r="J764"/>
    </row>
    <row r="765" spans="1:10" x14ac:dyDescent="0.2">
      <c r="A765" t="s">
        <v>2199</v>
      </c>
      <c r="B765">
        <f>COUNTIF(tweets!D:D,A765)</f>
        <v>1</v>
      </c>
      <c r="D765" t="s">
        <v>2522</v>
      </c>
      <c r="E765">
        <f>COUNTIF(tweets!C:C,D765)</f>
        <v>1</v>
      </c>
      <c r="I765"/>
      <c r="J765"/>
    </row>
    <row r="766" spans="1:10" x14ac:dyDescent="0.2">
      <c r="A766" t="s">
        <v>1207</v>
      </c>
      <c r="B766">
        <f>COUNTIF(tweets!D:D,A766)</f>
        <v>1</v>
      </c>
      <c r="D766" t="s">
        <v>2530</v>
      </c>
      <c r="E766">
        <f>COUNTIF(tweets!C:C,D766)</f>
        <v>1</v>
      </c>
      <c r="I766"/>
      <c r="J766"/>
    </row>
    <row r="767" spans="1:10" x14ac:dyDescent="0.2">
      <c r="A767" t="s">
        <v>6174</v>
      </c>
      <c r="B767">
        <f>COUNTIF(tweets!D:D,A767)</f>
        <v>1</v>
      </c>
      <c r="D767" t="s">
        <v>2533</v>
      </c>
      <c r="E767">
        <f>COUNTIF(tweets!C:C,D767)</f>
        <v>1</v>
      </c>
      <c r="I767"/>
      <c r="J767"/>
    </row>
    <row r="768" spans="1:10" x14ac:dyDescent="0.2">
      <c r="A768" t="s">
        <v>2696</v>
      </c>
      <c r="B768">
        <f>COUNTIF(tweets!D:D,A768)</f>
        <v>1</v>
      </c>
      <c r="D768" t="s">
        <v>2536</v>
      </c>
      <c r="E768">
        <f>COUNTIF(tweets!C:C,D768)</f>
        <v>1</v>
      </c>
      <c r="I768"/>
      <c r="J768"/>
    </row>
    <row r="769" spans="1:10" x14ac:dyDescent="0.2">
      <c r="A769" t="s">
        <v>2518</v>
      </c>
      <c r="B769">
        <f>COUNTIF(tweets!D:D,A769)</f>
        <v>1</v>
      </c>
      <c r="D769" t="s">
        <v>2539</v>
      </c>
      <c r="E769">
        <f>COUNTIF(tweets!C:C,D769)</f>
        <v>1</v>
      </c>
      <c r="I769"/>
      <c r="J769"/>
    </row>
    <row r="770" spans="1:10" x14ac:dyDescent="0.2">
      <c r="A770" t="s">
        <v>1598</v>
      </c>
      <c r="B770">
        <f>COUNTIF(tweets!D:D,A770)</f>
        <v>1</v>
      </c>
      <c r="D770" t="s">
        <v>2545</v>
      </c>
      <c r="E770">
        <f>COUNTIF(tweets!C:C,D770)</f>
        <v>1</v>
      </c>
      <c r="I770"/>
      <c r="J770"/>
    </row>
    <row r="771" spans="1:10" x14ac:dyDescent="0.2">
      <c r="A771" t="s">
        <v>7767</v>
      </c>
      <c r="B771">
        <f>COUNTIF(tweets!D:D,A771)</f>
        <v>1</v>
      </c>
      <c r="D771" t="s">
        <v>2551</v>
      </c>
      <c r="E771">
        <f>COUNTIF(tweets!C:C,D771)</f>
        <v>1</v>
      </c>
      <c r="I771"/>
      <c r="J771"/>
    </row>
    <row r="772" spans="1:10" x14ac:dyDescent="0.2">
      <c r="A772" t="s">
        <v>6283</v>
      </c>
      <c r="B772">
        <f>COUNTIF(tweets!D:D,A772)</f>
        <v>1</v>
      </c>
      <c r="D772" t="s">
        <v>2558</v>
      </c>
      <c r="E772">
        <f>COUNTIF(tweets!C:C,D772)</f>
        <v>1</v>
      </c>
      <c r="I772"/>
      <c r="J772"/>
    </row>
    <row r="773" spans="1:10" x14ac:dyDescent="0.2">
      <c r="A773" t="s">
        <v>7083</v>
      </c>
      <c r="B773">
        <f>COUNTIF(tweets!D:D,A773)</f>
        <v>1</v>
      </c>
      <c r="D773" t="s">
        <v>2562</v>
      </c>
      <c r="E773">
        <f>COUNTIF(tweets!C:C,D773)</f>
        <v>1</v>
      </c>
      <c r="I773"/>
      <c r="J773"/>
    </row>
    <row r="774" spans="1:10" x14ac:dyDescent="0.2">
      <c r="A774" t="s">
        <v>5281</v>
      </c>
      <c r="B774">
        <f>COUNTIF(tweets!D:D,A774)</f>
        <v>1</v>
      </c>
      <c r="D774" t="s">
        <v>2565</v>
      </c>
      <c r="E774">
        <f>COUNTIF(tweets!C:C,D774)</f>
        <v>1</v>
      </c>
      <c r="I774"/>
      <c r="J774"/>
    </row>
    <row r="775" spans="1:10" x14ac:dyDescent="0.2">
      <c r="A775" t="s">
        <v>642</v>
      </c>
      <c r="B775">
        <f>COUNTIF(tweets!D:D,A775)</f>
        <v>1</v>
      </c>
      <c r="D775" t="s">
        <v>2570</v>
      </c>
      <c r="E775">
        <f>COUNTIF(tweets!C:C,D775)</f>
        <v>1</v>
      </c>
      <c r="I775"/>
      <c r="J775"/>
    </row>
    <row r="776" spans="1:10" x14ac:dyDescent="0.2">
      <c r="A776" t="s">
        <v>8248</v>
      </c>
      <c r="B776">
        <f>COUNTIF(tweets!D:D,A776)</f>
        <v>1</v>
      </c>
      <c r="D776" t="s">
        <v>2576</v>
      </c>
      <c r="E776">
        <f>COUNTIF(tweets!C:C,D776)</f>
        <v>1</v>
      </c>
      <c r="I776"/>
      <c r="J776"/>
    </row>
    <row r="777" spans="1:10" x14ac:dyDescent="0.2">
      <c r="A777" t="s">
        <v>7211</v>
      </c>
      <c r="B777">
        <f>COUNTIF(tweets!D:D,A777)</f>
        <v>1</v>
      </c>
      <c r="D777" t="s">
        <v>2588</v>
      </c>
      <c r="E777">
        <f>COUNTIF(tweets!C:C,D777)</f>
        <v>1</v>
      </c>
      <c r="I777"/>
      <c r="J777"/>
    </row>
    <row r="778" spans="1:10" x14ac:dyDescent="0.2">
      <c r="A778" t="s">
        <v>5247</v>
      </c>
      <c r="B778">
        <f>COUNTIF(tweets!D:D,A778)</f>
        <v>1</v>
      </c>
      <c r="D778" t="s">
        <v>2592</v>
      </c>
      <c r="E778">
        <f>COUNTIF(tweets!C:C,D778)</f>
        <v>1</v>
      </c>
      <c r="I778"/>
      <c r="J778"/>
    </row>
    <row r="779" spans="1:10" x14ac:dyDescent="0.2">
      <c r="A779" t="s">
        <v>5782</v>
      </c>
      <c r="B779">
        <f>COUNTIF(tweets!D:D,A779)</f>
        <v>1</v>
      </c>
      <c r="D779" t="s">
        <v>2596</v>
      </c>
      <c r="E779">
        <f>COUNTIF(tweets!C:C,D779)</f>
        <v>1</v>
      </c>
      <c r="I779"/>
      <c r="J779"/>
    </row>
    <row r="780" spans="1:10" x14ac:dyDescent="0.2">
      <c r="A780" t="s">
        <v>8575</v>
      </c>
      <c r="B780">
        <f>COUNTIF(tweets!D:D,A780)</f>
        <v>1</v>
      </c>
      <c r="D780" t="s">
        <v>2601</v>
      </c>
      <c r="E780">
        <f>COUNTIF(tweets!C:C,D780)</f>
        <v>1</v>
      </c>
      <c r="I780"/>
      <c r="J780"/>
    </row>
    <row r="781" spans="1:10" x14ac:dyDescent="0.2">
      <c r="A781" t="s">
        <v>5646</v>
      </c>
      <c r="B781">
        <f>COUNTIF(tweets!D:D,A781)</f>
        <v>1</v>
      </c>
      <c r="D781" t="s">
        <v>2604</v>
      </c>
      <c r="E781">
        <f>COUNTIF(tweets!C:C,D781)</f>
        <v>1</v>
      </c>
      <c r="I781"/>
      <c r="J781"/>
    </row>
    <row r="782" spans="1:10" x14ac:dyDescent="0.2">
      <c r="A782" t="s">
        <v>6399</v>
      </c>
      <c r="B782">
        <f>COUNTIF(tweets!D:D,A782)</f>
        <v>1</v>
      </c>
      <c r="D782" t="s">
        <v>2607</v>
      </c>
      <c r="E782">
        <f>COUNTIF(tweets!C:C,D782)</f>
        <v>1</v>
      </c>
      <c r="I782"/>
      <c r="J782"/>
    </row>
    <row r="783" spans="1:10" x14ac:dyDescent="0.2">
      <c r="A783" t="s">
        <v>6826</v>
      </c>
      <c r="B783">
        <f>COUNTIF(tweets!D:D,A783)</f>
        <v>1</v>
      </c>
      <c r="D783" t="s">
        <v>2610</v>
      </c>
      <c r="E783">
        <f>COUNTIF(tweets!C:C,D783)</f>
        <v>1</v>
      </c>
      <c r="I783"/>
      <c r="J783"/>
    </row>
    <row r="784" spans="1:10" x14ac:dyDescent="0.2">
      <c r="A784" t="s">
        <v>1629</v>
      </c>
      <c r="B784">
        <f>COUNTIF(tweets!D:D,A784)</f>
        <v>1</v>
      </c>
      <c r="D784" t="s">
        <v>2614</v>
      </c>
      <c r="E784">
        <f>COUNTIF(tweets!C:C,D784)</f>
        <v>1</v>
      </c>
      <c r="I784"/>
      <c r="J784"/>
    </row>
    <row r="785" spans="1:10" x14ac:dyDescent="0.2">
      <c r="A785" t="s">
        <v>5909</v>
      </c>
      <c r="B785">
        <f>COUNTIF(tweets!D:D,A785)</f>
        <v>1</v>
      </c>
      <c r="D785" t="s">
        <v>2618</v>
      </c>
      <c r="E785">
        <f>COUNTIF(tweets!C:C,D785)</f>
        <v>1</v>
      </c>
      <c r="I785"/>
      <c r="J785"/>
    </row>
    <row r="786" spans="1:10" x14ac:dyDescent="0.2">
      <c r="A786" t="s">
        <v>7054</v>
      </c>
      <c r="B786">
        <f>COUNTIF(tweets!D:D,A786)</f>
        <v>1</v>
      </c>
      <c r="D786" t="s">
        <v>2622</v>
      </c>
      <c r="E786">
        <f>COUNTIF(tweets!C:C,D786)</f>
        <v>1</v>
      </c>
      <c r="I786"/>
      <c r="J786"/>
    </row>
    <row r="787" spans="1:10" x14ac:dyDescent="0.2">
      <c r="A787" t="s">
        <v>2882</v>
      </c>
      <c r="B787">
        <f>COUNTIF(tweets!D:D,A787)</f>
        <v>1</v>
      </c>
      <c r="D787" t="s">
        <v>2626</v>
      </c>
      <c r="E787">
        <f>COUNTIF(tweets!C:C,D787)</f>
        <v>1</v>
      </c>
      <c r="I787"/>
      <c r="J787"/>
    </row>
    <row r="788" spans="1:10" x14ac:dyDescent="0.2">
      <c r="A788" t="s">
        <v>4464</v>
      </c>
      <c r="B788">
        <f>COUNTIF(tweets!D:D,A788)</f>
        <v>1</v>
      </c>
      <c r="D788" t="s">
        <v>2629</v>
      </c>
      <c r="E788">
        <f>COUNTIF(tweets!C:C,D788)</f>
        <v>1</v>
      </c>
      <c r="I788"/>
      <c r="J788"/>
    </row>
    <row r="789" spans="1:10" x14ac:dyDescent="0.2">
      <c r="A789" t="s">
        <v>1882</v>
      </c>
      <c r="B789">
        <f>COUNTIF(tweets!D:D,A789)</f>
        <v>1</v>
      </c>
      <c r="D789" t="s">
        <v>2635</v>
      </c>
      <c r="E789">
        <f>COUNTIF(tweets!C:C,D789)</f>
        <v>1</v>
      </c>
      <c r="I789"/>
      <c r="J789"/>
    </row>
    <row r="790" spans="1:10" x14ac:dyDescent="0.2">
      <c r="A790" t="s">
        <v>8403</v>
      </c>
      <c r="B790">
        <f>COUNTIF(tweets!D:D,A790)</f>
        <v>1</v>
      </c>
      <c r="D790" t="s">
        <v>2639</v>
      </c>
      <c r="E790">
        <f>COUNTIF(tweets!C:C,D790)</f>
        <v>1</v>
      </c>
      <c r="I790"/>
      <c r="J790"/>
    </row>
    <row r="791" spans="1:10" x14ac:dyDescent="0.2">
      <c r="A791" t="s">
        <v>364</v>
      </c>
      <c r="B791">
        <f>COUNTIF(tweets!D:D,A791)</f>
        <v>1</v>
      </c>
      <c r="D791" t="s">
        <v>2642</v>
      </c>
      <c r="E791">
        <f>COUNTIF(tweets!C:C,D791)</f>
        <v>1</v>
      </c>
      <c r="I791"/>
      <c r="J791"/>
    </row>
    <row r="792" spans="1:10" x14ac:dyDescent="0.2">
      <c r="A792" t="s">
        <v>7519</v>
      </c>
      <c r="B792">
        <f>COUNTIF(tweets!D:D,A792)</f>
        <v>1</v>
      </c>
      <c r="D792" t="s">
        <v>2645</v>
      </c>
      <c r="E792">
        <f>COUNTIF(tweets!C:C,D792)</f>
        <v>1</v>
      </c>
      <c r="I792"/>
      <c r="J792"/>
    </row>
    <row r="793" spans="1:10" x14ac:dyDescent="0.2">
      <c r="A793" t="s">
        <v>5558</v>
      </c>
      <c r="B793">
        <f>COUNTIF(tweets!D:D,A793)</f>
        <v>1</v>
      </c>
      <c r="D793" t="s">
        <v>2649</v>
      </c>
      <c r="E793">
        <f>COUNTIF(tweets!C:C,D793)</f>
        <v>1</v>
      </c>
      <c r="I793"/>
      <c r="J793"/>
    </row>
    <row r="794" spans="1:10" x14ac:dyDescent="0.2">
      <c r="A794" t="s">
        <v>5379</v>
      </c>
      <c r="B794">
        <f>COUNTIF(tweets!D:D,A794)</f>
        <v>1</v>
      </c>
      <c r="D794" t="s">
        <v>2653</v>
      </c>
      <c r="E794">
        <f>COUNTIF(tweets!C:C,D794)</f>
        <v>1</v>
      </c>
      <c r="I794"/>
      <c r="J794"/>
    </row>
    <row r="795" spans="1:10" x14ac:dyDescent="0.2">
      <c r="A795" t="s">
        <v>6910</v>
      </c>
      <c r="B795">
        <f>COUNTIF(tweets!D:D,A795)</f>
        <v>1</v>
      </c>
      <c r="D795" t="s">
        <v>2657</v>
      </c>
      <c r="E795">
        <f>COUNTIF(tweets!C:C,D795)</f>
        <v>1</v>
      </c>
      <c r="I795"/>
      <c r="J795"/>
    </row>
    <row r="796" spans="1:10" x14ac:dyDescent="0.2">
      <c r="A796" t="s">
        <v>46</v>
      </c>
      <c r="B796">
        <f>COUNTIF(tweets!D:D,A796)</f>
        <v>1</v>
      </c>
      <c r="D796" t="s">
        <v>2661</v>
      </c>
      <c r="E796">
        <f>COUNTIF(tweets!C:C,D796)</f>
        <v>1</v>
      </c>
      <c r="I796"/>
      <c r="J796"/>
    </row>
    <row r="797" spans="1:10" x14ac:dyDescent="0.2">
      <c r="A797" t="s">
        <v>2409</v>
      </c>
      <c r="B797">
        <f>COUNTIF(tweets!D:D,A797)</f>
        <v>1</v>
      </c>
      <c r="D797" t="s">
        <v>2664</v>
      </c>
      <c r="E797">
        <f>COUNTIF(tweets!C:C,D797)</f>
        <v>1</v>
      </c>
      <c r="I797"/>
      <c r="J797"/>
    </row>
    <row r="798" spans="1:10" x14ac:dyDescent="0.2">
      <c r="A798" t="s">
        <v>1745</v>
      </c>
      <c r="B798">
        <f>COUNTIF(tweets!D:D,A798)</f>
        <v>1</v>
      </c>
      <c r="D798" t="s">
        <v>2668</v>
      </c>
      <c r="E798">
        <f>COUNTIF(tweets!C:C,D798)</f>
        <v>1</v>
      </c>
      <c r="I798"/>
      <c r="J798"/>
    </row>
    <row r="799" spans="1:10" x14ac:dyDescent="0.2">
      <c r="A799" t="s">
        <v>7672</v>
      </c>
      <c r="B799">
        <f>COUNTIF(tweets!D:D,A799)</f>
        <v>1</v>
      </c>
      <c r="D799" t="s">
        <v>2671</v>
      </c>
      <c r="E799">
        <f>COUNTIF(tweets!C:C,D799)</f>
        <v>1</v>
      </c>
      <c r="I799"/>
      <c r="J799"/>
    </row>
    <row r="800" spans="1:10" x14ac:dyDescent="0.2">
      <c r="A800" t="s">
        <v>1114</v>
      </c>
      <c r="B800">
        <f>COUNTIF(tweets!D:D,A800)</f>
        <v>1</v>
      </c>
      <c r="D800" t="s">
        <v>2674</v>
      </c>
      <c r="E800">
        <f>COUNTIF(tweets!C:C,D800)</f>
        <v>1</v>
      </c>
      <c r="I800"/>
      <c r="J800"/>
    </row>
    <row r="801" spans="1:10" x14ac:dyDescent="0.2">
      <c r="A801" t="s">
        <v>6197</v>
      </c>
      <c r="B801">
        <f>COUNTIF(tweets!D:D,A801)</f>
        <v>1</v>
      </c>
      <c r="D801" t="s">
        <v>2679</v>
      </c>
      <c r="E801">
        <f>COUNTIF(tweets!C:C,D801)</f>
        <v>1</v>
      </c>
      <c r="I801"/>
      <c r="J801"/>
    </row>
    <row r="802" spans="1:10" x14ac:dyDescent="0.2">
      <c r="A802" t="s">
        <v>4758</v>
      </c>
      <c r="B802">
        <f>COUNTIF(tweets!D:D,A802)</f>
        <v>1</v>
      </c>
      <c r="D802" t="s">
        <v>2682</v>
      </c>
      <c r="E802">
        <f>COUNTIF(tweets!C:C,D802)</f>
        <v>1</v>
      </c>
      <c r="I802"/>
      <c r="J802"/>
    </row>
    <row r="803" spans="1:10" x14ac:dyDescent="0.2">
      <c r="A803" t="s">
        <v>1668</v>
      </c>
      <c r="B803">
        <f>COUNTIF(tweets!D:D,A803)</f>
        <v>1</v>
      </c>
      <c r="D803" t="s">
        <v>2689</v>
      </c>
      <c r="E803">
        <f>COUNTIF(tweets!C:C,D803)</f>
        <v>1</v>
      </c>
      <c r="I803"/>
      <c r="J803"/>
    </row>
    <row r="804" spans="1:10" x14ac:dyDescent="0.2">
      <c r="A804" t="s">
        <v>4020</v>
      </c>
      <c r="B804">
        <f>COUNTIF(tweets!D:D,A804)</f>
        <v>1</v>
      </c>
      <c r="D804" t="s">
        <v>2692</v>
      </c>
      <c r="E804">
        <f>COUNTIF(tweets!C:C,D804)</f>
        <v>1</v>
      </c>
      <c r="I804"/>
      <c r="J804"/>
    </row>
    <row r="805" spans="1:10" x14ac:dyDescent="0.2">
      <c r="A805" t="s">
        <v>5422</v>
      </c>
      <c r="B805">
        <f>COUNTIF(tweets!D:D,A805)</f>
        <v>1</v>
      </c>
      <c r="D805" t="s">
        <v>2695</v>
      </c>
      <c r="E805">
        <f>COUNTIF(tweets!C:C,D805)</f>
        <v>1</v>
      </c>
      <c r="I805"/>
      <c r="J805"/>
    </row>
    <row r="806" spans="1:10" x14ac:dyDescent="0.2">
      <c r="A806" t="s">
        <v>4131</v>
      </c>
      <c r="B806">
        <f>COUNTIF(tweets!D:D,A806)</f>
        <v>1</v>
      </c>
      <c r="D806" t="s">
        <v>2699</v>
      </c>
      <c r="E806">
        <f>COUNTIF(tweets!C:C,D806)</f>
        <v>1</v>
      </c>
      <c r="I806"/>
      <c r="J806"/>
    </row>
    <row r="807" spans="1:10" x14ac:dyDescent="0.2">
      <c r="A807" t="s">
        <v>1161</v>
      </c>
      <c r="B807">
        <f>COUNTIF(tweets!D:D,A807)</f>
        <v>1</v>
      </c>
      <c r="D807" t="s">
        <v>2702</v>
      </c>
      <c r="E807">
        <f>COUNTIF(tweets!C:C,D807)</f>
        <v>1</v>
      </c>
      <c r="I807"/>
      <c r="J807"/>
    </row>
    <row r="808" spans="1:10" x14ac:dyDescent="0.2">
      <c r="A808" t="s">
        <v>8161</v>
      </c>
      <c r="B808">
        <f>COUNTIF(tweets!D:D,A808)</f>
        <v>1</v>
      </c>
      <c r="D808" t="s">
        <v>2707</v>
      </c>
      <c r="E808">
        <f>COUNTIF(tweets!C:C,D808)</f>
        <v>1</v>
      </c>
      <c r="I808"/>
      <c r="J808"/>
    </row>
    <row r="809" spans="1:10" x14ac:dyDescent="0.2">
      <c r="A809" t="s">
        <v>525</v>
      </c>
      <c r="B809">
        <f>COUNTIF(tweets!D:D,A809)</f>
        <v>1</v>
      </c>
      <c r="D809" t="s">
        <v>2711</v>
      </c>
      <c r="E809">
        <f>COUNTIF(tweets!C:C,D809)</f>
        <v>1</v>
      </c>
      <c r="I809"/>
      <c r="J809"/>
    </row>
    <row r="810" spans="1:10" x14ac:dyDescent="0.2">
      <c r="A810" t="s">
        <v>7505</v>
      </c>
      <c r="B810">
        <f>COUNTIF(tweets!D:D,A810)</f>
        <v>1</v>
      </c>
      <c r="D810" t="s">
        <v>2716</v>
      </c>
      <c r="E810">
        <f>COUNTIF(tweets!C:C,D810)</f>
        <v>1</v>
      </c>
      <c r="I810"/>
      <c r="J810"/>
    </row>
    <row r="811" spans="1:10" x14ac:dyDescent="0.2">
      <c r="A811" t="s">
        <v>3485</v>
      </c>
      <c r="B811">
        <f>COUNTIF(tweets!D:D,A811)</f>
        <v>1</v>
      </c>
      <c r="D811" t="s">
        <v>2724</v>
      </c>
      <c r="E811">
        <f>COUNTIF(tweets!C:C,D811)</f>
        <v>1</v>
      </c>
      <c r="I811"/>
      <c r="J811"/>
    </row>
    <row r="812" spans="1:10" x14ac:dyDescent="0.2">
      <c r="A812" t="s">
        <v>3080</v>
      </c>
      <c r="B812">
        <f>COUNTIF(tweets!D:D,A812)</f>
        <v>1</v>
      </c>
      <c r="D812" t="s">
        <v>2728</v>
      </c>
      <c r="E812">
        <f>COUNTIF(tweets!C:C,D812)</f>
        <v>1</v>
      </c>
      <c r="I812"/>
      <c r="J812"/>
    </row>
    <row r="813" spans="1:10" x14ac:dyDescent="0.2">
      <c r="A813" t="s">
        <v>5310</v>
      </c>
      <c r="B813">
        <f>COUNTIF(tweets!D:D,A813)</f>
        <v>1</v>
      </c>
      <c r="D813" t="s">
        <v>2733</v>
      </c>
      <c r="E813">
        <f>COUNTIF(tweets!C:C,D813)</f>
        <v>1</v>
      </c>
      <c r="I813"/>
      <c r="J813"/>
    </row>
    <row r="814" spans="1:10" x14ac:dyDescent="0.2">
      <c r="A814" t="s">
        <v>1379</v>
      </c>
      <c r="B814">
        <f>COUNTIF(tweets!D:D,A814)</f>
        <v>1</v>
      </c>
      <c r="D814" t="s">
        <v>2737</v>
      </c>
      <c r="E814">
        <f>COUNTIF(tweets!C:C,D814)</f>
        <v>1</v>
      </c>
      <c r="I814"/>
      <c r="J814"/>
    </row>
    <row r="815" spans="1:10" x14ac:dyDescent="0.2">
      <c r="A815" t="s">
        <v>8132</v>
      </c>
      <c r="B815">
        <f>COUNTIF(tweets!D:D,A815)</f>
        <v>1</v>
      </c>
      <c r="D815" t="s">
        <v>2741</v>
      </c>
      <c r="E815">
        <f>COUNTIF(tweets!C:C,D815)</f>
        <v>1</v>
      </c>
      <c r="I815"/>
      <c r="J815"/>
    </row>
    <row r="816" spans="1:10" x14ac:dyDescent="0.2">
      <c r="A816" t="s">
        <v>759</v>
      </c>
      <c r="B816">
        <f>COUNTIF(tweets!D:D,A816)</f>
        <v>1</v>
      </c>
      <c r="D816" t="s">
        <v>2749</v>
      </c>
      <c r="E816">
        <f>COUNTIF(tweets!C:C,D816)</f>
        <v>1</v>
      </c>
      <c r="I816"/>
      <c r="J816"/>
    </row>
    <row r="817" spans="1:10" x14ac:dyDescent="0.2">
      <c r="A817" t="s">
        <v>4320</v>
      </c>
      <c r="B817">
        <f>COUNTIF(tweets!D:D,A817)</f>
        <v>1</v>
      </c>
      <c r="D817" t="s">
        <v>2755</v>
      </c>
      <c r="E817">
        <f>COUNTIF(tweets!C:C,D817)</f>
        <v>1</v>
      </c>
      <c r="I817"/>
      <c r="J817"/>
    </row>
    <row r="818" spans="1:10" x14ac:dyDescent="0.2">
      <c r="A818" t="s">
        <v>3274</v>
      </c>
      <c r="B818">
        <f>COUNTIF(tweets!D:D,A818)</f>
        <v>1</v>
      </c>
      <c r="D818" t="s">
        <v>2758</v>
      </c>
      <c r="E818">
        <f>COUNTIF(tweets!C:C,D818)</f>
        <v>1</v>
      </c>
      <c r="I818"/>
      <c r="J818"/>
    </row>
    <row r="819" spans="1:10" x14ac:dyDescent="0.2">
      <c r="A819" t="s">
        <v>4696</v>
      </c>
      <c r="B819">
        <f>COUNTIF(tweets!D:D,A819)</f>
        <v>1</v>
      </c>
      <c r="D819" t="s">
        <v>2761</v>
      </c>
      <c r="E819">
        <f>COUNTIF(tweets!C:C,D819)</f>
        <v>1</v>
      </c>
      <c r="I819"/>
      <c r="J819"/>
    </row>
    <row r="820" spans="1:10" x14ac:dyDescent="0.2">
      <c r="A820" t="s">
        <v>8121</v>
      </c>
      <c r="B820">
        <f>COUNTIF(tweets!D:D,A820)</f>
        <v>1</v>
      </c>
      <c r="D820" t="s">
        <v>2768</v>
      </c>
      <c r="E820">
        <f>COUNTIF(tweets!C:C,D820)</f>
        <v>1</v>
      </c>
      <c r="I820"/>
      <c r="J820"/>
    </row>
    <row r="821" spans="1:10" x14ac:dyDescent="0.2">
      <c r="A821" t="s">
        <v>8292</v>
      </c>
      <c r="B821">
        <f>COUNTIF(tweets!D:D,A821)</f>
        <v>1</v>
      </c>
      <c r="D821" t="s">
        <v>2772</v>
      </c>
      <c r="E821">
        <f>COUNTIF(tweets!C:C,D821)</f>
        <v>1</v>
      </c>
      <c r="I821"/>
      <c r="J821"/>
    </row>
    <row r="822" spans="1:10" x14ac:dyDescent="0.2">
      <c r="A822" t="s">
        <v>6460</v>
      </c>
      <c r="B822">
        <f>COUNTIF(tweets!D:D,A822)</f>
        <v>1</v>
      </c>
      <c r="D822" t="s">
        <v>2776</v>
      </c>
      <c r="E822">
        <f>COUNTIF(tweets!C:C,D822)</f>
        <v>1</v>
      </c>
      <c r="I822"/>
      <c r="J822"/>
    </row>
    <row r="823" spans="1:10" x14ac:dyDescent="0.2">
      <c r="A823" t="s">
        <v>8026</v>
      </c>
      <c r="B823">
        <f>COUNTIF(tweets!D:D,A823)</f>
        <v>1</v>
      </c>
      <c r="D823" t="s">
        <v>2779</v>
      </c>
      <c r="E823">
        <f>COUNTIF(tweets!C:C,D823)</f>
        <v>1</v>
      </c>
      <c r="I823"/>
      <c r="J823"/>
    </row>
    <row r="824" spans="1:10" x14ac:dyDescent="0.2">
      <c r="A824" t="s">
        <v>1862</v>
      </c>
      <c r="B824">
        <f>COUNTIF(tweets!D:D,A824)</f>
        <v>1</v>
      </c>
      <c r="D824" t="s">
        <v>2782</v>
      </c>
      <c r="E824">
        <f>COUNTIF(tweets!C:C,D824)</f>
        <v>1</v>
      </c>
      <c r="I824"/>
      <c r="J824"/>
    </row>
    <row r="825" spans="1:10" x14ac:dyDescent="0.2">
      <c r="A825" t="s">
        <v>85</v>
      </c>
      <c r="B825">
        <f>COUNTIF(tweets!D:D,A825)</f>
        <v>1</v>
      </c>
      <c r="D825" t="s">
        <v>2786</v>
      </c>
      <c r="E825">
        <f>COUNTIF(tweets!C:C,D825)</f>
        <v>1</v>
      </c>
      <c r="I825"/>
      <c r="J825"/>
    </row>
    <row r="826" spans="1:10" x14ac:dyDescent="0.2">
      <c r="A826" t="s">
        <v>2149</v>
      </c>
      <c r="B826">
        <f>COUNTIF(tweets!D:D,A826)</f>
        <v>1</v>
      </c>
      <c r="D826" t="s">
        <v>2789</v>
      </c>
      <c r="E826">
        <f>COUNTIF(tweets!C:C,D826)</f>
        <v>1</v>
      </c>
      <c r="I826"/>
      <c r="J826"/>
    </row>
    <row r="827" spans="1:10" x14ac:dyDescent="0.2">
      <c r="A827" t="s">
        <v>6064</v>
      </c>
      <c r="B827">
        <f>COUNTIF(tweets!D:D,A827)</f>
        <v>1</v>
      </c>
      <c r="D827" t="s">
        <v>2793</v>
      </c>
      <c r="E827">
        <f>COUNTIF(tweets!C:C,D827)</f>
        <v>1</v>
      </c>
      <c r="I827"/>
      <c r="J827"/>
    </row>
    <row r="828" spans="1:10" x14ac:dyDescent="0.2">
      <c r="A828" t="s">
        <v>6948</v>
      </c>
      <c r="B828">
        <f>COUNTIF(tweets!D:D,A828)</f>
        <v>1</v>
      </c>
      <c r="D828" t="s">
        <v>2797</v>
      </c>
      <c r="E828">
        <f>COUNTIF(tweets!C:C,D828)</f>
        <v>1</v>
      </c>
      <c r="I828"/>
      <c r="J828"/>
    </row>
    <row r="829" spans="1:10" x14ac:dyDescent="0.2">
      <c r="A829" t="s">
        <v>6761</v>
      </c>
      <c r="B829">
        <f>COUNTIF(tweets!D:D,A829)</f>
        <v>1</v>
      </c>
      <c r="D829" t="s">
        <v>2801</v>
      </c>
      <c r="E829">
        <f>COUNTIF(tweets!C:C,D829)</f>
        <v>1</v>
      </c>
      <c r="I829"/>
      <c r="J829"/>
    </row>
    <row r="830" spans="1:10" x14ac:dyDescent="0.2">
      <c r="A830" t="s">
        <v>2840</v>
      </c>
      <c r="B830">
        <f>COUNTIF(tweets!D:D,A830)</f>
        <v>1</v>
      </c>
      <c r="D830" t="s">
        <v>2807</v>
      </c>
      <c r="E830">
        <f>COUNTIF(tweets!C:C,D830)</f>
        <v>1</v>
      </c>
      <c r="I830"/>
      <c r="J830"/>
    </row>
    <row r="831" spans="1:10" x14ac:dyDescent="0.2">
      <c r="A831" t="s">
        <v>6371</v>
      </c>
      <c r="B831">
        <f>COUNTIF(tweets!D:D,A831)</f>
        <v>1</v>
      </c>
      <c r="D831" t="s">
        <v>2810</v>
      </c>
      <c r="E831">
        <f>COUNTIF(tweets!C:C,D831)</f>
        <v>1</v>
      </c>
      <c r="I831"/>
      <c r="J831"/>
    </row>
    <row r="832" spans="1:10" x14ac:dyDescent="0.2">
      <c r="A832" t="s">
        <v>4640</v>
      </c>
      <c r="B832">
        <f>COUNTIF(tweets!D:D,A832)</f>
        <v>1</v>
      </c>
      <c r="D832" t="s">
        <v>2813</v>
      </c>
      <c r="E832">
        <f>COUNTIF(tweets!C:C,D832)</f>
        <v>1</v>
      </c>
      <c r="I832"/>
      <c r="J832"/>
    </row>
    <row r="833" spans="1:10" x14ac:dyDescent="0.2">
      <c r="A833" t="s">
        <v>531</v>
      </c>
      <c r="B833">
        <f>COUNTIF(tweets!D:D,A833)</f>
        <v>1</v>
      </c>
      <c r="D833" t="s">
        <v>2817</v>
      </c>
      <c r="E833">
        <f>COUNTIF(tweets!C:C,D833)</f>
        <v>1</v>
      </c>
      <c r="I833"/>
      <c r="J833"/>
    </row>
    <row r="834" spans="1:10" x14ac:dyDescent="0.2">
      <c r="A834" t="s">
        <v>6608</v>
      </c>
      <c r="B834">
        <f>COUNTIF(tweets!D:D,A834)</f>
        <v>1</v>
      </c>
      <c r="D834" t="s">
        <v>2820</v>
      </c>
      <c r="E834">
        <f>COUNTIF(tweets!C:C,D834)</f>
        <v>1</v>
      </c>
      <c r="I834"/>
      <c r="J834"/>
    </row>
    <row r="835" spans="1:10" x14ac:dyDescent="0.2">
      <c r="A835" t="s">
        <v>5104</v>
      </c>
      <c r="B835">
        <f>COUNTIF(tweets!D:D,A835)</f>
        <v>1</v>
      </c>
      <c r="D835" t="s">
        <v>2825</v>
      </c>
      <c r="E835">
        <f>COUNTIF(tweets!C:C,D835)</f>
        <v>1</v>
      </c>
      <c r="I835"/>
      <c r="J835"/>
    </row>
    <row r="836" spans="1:10" x14ac:dyDescent="0.2">
      <c r="A836" t="s">
        <v>271</v>
      </c>
      <c r="B836">
        <f>COUNTIF(tweets!D:D,A836)</f>
        <v>1</v>
      </c>
      <c r="D836" t="s">
        <v>2828</v>
      </c>
      <c r="E836">
        <f>COUNTIF(tweets!C:C,D836)</f>
        <v>1</v>
      </c>
      <c r="I836"/>
      <c r="J836"/>
    </row>
    <row r="837" spans="1:10" x14ac:dyDescent="0.2">
      <c r="A837" t="s">
        <v>2783</v>
      </c>
      <c r="B837">
        <f>COUNTIF(tweets!D:D,A837)</f>
        <v>1</v>
      </c>
      <c r="D837" t="s">
        <v>2832</v>
      </c>
      <c r="E837">
        <f>COUNTIF(tweets!C:C,D837)</f>
        <v>1</v>
      </c>
      <c r="I837"/>
      <c r="J837"/>
    </row>
    <row r="838" spans="1:10" x14ac:dyDescent="0.2">
      <c r="A838" t="s">
        <v>7139</v>
      </c>
      <c r="B838">
        <f>COUNTIF(tweets!D:D,A838)</f>
        <v>1</v>
      </c>
      <c r="D838" t="s">
        <v>2835</v>
      </c>
      <c r="E838">
        <f>COUNTIF(tweets!C:C,D838)</f>
        <v>1</v>
      </c>
      <c r="I838"/>
      <c r="J838"/>
    </row>
    <row r="839" spans="1:10" x14ac:dyDescent="0.2">
      <c r="A839" t="s">
        <v>6218</v>
      </c>
      <c r="B839">
        <f>COUNTIF(tweets!D:D,A839)</f>
        <v>1</v>
      </c>
      <c r="D839" t="s">
        <v>2839</v>
      </c>
      <c r="E839">
        <f>COUNTIF(tweets!C:C,D839)</f>
        <v>1</v>
      </c>
      <c r="I839"/>
      <c r="J839"/>
    </row>
    <row r="840" spans="1:10" x14ac:dyDescent="0.2">
      <c r="A840" t="s">
        <v>7239</v>
      </c>
      <c r="B840">
        <f>COUNTIF(tweets!D:D,A840)</f>
        <v>1</v>
      </c>
      <c r="D840" t="s">
        <v>2843</v>
      </c>
      <c r="E840">
        <f>COUNTIF(tweets!C:C,D840)</f>
        <v>1</v>
      </c>
      <c r="I840"/>
      <c r="J840"/>
    </row>
    <row r="841" spans="1:10" x14ac:dyDescent="0.2">
      <c r="A841" t="s">
        <v>3735</v>
      </c>
      <c r="B841">
        <f>COUNTIF(tweets!D:D,A841)</f>
        <v>1</v>
      </c>
      <c r="D841" t="s">
        <v>2846</v>
      </c>
      <c r="E841">
        <f>COUNTIF(tweets!C:C,D841)</f>
        <v>1</v>
      </c>
      <c r="I841"/>
      <c r="J841"/>
    </row>
    <row r="842" spans="1:10" x14ac:dyDescent="0.2">
      <c r="A842" t="s">
        <v>4099</v>
      </c>
      <c r="B842">
        <f>COUNTIF(tweets!D:D,A842)</f>
        <v>1</v>
      </c>
      <c r="D842" t="s">
        <v>2849</v>
      </c>
      <c r="E842">
        <f>COUNTIF(tweets!C:C,D842)</f>
        <v>1</v>
      </c>
      <c r="I842"/>
      <c r="J842"/>
    </row>
    <row r="843" spans="1:10" x14ac:dyDescent="0.2">
      <c r="A843" t="s">
        <v>1422</v>
      </c>
      <c r="B843">
        <f>COUNTIF(tweets!D:D,A843)</f>
        <v>1</v>
      </c>
      <c r="D843" t="s">
        <v>2852</v>
      </c>
      <c r="E843">
        <f>COUNTIF(tweets!C:C,D843)</f>
        <v>1</v>
      </c>
      <c r="I843"/>
      <c r="J843"/>
    </row>
    <row r="844" spans="1:10" x14ac:dyDescent="0.2">
      <c r="A844" t="s">
        <v>3611</v>
      </c>
      <c r="B844">
        <f>COUNTIF(tweets!D:D,A844)</f>
        <v>1</v>
      </c>
      <c r="D844" t="s">
        <v>2855</v>
      </c>
      <c r="E844">
        <f>COUNTIF(tweets!C:C,D844)</f>
        <v>1</v>
      </c>
      <c r="I844"/>
      <c r="J844"/>
    </row>
    <row r="845" spans="1:10" x14ac:dyDescent="0.2">
      <c r="A845" t="s">
        <v>7962</v>
      </c>
      <c r="B845">
        <f>COUNTIF(tweets!D:D,A845)</f>
        <v>1</v>
      </c>
      <c r="D845" t="s">
        <v>2861</v>
      </c>
      <c r="E845">
        <f>COUNTIF(tweets!C:C,D845)</f>
        <v>1</v>
      </c>
      <c r="I845"/>
      <c r="J845"/>
    </row>
    <row r="846" spans="1:10" x14ac:dyDescent="0.2">
      <c r="A846" t="s">
        <v>7226</v>
      </c>
      <c r="B846">
        <f>COUNTIF(tweets!D:D,A846)</f>
        <v>1</v>
      </c>
      <c r="D846" t="s">
        <v>2869</v>
      </c>
      <c r="E846">
        <f>COUNTIF(tweets!C:C,D846)</f>
        <v>1</v>
      </c>
      <c r="I846"/>
      <c r="J846"/>
    </row>
    <row r="847" spans="1:10" x14ac:dyDescent="0.2">
      <c r="A847" t="s">
        <v>668</v>
      </c>
      <c r="B847">
        <f>COUNTIF(tweets!D:D,A847)</f>
        <v>1</v>
      </c>
      <c r="D847" t="s">
        <v>2877</v>
      </c>
      <c r="E847">
        <f>COUNTIF(tweets!C:C,D847)</f>
        <v>1</v>
      </c>
      <c r="I847"/>
      <c r="J847"/>
    </row>
    <row r="848" spans="1:10" x14ac:dyDescent="0.2">
      <c r="A848" t="s">
        <v>5180</v>
      </c>
      <c r="B848">
        <f>COUNTIF(tweets!D:D,A848)</f>
        <v>1</v>
      </c>
      <c r="D848" t="s">
        <v>2881</v>
      </c>
      <c r="E848">
        <f>COUNTIF(tweets!C:C,D848)</f>
        <v>1</v>
      </c>
      <c r="I848"/>
      <c r="J848"/>
    </row>
    <row r="849" spans="1:10" x14ac:dyDescent="0.2">
      <c r="A849" t="s">
        <v>8236</v>
      </c>
      <c r="B849">
        <f>COUNTIF(tweets!D:D,A849)</f>
        <v>1</v>
      </c>
      <c r="D849" t="s">
        <v>2885</v>
      </c>
      <c r="E849">
        <f>COUNTIF(tweets!C:C,D849)</f>
        <v>1</v>
      </c>
      <c r="I849"/>
      <c r="J849"/>
    </row>
    <row r="850" spans="1:10" x14ac:dyDescent="0.2">
      <c r="A850" t="s">
        <v>3473</v>
      </c>
      <c r="B850">
        <f>COUNTIF(tweets!D:D,A850)</f>
        <v>1</v>
      </c>
      <c r="D850" t="s">
        <v>2894</v>
      </c>
      <c r="E850">
        <f>COUNTIF(tweets!C:C,D850)</f>
        <v>1</v>
      </c>
      <c r="I850"/>
      <c r="J850"/>
    </row>
    <row r="851" spans="1:10" x14ac:dyDescent="0.2">
      <c r="A851" t="s">
        <v>6068</v>
      </c>
      <c r="B851">
        <f>COUNTIF(tweets!D:D,A851)</f>
        <v>1</v>
      </c>
      <c r="D851" t="s">
        <v>2898</v>
      </c>
      <c r="E851">
        <f>COUNTIF(tweets!C:C,D851)</f>
        <v>1</v>
      </c>
      <c r="I851"/>
      <c r="J851"/>
    </row>
    <row r="852" spans="1:10" x14ac:dyDescent="0.2">
      <c r="A852" t="s">
        <v>8506</v>
      </c>
      <c r="B852">
        <f>COUNTIF(tweets!D:D,A852)</f>
        <v>1</v>
      </c>
      <c r="D852" t="s">
        <v>2901</v>
      </c>
      <c r="E852">
        <f>COUNTIF(tweets!C:C,D852)</f>
        <v>1</v>
      </c>
      <c r="I852"/>
      <c r="J852"/>
    </row>
    <row r="853" spans="1:10" x14ac:dyDescent="0.2">
      <c r="A853" t="s">
        <v>1403</v>
      </c>
      <c r="B853">
        <f>COUNTIF(tweets!D:D,A853)</f>
        <v>1</v>
      </c>
      <c r="D853" t="s">
        <v>2908</v>
      </c>
      <c r="E853">
        <f>COUNTIF(tweets!C:C,D853)</f>
        <v>1</v>
      </c>
      <c r="I853"/>
      <c r="J853"/>
    </row>
    <row r="854" spans="1:10" x14ac:dyDescent="0.2">
      <c r="A854" t="s">
        <v>5666</v>
      </c>
      <c r="B854">
        <f>COUNTIF(tweets!D:D,A854)</f>
        <v>1</v>
      </c>
      <c r="D854" t="s">
        <v>2911</v>
      </c>
      <c r="E854">
        <f>COUNTIF(tweets!C:C,D854)</f>
        <v>1</v>
      </c>
      <c r="I854"/>
      <c r="J854"/>
    </row>
    <row r="855" spans="1:10" x14ac:dyDescent="0.2">
      <c r="A855" t="s">
        <v>5455</v>
      </c>
      <c r="B855">
        <f>COUNTIF(tweets!D:D,A855)</f>
        <v>1</v>
      </c>
      <c r="D855" t="s">
        <v>2915</v>
      </c>
      <c r="E855">
        <f>COUNTIF(tweets!C:C,D855)</f>
        <v>1</v>
      </c>
      <c r="I855"/>
      <c r="J855"/>
    </row>
    <row r="856" spans="1:10" x14ac:dyDescent="0.2">
      <c r="A856" t="s">
        <v>3760</v>
      </c>
      <c r="B856">
        <f>COUNTIF(tweets!D:D,A856)</f>
        <v>1</v>
      </c>
      <c r="D856" t="s">
        <v>2919</v>
      </c>
      <c r="E856">
        <f>COUNTIF(tweets!C:C,D856)</f>
        <v>1</v>
      </c>
      <c r="I856"/>
      <c r="J856"/>
    </row>
    <row r="857" spans="1:10" x14ac:dyDescent="0.2">
      <c r="A857" t="s">
        <v>5993</v>
      </c>
      <c r="B857">
        <f>COUNTIF(tweets!D:D,A857)</f>
        <v>1</v>
      </c>
      <c r="D857" t="s">
        <v>2922</v>
      </c>
      <c r="E857">
        <f>COUNTIF(tweets!C:C,D857)</f>
        <v>1</v>
      </c>
      <c r="I857"/>
      <c r="J857"/>
    </row>
    <row r="858" spans="1:10" x14ac:dyDescent="0.2">
      <c r="A858" t="s">
        <v>2420</v>
      </c>
      <c r="B858">
        <f>COUNTIF(tweets!D:D,A858)</f>
        <v>1</v>
      </c>
      <c r="D858" t="s">
        <v>2941</v>
      </c>
      <c r="E858">
        <f>COUNTIF(tweets!C:C,D858)</f>
        <v>1</v>
      </c>
      <c r="I858"/>
      <c r="J858"/>
    </row>
    <row r="859" spans="1:10" x14ac:dyDescent="0.2">
      <c r="A859" t="s">
        <v>7624</v>
      </c>
      <c r="B859">
        <f>COUNTIF(tweets!D:D,A859)</f>
        <v>1</v>
      </c>
      <c r="D859" t="s">
        <v>2944</v>
      </c>
      <c r="E859">
        <f>COUNTIF(tweets!C:C,D859)</f>
        <v>1</v>
      </c>
      <c r="I859"/>
      <c r="J859"/>
    </row>
    <row r="860" spans="1:10" x14ac:dyDescent="0.2">
      <c r="A860" t="s">
        <v>7692</v>
      </c>
      <c r="B860">
        <f>COUNTIF(tweets!D:D,A860)</f>
        <v>1</v>
      </c>
      <c r="D860" t="s">
        <v>2947</v>
      </c>
      <c r="E860">
        <f>COUNTIF(tweets!C:C,D860)</f>
        <v>1</v>
      </c>
      <c r="I860"/>
      <c r="J860"/>
    </row>
    <row r="861" spans="1:10" x14ac:dyDescent="0.2">
      <c r="A861" t="s">
        <v>5387</v>
      </c>
      <c r="B861">
        <f>COUNTIF(tweets!D:D,A861)</f>
        <v>1</v>
      </c>
      <c r="D861" t="s">
        <v>2958</v>
      </c>
      <c r="E861">
        <f>COUNTIF(tweets!C:C,D861)</f>
        <v>1</v>
      </c>
      <c r="I861"/>
      <c r="J861"/>
    </row>
    <row r="862" spans="1:10" x14ac:dyDescent="0.2">
      <c r="A862" t="s">
        <v>5148</v>
      </c>
      <c r="B862">
        <f>COUNTIF(tweets!D:D,A862)</f>
        <v>1</v>
      </c>
      <c r="D862" t="s">
        <v>2963</v>
      </c>
      <c r="E862">
        <f>COUNTIF(tweets!C:C,D862)</f>
        <v>1</v>
      </c>
      <c r="I862"/>
      <c r="J862"/>
    </row>
    <row r="863" spans="1:10" x14ac:dyDescent="0.2">
      <c r="A863" t="s">
        <v>2717</v>
      </c>
      <c r="B863">
        <f>COUNTIF(tweets!D:D,A863)</f>
        <v>1</v>
      </c>
      <c r="D863" t="s">
        <v>2969</v>
      </c>
      <c r="E863">
        <f>COUNTIF(tweets!C:C,D863)</f>
        <v>1</v>
      </c>
      <c r="I863"/>
      <c r="J863"/>
    </row>
    <row r="864" spans="1:10" x14ac:dyDescent="0.2">
      <c r="A864" t="s">
        <v>2769</v>
      </c>
      <c r="B864">
        <f>COUNTIF(tweets!D:D,A864)</f>
        <v>1</v>
      </c>
      <c r="D864" t="s">
        <v>2966</v>
      </c>
      <c r="E864">
        <f>COUNTIF(tweets!C:C,D864)</f>
        <v>1</v>
      </c>
      <c r="I864"/>
      <c r="J864"/>
    </row>
    <row r="865" spans="1:10" x14ac:dyDescent="0.2">
      <c r="A865" t="s">
        <v>5937</v>
      </c>
      <c r="B865">
        <f>COUNTIF(tweets!D:D,A865)</f>
        <v>1</v>
      </c>
      <c r="D865" t="s">
        <v>2973</v>
      </c>
      <c r="E865">
        <f>COUNTIF(tweets!C:C,D865)</f>
        <v>1</v>
      </c>
      <c r="I865"/>
      <c r="J865"/>
    </row>
    <row r="866" spans="1:10" x14ac:dyDescent="0.2">
      <c r="A866" t="s">
        <v>4259</v>
      </c>
      <c r="B866">
        <f>COUNTIF(tweets!D:D,A866)</f>
        <v>1</v>
      </c>
      <c r="D866" t="s">
        <v>2975</v>
      </c>
      <c r="E866">
        <f>COUNTIF(tweets!C:C,D866)</f>
        <v>1</v>
      </c>
      <c r="I866"/>
      <c r="J866"/>
    </row>
    <row r="867" spans="1:10" x14ac:dyDescent="0.2">
      <c r="A867" t="s">
        <v>5396</v>
      </c>
      <c r="B867">
        <f>COUNTIF(tweets!D:D,A867)</f>
        <v>1</v>
      </c>
      <c r="D867" t="s">
        <v>2978</v>
      </c>
      <c r="E867">
        <f>COUNTIF(tweets!C:C,D867)</f>
        <v>1</v>
      </c>
      <c r="I867"/>
      <c r="J867"/>
    </row>
    <row r="868" spans="1:10" x14ac:dyDescent="0.2">
      <c r="A868" t="s">
        <v>982</v>
      </c>
      <c r="B868">
        <f>COUNTIF(tweets!D:D,A868)</f>
        <v>1</v>
      </c>
      <c r="D868" t="s">
        <v>2981</v>
      </c>
      <c r="E868">
        <f>COUNTIF(tweets!C:C,D868)</f>
        <v>1</v>
      </c>
      <c r="I868"/>
      <c r="J868"/>
    </row>
    <row r="869" spans="1:10" x14ac:dyDescent="0.2">
      <c r="A869" t="s">
        <v>6662</v>
      </c>
      <c r="B869">
        <f>COUNTIF(tweets!D:D,A869)</f>
        <v>1</v>
      </c>
      <c r="D869" t="s">
        <v>2986</v>
      </c>
      <c r="E869">
        <f>COUNTIF(tweets!C:C,D869)</f>
        <v>1</v>
      </c>
      <c r="I869"/>
      <c r="J869"/>
    </row>
    <row r="870" spans="1:10" x14ac:dyDescent="0.2">
      <c r="A870" t="s">
        <v>3678</v>
      </c>
      <c r="B870">
        <f>COUNTIF(tweets!D:D,A870)</f>
        <v>1</v>
      </c>
      <c r="D870" t="s">
        <v>2993</v>
      </c>
      <c r="E870">
        <f>COUNTIF(tweets!C:C,D870)</f>
        <v>1</v>
      </c>
      <c r="I870"/>
      <c r="J870"/>
    </row>
    <row r="871" spans="1:10" x14ac:dyDescent="0.2">
      <c r="A871" t="s">
        <v>2413</v>
      </c>
      <c r="B871">
        <f>COUNTIF(tweets!D:D,A871)</f>
        <v>1</v>
      </c>
      <c r="D871" t="s">
        <v>2997</v>
      </c>
      <c r="E871">
        <f>COUNTIF(tweets!C:C,D871)</f>
        <v>1</v>
      </c>
      <c r="I871"/>
      <c r="J871"/>
    </row>
    <row r="872" spans="1:10" x14ac:dyDescent="0.2">
      <c r="A872" t="s">
        <v>7402</v>
      </c>
      <c r="B872">
        <f>COUNTIF(tweets!D:D,A872)</f>
        <v>1</v>
      </c>
      <c r="D872" t="s">
        <v>2996</v>
      </c>
      <c r="E872">
        <f>COUNTIF(tweets!C:C,D872)</f>
        <v>1</v>
      </c>
      <c r="I872"/>
      <c r="J872"/>
    </row>
    <row r="873" spans="1:10" x14ac:dyDescent="0.2">
      <c r="A873" t="s">
        <v>3513</v>
      </c>
      <c r="B873">
        <f>COUNTIF(tweets!D:D,A873)</f>
        <v>1</v>
      </c>
      <c r="D873" t="s">
        <v>3001</v>
      </c>
      <c r="E873">
        <f>COUNTIF(tweets!C:C,D873)</f>
        <v>1</v>
      </c>
      <c r="I873"/>
      <c r="J873"/>
    </row>
    <row r="874" spans="1:10" x14ac:dyDescent="0.2">
      <c r="A874" t="s">
        <v>5806</v>
      </c>
      <c r="B874">
        <f>COUNTIF(tweets!D:D,A874)</f>
        <v>1</v>
      </c>
      <c r="D874" t="s">
        <v>3004</v>
      </c>
      <c r="E874">
        <f>COUNTIF(tweets!C:C,D874)</f>
        <v>1</v>
      </c>
      <c r="I874"/>
      <c r="J874"/>
    </row>
    <row r="875" spans="1:10" x14ac:dyDescent="0.2">
      <c r="A875" t="s">
        <v>2540</v>
      </c>
      <c r="B875">
        <f>COUNTIF(tweets!D:D,A875)</f>
        <v>1</v>
      </c>
      <c r="D875" t="s">
        <v>3007</v>
      </c>
      <c r="E875">
        <f>COUNTIF(tweets!C:C,D875)</f>
        <v>1</v>
      </c>
      <c r="I875"/>
      <c r="J875"/>
    </row>
    <row r="876" spans="1:10" x14ac:dyDescent="0.2">
      <c r="A876" t="s">
        <v>1610</v>
      </c>
      <c r="B876">
        <f>COUNTIF(tweets!D:D,A876)</f>
        <v>1</v>
      </c>
      <c r="D876" t="s">
        <v>3011</v>
      </c>
      <c r="E876">
        <f>COUNTIF(tweets!C:C,D876)</f>
        <v>1</v>
      </c>
      <c r="I876"/>
      <c r="J876"/>
    </row>
    <row r="877" spans="1:10" x14ac:dyDescent="0.2">
      <c r="A877" t="s">
        <v>4376</v>
      </c>
      <c r="B877">
        <f>COUNTIF(tweets!D:D,A877)</f>
        <v>1</v>
      </c>
      <c r="D877" t="s">
        <v>3015</v>
      </c>
      <c r="E877">
        <f>COUNTIF(tweets!C:C,D877)</f>
        <v>1</v>
      </c>
      <c r="I877"/>
      <c r="J877"/>
    </row>
    <row r="878" spans="1:10" x14ac:dyDescent="0.2">
      <c r="A878" t="s">
        <v>5689</v>
      </c>
      <c r="B878">
        <f>COUNTIF(tweets!D:D,A878)</f>
        <v>1</v>
      </c>
      <c r="D878" t="s">
        <v>3020</v>
      </c>
      <c r="E878">
        <f>COUNTIF(tweets!C:C,D878)</f>
        <v>1</v>
      </c>
      <c r="I878"/>
      <c r="J878"/>
    </row>
    <row r="879" spans="1:10" x14ac:dyDescent="0.2">
      <c r="A879" t="s">
        <v>6559</v>
      </c>
      <c r="B879">
        <f>COUNTIF(tweets!D:D,A879)</f>
        <v>1</v>
      </c>
      <c r="D879" t="s">
        <v>3028</v>
      </c>
      <c r="E879">
        <f>COUNTIF(tweets!C:C,D879)</f>
        <v>1</v>
      </c>
      <c r="I879"/>
      <c r="J879"/>
    </row>
    <row r="880" spans="1:10" x14ac:dyDescent="0.2">
      <c r="A880" t="s">
        <v>224</v>
      </c>
      <c r="B880">
        <f>COUNTIF(tweets!D:D,A880)</f>
        <v>1</v>
      </c>
      <c r="D880" t="s">
        <v>3031</v>
      </c>
      <c r="E880">
        <f>COUNTIF(tweets!C:C,D880)</f>
        <v>1</v>
      </c>
      <c r="I880"/>
      <c r="J880"/>
    </row>
    <row r="881" spans="1:10" x14ac:dyDescent="0.2">
      <c r="A881" t="s">
        <v>5489</v>
      </c>
      <c r="B881">
        <f>COUNTIF(tweets!D:D,A881)</f>
        <v>1</v>
      </c>
      <c r="D881" t="s">
        <v>3036</v>
      </c>
      <c r="E881">
        <f>COUNTIF(tweets!C:C,D881)</f>
        <v>1</v>
      </c>
      <c r="I881"/>
      <c r="J881"/>
    </row>
    <row r="882" spans="1:10" x14ac:dyDescent="0.2">
      <c r="A882" t="s">
        <v>1352</v>
      </c>
      <c r="B882">
        <f>COUNTIF(tweets!D:D,A882)</f>
        <v>1</v>
      </c>
      <c r="D882" t="s">
        <v>3038</v>
      </c>
      <c r="E882">
        <f>COUNTIF(tweets!C:C,D882)</f>
        <v>1</v>
      </c>
      <c r="I882"/>
      <c r="J882"/>
    </row>
    <row r="883" spans="1:10" x14ac:dyDescent="0.2">
      <c r="A883" t="s">
        <v>8263</v>
      </c>
      <c r="B883">
        <f>COUNTIF(tweets!D:D,A883)</f>
        <v>1</v>
      </c>
      <c r="D883" t="s">
        <v>3042</v>
      </c>
      <c r="E883">
        <f>COUNTIF(tweets!C:C,D883)</f>
        <v>1</v>
      </c>
      <c r="I883"/>
      <c r="J883"/>
    </row>
    <row r="884" spans="1:10" x14ac:dyDescent="0.2">
      <c r="A884" t="s">
        <v>1411</v>
      </c>
      <c r="B884">
        <f>COUNTIF(tweets!D:D,A884)</f>
        <v>1</v>
      </c>
      <c r="D884" t="s">
        <v>3045</v>
      </c>
      <c r="E884">
        <f>COUNTIF(tweets!C:C,D884)</f>
        <v>1</v>
      </c>
      <c r="I884"/>
      <c r="J884"/>
    </row>
    <row r="885" spans="1:10" x14ac:dyDescent="0.2">
      <c r="A885" t="s">
        <v>4280</v>
      </c>
      <c r="B885">
        <f>COUNTIF(tweets!D:D,A885)</f>
        <v>1</v>
      </c>
      <c r="D885" t="s">
        <v>3049</v>
      </c>
      <c r="E885">
        <f>COUNTIF(tweets!C:C,D885)</f>
        <v>1</v>
      </c>
      <c r="I885"/>
      <c r="J885"/>
    </row>
    <row r="886" spans="1:10" x14ac:dyDescent="0.2">
      <c r="A886" t="s">
        <v>2493</v>
      </c>
      <c r="B886">
        <f>COUNTIF(tweets!D:D,A886)</f>
        <v>1</v>
      </c>
      <c r="D886" t="s">
        <v>3052</v>
      </c>
      <c r="E886">
        <f>COUNTIF(tweets!C:C,D886)</f>
        <v>1</v>
      </c>
      <c r="I886"/>
      <c r="J886"/>
    </row>
    <row r="887" spans="1:10" x14ac:dyDescent="0.2">
      <c r="A887" t="s">
        <v>5093</v>
      </c>
      <c r="B887">
        <f>COUNTIF(tweets!D:D,A887)</f>
        <v>1</v>
      </c>
      <c r="D887" t="s">
        <v>3055</v>
      </c>
      <c r="E887">
        <f>COUNTIF(tweets!C:C,D887)</f>
        <v>1</v>
      </c>
      <c r="I887"/>
      <c r="J887"/>
    </row>
    <row r="888" spans="1:10" x14ac:dyDescent="0.2">
      <c r="A888" t="s">
        <v>2456</v>
      </c>
      <c r="B888">
        <f>COUNTIF(tweets!D:D,A888)</f>
        <v>1</v>
      </c>
      <c r="D888" t="s">
        <v>3058</v>
      </c>
      <c r="E888">
        <f>COUNTIF(tweets!C:C,D888)</f>
        <v>1</v>
      </c>
      <c r="I888"/>
      <c r="J888"/>
    </row>
    <row r="889" spans="1:10" x14ac:dyDescent="0.2">
      <c r="A889" t="s">
        <v>6612</v>
      </c>
      <c r="B889">
        <f>COUNTIF(tweets!D:D,A889)</f>
        <v>1</v>
      </c>
      <c r="D889" t="s">
        <v>3060</v>
      </c>
      <c r="E889">
        <f>COUNTIF(tweets!C:C,D889)</f>
        <v>1</v>
      </c>
      <c r="I889"/>
      <c r="J889"/>
    </row>
    <row r="890" spans="1:10" x14ac:dyDescent="0.2">
      <c r="A890" t="s">
        <v>4409</v>
      </c>
      <c r="B890">
        <f>COUNTIF(tweets!D:D,A890)</f>
        <v>1</v>
      </c>
      <c r="D890" t="s">
        <v>3064</v>
      </c>
      <c r="E890">
        <f>COUNTIF(tweets!C:C,D890)</f>
        <v>1</v>
      </c>
      <c r="I890"/>
      <c r="J890"/>
    </row>
    <row r="891" spans="1:10" x14ac:dyDescent="0.2">
      <c r="A891" t="s">
        <v>5987</v>
      </c>
      <c r="B891">
        <f>COUNTIF(tweets!D:D,A891)</f>
        <v>1</v>
      </c>
      <c r="D891" t="s">
        <v>3069</v>
      </c>
      <c r="E891">
        <f>COUNTIF(tweets!C:C,D891)</f>
        <v>1</v>
      </c>
      <c r="I891"/>
      <c r="J891"/>
    </row>
    <row r="892" spans="1:10" x14ac:dyDescent="0.2">
      <c r="A892" t="s">
        <v>8259</v>
      </c>
      <c r="B892">
        <f>COUNTIF(tweets!D:D,A892)</f>
        <v>1</v>
      </c>
      <c r="D892" t="s">
        <v>3071</v>
      </c>
      <c r="E892">
        <f>COUNTIF(tweets!C:C,D892)</f>
        <v>1</v>
      </c>
      <c r="I892"/>
      <c r="J892"/>
    </row>
    <row r="893" spans="1:10" x14ac:dyDescent="0.2">
      <c r="A893" t="s">
        <v>7792</v>
      </c>
      <c r="B893">
        <f>COUNTIF(tweets!D:D,A893)</f>
        <v>1</v>
      </c>
      <c r="D893" t="s">
        <v>3079</v>
      </c>
      <c r="E893">
        <f>COUNTIF(tweets!C:C,D893)</f>
        <v>1</v>
      </c>
      <c r="I893"/>
      <c r="J893"/>
    </row>
    <row r="894" spans="1:10" x14ac:dyDescent="0.2">
      <c r="A894" t="s">
        <v>2798</v>
      </c>
      <c r="B894">
        <f>COUNTIF(tweets!D:D,A894)</f>
        <v>1</v>
      </c>
      <c r="D894" t="s">
        <v>3083</v>
      </c>
      <c r="E894">
        <f>COUNTIF(tweets!C:C,D894)</f>
        <v>1</v>
      </c>
      <c r="I894"/>
      <c r="J894"/>
    </row>
    <row r="895" spans="1:10" x14ac:dyDescent="0.2">
      <c r="A895" t="s">
        <v>8180</v>
      </c>
      <c r="B895">
        <f>COUNTIF(tweets!D:D,A895)</f>
        <v>1</v>
      </c>
      <c r="D895" t="s">
        <v>3090</v>
      </c>
      <c r="E895">
        <f>COUNTIF(tweets!C:C,D895)</f>
        <v>1</v>
      </c>
      <c r="I895"/>
      <c r="J895"/>
    </row>
    <row r="896" spans="1:10" x14ac:dyDescent="0.2">
      <c r="A896" t="s">
        <v>4540</v>
      </c>
      <c r="B896">
        <f>COUNTIF(tweets!D:D,A896)</f>
        <v>1</v>
      </c>
      <c r="D896" t="s">
        <v>3093</v>
      </c>
      <c r="E896">
        <f>COUNTIF(tweets!C:C,D896)</f>
        <v>1</v>
      </c>
      <c r="I896"/>
      <c r="J896"/>
    </row>
    <row r="897" spans="1:10" x14ac:dyDescent="0.2">
      <c r="A897" t="s">
        <v>3258</v>
      </c>
      <c r="B897">
        <f>COUNTIF(tweets!D:D,A897)</f>
        <v>1</v>
      </c>
      <c r="D897" t="s">
        <v>3097</v>
      </c>
      <c r="E897">
        <f>COUNTIF(tweets!C:C,D897)</f>
        <v>1</v>
      </c>
      <c r="I897"/>
      <c r="J897"/>
    </row>
    <row r="898" spans="1:10" x14ac:dyDescent="0.2">
      <c r="A898" t="s">
        <v>4793</v>
      </c>
      <c r="B898">
        <f>COUNTIF(tweets!D:D,A898)</f>
        <v>1</v>
      </c>
      <c r="D898" t="s">
        <v>3100</v>
      </c>
      <c r="E898">
        <f>COUNTIF(tweets!C:C,D898)</f>
        <v>1</v>
      </c>
      <c r="I898"/>
      <c r="J898"/>
    </row>
    <row r="899" spans="1:10" x14ac:dyDescent="0.2">
      <c r="A899" t="s">
        <v>3374</v>
      </c>
      <c r="B899">
        <f>COUNTIF(tweets!D:D,A899)</f>
        <v>1</v>
      </c>
      <c r="D899" t="s">
        <v>3103</v>
      </c>
      <c r="E899">
        <f>COUNTIF(tweets!C:C,D899)</f>
        <v>1</v>
      </c>
      <c r="I899"/>
      <c r="J899"/>
    </row>
    <row r="900" spans="1:10" x14ac:dyDescent="0.2">
      <c r="A900" t="s">
        <v>539</v>
      </c>
      <c r="B900">
        <f>COUNTIF(tweets!D:D,A900)</f>
        <v>1</v>
      </c>
      <c r="D900" t="s">
        <v>3113</v>
      </c>
      <c r="E900">
        <f>COUNTIF(tweets!C:C,D900)</f>
        <v>1</v>
      </c>
      <c r="I900"/>
      <c r="J900"/>
    </row>
    <row r="901" spans="1:10" x14ac:dyDescent="0.2">
      <c r="A901" t="s">
        <v>6036</v>
      </c>
      <c r="B901">
        <f>COUNTIF(tweets!D:D,A901)</f>
        <v>1</v>
      </c>
      <c r="D901" t="s">
        <v>3116</v>
      </c>
      <c r="E901">
        <f>COUNTIF(tweets!C:C,D901)</f>
        <v>1</v>
      </c>
      <c r="I901"/>
      <c r="J901"/>
    </row>
    <row r="902" spans="1:10" x14ac:dyDescent="0.2">
      <c r="A902" t="s">
        <v>4835</v>
      </c>
      <c r="B902">
        <f>COUNTIF(tweets!D:D,A902)</f>
        <v>1</v>
      </c>
      <c r="D902" t="s">
        <v>3120</v>
      </c>
      <c r="E902">
        <f>COUNTIF(tweets!C:C,D902)</f>
        <v>1</v>
      </c>
      <c r="I902"/>
      <c r="J902"/>
    </row>
    <row r="903" spans="1:10" x14ac:dyDescent="0.2">
      <c r="A903" t="s">
        <v>1201</v>
      </c>
      <c r="B903">
        <f>COUNTIF(tweets!D:D,A903)</f>
        <v>1</v>
      </c>
      <c r="D903" t="s">
        <v>3124</v>
      </c>
      <c r="E903">
        <f>COUNTIF(tweets!C:C,D903)</f>
        <v>1</v>
      </c>
      <c r="I903"/>
      <c r="J903"/>
    </row>
    <row r="904" spans="1:10" x14ac:dyDescent="0.2">
      <c r="A904" t="s">
        <v>6273</v>
      </c>
      <c r="B904">
        <f>COUNTIF(tweets!D:D,A904)</f>
        <v>1</v>
      </c>
      <c r="D904" t="s">
        <v>3128</v>
      </c>
      <c r="E904">
        <f>COUNTIF(tweets!C:C,D904)</f>
        <v>1</v>
      </c>
      <c r="I904"/>
      <c r="J904"/>
    </row>
    <row r="905" spans="1:10" x14ac:dyDescent="0.2">
      <c r="A905" t="s">
        <v>6245</v>
      </c>
      <c r="B905">
        <f>COUNTIF(tweets!D:D,A905)</f>
        <v>1</v>
      </c>
      <c r="D905" t="s">
        <v>3133</v>
      </c>
      <c r="E905">
        <f>COUNTIF(tweets!C:C,D905)</f>
        <v>1</v>
      </c>
      <c r="I905"/>
      <c r="J905"/>
    </row>
    <row r="906" spans="1:10" x14ac:dyDescent="0.2">
      <c r="A906" t="s">
        <v>4150</v>
      </c>
      <c r="B906">
        <f>COUNTIF(tweets!D:D,A906)</f>
        <v>1</v>
      </c>
      <c r="D906" t="s">
        <v>3136</v>
      </c>
      <c r="E906">
        <f>COUNTIF(tweets!C:C,D906)</f>
        <v>1</v>
      </c>
      <c r="I906"/>
      <c r="J906"/>
    </row>
    <row r="907" spans="1:10" x14ac:dyDescent="0.2">
      <c r="A907" t="s">
        <v>3159</v>
      </c>
      <c r="B907">
        <f>COUNTIF(tweets!D:D,A907)</f>
        <v>1</v>
      </c>
      <c r="D907" t="s">
        <v>3144</v>
      </c>
      <c r="E907">
        <f>COUNTIF(tweets!C:C,D907)</f>
        <v>1</v>
      </c>
      <c r="I907"/>
      <c r="J907"/>
    </row>
    <row r="908" spans="1:10" x14ac:dyDescent="0.2">
      <c r="A908" t="s">
        <v>2231</v>
      </c>
      <c r="B908">
        <f>COUNTIF(tweets!D:D,A908)</f>
        <v>1</v>
      </c>
      <c r="D908" t="s">
        <v>3150</v>
      </c>
      <c r="E908">
        <f>COUNTIF(tweets!C:C,D908)</f>
        <v>1</v>
      </c>
      <c r="I908"/>
      <c r="J908"/>
    </row>
    <row r="909" spans="1:10" x14ac:dyDescent="0.2">
      <c r="A909" t="s">
        <v>6565</v>
      </c>
      <c r="B909">
        <f>COUNTIF(tweets!D:D,A909)</f>
        <v>1</v>
      </c>
      <c r="D909" t="s">
        <v>3154</v>
      </c>
      <c r="E909">
        <f>COUNTIF(tweets!C:C,D909)</f>
        <v>1</v>
      </c>
      <c r="I909"/>
      <c r="J909"/>
    </row>
    <row r="910" spans="1:10" x14ac:dyDescent="0.2">
      <c r="A910" t="s">
        <v>7120</v>
      </c>
      <c r="B910">
        <f>COUNTIF(tweets!D:D,A910)</f>
        <v>1</v>
      </c>
      <c r="D910" t="s">
        <v>3158</v>
      </c>
      <c r="E910">
        <f>COUNTIF(tweets!C:C,D910)</f>
        <v>1</v>
      </c>
      <c r="I910"/>
      <c r="J910"/>
    </row>
    <row r="911" spans="1:10" x14ac:dyDescent="0.2">
      <c r="A911" t="s">
        <v>2912</v>
      </c>
      <c r="B911">
        <f>COUNTIF(tweets!D:D,A911)</f>
        <v>1</v>
      </c>
      <c r="D911" t="s">
        <v>3184</v>
      </c>
      <c r="E911">
        <f>COUNTIF(tweets!C:C,D911)</f>
        <v>1</v>
      </c>
      <c r="I911"/>
      <c r="J911"/>
    </row>
    <row r="912" spans="1:10" x14ac:dyDescent="0.2">
      <c r="A912" t="s">
        <v>2916</v>
      </c>
      <c r="B912">
        <f>COUNTIF(tweets!D:D,A912)</f>
        <v>1</v>
      </c>
      <c r="D912" t="s">
        <v>3187</v>
      </c>
      <c r="E912">
        <f>COUNTIF(tweets!C:C,D912)</f>
        <v>1</v>
      </c>
      <c r="I912"/>
      <c r="J912"/>
    </row>
    <row r="913" spans="1:10" x14ac:dyDescent="0.2">
      <c r="A913" t="s">
        <v>8139</v>
      </c>
      <c r="B913">
        <f>COUNTIF(tweets!D:D,A913)</f>
        <v>1</v>
      </c>
      <c r="D913" t="s">
        <v>3190</v>
      </c>
      <c r="E913">
        <f>COUNTIF(tweets!C:C,D913)</f>
        <v>1</v>
      </c>
      <c r="I913"/>
      <c r="J913"/>
    </row>
    <row r="914" spans="1:10" x14ac:dyDescent="0.2">
      <c r="A914" t="s">
        <v>5810</v>
      </c>
      <c r="B914">
        <f>COUNTIF(tweets!D:D,A914)</f>
        <v>1</v>
      </c>
      <c r="D914" t="s">
        <v>3194</v>
      </c>
      <c r="E914">
        <f>COUNTIF(tweets!C:C,D914)</f>
        <v>1</v>
      </c>
      <c r="I914"/>
      <c r="J914"/>
    </row>
    <row r="915" spans="1:10" x14ac:dyDescent="0.2">
      <c r="A915" t="s">
        <v>3540</v>
      </c>
      <c r="B915">
        <f>COUNTIF(tweets!D:D,A915)</f>
        <v>1</v>
      </c>
      <c r="D915" t="s">
        <v>3197</v>
      </c>
      <c r="E915">
        <f>COUNTIF(tweets!C:C,D915)</f>
        <v>1</v>
      </c>
      <c r="I915"/>
      <c r="J915"/>
    </row>
    <row r="916" spans="1:10" x14ac:dyDescent="0.2">
      <c r="A916" t="s">
        <v>1622</v>
      </c>
      <c r="B916">
        <f>COUNTIF(tweets!D:D,A916)</f>
        <v>1</v>
      </c>
      <c r="D916" t="s">
        <v>3200</v>
      </c>
      <c r="E916">
        <f>COUNTIF(tweets!C:C,D916)</f>
        <v>1</v>
      </c>
      <c r="I916"/>
      <c r="J916"/>
    </row>
    <row r="917" spans="1:10" x14ac:dyDescent="0.2">
      <c r="A917" t="s">
        <v>5097</v>
      </c>
      <c r="B917">
        <f>COUNTIF(tweets!D:D,A917)</f>
        <v>1</v>
      </c>
      <c r="D917" t="s">
        <v>3203</v>
      </c>
      <c r="E917">
        <f>COUNTIF(tweets!C:C,D917)</f>
        <v>1</v>
      </c>
      <c r="I917"/>
      <c r="J917"/>
    </row>
    <row r="918" spans="1:10" x14ac:dyDescent="0.2">
      <c r="A918" t="s">
        <v>3600</v>
      </c>
      <c r="B918">
        <f>COUNTIF(tweets!D:D,A918)</f>
        <v>1</v>
      </c>
      <c r="D918" t="s">
        <v>3207</v>
      </c>
      <c r="E918">
        <f>COUNTIF(tweets!C:C,D918)</f>
        <v>1</v>
      </c>
      <c r="I918"/>
      <c r="J918"/>
    </row>
    <row r="919" spans="1:10" x14ac:dyDescent="0.2">
      <c r="A919" t="s">
        <v>3607</v>
      </c>
      <c r="B919">
        <f>COUNTIF(tweets!D:D,A919)</f>
        <v>1</v>
      </c>
      <c r="D919" t="s">
        <v>3210</v>
      </c>
      <c r="E919">
        <f>COUNTIF(tweets!C:C,D919)</f>
        <v>1</v>
      </c>
      <c r="I919"/>
      <c r="J919"/>
    </row>
    <row r="920" spans="1:10" x14ac:dyDescent="0.2">
      <c r="A920" t="s">
        <v>4380</v>
      </c>
      <c r="B920">
        <f>COUNTIF(tweets!D:D,A920)</f>
        <v>1</v>
      </c>
      <c r="D920" t="s">
        <v>3220</v>
      </c>
      <c r="E920">
        <f>COUNTIF(tweets!C:C,D920)</f>
        <v>1</v>
      </c>
      <c r="I920"/>
      <c r="J920"/>
    </row>
    <row r="921" spans="1:10" x14ac:dyDescent="0.2">
      <c r="A921" t="s">
        <v>5596</v>
      </c>
      <c r="B921">
        <f>COUNTIF(tweets!D:D,A921)</f>
        <v>1</v>
      </c>
      <c r="D921" t="s">
        <v>3224</v>
      </c>
      <c r="E921">
        <f>COUNTIF(tweets!C:C,D921)</f>
        <v>1</v>
      </c>
      <c r="I921"/>
      <c r="J921"/>
    </row>
    <row r="922" spans="1:10" x14ac:dyDescent="0.2">
      <c r="A922" t="s">
        <v>7818</v>
      </c>
      <c r="B922">
        <f>COUNTIF(tweets!D:D,A922)</f>
        <v>1</v>
      </c>
      <c r="D922" t="s">
        <v>3233</v>
      </c>
      <c r="E922">
        <f>COUNTIF(tweets!C:C,D922)</f>
        <v>1</v>
      </c>
      <c r="I922"/>
      <c r="J922"/>
    </row>
    <row r="923" spans="1:10" x14ac:dyDescent="0.2">
      <c r="A923" t="s">
        <v>220</v>
      </c>
      <c r="B923">
        <f>COUNTIF(tweets!D:D,A923)</f>
        <v>1</v>
      </c>
      <c r="D923" t="s">
        <v>3237</v>
      </c>
      <c r="E923">
        <f>COUNTIF(tweets!C:C,D923)</f>
        <v>1</v>
      </c>
      <c r="I923"/>
      <c r="J923"/>
    </row>
    <row r="924" spans="1:10" x14ac:dyDescent="0.2">
      <c r="A924" t="s">
        <v>2179</v>
      </c>
      <c r="B924">
        <f>COUNTIF(tweets!D:D,A924)</f>
        <v>1</v>
      </c>
      <c r="D924" t="s">
        <v>3240</v>
      </c>
      <c r="E924">
        <f>COUNTIF(tweets!C:C,D924)</f>
        <v>1</v>
      </c>
      <c r="I924"/>
      <c r="J924"/>
    </row>
    <row r="925" spans="1:10" x14ac:dyDescent="0.2">
      <c r="A925" t="s">
        <v>2304</v>
      </c>
      <c r="B925">
        <f>COUNTIF(tweets!D:D,A925)</f>
        <v>1</v>
      </c>
      <c r="D925" t="s">
        <v>3244</v>
      </c>
      <c r="E925">
        <f>COUNTIF(tweets!C:C,D925)</f>
        <v>1</v>
      </c>
      <c r="I925"/>
      <c r="J925"/>
    </row>
    <row r="926" spans="1:10" x14ac:dyDescent="0.2">
      <c r="A926" t="s">
        <v>6437</v>
      </c>
      <c r="B926">
        <f>COUNTIF(tweets!D:D,A926)</f>
        <v>1</v>
      </c>
      <c r="D926" t="s">
        <v>3247</v>
      </c>
      <c r="E926">
        <f>COUNTIF(tweets!C:C,D926)</f>
        <v>1</v>
      </c>
      <c r="I926"/>
      <c r="J926"/>
    </row>
    <row r="927" spans="1:10" x14ac:dyDescent="0.2">
      <c r="A927" t="s">
        <v>4509</v>
      </c>
      <c r="B927">
        <f>COUNTIF(tweets!D:D,A927)</f>
        <v>1</v>
      </c>
      <c r="D927" t="s">
        <v>3251</v>
      </c>
      <c r="E927">
        <f>COUNTIF(tweets!C:C,D927)</f>
        <v>1</v>
      </c>
      <c r="I927"/>
      <c r="J927"/>
    </row>
    <row r="928" spans="1:10" x14ac:dyDescent="0.2">
      <c r="A928" t="s">
        <v>819</v>
      </c>
      <c r="B928">
        <f>COUNTIF(tweets!D:D,A928)</f>
        <v>1</v>
      </c>
      <c r="D928" t="s">
        <v>3257</v>
      </c>
      <c r="E928">
        <f>COUNTIF(tweets!C:C,D928)</f>
        <v>1</v>
      </c>
      <c r="I928"/>
      <c r="J928"/>
    </row>
    <row r="929" spans="1:10" x14ac:dyDescent="0.2">
      <c r="A929" t="s">
        <v>2100</v>
      </c>
      <c r="B929">
        <f>COUNTIF(tweets!D:D,A929)</f>
        <v>1</v>
      </c>
      <c r="D929" t="s">
        <v>3261</v>
      </c>
      <c r="E929">
        <f>COUNTIF(tweets!C:C,D929)</f>
        <v>1</v>
      </c>
      <c r="I929"/>
      <c r="J929"/>
    </row>
    <row r="930" spans="1:10" x14ac:dyDescent="0.2">
      <c r="A930" t="s">
        <v>3241</v>
      </c>
      <c r="B930">
        <f>COUNTIF(tweets!D:D,A930)</f>
        <v>1</v>
      </c>
      <c r="D930" t="s">
        <v>3264</v>
      </c>
      <c r="E930">
        <f>COUNTIF(tweets!C:C,D930)</f>
        <v>1</v>
      </c>
      <c r="I930"/>
      <c r="J930"/>
    </row>
    <row r="931" spans="1:10" x14ac:dyDescent="0.2">
      <c r="A931" t="s">
        <v>3061</v>
      </c>
      <c r="B931">
        <f>COUNTIF(tweets!D:D,A931)</f>
        <v>1</v>
      </c>
      <c r="D931" t="s">
        <v>3269</v>
      </c>
      <c r="E931">
        <f>COUNTIF(tweets!C:C,D931)</f>
        <v>1</v>
      </c>
      <c r="I931"/>
      <c r="J931"/>
    </row>
    <row r="932" spans="1:10" x14ac:dyDescent="0.2">
      <c r="A932" t="s">
        <v>1468</v>
      </c>
      <c r="B932">
        <f>COUNTIF(tweets!D:D,A932)</f>
        <v>1</v>
      </c>
      <c r="D932" t="s">
        <v>3273</v>
      </c>
      <c r="E932">
        <f>COUNTIF(tweets!C:C,D932)</f>
        <v>1</v>
      </c>
      <c r="I932"/>
      <c r="J932"/>
    </row>
    <row r="933" spans="1:10" x14ac:dyDescent="0.2">
      <c r="A933" t="s">
        <v>7200</v>
      </c>
      <c r="B933">
        <f>COUNTIF(tweets!D:D,A933)</f>
        <v>1</v>
      </c>
      <c r="D933" t="s">
        <v>3277</v>
      </c>
      <c r="E933">
        <f>COUNTIF(tweets!C:C,D933)</f>
        <v>1</v>
      </c>
      <c r="I933"/>
      <c r="J933"/>
    </row>
    <row r="934" spans="1:10" x14ac:dyDescent="0.2">
      <c r="A934" t="s">
        <v>1921</v>
      </c>
      <c r="B934">
        <f>COUNTIF(tweets!D:D,A934)</f>
        <v>1</v>
      </c>
      <c r="D934" t="s">
        <v>3280</v>
      </c>
      <c r="E934">
        <f>COUNTIF(tweets!C:C,D934)</f>
        <v>1</v>
      </c>
      <c r="I934"/>
      <c r="J934"/>
    </row>
    <row r="935" spans="1:10" x14ac:dyDescent="0.2">
      <c r="A935" t="s">
        <v>7443</v>
      </c>
      <c r="B935">
        <f>COUNTIF(tweets!D:D,A935)</f>
        <v>1</v>
      </c>
      <c r="D935" t="s">
        <v>3284</v>
      </c>
      <c r="E935">
        <f>COUNTIF(tweets!C:C,D935)</f>
        <v>1</v>
      </c>
      <c r="I935"/>
      <c r="J935"/>
    </row>
    <row r="936" spans="1:10" x14ac:dyDescent="0.2">
      <c r="A936" t="s">
        <v>4999</v>
      </c>
      <c r="B936">
        <f>COUNTIF(tweets!D:D,A936)</f>
        <v>1</v>
      </c>
      <c r="D936" t="s">
        <v>3287</v>
      </c>
      <c r="E936">
        <f>COUNTIF(tweets!C:C,D936)</f>
        <v>1</v>
      </c>
      <c r="I936"/>
      <c r="J936"/>
    </row>
    <row r="937" spans="1:10" x14ac:dyDescent="0.2">
      <c r="A937" t="s">
        <v>4619</v>
      </c>
      <c r="B937">
        <f>COUNTIF(tweets!D:D,A937)</f>
        <v>1</v>
      </c>
      <c r="D937" t="s">
        <v>3293</v>
      </c>
      <c r="E937">
        <f>COUNTIF(tweets!C:C,D937)</f>
        <v>1</v>
      </c>
      <c r="I937"/>
      <c r="J937"/>
    </row>
    <row r="938" spans="1:10" x14ac:dyDescent="0.2">
      <c r="A938" t="s">
        <v>3904</v>
      </c>
      <c r="B938">
        <f>COUNTIF(tweets!D:D,A938)</f>
        <v>1</v>
      </c>
      <c r="D938" t="s">
        <v>3299</v>
      </c>
      <c r="E938">
        <f>COUNTIF(tweets!C:C,D938)</f>
        <v>1</v>
      </c>
      <c r="I938"/>
      <c r="J938"/>
    </row>
    <row r="939" spans="1:10" x14ac:dyDescent="0.2">
      <c r="A939" t="s">
        <v>3021</v>
      </c>
      <c r="B939">
        <f>COUNTIF(tweets!D:D,A939)</f>
        <v>1</v>
      </c>
      <c r="D939" t="s">
        <v>3302</v>
      </c>
      <c r="E939">
        <f>COUNTIF(tweets!C:C,D939)</f>
        <v>1</v>
      </c>
      <c r="I939"/>
      <c r="J939"/>
    </row>
    <row r="940" spans="1:10" x14ac:dyDescent="0.2">
      <c r="A940" t="s">
        <v>2636</v>
      </c>
      <c r="B940">
        <f>COUNTIF(tweets!D:D,A940)</f>
        <v>1</v>
      </c>
      <c r="D940" t="s">
        <v>3306</v>
      </c>
      <c r="E940">
        <f>COUNTIF(tweets!C:C,D940)</f>
        <v>1</v>
      </c>
      <c r="I940"/>
      <c r="J940"/>
    </row>
    <row r="941" spans="1:10" x14ac:dyDescent="0.2">
      <c r="A941" t="s">
        <v>8318</v>
      </c>
      <c r="B941">
        <f>COUNTIF(tweets!D:D,A941)</f>
        <v>1</v>
      </c>
      <c r="D941" t="s">
        <v>3314</v>
      </c>
      <c r="E941">
        <f>COUNTIF(tweets!C:C,D941)</f>
        <v>1</v>
      </c>
      <c r="I941"/>
      <c r="J941"/>
    </row>
    <row r="942" spans="1:10" x14ac:dyDescent="0.2">
      <c r="A942" t="s">
        <v>4850</v>
      </c>
      <c r="B942">
        <f>COUNTIF(tweets!D:D,A942)</f>
        <v>1</v>
      </c>
      <c r="D942" t="s">
        <v>3319</v>
      </c>
      <c r="E942">
        <f>COUNTIF(tweets!C:C,D942)</f>
        <v>1</v>
      </c>
      <c r="I942"/>
      <c r="J942"/>
    </row>
    <row r="943" spans="1:10" x14ac:dyDescent="0.2">
      <c r="A943" t="s">
        <v>4092</v>
      </c>
      <c r="B943">
        <f>COUNTIF(tweets!D:D,A943)</f>
        <v>1</v>
      </c>
      <c r="D943" t="s">
        <v>3323</v>
      </c>
      <c r="E943">
        <f>COUNTIF(tweets!C:C,D943)</f>
        <v>1</v>
      </c>
      <c r="I943"/>
      <c r="J943"/>
    </row>
    <row r="944" spans="1:10" x14ac:dyDescent="0.2">
      <c r="A944" t="s">
        <v>4164</v>
      </c>
      <c r="B944">
        <f>COUNTIF(tweets!D:D,A944)</f>
        <v>1</v>
      </c>
      <c r="D944" t="s">
        <v>3326</v>
      </c>
      <c r="E944">
        <f>COUNTIF(tweets!C:C,D944)</f>
        <v>1</v>
      </c>
      <c r="I944"/>
      <c r="J944"/>
    </row>
    <row r="945" spans="1:10" x14ac:dyDescent="0.2">
      <c r="A945" t="s">
        <v>1741</v>
      </c>
      <c r="B945">
        <f>COUNTIF(tweets!D:D,A945)</f>
        <v>1</v>
      </c>
      <c r="D945" t="s">
        <v>3329</v>
      </c>
      <c r="E945">
        <f>COUNTIF(tweets!C:C,D945)</f>
        <v>1</v>
      </c>
      <c r="I945"/>
      <c r="J945"/>
    </row>
    <row r="946" spans="1:10" x14ac:dyDescent="0.2">
      <c r="A946" t="s">
        <v>1216</v>
      </c>
      <c r="B946">
        <f>COUNTIF(tweets!D:D,A946)</f>
        <v>1</v>
      </c>
      <c r="D946" t="s">
        <v>3333</v>
      </c>
      <c r="E946">
        <f>COUNTIF(tweets!C:C,D946)</f>
        <v>1</v>
      </c>
      <c r="I946"/>
      <c r="J946"/>
    </row>
    <row r="947" spans="1:10" x14ac:dyDescent="0.2">
      <c r="A947" t="s">
        <v>6443</v>
      </c>
      <c r="B947">
        <f>COUNTIF(tweets!D:D,A947)</f>
        <v>1</v>
      </c>
      <c r="D947" t="s">
        <v>3336</v>
      </c>
      <c r="E947">
        <f>COUNTIF(tweets!C:C,D947)</f>
        <v>1</v>
      </c>
      <c r="I947"/>
      <c r="J947"/>
    </row>
    <row r="948" spans="1:10" x14ac:dyDescent="0.2">
      <c r="A948" t="s">
        <v>1511</v>
      </c>
      <c r="B948">
        <f>COUNTIF(tweets!D:D,A948)</f>
        <v>1</v>
      </c>
      <c r="D948" t="s">
        <v>3340</v>
      </c>
      <c r="E948">
        <f>COUNTIF(tweets!C:C,D948)</f>
        <v>1</v>
      </c>
      <c r="I948"/>
      <c r="J948"/>
    </row>
    <row r="949" spans="1:10" x14ac:dyDescent="0.2">
      <c r="A949" t="s">
        <v>1262</v>
      </c>
      <c r="B949">
        <f>COUNTIF(tweets!D:D,A949)</f>
        <v>1</v>
      </c>
      <c r="D949" t="s">
        <v>3344</v>
      </c>
      <c r="E949">
        <f>COUNTIF(tweets!C:C,D949)</f>
        <v>1</v>
      </c>
      <c r="I949"/>
      <c r="J949"/>
    </row>
    <row r="950" spans="1:10" x14ac:dyDescent="0.2">
      <c r="A950" t="s">
        <v>34</v>
      </c>
      <c r="B950">
        <f>COUNTIF(tweets!D:D,A950)</f>
        <v>1</v>
      </c>
      <c r="D950" t="s">
        <v>3347</v>
      </c>
      <c r="E950">
        <f>COUNTIF(tweets!C:C,D950)</f>
        <v>1</v>
      </c>
      <c r="I950"/>
      <c r="J950"/>
    </row>
    <row r="951" spans="1:10" x14ac:dyDescent="0.2">
      <c r="A951" t="s">
        <v>2593</v>
      </c>
      <c r="B951">
        <f>COUNTIF(tweets!D:D,A951)</f>
        <v>1</v>
      </c>
      <c r="D951" t="s">
        <v>3350</v>
      </c>
      <c r="E951">
        <f>COUNTIF(tweets!C:C,D951)</f>
        <v>1</v>
      </c>
      <c r="I951"/>
      <c r="J951"/>
    </row>
    <row r="952" spans="1:10" x14ac:dyDescent="0.2">
      <c r="A952" t="s">
        <v>8296</v>
      </c>
      <c r="B952">
        <f>COUNTIF(tweets!D:D,A952)</f>
        <v>1</v>
      </c>
      <c r="D952" t="s">
        <v>3354</v>
      </c>
      <c r="E952">
        <f>COUNTIF(tweets!C:C,D952)</f>
        <v>1</v>
      </c>
      <c r="I952"/>
      <c r="J952"/>
    </row>
    <row r="953" spans="1:10" x14ac:dyDescent="0.2">
      <c r="A953" t="s">
        <v>693</v>
      </c>
      <c r="B953">
        <f>COUNTIF(tweets!D:D,A953)</f>
        <v>1</v>
      </c>
      <c r="D953" t="s">
        <v>3358</v>
      </c>
      <c r="E953">
        <f>COUNTIF(tweets!C:C,D953)</f>
        <v>1</v>
      </c>
      <c r="I953"/>
      <c r="J953"/>
    </row>
    <row r="954" spans="1:10" x14ac:dyDescent="0.2">
      <c r="D954" t="s">
        <v>3364</v>
      </c>
      <c r="E954">
        <f>COUNTIF(tweets!C:C,D954)</f>
        <v>1</v>
      </c>
      <c r="I954"/>
      <c r="J954"/>
    </row>
    <row r="955" spans="1:10" x14ac:dyDescent="0.2">
      <c r="D955" t="s">
        <v>3367</v>
      </c>
      <c r="E955">
        <f>COUNTIF(tweets!C:C,D955)</f>
        <v>1</v>
      </c>
      <c r="I955"/>
      <c r="J955"/>
    </row>
    <row r="956" spans="1:10" x14ac:dyDescent="0.2">
      <c r="D956" t="s">
        <v>3370</v>
      </c>
      <c r="E956">
        <f>COUNTIF(tweets!C:C,D956)</f>
        <v>1</v>
      </c>
      <c r="I956"/>
      <c r="J956"/>
    </row>
    <row r="957" spans="1:10" x14ac:dyDescent="0.2">
      <c r="D957" t="s">
        <v>3373</v>
      </c>
      <c r="E957">
        <f>COUNTIF(tweets!C:C,D957)</f>
        <v>1</v>
      </c>
      <c r="I957"/>
      <c r="J957"/>
    </row>
    <row r="958" spans="1:10" x14ac:dyDescent="0.2">
      <c r="D958" t="s">
        <v>3377</v>
      </c>
      <c r="E958">
        <f>COUNTIF(tweets!C:C,D958)</f>
        <v>1</v>
      </c>
      <c r="I958"/>
      <c r="J958"/>
    </row>
    <row r="959" spans="1:10" x14ac:dyDescent="0.2">
      <c r="D959" t="s">
        <v>3381</v>
      </c>
      <c r="E959">
        <f>COUNTIF(tweets!C:C,D959)</f>
        <v>1</v>
      </c>
      <c r="I959"/>
      <c r="J959"/>
    </row>
    <row r="960" spans="1:10" x14ac:dyDescent="0.2">
      <c r="D960" t="s">
        <v>3384</v>
      </c>
      <c r="E960">
        <f>COUNTIF(tweets!C:C,D960)</f>
        <v>1</v>
      </c>
      <c r="I960"/>
      <c r="J960"/>
    </row>
    <row r="961" spans="4:10" x14ac:dyDescent="0.2">
      <c r="D961" t="s">
        <v>3390</v>
      </c>
      <c r="E961">
        <f>COUNTIF(tweets!C:C,D961)</f>
        <v>1</v>
      </c>
      <c r="I961"/>
      <c r="J961"/>
    </row>
    <row r="962" spans="4:10" x14ac:dyDescent="0.2">
      <c r="D962" t="s">
        <v>3394</v>
      </c>
      <c r="E962">
        <f>COUNTIF(tweets!C:C,D962)</f>
        <v>1</v>
      </c>
      <c r="I962"/>
      <c r="J962"/>
    </row>
    <row r="963" spans="4:10" x14ac:dyDescent="0.2">
      <c r="D963" t="s">
        <v>3401</v>
      </c>
      <c r="E963">
        <f>COUNTIF(tweets!C:C,D963)</f>
        <v>1</v>
      </c>
      <c r="I963"/>
      <c r="J963"/>
    </row>
    <row r="964" spans="4:10" x14ac:dyDescent="0.2">
      <c r="D964" t="s">
        <v>3399</v>
      </c>
      <c r="E964">
        <f>COUNTIF(tweets!C:C,D964)</f>
        <v>1</v>
      </c>
      <c r="I964"/>
      <c r="J964"/>
    </row>
    <row r="965" spans="4:10" x14ac:dyDescent="0.2">
      <c r="D965" t="s">
        <v>3404</v>
      </c>
      <c r="E965">
        <f>COUNTIF(tweets!C:C,D965)</f>
        <v>1</v>
      </c>
      <c r="I965"/>
      <c r="J965"/>
    </row>
    <row r="966" spans="4:10" x14ac:dyDescent="0.2">
      <c r="D966" t="s">
        <v>3410</v>
      </c>
      <c r="E966">
        <f>COUNTIF(tweets!C:C,D966)</f>
        <v>1</v>
      </c>
      <c r="I966"/>
      <c r="J966"/>
    </row>
    <row r="967" spans="4:10" x14ac:dyDescent="0.2">
      <c r="D967" t="s">
        <v>3413</v>
      </c>
      <c r="E967">
        <f>COUNTIF(tweets!C:C,D967)</f>
        <v>1</v>
      </c>
      <c r="I967"/>
      <c r="J967"/>
    </row>
    <row r="968" spans="4:10" x14ac:dyDescent="0.2">
      <c r="D968" t="s">
        <v>3417</v>
      </c>
      <c r="E968">
        <f>COUNTIF(tweets!C:C,D968)</f>
        <v>1</v>
      </c>
      <c r="I968"/>
      <c r="J968"/>
    </row>
    <row r="969" spans="4:10" x14ac:dyDescent="0.2">
      <c r="D969" t="s">
        <v>3420</v>
      </c>
      <c r="E969">
        <f>COUNTIF(tweets!C:C,D969)</f>
        <v>1</v>
      </c>
      <c r="I969"/>
      <c r="J969"/>
    </row>
    <row r="970" spans="4:10" x14ac:dyDescent="0.2">
      <c r="D970" t="s">
        <v>3425</v>
      </c>
      <c r="E970">
        <f>COUNTIF(tweets!C:C,D970)</f>
        <v>1</v>
      </c>
      <c r="I970"/>
      <c r="J970"/>
    </row>
    <row r="971" spans="4:10" x14ac:dyDescent="0.2">
      <c r="D971" t="s">
        <v>3428</v>
      </c>
      <c r="E971">
        <f>COUNTIF(tweets!C:C,D971)</f>
        <v>1</v>
      </c>
      <c r="I971"/>
      <c r="J971"/>
    </row>
    <row r="972" spans="4:10" x14ac:dyDescent="0.2">
      <c r="D972" t="s">
        <v>3432</v>
      </c>
      <c r="E972">
        <f>COUNTIF(tweets!C:C,D972)</f>
        <v>1</v>
      </c>
      <c r="I972"/>
      <c r="J972"/>
    </row>
    <row r="973" spans="4:10" x14ac:dyDescent="0.2">
      <c r="D973" t="s">
        <v>3435</v>
      </c>
      <c r="E973">
        <f>COUNTIF(tweets!C:C,D973)</f>
        <v>1</v>
      </c>
      <c r="I973"/>
      <c r="J973"/>
    </row>
    <row r="974" spans="4:10" x14ac:dyDescent="0.2">
      <c r="D974" t="s">
        <v>3439</v>
      </c>
      <c r="E974">
        <f>COUNTIF(tweets!C:C,D974)</f>
        <v>1</v>
      </c>
      <c r="I974"/>
      <c r="J974"/>
    </row>
    <row r="975" spans="4:10" x14ac:dyDescent="0.2">
      <c r="D975" t="s">
        <v>3445</v>
      </c>
      <c r="E975">
        <f>COUNTIF(tweets!C:C,D975)</f>
        <v>1</v>
      </c>
      <c r="I975"/>
      <c r="J975"/>
    </row>
    <row r="976" spans="4:10" x14ac:dyDescent="0.2">
      <c r="D976" t="s">
        <v>3449</v>
      </c>
      <c r="E976">
        <f>COUNTIF(tweets!C:C,D976)</f>
        <v>1</v>
      </c>
      <c r="I976"/>
      <c r="J976"/>
    </row>
    <row r="977" spans="4:10" x14ac:dyDescent="0.2">
      <c r="D977" t="s">
        <v>3453</v>
      </c>
      <c r="E977">
        <f>COUNTIF(tweets!C:C,D977)</f>
        <v>1</v>
      </c>
      <c r="I977"/>
      <c r="J977"/>
    </row>
    <row r="978" spans="4:10" x14ac:dyDescent="0.2">
      <c r="D978" t="s">
        <v>3456</v>
      </c>
      <c r="E978">
        <f>COUNTIF(tweets!C:C,D978)</f>
        <v>1</v>
      </c>
      <c r="I978"/>
      <c r="J978"/>
    </row>
    <row r="979" spans="4:10" x14ac:dyDescent="0.2">
      <c r="D979" t="s">
        <v>3464</v>
      </c>
      <c r="E979">
        <f>COUNTIF(tweets!C:C,D979)</f>
        <v>1</v>
      </c>
      <c r="I979"/>
      <c r="J979"/>
    </row>
    <row r="980" spans="4:10" x14ac:dyDescent="0.2">
      <c r="D980" t="s">
        <v>3469</v>
      </c>
      <c r="E980">
        <f>COUNTIF(tweets!C:C,D980)</f>
        <v>1</v>
      </c>
      <c r="I980"/>
      <c r="J980"/>
    </row>
    <row r="981" spans="4:10" x14ac:dyDescent="0.2">
      <c r="D981" t="s">
        <v>3472</v>
      </c>
      <c r="E981">
        <f>COUNTIF(tweets!C:C,D981)</f>
        <v>1</v>
      </c>
      <c r="I981"/>
      <c r="J981"/>
    </row>
    <row r="982" spans="4:10" x14ac:dyDescent="0.2">
      <c r="D982" t="s">
        <v>3479</v>
      </c>
      <c r="E982">
        <f>COUNTIF(tweets!C:C,D982)</f>
        <v>1</v>
      </c>
      <c r="I982"/>
      <c r="J982"/>
    </row>
    <row r="983" spans="4:10" x14ac:dyDescent="0.2">
      <c r="D983" t="s">
        <v>3484</v>
      </c>
      <c r="E983">
        <f>COUNTIF(tweets!C:C,D983)</f>
        <v>1</v>
      </c>
      <c r="I983"/>
      <c r="J983"/>
    </row>
    <row r="984" spans="4:10" x14ac:dyDescent="0.2">
      <c r="D984" t="s">
        <v>3488</v>
      </c>
      <c r="E984">
        <f>COUNTIF(tweets!C:C,D984)</f>
        <v>1</v>
      </c>
      <c r="I984"/>
      <c r="J984"/>
    </row>
    <row r="985" spans="4:10" x14ac:dyDescent="0.2">
      <c r="D985" t="s">
        <v>3493</v>
      </c>
      <c r="E985">
        <f>COUNTIF(tweets!C:C,D985)</f>
        <v>1</v>
      </c>
      <c r="I985"/>
      <c r="J985"/>
    </row>
    <row r="986" spans="4:10" x14ac:dyDescent="0.2">
      <c r="D986" t="s">
        <v>3497</v>
      </c>
      <c r="E986">
        <f>COUNTIF(tweets!C:C,D986)</f>
        <v>1</v>
      </c>
      <c r="I986"/>
      <c r="J986"/>
    </row>
    <row r="987" spans="4:10" x14ac:dyDescent="0.2">
      <c r="D987" t="s">
        <v>3505</v>
      </c>
      <c r="E987">
        <f>COUNTIF(tweets!C:C,D987)</f>
        <v>1</v>
      </c>
      <c r="I987"/>
      <c r="J987"/>
    </row>
    <row r="988" spans="4:10" x14ac:dyDescent="0.2">
      <c r="D988" t="s">
        <v>3509</v>
      </c>
      <c r="E988">
        <f>COUNTIF(tweets!C:C,D988)</f>
        <v>1</v>
      </c>
      <c r="I988"/>
      <c r="J988"/>
    </row>
    <row r="989" spans="4:10" x14ac:dyDescent="0.2">
      <c r="D989" t="s">
        <v>3512</v>
      </c>
      <c r="E989">
        <f>COUNTIF(tweets!C:C,D989)</f>
        <v>1</v>
      </c>
      <c r="I989"/>
      <c r="J989"/>
    </row>
    <row r="990" spans="4:10" x14ac:dyDescent="0.2">
      <c r="D990" t="s">
        <v>3516</v>
      </c>
      <c r="E990">
        <f>COUNTIF(tweets!C:C,D990)</f>
        <v>1</v>
      </c>
      <c r="I990"/>
      <c r="J990"/>
    </row>
    <row r="991" spans="4:10" x14ac:dyDescent="0.2">
      <c r="D991" t="s">
        <v>3520</v>
      </c>
      <c r="E991">
        <f>COUNTIF(tweets!C:C,D991)</f>
        <v>1</v>
      </c>
      <c r="I991"/>
      <c r="J991"/>
    </row>
    <row r="992" spans="4:10" x14ac:dyDescent="0.2">
      <c r="D992" t="s">
        <v>3524</v>
      </c>
      <c r="E992">
        <f>COUNTIF(tweets!C:C,D992)</f>
        <v>1</v>
      </c>
      <c r="I992"/>
      <c r="J992"/>
    </row>
    <row r="993" spans="4:10" x14ac:dyDescent="0.2">
      <c r="D993" t="s">
        <v>3529</v>
      </c>
      <c r="E993">
        <f>COUNTIF(tweets!C:C,D993)</f>
        <v>1</v>
      </c>
      <c r="I993"/>
      <c r="J993"/>
    </row>
    <row r="994" spans="4:10" x14ac:dyDescent="0.2">
      <c r="D994" t="s">
        <v>3533</v>
      </c>
      <c r="E994">
        <f>COUNTIF(tweets!C:C,D994)</f>
        <v>1</v>
      </c>
      <c r="I994"/>
      <c r="J994"/>
    </row>
    <row r="995" spans="4:10" x14ac:dyDescent="0.2">
      <c r="D995" t="s">
        <v>3536</v>
      </c>
      <c r="E995">
        <f>COUNTIF(tweets!C:C,D995)</f>
        <v>1</v>
      </c>
      <c r="I995"/>
      <c r="J995"/>
    </row>
    <row r="996" spans="4:10" x14ac:dyDescent="0.2">
      <c r="D996" t="s">
        <v>3539</v>
      </c>
      <c r="E996">
        <f>COUNTIF(tweets!C:C,D996)</f>
        <v>1</v>
      </c>
      <c r="I996"/>
      <c r="J996"/>
    </row>
    <row r="997" spans="4:10" x14ac:dyDescent="0.2">
      <c r="D997" t="s">
        <v>3543</v>
      </c>
      <c r="E997">
        <f>COUNTIF(tweets!C:C,D997)</f>
        <v>1</v>
      </c>
      <c r="I997"/>
      <c r="J997"/>
    </row>
    <row r="998" spans="4:10" x14ac:dyDescent="0.2">
      <c r="D998" t="s">
        <v>3546</v>
      </c>
      <c r="E998">
        <f>COUNTIF(tweets!C:C,D998)</f>
        <v>1</v>
      </c>
      <c r="I998"/>
      <c r="J998"/>
    </row>
    <row r="999" spans="4:10" x14ac:dyDescent="0.2">
      <c r="D999" t="s">
        <v>3553</v>
      </c>
      <c r="E999">
        <f>COUNTIF(tweets!C:C,D999)</f>
        <v>1</v>
      </c>
      <c r="I999"/>
      <c r="J999"/>
    </row>
    <row r="1000" spans="4:10" x14ac:dyDescent="0.2">
      <c r="D1000" t="s">
        <v>3556</v>
      </c>
      <c r="E1000">
        <f>COUNTIF(tweets!C:C,D1000)</f>
        <v>1</v>
      </c>
      <c r="I1000"/>
      <c r="J1000"/>
    </row>
    <row r="1001" spans="4:10" x14ac:dyDescent="0.2">
      <c r="D1001" t="s">
        <v>3559</v>
      </c>
      <c r="E1001">
        <f>COUNTIF(tweets!C:C,D1001)</f>
        <v>1</v>
      </c>
      <c r="I1001"/>
      <c r="J1001"/>
    </row>
    <row r="1002" spans="4:10" x14ac:dyDescent="0.2">
      <c r="D1002" t="s">
        <v>3562</v>
      </c>
      <c r="E1002">
        <f>COUNTIF(tweets!C:C,D1002)</f>
        <v>1</v>
      </c>
      <c r="I1002"/>
      <c r="J1002"/>
    </row>
    <row r="1003" spans="4:10" x14ac:dyDescent="0.2">
      <c r="D1003" t="s">
        <v>3569</v>
      </c>
      <c r="E1003">
        <f>COUNTIF(tweets!C:C,D1003)</f>
        <v>1</v>
      </c>
      <c r="I1003"/>
      <c r="J1003"/>
    </row>
    <row r="1004" spans="4:10" x14ac:dyDescent="0.2">
      <c r="D1004" t="s">
        <v>3572</v>
      </c>
      <c r="E1004">
        <f>COUNTIF(tweets!C:C,D1004)</f>
        <v>1</v>
      </c>
      <c r="I1004"/>
      <c r="J1004"/>
    </row>
    <row r="1005" spans="4:10" x14ac:dyDescent="0.2">
      <c r="D1005" t="s">
        <v>3578</v>
      </c>
      <c r="E1005">
        <f>COUNTIF(tweets!C:C,D1005)</f>
        <v>1</v>
      </c>
      <c r="I1005"/>
      <c r="J1005"/>
    </row>
    <row r="1006" spans="4:10" x14ac:dyDescent="0.2">
      <c r="D1006" t="s">
        <v>3581</v>
      </c>
      <c r="E1006">
        <f>COUNTIF(tweets!C:C,D1006)</f>
        <v>1</v>
      </c>
      <c r="I1006"/>
      <c r="J1006"/>
    </row>
    <row r="1007" spans="4:10" x14ac:dyDescent="0.2">
      <c r="D1007" t="s">
        <v>3585</v>
      </c>
      <c r="E1007">
        <f>COUNTIF(tweets!C:C,D1007)</f>
        <v>1</v>
      </c>
      <c r="I1007"/>
      <c r="J1007"/>
    </row>
    <row r="1008" spans="4:10" x14ac:dyDescent="0.2">
      <c r="D1008" t="s">
        <v>3588</v>
      </c>
      <c r="E1008">
        <f>COUNTIF(tweets!C:C,D1008)</f>
        <v>1</v>
      </c>
      <c r="I1008"/>
      <c r="J1008"/>
    </row>
    <row r="1009" spans="4:10" x14ac:dyDescent="0.2">
      <c r="D1009" t="s">
        <v>3591</v>
      </c>
      <c r="E1009">
        <f>COUNTIF(tweets!C:C,D1009)</f>
        <v>1</v>
      </c>
      <c r="I1009"/>
      <c r="J1009"/>
    </row>
    <row r="1010" spans="4:10" x14ac:dyDescent="0.2">
      <c r="D1010" t="s">
        <v>3594</v>
      </c>
      <c r="E1010">
        <f>COUNTIF(tweets!C:C,D1010)</f>
        <v>1</v>
      </c>
      <c r="I1010"/>
      <c r="J1010"/>
    </row>
    <row r="1011" spans="4:10" x14ac:dyDescent="0.2">
      <c r="D1011" t="s">
        <v>3596</v>
      </c>
      <c r="E1011">
        <f>COUNTIF(tweets!C:C,D1011)</f>
        <v>1</v>
      </c>
      <c r="I1011"/>
      <c r="J1011"/>
    </row>
    <row r="1012" spans="4:10" x14ac:dyDescent="0.2">
      <c r="D1012" t="s">
        <v>3599</v>
      </c>
      <c r="E1012">
        <f>COUNTIF(tweets!C:C,D1012)</f>
        <v>1</v>
      </c>
      <c r="I1012"/>
      <c r="J1012"/>
    </row>
    <row r="1013" spans="4:10" x14ac:dyDescent="0.2">
      <c r="D1013" t="s">
        <v>3603</v>
      </c>
      <c r="E1013">
        <f>COUNTIF(tweets!C:C,D1013)</f>
        <v>1</v>
      </c>
      <c r="I1013"/>
      <c r="J1013"/>
    </row>
    <row r="1014" spans="4:10" x14ac:dyDescent="0.2">
      <c r="D1014" t="s">
        <v>3606</v>
      </c>
      <c r="E1014">
        <f>COUNTIF(tweets!C:C,D1014)</f>
        <v>1</v>
      </c>
      <c r="I1014"/>
      <c r="J1014"/>
    </row>
    <row r="1015" spans="4:10" x14ac:dyDescent="0.2">
      <c r="D1015" t="s">
        <v>3610</v>
      </c>
      <c r="E1015">
        <f>COUNTIF(tweets!C:C,D1015)</f>
        <v>1</v>
      </c>
      <c r="I1015"/>
      <c r="J1015"/>
    </row>
    <row r="1016" spans="4:10" x14ac:dyDescent="0.2">
      <c r="D1016" t="s">
        <v>3614</v>
      </c>
      <c r="E1016">
        <f>COUNTIF(tweets!C:C,D1016)</f>
        <v>1</v>
      </c>
      <c r="I1016"/>
      <c r="J1016"/>
    </row>
    <row r="1017" spans="4:10" x14ac:dyDescent="0.2">
      <c r="D1017" t="s">
        <v>3617</v>
      </c>
      <c r="E1017">
        <f>COUNTIF(tweets!C:C,D1017)</f>
        <v>1</v>
      </c>
      <c r="I1017"/>
      <c r="J1017"/>
    </row>
    <row r="1018" spans="4:10" x14ac:dyDescent="0.2">
      <c r="D1018" t="s">
        <v>3621</v>
      </c>
      <c r="E1018">
        <f>COUNTIF(tweets!C:C,D1018)</f>
        <v>1</v>
      </c>
      <c r="I1018"/>
      <c r="J1018"/>
    </row>
    <row r="1019" spans="4:10" x14ac:dyDescent="0.2">
      <c r="D1019" t="s">
        <v>3625</v>
      </c>
      <c r="E1019">
        <f>COUNTIF(tweets!C:C,D1019)</f>
        <v>1</v>
      </c>
      <c r="I1019"/>
      <c r="J1019"/>
    </row>
    <row r="1020" spans="4:10" x14ac:dyDescent="0.2">
      <c r="D1020" t="s">
        <v>3629</v>
      </c>
      <c r="E1020">
        <f>COUNTIF(tweets!C:C,D1020)</f>
        <v>1</v>
      </c>
      <c r="I1020"/>
      <c r="J1020"/>
    </row>
    <row r="1021" spans="4:10" x14ac:dyDescent="0.2">
      <c r="D1021" t="s">
        <v>3632</v>
      </c>
      <c r="E1021">
        <f>COUNTIF(tweets!C:C,D1021)</f>
        <v>1</v>
      </c>
      <c r="I1021"/>
      <c r="J1021"/>
    </row>
    <row r="1022" spans="4:10" x14ac:dyDescent="0.2">
      <c r="D1022" t="s">
        <v>3636</v>
      </c>
      <c r="E1022">
        <f>COUNTIF(tweets!C:C,D1022)</f>
        <v>1</v>
      </c>
      <c r="I1022"/>
      <c r="J1022"/>
    </row>
    <row r="1023" spans="4:10" x14ac:dyDescent="0.2">
      <c r="D1023" t="s">
        <v>3641</v>
      </c>
      <c r="E1023">
        <f>COUNTIF(tweets!C:C,D1023)</f>
        <v>1</v>
      </c>
      <c r="I1023"/>
      <c r="J1023"/>
    </row>
    <row r="1024" spans="4:10" x14ac:dyDescent="0.2">
      <c r="D1024" t="s">
        <v>3646</v>
      </c>
      <c r="E1024">
        <f>COUNTIF(tweets!C:C,D1024)</f>
        <v>1</v>
      </c>
      <c r="I1024"/>
      <c r="J1024"/>
    </row>
    <row r="1025" spans="4:10" x14ac:dyDescent="0.2">
      <c r="D1025" t="s">
        <v>3649</v>
      </c>
      <c r="E1025">
        <f>COUNTIF(tweets!C:C,D1025)</f>
        <v>1</v>
      </c>
      <c r="I1025"/>
      <c r="J1025"/>
    </row>
    <row r="1026" spans="4:10" x14ac:dyDescent="0.2">
      <c r="D1026" t="s">
        <v>3659</v>
      </c>
      <c r="E1026">
        <f>COUNTIF(tweets!C:C,D1026)</f>
        <v>1</v>
      </c>
      <c r="I1026"/>
      <c r="J1026"/>
    </row>
    <row r="1027" spans="4:10" x14ac:dyDescent="0.2">
      <c r="D1027" t="s">
        <v>3665</v>
      </c>
      <c r="E1027">
        <f>COUNTIF(tweets!C:C,D1027)</f>
        <v>1</v>
      </c>
      <c r="I1027"/>
      <c r="J1027"/>
    </row>
    <row r="1028" spans="4:10" x14ac:dyDescent="0.2">
      <c r="D1028" t="s">
        <v>3668</v>
      </c>
      <c r="E1028">
        <f>COUNTIF(tweets!C:C,D1028)</f>
        <v>1</v>
      </c>
      <c r="I1028"/>
      <c r="J1028"/>
    </row>
    <row r="1029" spans="4:10" x14ac:dyDescent="0.2">
      <c r="D1029" t="s">
        <v>3677</v>
      </c>
      <c r="E1029">
        <f>COUNTIF(tweets!C:C,D1029)</f>
        <v>1</v>
      </c>
      <c r="I1029"/>
      <c r="J1029"/>
    </row>
    <row r="1030" spans="4:10" x14ac:dyDescent="0.2">
      <c r="D1030" t="s">
        <v>3685</v>
      </c>
      <c r="E1030">
        <f>COUNTIF(tweets!C:C,D1030)</f>
        <v>1</v>
      </c>
      <c r="I1030"/>
      <c r="J1030"/>
    </row>
    <row r="1031" spans="4:10" x14ac:dyDescent="0.2">
      <c r="D1031" t="s">
        <v>3690</v>
      </c>
      <c r="E1031">
        <f>COUNTIF(tweets!C:C,D1031)</f>
        <v>1</v>
      </c>
      <c r="I1031"/>
      <c r="J1031"/>
    </row>
    <row r="1032" spans="4:10" x14ac:dyDescent="0.2">
      <c r="D1032" t="s">
        <v>3688</v>
      </c>
      <c r="E1032">
        <f>COUNTIF(tweets!C:C,D1032)</f>
        <v>1</v>
      </c>
      <c r="I1032"/>
      <c r="J1032"/>
    </row>
    <row r="1033" spans="4:10" x14ac:dyDescent="0.2">
      <c r="D1033" t="s">
        <v>3693</v>
      </c>
      <c r="E1033">
        <f>COUNTIF(tweets!C:C,D1033)</f>
        <v>1</v>
      </c>
      <c r="I1033"/>
      <c r="J1033"/>
    </row>
    <row r="1034" spans="4:10" x14ac:dyDescent="0.2">
      <c r="D1034" t="s">
        <v>3697</v>
      </c>
      <c r="E1034">
        <f>COUNTIF(tweets!C:C,D1034)</f>
        <v>1</v>
      </c>
      <c r="I1034"/>
      <c r="J1034"/>
    </row>
    <row r="1035" spans="4:10" x14ac:dyDescent="0.2">
      <c r="D1035" t="s">
        <v>3703</v>
      </c>
      <c r="E1035">
        <f>COUNTIF(tweets!C:C,D1035)</f>
        <v>1</v>
      </c>
      <c r="I1035"/>
      <c r="J1035"/>
    </row>
    <row r="1036" spans="4:10" x14ac:dyDescent="0.2">
      <c r="D1036" t="s">
        <v>3706</v>
      </c>
      <c r="E1036">
        <f>COUNTIF(tweets!C:C,D1036)</f>
        <v>1</v>
      </c>
      <c r="I1036"/>
      <c r="J1036"/>
    </row>
    <row r="1037" spans="4:10" x14ac:dyDescent="0.2">
      <c r="D1037" t="s">
        <v>3712</v>
      </c>
      <c r="E1037">
        <f>COUNTIF(tweets!C:C,D1037)</f>
        <v>1</v>
      </c>
      <c r="I1037"/>
      <c r="J1037"/>
    </row>
    <row r="1038" spans="4:10" x14ac:dyDescent="0.2">
      <c r="D1038" t="s">
        <v>3717</v>
      </c>
      <c r="E1038">
        <f>COUNTIF(tweets!C:C,D1038)</f>
        <v>1</v>
      </c>
      <c r="I1038"/>
      <c r="J1038"/>
    </row>
    <row r="1039" spans="4:10" x14ac:dyDescent="0.2">
      <c r="D1039" t="s">
        <v>3721</v>
      </c>
      <c r="E1039">
        <f>COUNTIF(tweets!C:C,D1039)</f>
        <v>1</v>
      </c>
      <c r="I1039"/>
      <c r="J1039"/>
    </row>
    <row r="1040" spans="4:10" x14ac:dyDescent="0.2">
      <c r="D1040" t="s">
        <v>3724</v>
      </c>
      <c r="E1040">
        <f>COUNTIF(tweets!C:C,D1040)</f>
        <v>1</v>
      </c>
      <c r="I1040"/>
      <c r="J1040"/>
    </row>
    <row r="1041" spans="4:10" x14ac:dyDescent="0.2">
      <c r="D1041" t="s">
        <v>3728</v>
      </c>
      <c r="E1041">
        <f>COUNTIF(tweets!C:C,D1041)</f>
        <v>1</v>
      </c>
      <c r="I1041"/>
      <c r="J1041"/>
    </row>
    <row r="1042" spans="4:10" x14ac:dyDescent="0.2">
      <c r="D1042" t="s">
        <v>3731</v>
      </c>
      <c r="E1042">
        <f>COUNTIF(tweets!C:C,D1042)</f>
        <v>1</v>
      </c>
      <c r="I1042"/>
      <c r="J1042"/>
    </row>
    <row r="1043" spans="4:10" x14ac:dyDescent="0.2">
      <c r="D1043" t="s">
        <v>3734</v>
      </c>
      <c r="E1043">
        <f>COUNTIF(tweets!C:C,D1043)</f>
        <v>1</v>
      </c>
      <c r="I1043"/>
      <c r="J1043"/>
    </row>
    <row r="1044" spans="4:10" x14ac:dyDescent="0.2">
      <c r="D1044" t="s">
        <v>3738</v>
      </c>
      <c r="E1044">
        <f>COUNTIF(tweets!C:C,D1044)</f>
        <v>1</v>
      </c>
      <c r="I1044"/>
      <c r="J1044"/>
    </row>
    <row r="1045" spans="4:10" x14ac:dyDescent="0.2">
      <c r="D1045" t="s">
        <v>3742</v>
      </c>
      <c r="E1045">
        <f>COUNTIF(tweets!C:C,D1045)</f>
        <v>1</v>
      </c>
      <c r="I1045"/>
      <c r="J1045"/>
    </row>
    <row r="1046" spans="4:10" x14ac:dyDescent="0.2">
      <c r="D1046" t="s">
        <v>3748</v>
      </c>
      <c r="E1046">
        <f>COUNTIF(tweets!C:C,D1046)</f>
        <v>1</v>
      </c>
      <c r="I1046"/>
      <c r="J1046"/>
    </row>
    <row r="1047" spans="4:10" x14ac:dyDescent="0.2">
      <c r="D1047" t="s">
        <v>3752</v>
      </c>
      <c r="E1047">
        <f>COUNTIF(tweets!C:C,D1047)</f>
        <v>1</v>
      </c>
      <c r="I1047"/>
      <c r="J1047"/>
    </row>
    <row r="1048" spans="4:10" x14ac:dyDescent="0.2">
      <c r="D1048" t="s">
        <v>3755</v>
      </c>
      <c r="E1048">
        <f>COUNTIF(tweets!C:C,D1048)</f>
        <v>1</v>
      </c>
      <c r="I1048"/>
      <c r="J1048"/>
    </row>
    <row r="1049" spans="4:10" x14ac:dyDescent="0.2">
      <c r="D1049" t="s">
        <v>3759</v>
      </c>
      <c r="E1049">
        <f>COUNTIF(tweets!C:C,D1049)</f>
        <v>1</v>
      </c>
      <c r="I1049"/>
      <c r="J1049"/>
    </row>
    <row r="1050" spans="4:10" x14ac:dyDescent="0.2">
      <c r="D1050" t="s">
        <v>3763</v>
      </c>
      <c r="E1050">
        <f>COUNTIF(tweets!C:C,D1050)</f>
        <v>1</v>
      </c>
      <c r="I1050"/>
      <c r="J1050"/>
    </row>
    <row r="1051" spans="4:10" x14ac:dyDescent="0.2">
      <c r="D1051" t="s">
        <v>3766</v>
      </c>
      <c r="E1051">
        <f>COUNTIF(tweets!C:C,D1051)</f>
        <v>1</v>
      </c>
      <c r="I1051"/>
      <c r="J1051"/>
    </row>
    <row r="1052" spans="4:10" x14ac:dyDescent="0.2">
      <c r="D1052" t="s">
        <v>3770</v>
      </c>
      <c r="E1052">
        <f>COUNTIF(tweets!C:C,D1052)</f>
        <v>1</v>
      </c>
      <c r="I1052"/>
      <c r="J1052"/>
    </row>
    <row r="1053" spans="4:10" x14ac:dyDescent="0.2">
      <c r="D1053" t="s">
        <v>3774</v>
      </c>
      <c r="E1053">
        <f>COUNTIF(tweets!C:C,D1053)</f>
        <v>1</v>
      </c>
      <c r="I1053"/>
      <c r="J1053"/>
    </row>
    <row r="1054" spans="4:10" x14ac:dyDescent="0.2">
      <c r="D1054" t="s">
        <v>3781</v>
      </c>
      <c r="E1054">
        <f>COUNTIF(tweets!C:C,D1054)</f>
        <v>1</v>
      </c>
      <c r="I1054"/>
      <c r="J1054"/>
    </row>
    <row r="1055" spans="4:10" x14ac:dyDescent="0.2">
      <c r="D1055" t="s">
        <v>3787</v>
      </c>
      <c r="E1055">
        <f>COUNTIF(tweets!C:C,D1055)</f>
        <v>1</v>
      </c>
      <c r="I1055"/>
      <c r="J1055"/>
    </row>
    <row r="1056" spans="4:10" x14ac:dyDescent="0.2">
      <c r="D1056" t="s">
        <v>3785</v>
      </c>
      <c r="E1056">
        <f>COUNTIF(tweets!C:C,D1056)</f>
        <v>1</v>
      </c>
      <c r="I1056"/>
      <c r="J1056"/>
    </row>
    <row r="1057" spans="4:10" x14ac:dyDescent="0.2">
      <c r="D1057" t="s">
        <v>3795</v>
      </c>
      <c r="E1057">
        <f>COUNTIF(tweets!C:C,D1057)</f>
        <v>1</v>
      </c>
      <c r="I1057"/>
      <c r="J1057"/>
    </row>
    <row r="1058" spans="4:10" x14ac:dyDescent="0.2">
      <c r="D1058" t="s">
        <v>3799</v>
      </c>
      <c r="E1058">
        <f>COUNTIF(tweets!C:C,D1058)</f>
        <v>1</v>
      </c>
      <c r="I1058"/>
      <c r="J1058"/>
    </row>
    <row r="1059" spans="4:10" x14ac:dyDescent="0.2">
      <c r="D1059" t="s">
        <v>3802</v>
      </c>
      <c r="E1059">
        <f>COUNTIF(tweets!C:C,D1059)</f>
        <v>1</v>
      </c>
      <c r="I1059"/>
      <c r="J1059"/>
    </row>
    <row r="1060" spans="4:10" x14ac:dyDescent="0.2">
      <c r="D1060" t="s">
        <v>3810</v>
      </c>
      <c r="E1060">
        <f>COUNTIF(tweets!C:C,D1060)</f>
        <v>1</v>
      </c>
      <c r="I1060"/>
      <c r="J1060"/>
    </row>
    <row r="1061" spans="4:10" x14ac:dyDescent="0.2">
      <c r="D1061" t="s">
        <v>3813</v>
      </c>
      <c r="E1061">
        <f>COUNTIF(tweets!C:C,D1061)</f>
        <v>1</v>
      </c>
      <c r="I1061"/>
      <c r="J1061"/>
    </row>
    <row r="1062" spans="4:10" x14ac:dyDescent="0.2">
      <c r="D1062" t="s">
        <v>3821</v>
      </c>
      <c r="E1062">
        <f>COUNTIF(tweets!C:C,D1062)</f>
        <v>1</v>
      </c>
      <c r="I1062"/>
      <c r="J1062"/>
    </row>
    <row r="1063" spans="4:10" x14ac:dyDescent="0.2">
      <c r="D1063" t="s">
        <v>3825</v>
      </c>
      <c r="E1063">
        <f>COUNTIF(tweets!C:C,D1063)</f>
        <v>1</v>
      </c>
      <c r="I1063"/>
      <c r="J1063"/>
    </row>
    <row r="1064" spans="4:10" x14ac:dyDescent="0.2">
      <c r="D1064" t="s">
        <v>3832</v>
      </c>
      <c r="E1064">
        <f>COUNTIF(tweets!C:C,D1064)</f>
        <v>1</v>
      </c>
      <c r="I1064"/>
      <c r="J1064"/>
    </row>
    <row r="1065" spans="4:10" x14ac:dyDescent="0.2">
      <c r="D1065" t="s">
        <v>3836</v>
      </c>
      <c r="E1065">
        <f>COUNTIF(tweets!C:C,D1065)</f>
        <v>1</v>
      </c>
      <c r="I1065"/>
      <c r="J1065"/>
    </row>
    <row r="1066" spans="4:10" x14ac:dyDescent="0.2">
      <c r="D1066" t="s">
        <v>3839</v>
      </c>
      <c r="E1066">
        <f>COUNTIF(tweets!C:C,D1066)</f>
        <v>1</v>
      </c>
      <c r="I1066"/>
      <c r="J1066"/>
    </row>
    <row r="1067" spans="4:10" x14ac:dyDescent="0.2">
      <c r="D1067" t="s">
        <v>3842</v>
      </c>
      <c r="E1067">
        <f>COUNTIF(tweets!C:C,D1067)</f>
        <v>1</v>
      </c>
      <c r="I1067"/>
      <c r="J1067"/>
    </row>
    <row r="1068" spans="4:10" x14ac:dyDescent="0.2">
      <c r="D1068" t="s">
        <v>3845</v>
      </c>
      <c r="E1068">
        <f>COUNTIF(tweets!C:C,D1068)</f>
        <v>1</v>
      </c>
      <c r="I1068"/>
      <c r="J1068"/>
    </row>
    <row r="1069" spans="4:10" x14ac:dyDescent="0.2">
      <c r="D1069" t="s">
        <v>3849</v>
      </c>
      <c r="E1069">
        <f>COUNTIF(tweets!C:C,D1069)</f>
        <v>1</v>
      </c>
      <c r="I1069"/>
      <c r="J1069"/>
    </row>
    <row r="1070" spans="4:10" x14ac:dyDescent="0.2">
      <c r="D1070" t="s">
        <v>3853</v>
      </c>
      <c r="E1070">
        <f>COUNTIF(tweets!C:C,D1070)</f>
        <v>1</v>
      </c>
      <c r="I1070"/>
      <c r="J1070"/>
    </row>
    <row r="1071" spans="4:10" x14ac:dyDescent="0.2">
      <c r="D1071" t="s">
        <v>3856</v>
      </c>
      <c r="E1071">
        <f>COUNTIF(tweets!C:C,D1071)</f>
        <v>1</v>
      </c>
      <c r="I1071"/>
      <c r="J1071"/>
    </row>
    <row r="1072" spans="4:10" x14ac:dyDescent="0.2">
      <c r="D1072" t="s">
        <v>3859</v>
      </c>
      <c r="E1072">
        <f>COUNTIF(tweets!C:C,D1072)</f>
        <v>1</v>
      </c>
      <c r="I1072"/>
      <c r="J1072"/>
    </row>
    <row r="1073" spans="4:10" x14ac:dyDescent="0.2">
      <c r="D1073" t="s">
        <v>3863</v>
      </c>
      <c r="E1073">
        <f>COUNTIF(tweets!C:C,D1073)</f>
        <v>1</v>
      </c>
      <c r="I1073"/>
      <c r="J1073"/>
    </row>
    <row r="1074" spans="4:10" x14ac:dyDescent="0.2">
      <c r="D1074" t="s">
        <v>3866</v>
      </c>
      <c r="E1074">
        <f>COUNTIF(tweets!C:C,D1074)</f>
        <v>1</v>
      </c>
      <c r="I1074"/>
      <c r="J1074"/>
    </row>
    <row r="1075" spans="4:10" x14ac:dyDescent="0.2">
      <c r="D1075" t="s">
        <v>3869</v>
      </c>
      <c r="E1075">
        <f>COUNTIF(tweets!C:C,D1075)</f>
        <v>1</v>
      </c>
      <c r="I1075"/>
      <c r="J1075"/>
    </row>
    <row r="1076" spans="4:10" x14ac:dyDescent="0.2">
      <c r="D1076" t="s">
        <v>3872</v>
      </c>
      <c r="E1076">
        <f>COUNTIF(tweets!C:C,D1076)</f>
        <v>1</v>
      </c>
      <c r="I1076"/>
      <c r="J1076"/>
    </row>
    <row r="1077" spans="4:10" x14ac:dyDescent="0.2">
      <c r="D1077" t="s">
        <v>3876</v>
      </c>
      <c r="E1077">
        <f>COUNTIF(tweets!C:C,D1077)</f>
        <v>1</v>
      </c>
      <c r="I1077"/>
      <c r="J1077"/>
    </row>
    <row r="1078" spans="4:10" x14ac:dyDescent="0.2">
      <c r="D1078" t="s">
        <v>3888</v>
      </c>
      <c r="E1078">
        <f>COUNTIF(tweets!C:C,D1078)</f>
        <v>1</v>
      </c>
      <c r="I1078"/>
      <c r="J1078"/>
    </row>
    <row r="1079" spans="4:10" x14ac:dyDescent="0.2">
      <c r="D1079" t="s">
        <v>3892</v>
      </c>
      <c r="E1079">
        <f>COUNTIF(tweets!C:C,D1079)</f>
        <v>1</v>
      </c>
      <c r="I1079"/>
      <c r="J1079"/>
    </row>
    <row r="1080" spans="4:10" x14ac:dyDescent="0.2">
      <c r="D1080" t="s">
        <v>3896</v>
      </c>
      <c r="E1080">
        <f>COUNTIF(tweets!C:C,D1080)</f>
        <v>1</v>
      </c>
      <c r="I1080"/>
      <c r="J1080"/>
    </row>
    <row r="1081" spans="4:10" x14ac:dyDescent="0.2">
      <c r="D1081" t="s">
        <v>3899</v>
      </c>
      <c r="E1081">
        <f>COUNTIF(tweets!C:C,D1081)</f>
        <v>1</v>
      </c>
      <c r="I1081"/>
      <c r="J1081"/>
    </row>
    <row r="1082" spans="4:10" x14ac:dyDescent="0.2">
      <c r="D1082" t="s">
        <v>3903</v>
      </c>
      <c r="E1082">
        <f>COUNTIF(tweets!C:C,D1082)</f>
        <v>1</v>
      </c>
      <c r="I1082"/>
      <c r="J1082"/>
    </row>
    <row r="1083" spans="4:10" x14ac:dyDescent="0.2">
      <c r="D1083" t="s">
        <v>3908</v>
      </c>
      <c r="E1083">
        <f>COUNTIF(tweets!C:C,D1083)</f>
        <v>1</v>
      </c>
      <c r="I1083"/>
      <c r="J1083"/>
    </row>
    <row r="1084" spans="4:10" x14ac:dyDescent="0.2">
      <c r="D1084" t="s">
        <v>3915</v>
      </c>
      <c r="E1084">
        <f>COUNTIF(tweets!C:C,D1084)</f>
        <v>1</v>
      </c>
      <c r="I1084"/>
      <c r="J1084"/>
    </row>
    <row r="1085" spans="4:10" x14ac:dyDescent="0.2">
      <c r="D1085" t="s">
        <v>3919</v>
      </c>
      <c r="E1085">
        <f>COUNTIF(tweets!C:C,D1085)</f>
        <v>1</v>
      </c>
      <c r="I1085"/>
      <c r="J1085"/>
    </row>
    <row r="1086" spans="4:10" x14ac:dyDescent="0.2">
      <c r="D1086" t="s">
        <v>3923</v>
      </c>
      <c r="E1086">
        <f>COUNTIF(tweets!C:C,D1086)</f>
        <v>1</v>
      </c>
      <c r="I1086"/>
      <c r="J1086"/>
    </row>
    <row r="1087" spans="4:10" x14ac:dyDescent="0.2">
      <c r="D1087" t="s">
        <v>3926</v>
      </c>
      <c r="E1087">
        <f>COUNTIF(tweets!C:C,D1087)</f>
        <v>1</v>
      </c>
      <c r="I1087"/>
      <c r="J1087"/>
    </row>
    <row r="1088" spans="4:10" x14ac:dyDescent="0.2">
      <c r="D1088" t="s">
        <v>3940</v>
      </c>
      <c r="E1088">
        <f>COUNTIF(tweets!C:C,D1088)</f>
        <v>1</v>
      </c>
      <c r="I1088"/>
      <c r="J1088"/>
    </row>
    <row r="1089" spans="4:10" x14ac:dyDescent="0.2">
      <c r="D1089" t="s">
        <v>3945</v>
      </c>
      <c r="E1089">
        <f>COUNTIF(tweets!C:C,D1089)</f>
        <v>1</v>
      </c>
      <c r="I1089"/>
      <c r="J1089"/>
    </row>
    <row r="1090" spans="4:10" x14ac:dyDescent="0.2">
      <c r="D1090" t="s">
        <v>3948</v>
      </c>
      <c r="E1090">
        <f>COUNTIF(tweets!C:C,D1090)</f>
        <v>1</v>
      </c>
      <c r="I1090"/>
      <c r="J1090"/>
    </row>
    <row r="1091" spans="4:10" x14ac:dyDescent="0.2">
      <c r="D1091" t="s">
        <v>3953</v>
      </c>
      <c r="E1091">
        <f>COUNTIF(tweets!C:C,D1091)</f>
        <v>1</v>
      </c>
      <c r="I1091"/>
      <c r="J1091"/>
    </row>
    <row r="1092" spans="4:10" x14ac:dyDescent="0.2">
      <c r="D1092" t="s">
        <v>3958</v>
      </c>
      <c r="E1092">
        <f>COUNTIF(tweets!C:C,D1092)</f>
        <v>1</v>
      </c>
      <c r="I1092"/>
      <c r="J1092"/>
    </row>
    <row r="1093" spans="4:10" x14ac:dyDescent="0.2">
      <c r="D1093" t="s">
        <v>3961</v>
      </c>
      <c r="E1093">
        <f>COUNTIF(tweets!C:C,D1093)</f>
        <v>1</v>
      </c>
      <c r="I1093"/>
      <c r="J1093"/>
    </row>
    <row r="1094" spans="4:10" x14ac:dyDescent="0.2">
      <c r="D1094" t="s">
        <v>3967</v>
      </c>
      <c r="E1094">
        <f>COUNTIF(tweets!C:C,D1094)</f>
        <v>1</v>
      </c>
      <c r="I1094"/>
      <c r="J1094"/>
    </row>
    <row r="1095" spans="4:10" x14ac:dyDescent="0.2">
      <c r="D1095" t="s">
        <v>3971</v>
      </c>
      <c r="E1095">
        <f>COUNTIF(tweets!C:C,D1095)</f>
        <v>1</v>
      </c>
      <c r="I1095"/>
      <c r="J1095"/>
    </row>
    <row r="1096" spans="4:10" x14ac:dyDescent="0.2">
      <c r="D1096" t="s">
        <v>3974</v>
      </c>
      <c r="E1096">
        <f>COUNTIF(tweets!C:C,D1096)</f>
        <v>1</v>
      </c>
      <c r="I1096"/>
      <c r="J1096"/>
    </row>
    <row r="1097" spans="4:10" x14ac:dyDescent="0.2">
      <c r="D1097" t="s">
        <v>3978</v>
      </c>
      <c r="E1097">
        <f>COUNTIF(tweets!C:C,D1097)</f>
        <v>1</v>
      </c>
      <c r="I1097"/>
      <c r="J1097"/>
    </row>
    <row r="1098" spans="4:10" x14ac:dyDescent="0.2">
      <c r="D1098" t="s">
        <v>3984</v>
      </c>
      <c r="E1098">
        <f>COUNTIF(tweets!C:C,D1098)</f>
        <v>1</v>
      </c>
      <c r="I1098"/>
      <c r="J1098"/>
    </row>
    <row r="1099" spans="4:10" x14ac:dyDescent="0.2">
      <c r="D1099" t="s">
        <v>3987</v>
      </c>
      <c r="E1099">
        <f>COUNTIF(tweets!C:C,D1099)</f>
        <v>1</v>
      </c>
      <c r="I1099"/>
      <c r="J1099"/>
    </row>
    <row r="1100" spans="4:10" x14ac:dyDescent="0.2">
      <c r="D1100" t="s">
        <v>3991</v>
      </c>
      <c r="E1100">
        <f>COUNTIF(tweets!C:C,D1100)</f>
        <v>1</v>
      </c>
      <c r="I1100"/>
      <c r="J1100"/>
    </row>
    <row r="1101" spans="4:10" x14ac:dyDescent="0.2">
      <c r="D1101" t="s">
        <v>3994</v>
      </c>
      <c r="E1101">
        <f>COUNTIF(tweets!C:C,D1101)</f>
        <v>1</v>
      </c>
      <c r="I1101"/>
      <c r="J1101"/>
    </row>
    <row r="1102" spans="4:10" x14ac:dyDescent="0.2">
      <c r="D1102" t="s">
        <v>3998</v>
      </c>
      <c r="E1102">
        <f>COUNTIF(tweets!C:C,D1102)</f>
        <v>1</v>
      </c>
      <c r="I1102"/>
      <c r="J1102"/>
    </row>
    <row r="1103" spans="4:10" x14ac:dyDescent="0.2">
      <c r="D1103" t="s">
        <v>4001</v>
      </c>
      <c r="E1103">
        <f>COUNTIF(tweets!C:C,D1103)</f>
        <v>1</v>
      </c>
      <c r="I1103"/>
      <c r="J1103"/>
    </row>
    <row r="1104" spans="4:10" x14ac:dyDescent="0.2">
      <c r="D1104" t="s">
        <v>4004</v>
      </c>
      <c r="E1104">
        <f>COUNTIF(tweets!C:C,D1104)</f>
        <v>1</v>
      </c>
      <c r="I1104"/>
      <c r="J1104"/>
    </row>
    <row r="1105" spans="4:10" x14ac:dyDescent="0.2">
      <c r="D1105" t="s">
        <v>4015</v>
      </c>
      <c r="E1105">
        <f>COUNTIF(tweets!C:C,D1105)</f>
        <v>1</v>
      </c>
      <c r="I1105"/>
      <c r="J1105"/>
    </row>
    <row r="1106" spans="4:10" x14ac:dyDescent="0.2">
      <c r="D1106" t="s">
        <v>4019</v>
      </c>
      <c r="E1106">
        <f>COUNTIF(tweets!C:C,D1106)</f>
        <v>1</v>
      </c>
      <c r="I1106"/>
      <c r="J1106"/>
    </row>
    <row r="1107" spans="4:10" x14ac:dyDescent="0.2">
      <c r="D1107" t="s">
        <v>4025</v>
      </c>
      <c r="E1107">
        <f>COUNTIF(tweets!C:C,D1107)</f>
        <v>1</v>
      </c>
      <c r="I1107"/>
      <c r="J1107"/>
    </row>
    <row r="1108" spans="4:10" x14ac:dyDescent="0.2">
      <c r="D1108" t="s">
        <v>4029</v>
      </c>
      <c r="E1108">
        <f>COUNTIF(tweets!C:C,D1108)</f>
        <v>1</v>
      </c>
      <c r="I1108"/>
      <c r="J1108"/>
    </row>
    <row r="1109" spans="4:10" x14ac:dyDescent="0.2">
      <c r="D1109" t="s">
        <v>4033</v>
      </c>
      <c r="E1109">
        <f>COUNTIF(tweets!C:C,D1109)</f>
        <v>1</v>
      </c>
      <c r="I1109"/>
      <c r="J1109"/>
    </row>
    <row r="1110" spans="4:10" x14ac:dyDescent="0.2">
      <c r="D1110" t="s">
        <v>4036</v>
      </c>
      <c r="E1110">
        <f>COUNTIF(tweets!C:C,D1110)</f>
        <v>1</v>
      </c>
      <c r="I1110"/>
      <c r="J1110"/>
    </row>
    <row r="1111" spans="4:10" x14ac:dyDescent="0.2">
      <c r="D1111" t="s">
        <v>4039</v>
      </c>
      <c r="E1111">
        <f>COUNTIF(tweets!C:C,D1111)</f>
        <v>1</v>
      </c>
      <c r="I1111"/>
      <c r="J1111"/>
    </row>
    <row r="1112" spans="4:10" x14ac:dyDescent="0.2">
      <c r="D1112" t="s">
        <v>4043</v>
      </c>
      <c r="E1112">
        <f>COUNTIF(tweets!C:C,D1112)</f>
        <v>1</v>
      </c>
      <c r="I1112"/>
      <c r="J1112"/>
    </row>
    <row r="1113" spans="4:10" x14ac:dyDescent="0.2">
      <c r="D1113" t="s">
        <v>4055</v>
      </c>
      <c r="E1113">
        <f>COUNTIF(tweets!C:C,D1113)</f>
        <v>1</v>
      </c>
      <c r="I1113"/>
      <c r="J1113"/>
    </row>
    <row r="1114" spans="4:10" x14ac:dyDescent="0.2">
      <c r="D1114" t="s">
        <v>4068</v>
      </c>
      <c r="E1114">
        <f>COUNTIF(tweets!C:C,D1114)</f>
        <v>1</v>
      </c>
      <c r="I1114"/>
      <c r="J1114"/>
    </row>
    <row r="1115" spans="4:10" x14ac:dyDescent="0.2">
      <c r="D1115" t="s">
        <v>4072</v>
      </c>
      <c r="E1115">
        <f>COUNTIF(tweets!C:C,D1115)</f>
        <v>1</v>
      </c>
      <c r="I1115"/>
      <c r="J1115"/>
    </row>
    <row r="1116" spans="4:10" x14ac:dyDescent="0.2">
      <c r="D1116" t="s">
        <v>4075</v>
      </c>
      <c r="E1116">
        <f>COUNTIF(tweets!C:C,D1116)</f>
        <v>1</v>
      </c>
      <c r="I1116"/>
      <c r="J1116"/>
    </row>
    <row r="1117" spans="4:10" x14ac:dyDescent="0.2">
      <c r="D1117" t="s">
        <v>4078</v>
      </c>
      <c r="E1117">
        <f>COUNTIF(tweets!C:C,D1117)</f>
        <v>1</v>
      </c>
      <c r="I1117"/>
      <c r="J1117"/>
    </row>
    <row r="1118" spans="4:10" x14ac:dyDescent="0.2">
      <c r="D1118" t="s">
        <v>4084</v>
      </c>
      <c r="E1118">
        <f>COUNTIF(tweets!C:C,D1118)</f>
        <v>1</v>
      </c>
      <c r="I1118"/>
      <c r="J1118"/>
    </row>
    <row r="1119" spans="4:10" x14ac:dyDescent="0.2">
      <c r="D1119" t="s">
        <v>4091</v>
      </c>
      <c r="E1119">
        <f>COUNTIF(tweets!C:C,D1119)</f>
        <v>1</v>
      </c>
      <c r="I1119"/>
      <c r="J1119"/>
    </row>
    <row r="1120" spans="4:10" x14ac:dyDescent="0.2">
      <c r="D1120" t="s">
        <v>4095</v>
      </c>
      <c r="E1120">
        <f>COUNTIF(tweets!C:C,D1120)</f>
        <v>1</v>
      </c>
      <c r="I1120"/>
      <c r="J1120"/>
    </row>
    <row r="1121" spans="4:10" x14ac:dyDescent="0.2">
      <c r="D1121" t="s">
        <v>4098</v>
      </c>
      <c r="E1121">
        <f>COUNTIF(tweets!C:C,D1121)</f>
        <v>1</v>
      </c>
      <c r="I1121"/>
      <c r="J1121"/>
    </row>
    <row r="1122" spans="4:10" x14ac:dyDescent="0.2">
      <c r="D1122" t="s">
        <v>4102</v>
      </c>
      <c r="E1122">
        <f>COUNTIF(tweets!C:C,D1122)</f>
        <v>1</v>
      </c>
      <c r="I1122"/>
      <c r="J1122"/>
    </row>
    <row r="1123" spans="4:10" x14ac:dyDescent="0.2">
      <c r="D1123" t="s">
        <v>4110</v>
      </c>
      <c r="E1123">
        <f>COUNTIF(tweets!C:C,D1123)</f>
        <v>1</v>
      </c>
      <c r="I1123"/>
      <c r="J1123"/>
    </row>
    <row r="1124" spans="4:10" x14ac:dyDescent="0.2">
      <c r="D1124" t="s">
        <v>4118</v>
      </c>
      <c r="E1124">
        <f>COUNTIF(tweets!C:C,D1124)</f>
        <v>1</v>
      </c>
      <c r="I1124"/>
      <c r="J1124"/>
    </row>
    <row r="1125" spans="4:10" x14ac:dyDescent="0.2">
      <c r="D1125" t="s">
        <v>4130</v>
      </c>
      <c r="E1125">
        <f>COUNTIF(tweets!C:C,D1125)</f>
        <v>1</v>
      </c>
      <c r="I1125"/>
      <c r="J1125"/>
    </row>
    <row r="1126" spans="4:10" x14ac:dyDescent="0.2">
      <c r="D1126" t="s">
        <v>4142</v>
      </c>
      <c r="E1126">
        <f>COUNTIF(tweets!C:C,D1126)</f>
        <v>1</v>
      </c>
      <c r="I1126"/>
      <c r="J1126"/>
    </row>
    <row r="1127" spans="4:10" x14ac:dyDescent="0.2">
      <c r="D1127" t="s">
        <v>4146</v>
      </c>
      <c r="E1127">
        <f>COUNTIF(tweets!C:C,D1127)</f>
        <v>1</v>
      </c>
      <c r="I1127"/>
      <c r="J1127"/>
    </row>
    <row r="1128" spans="4:10" x14ac:dyDescent="0.2">
      <c r="D1128" t="s">
        <v>4149</v>
      </c>
      <c r="E1128">
        <f>COUNTIF(tweets!C:C,D1128)</f>
        <v>1</v>
      </c>
      <c r="I1128"/>
      <c r="J1128"/>
    </row>
    <row r="1129" spans="4:10" x14ac:dyDescent="0.2">
      <c r="D1129" t="s">
        <v>4155</v>
      </c>
      <c r="E1129">
        <f>COUNTIF(tweets!C:C,D1129)</f>
        <v>1</v>
      </c>
      <c r="I1129"/>
      <c r="J1129"/>
    </row>
    <row r="1130" spans="4:10" x14ac:dyDescent="0.2">
      <c r="D1130" t="s">
        <v>4158</v>
      </c>
      <c r="E1130">
        <f>COUNTIF(tweets!C:C,D1130)</f>
        <v>1</v>
      </c>
      <c r="I1130"/>
      <c r="J1130"/>
    </row>
    <row r="1131" spans="4:10" x14ac:dyDescent="0.2">
      <c r="D1131" t="s">
        <v>4163</v>
      </c>
      <c r="E1131">
        <f>COUNTIF(tweets!C:C,D1131)</f>
        <v>1</v>
      </c>
      <c r="I1131"/>
      <c r="J1131"/>
    </row>
    <row r="1132" spans="4:10" x14ac:dyDescent="0.2">
      <c r="D1132" t="s">
        <v>4170</v>
      </c>
      <c r="E1132">
        <f>COUNTIF(tweets!C:C,D1132)</f>
        <v>1</v>
      </c>
      <c r="I1132"/>
      <c r="J1132"/>
    </row>
    <row r="1133" spans="4:10" x14ac:dyDescent="0.2">
      <c r="D1133" t="s">
        <v>4177</v>
      </c>
      <c r="E1133">
        <f>COUNTIF(tweets!C:C,D1133)</f>
        <v>1</v>
      </c>
      <c r="I1133"/>
      <c r="J1133"/>
    </row>
    <row r="1134" spans="4:10" x14ac:dyDescent="0.2">
      <c r="D1134" t="s">
        <v>4180</v>
      </c>
      <c r="E1134">
        <f>COUNTIF(tweets!C:C,D1134)</f>
        <v>1</v>
      </c>
      <c r="I1134"/>
      <c r="J1134"/>
    </row>
    <row r="1135" spans="4:10" x14ac:dyDescent="0.2">
      <c r="D1135" t="s">
        <v>4185</v>
      </c>
      <c r="E1135">
        <f>COUNTIF(tweets!C:C,D1135)</f>
        <v>1</v>
      </c>
      <c r="I1135"/>
      <c r="J1135"/>
    </row>
    <row r="1136" spans="4:10" x14ac:dyDescent="0.2">
      <c r="D1136" t="s">
        <v>4190</v>
      </c>
      <c r="E1136">
        <f>COUNTIF(tweets!C:C,D1136)</f>
        <v>1</v>
      </c>
      <c r="I1136"/>
      <c r="J1136"/>
    </row>
    <row r="1137" spans="4:10" x14ac:dyDescent="0.2">
      <c r="D1137" t="s">
        <v>4193</v>
      </c>
      <c r="E1137">
        <f>COUNTIF(tweets!C:C,D1137)</f>
        <v>1</v>
      </c>
      <c r="I1137"/>
      <c r="J1137"/>
    </row>
    <row r="1138" spans="4:10" x14ac:dyDescent="0.2">
      <c r="D1138" t="s">
        <v>4197</v>
      </c>
      <c r="E1138">
        <f>COUNTIF(tweets!C:C,D1138)</f>
        <v>1</v>
      </c>
      <c r="I1138"/>
      <c r="J1138"/>
    </row>
    <row r="1139" spans="4:10" x14ac:dyDescent="0.2">
      <c r="D1139" t="s">
        <v>4200</v>
      </c>
      <c r="E1139">
        <f>COUNTIF(tweets!C:C,D1139)</f>
        <v>1</v>
      </c>
      <c r="I1139"/>
      <c r="J1139"/>
    </row>
    <row r="1140" spans="4:10" x14ac:dyDescent="0.2">
      <c r="D1140" t="s">
        <v>4205</v>
      </c>
      <c r="E1140">
        <f>COUNTIF(tweets!C:C,D1140)</f>
        <v>1</v>
      </c>
      <c r="I1140"/>
      <c r="J1140"/>
    </row>
    <row r="1141" spans="4:10" x14ac:dyDescent="0.2">
      <c r="D1141" t="s">
        <v>4208</v>
      </c>
      <c r="E1141">
        <f>COUNTIF(tweets!C:C,D1141)</f>
        <v>1</v>
      </c>
      <c r="I1141"/>
      <c r="J1141"/>
    </row>
    <row r="1142" spans="4:10" x14ac:dyDescent="0.2">
      <c r="D1142" t="s">
        <v>4216</v>
      </c>
      <c r="E1142">
        <f>COUNTIF(tweets!C:C,D1142)</f>
        <v>1</v>
      </c>
      <c r="I1142"/>
      <c r="J1142"/>
    </row>
    <row r="1143" spans="4:10" x14ac:dyDescent="0.2">
      <c r="D1143" t="s">
        <v>4220</v>
      </c>
      <c r="E1143">
        <f>COUNTIF(tweets!C:C,D1143)</f>
        <v>1</v>
      </c>
      <c r="I1143"/>
      <c r="J1143"/>
    </row>
    <row r="1144" spans="4:10" x14ac:dyDescent="0.2">
      <c r="D1144" t="s">
        <v>4224</v>
      </c>
      <c r="E1144">
        <f>COUNTIF(tweets!C:C,D1144)</f>
        <v>1</v>
      </c>
      <c r="I1144"/>
      <c r="J1144"/>
    </row>
    <row r="1145" spans="4:10" x14ac:dyDescent="0.2">
      <c r="D1145" t="s">
        <v>4232</v>
      </c>
      <c r="E1145">
        <f>COUNTIF(tweets!C:C,D1145)</f>
        <v>1</v>
      </c>
      <c r="I1145"/>
      <c r="J1145"/>
    </row>
    <row r="1146" spans="4:10" x14ac:dyDescent="0.2">
      <c r="D1146" t="s">
        <v>4236</v>
      </c>
      <c r="E1146">
        <f>COUNTIF(tweets!C:C,D1146)</f>
        <v>1</v>
      </c>
      <c r="I1146"/>
      <c r="J1146"/>
    </row>
    <row r="1147" spans="4:10" x14ac:dyDescent="0.2">
      <c r="D1147" t="s">
        <v>4241</v>
      </c>
      <c r="E1147">
        <f>COUNTIF(tweets!C:C,D1147)</f>
        <v>1</v>
      </c>
      <c r="I1147"/>
      <c r="J1147"/>
    </row>
    <row r="1148" spans="4:10" x14ac:dyDescent="0.2">
      <c r="D1148" t="s">
        <v>4246</v>
      </c>
      <c r="E1148">
        <f>COUNTIF(tweets!C:C,D1148)</f>
        <v>1</v>
      </c>
      <c r="I1148"/>
      <c r="J1148"/>
    </row>
    <row r="1149" spans="4:10" x14ac:dyDescent="0.2">
      <c r="D1149" t="s">
        <v>4250</v>
      </c>
      <c r="E1149">
        <f>COUNTIF(tweets!C:C,D1149)</f>
        <v>1</v>
      </c>
      <c r="I1149"/>
      <c r="J1149"/>
    </row>
    <row r="1150" spans="4:10" x14ac:dyDescent="0.2">
      <c r="D1150" t="s">
        <v>4254</v>
      </c>
      <c r="E1150">
        <f>COUNTIF(tweets!C:C,D1150)</f>
        <v>1</v>
      </c>
      <c r="I1150"/>
      <c r="J1150"/>
    </row>
    <row r="1151" spans="4:10" x14ac:dyDescent="0.2">
      <c r="D1151" t="s">
        <v>4258</v>
      </c>
      <c r="E1151">
        <f>COUNTIF(tweets!C:C,D1151)</f>
        <v>1</v>
      </c>
      <c r="I1151"/>
      <c r="J1151"/>
    </row>
    <row r="1152" spans="4:10" x14ac:dyDescent="0.2">
      <c r="D1152" t="s">
        <v>4262</v>
      </c>
      <c r="E1152">
        <f>COUNTIF(tweets!C:C,D1152)</f>
        <v>1</v>
      </c>
      <c r="I1152"/>
      <c r="J1152"/>
    </row>
    <row r="1153" spans="4:10" x14ac:dyDescent="0.2">
      <c r="D1153" t="s">
        <v>4266</v>
      </c>
      <c r="E1153">
        <f>COUNTIF(tweets!C:C,D1153)</f>
        <v>1</v>
      </c>
      <c r="I1153"/>
      <c r="J1153"/>
    </row>
    <row r="1154" spans="4:10" x14ac:dyDescent="0.2">
      <c r="D1154" t="s">
        <v>4269</v>
      </c>
      <c r="E1154">
        <f>COUNTIF(tweets!C:C,D1154)</f>
        <v>1</v>
      </c>
      <c r="I1154"/>
      <c r="J1154"/>
    </row>
    <row r="1155" spans="4:10" x14ac:dyDescent="0.2">
      <c r="D1155" t="s">
        <v>4272</v>
      </c>
      <c r="E1155">
        <f>COUNTIF(tweets!C:C,D1155)</f>
        <v>1</v>
      </c>
      <c r="I1155"/>
      <c r="J1155"/>
    </row>
    <row r="1156" spans="4:10" x14ac:dyDescent="0.2">
      <c r="D1156" t="s">
        <v>4276</v>
      </c>
      <c r="E1156">
        <f>COUNTIF(tweets!C:C,D1156)</f>
        <v>1</v>
      </c>
      <c r="I1156"/>
      <c r="J1156"/>
    </row>
    <row r="1157" spans="4:10" x14ac:dyDescent="0.2">
      <c r="D1157" t="s">
        <v>4279</v>
      </c>
      <c r="E1157">
        <f>COUNTIF(tweets!C:C,D1157)</f>
        <v>1</v>
      </c>
      <c r="I1157"/>
      <c r="J1157"/>
    </row>
    <row r="1158" spans="4:10" x14ac:dyDescent="0.2">
      <c r="D1158" t="s">
        <v>4283</v>
      </c>
      <c r="E1158">
        <f>COUNTIF(tweets!C:C,D1158)</f>
        <v>1</v>
      </c>
      <c r="I1158"/>
      <c r="J1158"/>
    </row>
    <row r="1159" spans="4:10" x14ac:dyDescent="0.2">
      <c r="D1159" t="s">
        <v>4286</v>
      </c>
      <c r="E1159">
        <f>COUNTIF(tweets!C:C,D1159)</f>
        <v>1</v>
      </c>
      <c r="I1159"/>
      <c r="J1159"/>
    </row>
    <row r="1160" spans="4:10" x14ac:dyDescent="0.2">
      <c r="D1160" t="s">
        <v>4289</v>
      </c>
      <c r="E1160">
        <f>COUNTIF(tweets!C:C,D1160)</f>
        <v>1</v>
      </c>
      <c r="I1160"/>
      <c r="J1160"/>
    </row>
    <row r="1161" spans="4:10" x14ac:dyDescent="0.2">
      <c r="D1161" t="s">
        <v>4293</v>
      </c>
      <c r="E1161">
        <f>COUNTIF(tweets!C:C,D1161)</f>
        <v>1</v>
      </c>
      <c r="I1161"/>
      <c r="J1161"/>
    </row>
    <row r="1162" spans="4:10" x14ac:dyDescent="0.2">
      <c r="D1162" t="s">
        <v>4296</v>
      </c>
      <c r="E1162">
        <f>COUNTIF(tweets!C:C,D1162)</f>
        <v>1</v>
      </c>
      <c r="I1162"/>
      <c r="J1162"/>
    </row>
    <row r="1163" spans="4:10" x14ac:dyDescent="0.2">
      <c r="D1163" t="s">
        <v>4299</v>
      </c>
      <c r="E1163">
        <f>COUNTIF(tweets!C:C,D1163)</f>
        <v>1</v>
      </c>
      <c r="I1163"/>
      <c r="J1163"/>
    </row>
    <row r="1164" spans="4:10" x14ac:dyDescent="0.2">
      <c r="D1164" t="s">
        <v>4302</v>
      </c>
      <c r="E1164">
        <f>COUNTIF(tweets!C:C,D1164)</f>
        <v>1</v>
      </c>
      <c r="I1164"/>
      <c r="J1164"/>
    </row>
    <row r="1165" spans="4:10" x14ac:dyDescent="0.2">
      <c r="D1165" t="s">
        <v>4305</v>
      </c>
      <c r="E1165">
        <f>COUNTIF(tweets!C:C,D1165)</f>
        <v>1</v>
      </c>
      <c r="I1165"/>
      <c r="J1165"/>
    </row>
    <row r="1166" spans="4:10" x14ac:dyDescent="0.2">
      <c r="D1166" t="s">
        <v>4308</v>
      </c>
      <c r="E1166">
        <f>COUNTIF(tweets!C:C,D1166)</f>
        <v>1</v>
      </c>
      <c r="I1166"/>
      <c r="J1166"/>
    </row>
    <row r="1167" spans="4:10" x14ac:dyDescent="0.2">
      <c r="D1167" t="s">
        <v>4311</v>
      </c>
      <c r="E1167">
        <f>COUNTIF(tweets!C:C,D1167)</f>
        <v>1</v>
      </c>
      <c r="I1167"/>
      <c r="J1167"/>
    </row>
    <row r="1168" spans="4:10" x14ac:dyDescent="0.2">
      <c r="D1168" t="s">
        <v>4314</v>
      </c>
      <c r="E1168">
        <f>COUNTIF(tweets!C:C,D1168)</f>
        <v>1</v>
      </c>
      <c r="I1168"/>
      <c r="J1168"/>
    </row>
    <row r="1169" spans="4:10" x14ac:dyDescent="0.2">
      <c r="D1169" t="s">
        <v>4319</v>
      </c>
      <c r="E1169">
        <f>COUNTIF(tweets!C:C,D1169)</f>
        <v>1</v>
      </c>
      <c r="I1169"/>
      <c r="J1169"/>
    </row>
    <row r="1170" spans="4:10" x14ac:dyDescent="0.2">
      <c r="D1170" t="s">
        <v>4323</v>
      </c>
      <c r="E1170">
        <f>COUNTIF(tweets!C:C,D1170)</f>
        <v>1</v>
      </c>
      <c r="I1170"/>
      <c r="J1170"/>
    </row>
    <row r="1171" spans="4:10" x14ac:dyDescent="0.2">
      <c r="D1171" t="s">
        <v>4327</v>
      </c>
      <c r="E1171">
        <f>COUNTIF(tweets!C:C,D1171)</f>
        <v>1</v>
      </c>
      <c r="I1171"/>
      <c r="J1171"/>
    </row>
    <row r="1172" spans="4:10" x14ac:dyDescent="0.2">
      <c r="D1172" t="s">
        <v>4330</v>
      </c>
      <c r="E1172">
        <f>COUNTIF(tweets!C:C,D1172)</f>
        <v>1</v>
      </c>
      <c r="I1172"/>
      <c r="J1172"/>
    </row>
    <row r="1173" spans="4:10" x14ac:dyDescent="0.2">
      <c r="D1173" t="s">
        <v>4334</v>
      </c>
      <c r="E1173">
        <f>COUNTIF(tweets!C:C,D1173)</f>
        <v>1</v>
      </c>
      <c r="I1173"/>
      <c r="J1173"/>
    </row>
    <row r="1174" spans="4:10" x14ac:dyDescent="0.2">
      <c r="D1174" t="s">
        <v>4337</v>
      </c>
      <c r="E1174">
        <f>COUNTIF(tweets!C:C,D1174)</f>
        <v>1</v>
      </c>
      <c r="I1174"/>
      <c r="J1174"/>
    </row>
    <row r="1175" spans="4:10" x14ac:dyDescent="0.2">
      <c r="D1175" t="s">
        <v>4343</v>
      </c>
      <c r="E1175">
        <f>COUNTIF(tweets!C:C,D1175)</f>
        <v>1</v>
      </c>
      <c r="I1175"/>
      <c r="J1175"/>
    </row>
    <row r="1176" spans="4:10" x14ac:dyDescent="0.2">
      <c r="D1176" t="s">
        <v>4347</v>
      </c>
      <c r="E1176">
        <f>COUNTIF(tweets!C:C,D1176)</f>
        <v>1</v>
      </c>
      <c r="I1176"/>
      <c r="J1176"/>
    </row>
    <row r="1177" spans="4:10" x14ac:dyDescent="0.2">
      <c r="D1177" t="s">
        <v>4357</v>
      </c>
      <c r="E1177">
        <f>COUNTIF(tweets!C:C,D1177)</f>
        <v>1</v>
      </c>
      <c r="I1177"/>
      <c r="J1177"/>
    </row>
    <row r="1178" spans="4:10" x14ac:dyDescent="0.2">
      <c r="D1178" t="s">
        <v>4360</v>
      </c>
      <c r="E1178">
        <f>COUNTIF(tweets!C:C,D1178)</f>
        <v>1</v>
      </c>
      <c r="I1178"/>
      <c r="J1178"/>
    </row>
    <row r="1179" spans="4:10" x14ac:dyDescent="0.2">
      <c r="D1179" t="s">
        <v>4366</v>
      </c>
      <c r="E1179">
        <f>COUNTIF(tweets!C:C,D1179)</f>
        <v>1</v>
      </c>
      <c r="I1179"/>
      <c r="J1179"/>
    </row>
    <row r="1180" spans="4:10" x14ac:dyDescent="0.2">
      <c r="D1180" t="s">
        <v>4369</v>
      </c>
      <c r="E1180">
        <f>COUNTIF(tweets!C:C,D1180)</f>
        <v>1</v>
      </c>
      <c r="I1180"/>
      <c r="J1180"/>
    </row>
    <row r="1181" spans="4:10" x14ac:dyDescent="0.2">
      <c r="D1181" t="s">
        <v>4372</v>
      </c>
      <c r="E1181">
        <f>COUNTIF(tweets!C:C,D1181)</f>
        <v>1</v>
      </c>
      <c r="I1181"/>
      <c r="J1181"/>
    </row>
    <row r="1182" spans="4:10" x14ac:dyDescent="0.2">
      <c r="D1182" t="s">
        <v>4375</v>
      </c>
      <c r="E1182">
        <f>COUNTIF(tweets!C:C,D1182)</f>
        <v>1</v>
      </c>
      <c r="I1182"/>
      <c r="J1182"/>
    </row>
    <row r="1183" spans="4:10" x14ac:dyDescent="0.2">
      <c r="D1183" t="s">
        <v>4379</v>
      </c>
      <c r="E1183">
        <f>COUNTIF(tweets!C:C,D1183)</f>
        <v>1</v>
      </c>
      <c r="I1183"/>
      <c r="J1183"/>
    </row>
    <row r="1184" spans="4:10" x14ac:dyDescent="0.2">
      <c r="D1184" t="s">
        <v>4383</v>
      </c>
      <c r="E1184">
        <f>COUNTIF(tweets!C:C,D1184)</f>
        <v>1</v>
      </c>
      <c r="I1184"/>
      <c r="J1184"/>
    </row>
    <row r="1185" spans="4:10" x14ac:dyDescent="0.2">
      <c r="D1185" t="s">
        <v>4390</v>
      </c>
      <c r="E1185">
        <f>COUNTIF(tweets!C:C,D1185)</f>
        <v>1</v>
      </c>
      <c r="I1185"/>
      <c r="J1185"/>
    </row>
    <row r="1186" spans="4:10" x14ac:dyDescent="0.2">
      <c r="D1186" t="s">
        <v>4393</v>
      </c>
      <c r="E1186">
        <f>COUNTIF(tweets!C:C,D1186)</f>
        <v>1</v>
      </c>
      <c r="I1186"/>
      <c r="J1186"/>
    </row>
    <row r="1187" spans="4:10" x14ac:dyDescent="0.2">
      <c r="D1187" t="s">
        <v>4397</v>
      </c>
      <c r="E1187">
        <f>COUNTIF(tweets!C:C,D1187)</f>
        <v>1</v>
      </c>
      <c r="I1187"/>
      <c r="J1187"/>
    </row>
    <row r="1188" spans="4:10" x14ac:dyDescent="0.2">
      <c r="D1188" t="s">
        <v>4402</v>
      </c>
      <c r="E1188">
        <f>COUNTIF(tweets!C:C,D1188)</f>
        <v>1</v>
      </c>
      <c r="I1188"/>
      <c r="J1188"/>
    </row>
    <row r="1189" spans="4:10" x14ac:dyDescent="0.2">
      <c r="D1189" t="s">
        <v>4405</v>
      </c>
      <c r="E1189">
        <f>COUNTIF(tweets!C:C,D1189)</f>
        <v>1</v>
      </c>
      <c r="I1189"/>
      <c r="J1189"/>
    </row>
    <row r="1190" spans="4:10" x14ac:dyDescent="0.2">
      <c r="D1190" t="s">
        <v>4408</v>
      </c>
      <c r="E1190">
        <f>COUNTIF(tweets!C:C,D1190)</f>
        <v>1</v>
      </c>
      <c r="I1190"/>
      <c r="J1190"/>
    </row>
    <row r="1191" spans="4:10" x14ac:dyDescent="0.2">
      <c r="D1191" t="s">
        <v>4412</v>
      </c>
      <c r="E1191">
        <f>COUNTIF(tweets!C:C,D1191)</f>
        <v>1</v>
      </c>
      <c r="I1191"/>
      <c r="J1191"/>
    </row>
    <row r="1192" spans="4:10" x14ac:dyDescent="0.2">
      <c r="D1192" t="s">
        <v>4417</v>
      </c>
      <c r="E1192">
        <f>COUNTIF(tweets!C:C,D1192)</f>
        <v>1</v>
      </c>
      <c r="I1192"/>
      <c r="J1192"/>
    </row>
    <row r="1193" spans="4:10" x14ac:dyDescent="0.2">
      <c r="D1193" t="s">
        <v>4420</v>
      </c>
      <c r="E1193">
        <f>COUNTIF(tweets!C:C,D1193)</f>
        <v>1</v>
      </c>
      <c r="I1193"/>
      <c r="J1193"/>
    </row>
    <row r="1194" spans="4:10" x14ac:dyDescent="0.2">
      <c r="D1194" t="s">
        <v>4424</v>
      </c>
      <c r="E1194">
        <f>COUNTIF(tweets!C:C,D1194)</f>
        <v>1</v>
      </c>
      <c r="I1194"/>
      <c r="J1194"/>
    </row>
    <row r="1195" spans="4:10" x14ac:dyDescent="0.2">
      <c r="D1195" t="s">
        <v>4427</v>
      </c>
      <c r="E1195">
        <f>COUNTIF(tweets!C:C,D1195)</f>
        <v>1</v>
      </c>
      <c r="I1195"/>
      <c r="J1195"/>
    </row>
    <row r="1196" spans="4:10" x14ac:dyDescent="0.2">
      <c r="D1196" t="s">
        <v>4430</v>
      </c>
      <c r="E1196">
        <f>COUNTIF(tweets!C:C,D1196)</f>
        <v>1</v>
      </c>
      <c r="I1196"/>
      <c r="J1196"/>
    </row>
    <row r="1197" spans="4:10" x14ac:dyDescent="0.2">
      <c r="D1197" t="s">
        <v>4435</v>
      </c>
      <c r="E1197">
        <f>COUNTIF(tweets!C:C,D1197)</f>
        <v>1</v>
      </c>
      <c r="I1197"/>
      <c r="J1197"/>
    </row>
    <row r="1198" spans="4:10" x14ac:dyDescent="0.2">
      <c r="D1198" t="s">
        <v>4440</v>
      </c>
      <c r="E1198">
        <f>COUNTIF(tweets!C:C,D1198)</f>
        <v>1</v>
      </c>
      <c r="I1198"/>
      <c r="J1198"/>
    </row>
    <row r="1199" spans="4:10" x14ac:dyDescent="0.2">
      <c r="D1199" t="s">
        <v>4447</v>
      </c>
      <c r="E1199">
        <f>COUNTIF(tweets!C:C,D1199)</f>
        <v>1</v>
      </c>
      <c r="I1199"/>
      <c r="J1199"/>
    </row>
    <row r="1200" spans="4:10" x14ac:dyDescent="0.2">
      <c r="D1200" t="s">
        <v>4451</v>
      </c>
      <c r="E1200">
        <f>COUNTIF(tweets!C:C,D1200)</f>
        <v>1</v>
      </c>
      <c r="I1200"/>
      <c r="J1200"/>
    </row>
    <row r="1201" spans="4:10" x14ac:dyDescent="0.2">
      <c r="D1201" t="s">
        <v>4454</v>
      </c>
      <c r="E1201">
        <f>COUNTIF(tweets!C:C,D1201)</f>
        <v>1</v>
      </c>
      <c r="I1201"/>
      <c r="J1201"/>
    </row>
    <row r="1202" spans="4:10" x14ac:dyDescent="0.2">
      <c r="D1202" t="s">
        <v>4457</v>
      </c>
      <c r="E1202">
        <f>COUNTIF(tweets!C:C,D1202)</f>
        <v>1</v>
      </c>
      <c r="I1202"/>
      <c r="J1202"/>
    </row>
    <row r="1203" spans="4:10" x14ac:dyDescent="0.2">
      <c r="D1203" t="s">
        <v>4463</v>
      </c>
      <c r="E1203">
        <f>COUNTIF(tweets!C:C,D1203)</f>
        <v>1</v>
      </c>
      <c r="I1203"/>
      <c r="J1203"/>
    </row>
    <row r="1204" spans="4:10" x14ac:dyDescent="0.2">
      <c r="D1204" t="s">
        <v>4467</v>
      </c>
      <c r="E1204">
        <f>COUNTIF(tweets!C:C,D1204)</f>
        <v>1</v>
      </c>
      <c r="I1204"/>
      <c r="J1204"/>
    </row>
    <row r="1205" spans="4:10" x14ac:dyDescent="0.2">
      <c r="D1205" t="s">
        <v>4472</v>
      </c>
      <c r="E1205">
        <f>COUNTIF(tweets!C:C,D1205)</f>
        <v>1</v>
      </c>
      <c r="I1205"/>
      <c r="J1205"/>
    </row>
    <row r="1206" spans="4:10" x14ac:dyDescent="0.2">
      <c r="D1206" t="s">
        <v>4475</v>
      </c>
      <c r="E1206">
        <f>COUNTIF(tweets!C:C,D1206)</f>
        <v>1</v>
      </c>
      <c r="I1206"/>
      <c r="J1206"/>
    </row>
    <row r="1207" spans="4:10" x14ac:dyDescent="0.2">
      <c r="D1207" t="s">
        <v>4480</v>
      </c>
      <c r="E1207">
        <f>COUNTIF(tweets!C:C,D1207)</f>
        <v>1</v>
      </c>
      <c r="I1207"/>
      <c r="J1207"/>
    </row>
    <row r="1208" spans="4:10" x14ac:dyDescent="0.2">
      <c r="D1208" t="s">
        <v>4484</v>
      </c>
      <c r="E1208">
        <f>COUNTIF(tweets!C:C,D1208)</f>
        <v>1</v>
      </c>
      <c r="I1208"/>
      <c r="J1208"/>
    </row>
    <row r="1209" spans="4:10" x14ac:dyDescent="0.2">
      <c r="D1209" t="s">
        <v>4490</v>
      </c>
      <c r="E1209">
        <f>COUNTIF(tweets!C:C,D1209)</f>
        <v>1</v>
      </c>
      <c r="I1209"/>
      <c r="J1209"/>
    </row>
    <row r="1210" spans="4:10" x14ac:dyDescent="0.2">
      <c r="D1210" t="s">
        <v>4493</v>
      </c>
      <c r="E1210">
        <f>COUNTIF(tweets!C:C,D1210)</f>
        <v>1</v>
      </c>
      <c r="I1210"/>
      <c r="J1210"/>
    </row>
    <row r="1211" spans="4:10" x14ac:dyDescent="0.2">
      <c r="D1211" t="s">
        <v>4497</v>
      </c>
      <c r="E1211">
        <f>COUNTIF(tweets!C:C,D1211)</f>
        <v>1</v>
      </c>
      <c r="I1211"/>
      <c r="J1211"/>
    </row>
    <row r="1212" spans="4:10" x14ac:dyDescent="0.2">
      <c r="D1212" t="s">
        <v>4500</v>
      </c>
      <c r="E1212">
        <f>COUNTIF(tweets!C:C,D1212)</f>
        <v>1</v>
      </c>
      <c r="I1212"/>
      <c r="J1212"/>
    </row>
    <row r="1213" spans="4:10" x14ac:dyDescent="0.2">
      <c r="D1213" t="s">
        <v>4508</v>
      </c>
      <c r="E1213">
        <f>COUNTIF(tweets!C:C,D1213)</f>
        <v>1</v>
      </c>
      <c r="I1213"/>
      <c r="J1213"/>
    </row>
    <row r="1214" spans="4:10" x14ac:dyDescent="0.2">
      <c r="D1214" t="s">
        <v>4512</v>
      </c>
      <c r="E1214">
        <f>COUNTIF(tweets!C:C,D1214)</f>
        <v>1</v>
      </c>
      <c r="I1214"/>
      <c r="J1214"/>
    </row>
    <row r="1215" spans="4:10" x14ac:dyDescent="0.2">
      <c r="D1215" t="s">
        <v>4515</v>
      </c>
      <c r="E1215">
        <f>COUNTIF(tweets!C:C,D1215)</f>
        <v>1</v>
      </c>
      <c r="I1215"/>
      <c r="J1215"/>
    </row>
    <row r="1216" spans="4:10" x14ac:dyDescent="0.2">
      <c r="D1216" t="s">
        <v>4520</v>
      </c>
      <c r="E1216">
        <f>COUNTIF(tweets!C:C,D1216)</f>
        <v>1</v>
      </c>
      <c r="I1216"/>
      <c r="J1216"/>
    </row>
    <row r="1217" spans="4:10" x14ac:dyDescent="0.2">
      <c r="D1217" t="s">
        <v>4524</v>
      </c>
      <c r="E1217">
        <f>COUNTIF(tweets!C:C,D1217)</f>
        <v>1</v>
      </c>
      <c r="I1217"/>
      <c r="J1217"/>
    </row>
    <row r="1218" spans="4:10" x14ac:dyDescent="0.2">
      <c r="D1218" t="s">
        <v>4527</v>
      </c>
      <c r="E1218">
        <f>COUNTIF(tweets!C:C,D1218)</f>
        <v>1</v>
      </c>
      <c r="I1218"/>
      <c r="J1218"/>
    </row>
    <row r="1219" spans="4:10" x14ac:dyDescent="0.2">
      <c r="D1219" t="s">
        <v>4530</v>
      </c>
      <c r="E1219">
        <f>COUNTIF(tweets!C:C,D1219)</f>
        <v>1</v>
      </c>
      <c r="I1219"/>
      <c r="J1219"/>
    </row>
    <row r="1220" spans="4:10" x14ac:dyDescent="0.2">
      <c r="D1220" t="s">
        <v>4533</v>
      </c>
      <c r="E1220">
        <f>COUNTIF(tweets!C:C,D1220)</f>
        <v>1</v>
      </c>
      <c r="I1220"/>
      <c r="J1220"/>
    </row>
    <row r="1221" spans="4:10" x14ac:dyDescent="0.2">
      <c r="D1221" t="s">
        <v>4536</v>
      </c>
      <c r="E1221">
        <f>COUNTIF(tweets!C:C,D1221)</f>
        <v>1</v>
      </c>
      <c r="I1221"/>
      <c r="J1221"/>
    </row>
    <row r="1222" spans="4:10" x14ac:dyDescent="0.2">
      <c r="D1222" t="s">
        <v>4539</v>
      </c>
      <c r="E1222">
        <f>COUNTIF(tweets!C:C,D1222)</f>
        <v>1</v>
      </c>
      <c r="I1222"/>
      <c r="J1222"/>
    </row>
    <row r="1223" spans="4:10" x14ac:dyDescent="0.2">
      <c r="D1223" t="s">
        <v>4543</v>
      </c>
      <c r="E1223">
        <f>COUNTIF(tweets!C:C,D1223)</f>
        <v>1</v>
      </c>
      <c r="I1223"/>
      <c r="J1223"/>
    </row>
    <row r="1224" spans="4:10" x14ac:dyDescent="0.2">
      <c r="D1224" t="s">
        <v>4555</v>
      </c>
      <c r="E1224">
        <f>COUNTIF(tweets!C:C,D1224)</f>
        <v>1</v>
      </c>
      <c r="I1224"/>
      <c r="J1224"/>
    </row>
    <row r="1225" spans="4:10" x14ac:dyDescent="0.2">
      <c r="D1225" t="s">
        <v>4558</v>
      </c>
      <c r="E1225">
        <f>COUNTIF(tweets!C:C,D1225)</f>
        <v>1</v>
      </c>
      <c r="I1225"/>
      <c r="J1225"/>
    </row>
    <row r="1226" spans="4:10" x14ac:dyDescent="0.2">
      <c r="D1226" t="s">
        <v>4562</v>
      </c>
      <c r="E1226">
        <f>COUNTIF(tweets!C:C,D1226)</f>
        <v>1</v>
      </c>
      <c r="I1226"/>
      <c r="J1226"/>
    </row>
    <row r="1227" spans="4:10" x14ac:dyDescent="0.2">
      <c r="D1227" t="s">
        <v>4565</v>
      </c>
      <c r="E1227">
        <f>COUNTIF(tweets!C:C,D1227)</f>
        <v>1</v>
      </c>
      <c r="I1227"/>
      <c r="J1227"/>
    </row>
    <row r="1228" spans="4:10" x14ac:dyDescent="0.2">
      <c r="D1228" t="s">
        <v>4574</v>
      </c>
      <c r="E1228">
        <f>COUNTIF(tweets!C:C,D1228)</f>
        <v>1</v>
      </c>
      <c r="I1228"/>
      <c r="J1228"/>
    </row>
    <row r="1229" spans="4:10" x14ac:dyDescent="0.2">
      <c r="D1229" t="s">
        <v>4579</v>
      </c>
      <c r="E1229">
        <f>COUNTIF(tweets!C:C,D1229)</f>
        <v>1</v>
      </c>
      <c r="I1229"/>
      <c r="J1229"/>
    </row>
    <row r="1230" spans="4:10" x14ac:dyDescent="0.2">
      <c r="D1230" t="s">
        <v>4577</v>
      </c>
      <c r="E1230">
        <f>COUNTIF(tweets!C:C,D1230)</f>
        <v>1</v>
      </c>
      <c r="I1230"/>
      <c r="J1230"/>
    </row>
    <row r="1231" spans="4:10" x14ac:dyDescent="0.2">
      <c r="D1231" t="s">
        <v>4582</v>
      </c>
      <c r="E1231">
        <f>COUNTIF(tweets!C:C,D1231)</f>
        <v>1</v>
      </c>
      <c r="I1231"/>
      <c r="J1231"/>
    </row>
    <row r="1232" spans="4:10" x14ac:dyDescent="0.2">
      <c r="D1232" t="s">
        <v>4585</v>
      </c>
      <c r="E1232">
        <f>COUNTIF(tweets!C:C,D1232)</f>
        <v>1</v>
      </c>
      <c r="I1232"/>
      <c r="J1232"/>
    </row>
    <row r="1233" spans="4:10" x14ac:dyDescent="0.2">
      <c r="D1233" t="s">
        <v>4591</v>
      </c>
      <c r="E1233">
        <f>COUNTIF(tweets!C:C,D1233)</f>
        <v>1</v>
      </c>
      <c r="I1233"/>
      <c r="J1233"/>
    </row>
    <row r="1234" spans="4:10" x14ac:dyDescent="0.2">
      <c r="D1234" t="s">
        <v>4594</v>
      </c>
      <c r="E1234">
        <f>COUNTIF(tweets!C:C,D1234)</f>
        <v>1</v>
      </c>
      <c r="I1234"/>
      <c r="J1234"/>
    </row>
    <row r="1235" spans="4:10" x14ac:dyDescent="0.2">
      <c r="D1235" t="s">
        <v>4599</v>
      </c>
      <c r="E1235">
        <f>COUNTIF(tweets!C:C,D1235)</f>
        <v>1</v>
      </c>
      <c r="I1235"/>
      <c r="J1235"/>
    </row>
    <row r="1236" spans="4:10" x14ac:dyDescent="0.2">
      <c r="D1236" t="s">
        <v>4603</v>
      </c>
      <c r="E1236">
        <f>COUNTIF(tweets!C:C,D1236)</f>
        <v>1</v>
      </c>
      <c r="I1236"/>
      <c r="J1236"/>
    </row>
    <row r="1237" spans="4:10" x14ac:dyDescent="0.2">
      <c r="D1237" t="s">
        <v>4606</v>
      </c>
      <c r="E1237">
        <f>COUNTIF(tweets!C:C,D1237)</f>
        <v>1</v>
      </c>
      <c r="I1237"/>
      <c r="J1237"/>
    </row>
    <row r="1238" spans="4:10" x14ac:dyDescent="0.2">
      <c r="D1238" t="s">
        <v>4609</v>
      </c>
      <c r="E1238">
        <f>COUNTIF(tweets!C:C,D1238)</f>
        <v>1</v>
      </c>
      <c r="I1238"/>
      <c r="J1238"/>
    </row>
    <row r="1239" spans="4:10" x14ac:dyDescent="0.2">
      <c r="D1239" t="s">
        <v>4612</v>
      </c>
      <c r="E1239">
        <f>COUNTIF(tweets!C:C,D1239)</f>
        <v>1</v>
      </c>
      <c r="I1239"/>
      <c r="J1239"/>
    </row>
    <row r="1240" spans="4:10" x14ac:dyDescent="0.2">
      <c r="D1240" t="s">
        <v>4615</v>
      </c>
      <c r="E1240">
        <f>COUNTIF(tweets!C:C,D1240)</f>
        <v>1</v>
      </c>
      <c r="I1240"/>
      <c r="J1240"/>
    </row>
    <row r="1241" spans="4:10" x14ac:dyDescent="0.2">
      <c r="D1241" t="s">
        <v>4618</v>
      </c>
      <c r="E1241">
        <f>COUNTIF(tweets!C:C,D1241)</f>
        <v>1</v>
      </c>
      <c r="I1241"/>
      <c r="J1241"/>
    </row>
    <row r="1242" spans="4:10" x14ac:dyDescent="0.2">
      <c r="D1242" t="s">
        <v>4622</v>
      </c>
      <c r="E1242">
        <f>COUNTIF(tweets!C:C,D1242)</f>
        <v>1</v>
      </c>
      <c r="I1242"/>
      <c r="J1242"/>
    </row>
    <row r="1243" spans="4:10" x14ac:dyDescent="0.2">
      <c r="D1243" t="s">
        <v>4630</v>
      </c>
      <c r="E1243">
        <f>COUNTIF(tweets!C:C,D1243)</f>
        <v>1</v>
      </c>
      <c r="I1243"/>
      <c r="J1243"/>
    </row>
    <row r="1244" spans="4:10" x14ac:dyDescent="0.2">
      <c r="D1244" t="s">
        <v>4633</v>
      </c>
      <c r="E1244">
        <f>COUNTIF(tweets!C:C,D1244)</f>
        <v>1</v>
      </c>
      <c r="I1244"/>
      <c r="J1244"/>
    </row>
    <row r="1245" spans="4:10" x14ac:dyDescent="0.2">
      <c r="D1245" t="s">
        <v>4639</v>
      </c>
      <c r="E1245">
        <f>COUNTIF(tweets!C:C,D1245)</f>
        <v>1</v>
      </c>
      <c r="I1245"/>
      <c r="J1245"/>
    </row>
    <row r="1246" spans="4:10" x14ac:dyDescent="0.2">
      <c r="D1246" t="s">
        <v>4643</v>
      </c>
      <c r="E1246">
        <f>COUNTIF(tweets!C:C,D1246)</f>
        <v>1</v>
      </c>
      <c r="I1246"/>
      <c r="J1246"/>
    </row>
    <row r="1247" spans="4:10" x14ac:dyDescent="0.2">
      <c r="D1247" t="s">
        <v>4646</v>
      </c>
      <c r="E1247">
        <f>COUNTIF(tweets!C:C,D1247)</f>
        <v>1</v>
      </c>
      <c r="I1247"/>
      <c r="J1247"/>
    </row>
    <row r="1248" spans="4:10" x14ac:dyDescent="0.2">
      <c r="D1248" t="s">
        <v>4650</v>
      </c>
      <c r="E1248">
        <f>COUNTIF(tweets!C:C,D1248)</f>
        <v>1</v>
      </c>
      <c r="I1248"/>
      <c r="J1248"/>
    </row>
    <row r="1249" spans="4:10" x14ac:dyDescent="0.2">
      <c r="D1249" t="s">
        <v>4653</v>
      </c>
      <c r="E1249">
        <f>COUNTIF(tweets!C:C,D1249)</f>
        <v>1</v>
      </c>
      <c r="I1249"/>
      <c r="J1249"/>
    </row>
    <row r="1250" spans="4:10" x14ac:dyDescent="0.2">
      <c r="D1250" t="s">
        <v>4657</v>
      </c>
      <c r="E1250">
        <f>COUNTIF(tweets!C:C,D1250)</f>
        <v>1</v>
      </c>
      <c r="I1250"/>
      <c r="J1250"/>
    </row>
    <row r="1251" spans="4:10" x14ac:dyDescent="0.2">
      <c r="D1251" t="s">
        <v>4660</v>
      </c>
      <c r="E1251">
        <f>COUNTIF(tweets!C:C,D1251)</f>
        <v>1</v>
      </c>
      <c r="I1251"/>
      <c r="J1251"/>
    </row>
    <row r="1252" spans="4:10" x14ac:dyDescent="0.2">
      <c r="D1252" t="s">
        <v>4668</v>
      </c>
      <c r="E1252">
        <f>COUNTIF(tweets!C:C,D1252)</f>
        <v>1</v>
      </c>
      <c r="I1252"/>
      <c r="J1252"/>
    </row>
    <row r="1253" spans="4:10" x14ac:dyDescent="0.2">
      <c r="D1253" t="s">
        <v>4672</v>
      </c>
      <c r="E1253">
        <f>COUNTIF(tweets!C:C,D1253)</f>
        <v>1</v>
      </c>
      <c r="I1253"/>
      <c r="J1253"/>
    </row>
    <row r="1254" spans="4:10" x14ac:dyDescent="0.2">
      <c r="D1254" t="s">
        <v>4675</v>
      </c>
      <c r="E1254">
        <f>COUNTIF(tweets!C:C,D1254)</f>
        <v>1</v>
      </c>
      <c r="I1254"/>
      <c r="J1254"/>
    </row>
    <row r="1255" spans="4:10" x14ac:dyDescent="0.2">
      <c r="D1255" t="s">
        <v>4684</v>
      </c>
      <c r="E1255">
        <f>COUNTIF(tweets!C:C,D1255)</f>
        <v>1</v>
      </c>
      <c r="I1255"/>
      <c r="J1255"/>
    </row>
    <row r="1256" spans="4:10" x14ac:dyDescent="0.2">
      <c r="D1256" t="s">
        <v>4688</v>
      </c>
      <c r="E1256">
        <f>COUNTIF(tweets!C:C,D1256)</f>
        <v>1</v>
      </c>
      <c r="I1256"/>
      <c r="J1256"/>
    </row>
    <row r="1257" spans="4:10" x14ac:dyDescent="0.2">
      <c r="D1257" t="s">
        <v>4692</v>
      </c>
      <c r="E1257">
        <f>COUNTIF(tweets!C:C,D1257)</f>
        <v>1</v>
      </c>
      <c r="I1257"/>
      <c r="J1257"/>
    </row>
    <row r="1258" spans="4:10" x14ac:dyDescent="0.2">
      <c r="D1258" t="s">
        <v>4695</v>
      </c>
      <c r="E1258">
        <f>COUNTIF(tweets!C:C,D1258)</f>
        <v>1</v>
      </c>
      <c r="I1258"/>
      <c r="J1258"/>
    </row>
    <row r="1259" spans="4:10" x14ac:dyDescent="0.2">
      <c r="D1259" t="s">
        <v>4699</v>
      </c>
      <c r="E1259">
        <f>COUNTIF(tweets!C:C,D1259)</f>
        <v>1</v>
      </c>
      <c r="I1259"/>
      <c r="J1259"/>
    </row>
    <row r="1260" spans="4:10" x14ac:dyDescent="0.2">
      <c r="D1260" t="s">
        <v>4703</v>
      </c>
      <c r="E1260">
        <f>COUNTIF(tweets!C:C,D1260)</f>
        <v>1</v>
      </c>
      <c r="I1260"/>
      <c r="J1260"/>
    </row>
    <row r="1261" spans="4:10" x14ac:dyDescent="0.2">
      <c r="D1261" t="s">
        <v>4707</v>
      </c>
      <c r="E1261">
        <f>COUNTIF(tweets!C:C,D1261)</f>
        <v>1</v>
      </c>
      <c r="I1261"/>
      <c r="J1261"/>
    </row>
    <row r="1262" spans="4:10" x14ac:dyDescent="0.2">
      <c r="D1262" t="s">
        <v>4710</v>
      </c>
      <c r="E1262">
        <f>COUNTIF(tweets!C:C,D1262)</f>
        <v>1</v>
      </c>
      <c r="I1262"/>
      <c r="J1262"/>
    </row>
    <row r="1263" spans="4:10" x14ac:dyDescent="0.2">
      <c r="D1263" t="s">
        <v>4714</v>
      </c>
      <c r="E1263">
        <f>COUNTIF(tweets!C:C,D1263)</f>
        <v>1</v>
      </c>
      <c r="I1263"/>
      <c r="J1263"/>
    </row>
    <row r="1264" spans="4:10" x14ac:dyDescent="0.2">
      <c r="D1264" t="s">
        <v>4718</v>
      </c>
      <c r="E1264">
        <f>COUNTIF(tweets!C:C,D1264)</f>
        <v>1</v>
      </c>
      <c r="I1264"/>
      <c r="J1264"/>
    </row>
    <row r="1265" spans="4:10" x14ac:dyDescent="0.2">
      <c r="D1265" t="s">
        <v>4721</v>
      </c>
      <c r="E1265">
        <f>COUNTIF(tweets!C:C,D1265)</f>
        <v>1</v>
      </c>
      <c r="I1265"/>
      <c r="J1265"/>
    </row>
    <row r="1266" spans="4:10" x14ac:dyDescent="0.2">
      <c r="D1266" t="s">
        <v>4726</v>
      </c>
      <c r="E1266">
        <f>COUNTIF(tweets!C:C,D1266)</f>
        <v>1</v>
      </c>
      <c r="I1266"/>
      <c r="J1266"/>
    </row>
    <row r="1267" spans="4:10" x14ac:dyDescent="0.2">
      <c r="D1267" t="s">
        <v>4732</v>
      </c>
      <c r="E1267">
        <f>COUNTIF(tweets!C:C,D1267)</f>
        <v>1</v>
      </c>
      <c r="I1267"/>
      <c r="J1267"/>
    </row>
    <row r="1268" spans="4:10" x14ac:dyDescent="0.2">
      <c r="D1268" t="s">
        <v>4737</v>
      </c>
      <c r="E1268">
        <f>COUNTIF(tweets!C:C,D1268)</f>
        <v>1</v>
      </c>
      <c r="I1268"/>
      <c r="J1268"/>
    </row>
    <row r="1269" spans="4:10" x14ac:dyDescent="0.2">
      <c r="D1269" t="s">
        <v>4740</v>
      </c>
      <c r="E1269">
        <f>COUNTIF(tweets!C:C,D1269)</f>
        <v>1</v>
      </c>
      <c r="I1269"/>
      <c r="J1269"/>
    </row>
    <row r="1270" spans="4:10" x14ac:dyDescent="0.2">
      <c r="D1270" t="s">
        <v>4744</v>
      </c>
      <c r="E1270">
        <f>COUNTIF(tweets!C:C,D1270)</f>
        <v>1</v>
      </c>
      <c r="I1270"/>
      <c r="J1270"/>
    </row>
    <row r="1271" spans="4:10" x14ac:dyDescent="0.2">
      <c r="D1271" t="s">
        <v>4747</v>
      </c>
      <c r="E1271">
        <f>COUNTIF(tweets!C:C,D1271)</f>
        <v>1</v>
      </c>
      <c r="I1271"/>
      <c r="J1271"/>
    </row>
    <row r="1272" spans="4:10" x14ac:dyDescent="0.2">
      <c r="D1272" t="s">
        <v>4750</v>
      </c>
      <c r="E1272">
        <f>COUNTIF(tweets!C:C,D1272)</f>
        <v>1</v>
      </c>
      <c r="I1272"/>
      <c r="J1272"/>
    </row>
    <row r="1273" spans="4:10" x14ac:dyDescent="0.2">
      <c r="D1273" t="s">
        <v>4753</v>
      </c>
      <c r="E1273">
        <f>COUNTIF(tweets!C:C,D1273)</f>
        <v>1</v>
      </c>
      <c r="I1273"/>
      <c r="J1273"/>
    </row>
    <row r="1274" spans="4:10" x14ac:dyDescent="0.2">
      <c r="D1274" t="s">
        <v>4757</v>
      </c>
      <c r="E1274">
        <f>COUNTIF(tweets!C:C,D1274)</f>
        <v>1</v>
      </c>
      <c r="I1274"/>
      <c r="J1274"/>
    </row>
    <row r="1275" spans="4:10" x14ac:dyDescent="0.2">
      <c r="D1275" t="s">
        <v>4761</v>
      </c>
      <c r="E1275">
        <f>COUNTIF(tweets!C:C,D1275)</f>
        <v>1</v>
      </c>
      <c r="I1275"/>
      <c r="J1275"/>
    </row>
    <row r="1276" spans="4:10" x14ac:dyDescent="0.2">
      <c r="D1276" t="s">
        <v>4765</v>
      </c>
      <c r="E1276">
        <f>COUNTIF(tweets!C:C,D1276)</f>
        <v>1</v>
      </c>
      <c r="I1276"/>
      <c r="J1276"/>
    </row>
    <row r="1277" spans="4:10" x14ac:dyDescent="0.2">
      <c r="D1277" t="s">
        <v>4771</v>
      </c>
      <c r="E1277">
        <f>COUNTIF(tweets!C:C,D1277)</f>
        <v>1</v>
      </c>
      <c r="I1277"/>
      <c r="J1277"/>
    </row>
    <row r="1278" spans="4:10" x14ac:dyDescent="0.2">
      <c r="D1278" t="s">
        <v>4775</v>
      </c>
      <c r="E1278">
        <f>COUNTIF(tweets!C:C,D1278)</f>
        <v>1</v>
      </c>
      <c r="I1278"/>
      <c r="J1278"/>
    </row>
    <row r="1279" spans="4:10" x14ac:dyDescent="0.2">
      <c r="D1279" t="s">
        <v>4781</v>
      </c>
      <c r="E1279">
        <f>COUNTIF(tweets!C:C,D1279)</f>
        <v>1</v>
      </c>
      <c r="I1279"/>
      <c r="J1279"/>
    </row>
    <row r="1280" spans="4:10" x14ac:dyDescent="0.2">
      <c r="D1280" t="s">
        <v>4784</v>
      </c>
      <c r="E1280">
        <f>COUNTIF(tweets!C:C,D1280)</f>
        <v>1</v>
      </c>
      <c r="I1280"/>
      <c r="J1280"/>
    </row>
    <row r="1281" spans="4:10" x14ac:dyDescent="0.2">
      <c r="D1281" t="s">
        <v>4792</v>
      </c>
      <c r="E1281">
        <f>COUNTIF(tweets!C:C,D1281)</f>
        <v>1</v>
      </c>
      <c r="I1281"/>
      <c r="J1281"/>
    </row>
    <row r="1282" spans="4:10" x14ac:dyDescent="0.2">
      <c r="D1282" t="s">
        <v>4796</v>
      </c>
      <c r="E1282">
        <f>COUNTIF(tweets!C:C,D1282)</f>
        <v>1</v>
      </c>
      <c r="I1282"/>
      <c r="J1282"/>
    </row>
    <row r="1283" spans="4:10" x14ac:dyDescent="0.2">
      <c r="D1283" t="s">
        <v>4803</v>
      </c>
      <c r="E1283">
        <f>COUNTIF(tweets!C:C,D1283)</f>
        <v>1</v>
      </c>
      <c r="I1283"/>
      <c r="J1283"/>
    </row>
    <row r="1284" spans="4:10" x14ac:dyDescent="0.2">
      <c r="D1284" t="s">
        <v>4808</v>
      </c>
      <c r="E1284">
        <f>COUNTIF(tweets!C:C,D1284)</f>
        <v>1</v>
      </c>
      <c r="I1284"/>
      <c r="J1284"/>
    </row>
    <row r="1285" spans="4:10" x14ac:dyDescent="0.2">
      <c r="D1285" t="s">
        <v>4812</v>
      </c>
      <c r="E1285">
        <f>COUNTIF(tweets!C:C,D1285)</f>
        <v>1</v>
      </c>
      <c r="I1285"/>
      <c r="J1285"/>
    </row>
    <row r="1286" spans="4:10" x14ac:dyDescent="0.2">
      <c r="D1286" t="s">
        <v>4815</v>
      </c>
      <c r="E1286">
        <f>COUNTIF(tweets!C:C,D1286)</f>
        <v>1</v>
      </c>
      <c r="I1286"/>
      <c r="J1286"/>
    </row>
    <row r="1287" spans="4:10" x14ac:dyDescent="0.2">
      <c r="D1287" t="s">
        <v>4819</v>
      </c>
      <c r="E1287">
        <f>COUNTIF(tweets!C:C,D1287)</f>
        <v>1</v>
      </c>
      <c r="I1287"/>
      <c r="J1287"/>
    </row>
    <row r="1288" spans="4:10" x14ac:dyDescent="0.2">
      <c r="D1288" t="s">
        <v>4822</v>
      </c>
      <c r="E1288">
        <f>COUNTIF(tweets!C:C,D1288)</f>
        <v>1</v>
      </c>
      <c r="I1288"/>
      <c r="J1288"/>
    </row>
    <row r="1289" spans="4:10" x14ac:dyDescent="0.2">
      <c r="D1289" t="s">
        <v>4825</v>
      </c>
      <c r="E1289">
        <f>COUNTIF(tweets!C:C,D1289)</f>
        <v>1</v>
      </c>
      <c r="I1289"/>
      <c r="J1289"/>
    </row>
    <row r="1290" spans="4:10" x14ac:dyDescent="0.2">
      <c r="D1290" t="s">
        <v>4829</v>
      </c>
      <c r="E1290">
        <f>COUNTIF(tweets!C:C,D1290)</f>
        <v>1</v>
      </c>
      <c r="I1290"/>
      <c r="J1290"/>
    </row>
    <row r="1291" spans="4:10" x14ac:dyDescent="0.2">
      <c r="D1291" t="s">
        <v>4834</v>
      </c>
      <c r="E1291">
        <f>COUNTIF(tweets!C:C,D1291)</f>
        <v>1</v>
      </c>
      <c r="I1291"/>
      <c r="J1291"/>
    </row>
    <row r="1292" spans="4:10" x14ac:dyDescent="0.2">
      <c r="D1292" t="s">
        <v>4838</v>
      </c>
      <c r="E1292">
        <f>COUNTIF(tweets!C:C,D1292)</f>
        <v>1</v>
      </c>
      <c r="I1292"/>
      <c r="J1292"/>
    </row>
    <row r="1293" spans="4:10" x14ac:dyDescent="0.2">
      <c r="D1293" t="s">
        <v>4842</v>
      </c>
      <c r="E1293">
        <f>COUNTIF(tweets!C:C,D1293)</f>
        <v>1</v>
      </c>
      <c r="I1293"/>
      <c r="J1293"/>
    </row>
    <row r="1294" spans="4:10" x14ac:dyDescent="0.2">
      <c r="D1294" t="s">
        <v>4849</v>
      </c>
      <c r="E1294">
        <f>COUNTIF(tweets!C:C,D1294)</f>
        <v>1</v>
      </c>
      <c r="I1294"/>
      <c r="J1294"/>
    </row>
    <row r="1295" spans="4:10" x14ac:dyDescent="0.2">
      <c r="D1295" t="s">
        <v>4860</v>
      </c>
      <c r="E1295">
        <f>COUNTIF(tweets!C:C,D1295)</f>
        <v>1</v>
      </c>
      <c r="I1295"/>
      <c r="J1295"/>
    </row>
    <row r="1296" spans="4:10" x14ac:dyDescent="0.2">
      <c r="D1296" t="s">
        <v>4862</v>
      </c>
      <c r="E1296">
        <f>COUNTIF(tweets!C:C,D1296)</f>
        <v>1</v>
      </c>
      <c r="I1296"/>
      <c r="J1296"/>
    </row>
    <row r="1297" spans="4:10" x14ac:dyDescent="0.2">
      <c r="D1297" t="s">
        <v>4869</v>
      </c>
      <c r="E1297">
        <f>COUNTIF(tweets!C:C,D1297)</f>
        <v>1</v>
      </c>
      <c r="I1297"/>
      <c r="J1297"/>
    </row>
    <row r="1298" spans="4:10" x14ac:dyDescent="0.2">
      <c r="D1298" t="s">
        <v>4874</v>
      </c>
      <c r="E1298">
        <f>COUNTIF(tweets!C:C,D1298)</f>
        <v>1</v>
      </c>
      <c r="I1298"/>
      <c r="J1298"/>
    </row>
    <row r="1299" spans="4:10" x14ac:dyDescent="0.2">
      <c r="D1299" t="s">
        <v>4878</v>
      </c>
      <c r="E1299">
        <f>COUNTIF(tweets!C:C,D1299)</f>
        <v>1</v>
      </c>
      <c r="I1299"/>
      <c r="J1299"/>
    </row>
    <row r="1300" spans="4:10" x14ac:dyDescent="0.2">
      <c r="D1300" t="s">
        <v>4882</v>
      </c>
      <c r="E1300">
        <f>COUNTIF(tweets!C:C,D1300)</f>
        <v>1</v>
      </c>
      <c r="I1300"/>
      <c r="J1300"/>
    </row>
    <row r="1301" spans="4:10" x14ac:dyDescent="0.2">
      <c r="D1301" t="s">
        <v>4891</v>
      </c>
      <c r="E1301">
        <f>COUNTIF(tweets!C:C,D1301)</f>
        <v>1</v>
      </c>
      <c r="I1301"/>
      <c r="J1301"/>
    </row>
    <row r="1302" spans="4:10" x14ac:dyDescent="0.2">
      <c r="D1302" t="s">
        <v>4896</v>
      </c>
      <c r="E1302">
        <f>COUNTIF(tweets!C:C,D1302)</f>
        <v>1</v>
      </c>
      <c r="I1302"/>
      <c r="J1302"/>
    </row>
    <row r="1303" spans="4:10" x14ac:dyDescent="0.2">
      <c r="D1303" t="s">
        <v>4901</v>
      </c>
      <c r="E1303">
        <f>COUNTIF(tweets!C:C,D1303)</f>
        <v>1</v>
      </c>
      <c r="I1303"/>
      <c r="J1303"/>
    </row>
    <row r="1304" spans="4:10" x14ac:dyDescent="0.2">
      <c r="D1304" t="s">
        <v>4904</v>
      </c>
      <c r="E1304">
        <f>COUNTIF(tweets!C:C,D1304)</f>
        <v>1</v>
      </c>
      <c r="I1304"/>
      <c r="J1304"/>
    </row>
    <row r="1305" spans="4:10" x14ac:dyDescent="0.2">
      <c r="D1305" t="s">
        <v>4907</v>
      </c>
      <c r="E1305">
        <f>COUNTIF(tweets!C:C,D1305)</f>
        <v>1</v>
      </c>
      <c r="I1305"/>
      <c r="J1305"/>
    </row>
    <row r="1306" spans="4:10" x14ac:dyDescent="0.2">
      <c r="D1306" t="s">
        <v>4912</v>
      </c>
      <c r="E1306">
        <f>COUNTIF(tweets!C:C,D1306)</f>
        <v>1</v>
      </c>
      <c r="I1306"/>
      <c r="J1306"/>
    </row>
    <row r="1307" spans="4:10" x14ac:dyDescent="0.2">
      <c r="D1307" t="s">
        <v>4915</v>
      </c>
      <c r="E1307">
        <f>COUNTIF(tweets!C:C,D1307)</f>
        <v>1</v>
      </c>
      <c r="I1307"/>
      <c r="J1307"/>
    </row>
    <row r="1308" spans="4:10" x14ac:dyDescent="0.2">
      <c r="D1308" t="s">
        <v>4918</v>
      </c>
      <c r="E1308">
        <f>COUNTIF(tweets!C:C,D1308)</f>
        <v>1</v>
      </c>
      <c r="I1308"/>
      <c r="J1308"/>
    </row>
    <row r="1309" spans="4:10" x14ac:dyDescent="0.2">
      <c r="D1309" t="s">
        <v>4922</v>
      </c>
      <c r="E1309">
        <f>COUNTIF(tweets!C:C,D1309)</f>
        <v>1</v>
      </c>
      <c r="I1309"/>
      <c r="J1309"/>
    </row>
    <row r="1310" spans="4:10" x14ac:dyDescent="0.2">
      <c r="D1310" t="s">
        <v>4926</v>
      </c>
      <c r="E1310">
        <f>COUNTIF(tweets!C:C,D1310)</f>
        <v>1</v>
      </c>
      <c r="I1310"/>
      <c r="J1310"/>
    </row>
    <row r="1311" spans="4:10" x14ac:dyDescent="0.2">
      <c r="D1311" t="s">
        <v>4930</v>
      </c>
      <c r="E1311">
        <f>COUNTIF(tweets!C:C,D1311)</f>
        <v>1</v>
      </c>
      <c r="I1311"/>
      <c r="J1311"/>
    </row>
    <row r="1312" spans="4:10" x14ac:dyDescent="0.2">
      <c r="D1312" t="s">
        <v>4932</v>
      </c>
      <c r="E1312">
        <f>COUNTIF(tweets!C:C,D1312)</f>
        <v>1</v>
      </c>
      <c r="I1312"/>
      <c r="J1312"/>
    </row>
    <row r="1313" spans="4:10" x14ac:dyDescent="0.2">
      <c r="D1313" t="s">
        <v>4935</v>
      </c>
      <c r="E1313">
        <f>COUNTIF(tweets!C:C,D1313)</f>
        <v>1</v>
      </c>
      <c r="I1313"/>
      <c r="J1313"/>
    </row>
    <row r="1314" spans="4:10" x14ac:dyDescent="0.2">
      <c r="D1314" t="s">
        <v>4938</v>
      </c>
      <c r="E1314">
        <f>COUNTIF(tweets!C:C,D1314)</f>
        <v>1</v>
      </c>
      <c r="I1314"/>
      <c r="J1314"/>
    </row>
    <row r="1315" spans="4:10" x14ac:dyDescent="0.2">
      <c r="D1315" t="s">
        <v>4941</v>
      </c>
      <c r="E1315">
        <f>COUNTIF(tweets!C:C,D1315)</f>
        <v>1</v>
      </c>
      <c r="I1315"/>
      <c r="J1315"/>
    </row>
    <row r="1316" spans="4:10" x14ac:dyDescent="0.2">
      <c r="D1316" t="s">
        <v>4955</v>
      </c>
      <c r="E1316">
        <f>COUNTIF(tweets!C:C,D1316)</f>
        <v>1</v>
      </c>
      <c r="I1316"/>
      <c r="J1316"/>
    </row>
    <row r="1317" spans="4:10" x14ac:dyDescent="0.2">
      <c r="D1317" t="s">
        <v>4958</v>
      </c>
      <c r="E1317">
        <f>COUNTIF(tweets!C:C,D1317)</f>
        <v>1</v>
      </c>
      <c r="I1317"/>
      <c r="J1317"/>
    </row>
    <row r="1318" spans="4:10" x14ac:dyDescent="0.2">
      <c r="D1318" t="s">
        <v>4962</v>
      </c>
      <c r="E1318">
        <f>COUNTIF(tweets!C:C,D1318)</f>
        <v>1</v>
      </c>
      <c r="I1318"/>
      <c r="J1318"/>
    </row>
    <row r="1319" spans="4:10" x14ac:dyDescent="0.2">
      <c r="D1319" t="s">
        <v>4965</v>
      </c>
      <c r="E1319">
        <f>COUNTIF(tweets!C:C,D1319)</f>
        <v>1</v>
      </c>
      <c r="I1319"/>
      <c r="J1319"/>
    </row>
    <row r="1320" spans="4:10" x14ac:dyDescent="0.2">
      <c r="D1320" t="s">
        <v>4971</v>
      </c>
      <c r="E1320">
        <f>COUNTIF(tweets!C:C,D1320)</f>
        <v>1</v>
      </c>
      <c r="I1320"/>
      <c r="J1320"/>
    </row>
    <row r="1321" spans="4:10" x14ac:dyDescent="0.2">
      <c r="D1321" t="s">
        <v>4978</v>
      </c>
      <c r="E1321">
        <f>COUNTIF(tweets!C:C,D1321)</f>
        <v>1</v>
      </c>
      <c r="I1321"/>
      <c r="J1321"/>
    </row>
    <row r="1322" spans="4:10" x14ac:dyDescent="0.2">
      <c r="D1322" t="s">
        <v>4982</v>
      </c>
      <c r="E1322">
        <f>COUNTIF(tweets!C:C,D1322)</f>
        <v>1</v>
      </c>
      <c r="I1322"/>
      <c r="J1322"/>
    </row>
    <row r="1323" spans="4:10" x14ac:dyDescent="0.2">
      <c r="D1323" t="s">
        <v>4985</v>
      </c>
      <c r="E1323">
        <f>COUNTIF(tweets!C:C,D1323)</f>
        <v>1</v>
      </c>
      <c r="I1323"/>
      <c r="J1323"/>
    </row>
    <row r="1324" spans="4:10" x14ac:dyDescent="0.2">
      <c r="D1324" t="s">
        <v>4998</v>
      </c>
      <c r="E1324">
        <f>COUNTIF(tweets!C:C,D1324)</f>
        <v>1</v>
      </c>
      <c r="I1324"/>
      <c r="J1324"/>
    </row>
    <row r="1325" spans="4:10" x14ac:dyDescent="0.2">
      <c r="D1325" t="s">
        <v>5002</v>
      </c>
      <c r="E1325">
        <f>COUNTIF(tweets!C:C,D1325)</f>
        <v>1</v>
      </c>
      <c r="I1325"/>
      <c r="J1325"/>
    </row>
    <row r="1326" spans="4:10" x14ac:dyDescent="0.2">
      <c r="D1326" t="s">
        <v>5005</v>
      </c>
      <c r="E1326">
        <f>COUNTIF(tweets!C:C,D1326)</f>
        <v>1</v>
      </c>
      <c r="I1326"/>
      <c r="J1326"/>
    </row>
    <row r="1327" spans="4:10" x14ac:dyDescent="0.2">
      <c r="D1327" t="s">
        <v>5010</v>
      </c>
      <c r="E1327">
        <f>COUNTIF(tweets!C:C,D1327)</f>
        <v>1</v>
      </c>
      <c r="I1327"/>
      <c r="J1327"/>
    </row>
    <row r="1328" spans="4:10" x14ac:dyDescent="0.2">
      <c r="D1328" t="s">
        <v>5014</v>
      </c>
      <c r="E1328">
        <f>COUNTIF(tweets!C:C,D1328)</f>
        <v>1</v>
      </c>
      <c r="I1328"/>
      <c r="J1328"/>
    </row>
    <row r="1329" spans="4:10" x14ac:dyDescent="0.2">
      <c r="D1329" t="s">
        <v>5017</v>
      </c>
      <c r="E1329">
        <f>COUNTIF(tweets!C:C,D1329)</f>
        <v>1</v>
      </c>
      <c r="I1329"/>
      <c r="J1329"/>
    </row>
    <row r="1330" spans="4:10" x14ac:dyDescent="0.2">
      <c r="D1330" t="s">
        <v>5021</v>
      </c>
      <c r="E1330">
        <f>COUNTIF(tweets!C:C,D1330)</f>
        <v>1</v>
      </c>
      <c r="I1330"/>
      <c r="J1330"/>
    </row>
    <row r="1331" spans="4:10" x14ac:dyDescent="0.2">
      <c r="D1331" t="s">
        <v>5027</v>
      </c>
      <c r="E1331">
        <f>COUNTIF(tweets!C:C,D1331)</f>
        <v>1</v>
      </c>
      <c r="I1331"/>
      <c r="J1331"/>
    </row>
    <row r="1332" spans="4:10" x14ac:dyDescent="0.2">
      <c r="D1332" t="s">
        <v>5030</v>
      </c>
      <c r="E1332">
        <f>COUNTIF(tweets!C:C,D1332)</f>
        <v>1</v>
      </c>
      <c r="I1332"/>
      <c r="J1332"/>
    </row>
    <row r="1333" spans="4:10" x14ac:dyDescent="0.2">
      <c r="D1333" t="s">
        <v>5038</v>
      </c>
      <c r="E1333">
        <f>COUNTIF(tweets!C:C,D1333)</f>
        <v>1</v>
      </c>
      <c r="I1333"/>
      <c r="J1333"/>
    </row>
    <row r="1334" spans="4:10" x14ac:dyDescent="0.2">
      <c r="D1334" t="s">
        <v>5043</v>
      </c>
      <c r="E1334">
        <f>COUNTIF(tweets!C:C,D1334)</f>
        <v>1</v>
      </c>
      <c r="I1334"/>
      <c r="J1334"/>
    </row>
    <row r="1335" spans="4:10" x14ac:dyDescent="0.2">
      <c r="D1335" t="s">
        <v>5049</v>
      </c>
      <c r="E1335">
        <f>COUNTIF(tweets!C:C,D1335)</f>
        <v>1</v>
      </c>
      <c r="I1335"/>
      <c r="J1335"/>
    </row>
    <row r="1336" spans="4:10" x14ac:dyDescent="0.2">
      <c r="D1336" t="s">
        <v>5054</v>
      </c>
      <c r="E1336">
        <f>COUNTIF(tweets!C:C,D1336)</f>
        <v>1</v>
      </c>
      <c r="I1336"/>
      <c r="J1336"/>
    </row>
    <row r="1337" spans="4:10" x14ac:dyDescent="0.2">
      <c r="D1337" t="s">
        <v>5060</v>
      </c>
      <c r="E1337">
        <f>COUNTIF(tweets!C:C,D1337)</f>
        <v>1</v>
      </c>
      <c r="I1337"/>
      <c r="J1337"/>
    </row>
    <row r="1338" spans="4:10" x14ac:dyDescent="0.2">
      <c r="D1338" t="s">
        <v>5064</v>
      </c>
      <c r="E1338">
        <f>COUNTIF(tweets!C:C,D1338)</f>
        <v>1</v>
      </c>
      <c r="I1338"/>
      <c r="J1338"/>
    </row>
    <row r="1339" spans="4:10" x14ac:dyDescent="0.2">
      <c r="D1339" t="s">
        <v>5067</v>
      </c>
      <c r="E1339">
        <f>COUNTIF(tweets!C:C,D1339)</f>
        <v>1</v>
      </c>
      <c r="I1339"/>
      <c r="J1339"/>
    </row>
    <row r="1340" spans="4:10" x14ac:dyDescent="0.2">
      <c r="D1340" t="s">
        <v>5070</v>
      </c>
      <c r="E1340">
        <f>COUNTIF(tweets!C:C,D1340)</f>
        <v>1</v>
      </c>
      <c r="I1340"/>
      <c r="J1340"/>
    </row>
    <row r="1341" spans="4:10" x14ac:dyDescent="0.2">
      <c r="D1341" t="s">
        <v>5074</v>
      </c>
      <c r="E1341">
        <f>COUNTIF(tweets!C:C,D1341)</f>
        <v>1</v>
      </c>
      <c r="I1341"/>
      <c r="J1341"/>
    </row>
    <row r="1342" spans="4:10" x14ac:dyDescent="0.2">
      <c r="D1342" t="s">
        <v>5077</v>
      </c>
      <c r="E1342">
        <f>COUNTIF(tweets!C:C,D1342)</f>
        <v>1</v>
      </c>
      <c r="I1342"/>
      <c r="J1342"/>
    </row>
    <row r="1343" spans="4:10" x14ac:dyDescent="0.2">
      <c r="D1343" t="s">
        <v>5080</v>
      </c>
      <c r="E1343">
        <f>COUNTIF(tweets!C:C,D1343)</f>
        <v>1</v>
      </c>
      <c r="I1343"/>
      <c r="J1343"/>
    </row>
    <row r="1344" spans="4:10" x14ac:dyDescent="0.2">
      <c r="D1344" t="s">
        <v>5084</v>
      </c>
      <c r="E1344">
        <f>COUNTIF(tweets!C:C,D1344)</f>
        <v>1</v>
      </c>
      <c r="I1344"/>
      <c r="J1344"/>
    </row>
    <row r="1345" spans="4:10" x14ac:dyDescent="0.2">
      <c r="D1345" t="s">
        <v>5087</v>
      </c>
      <c r="E1345">
        <f>COUNTIF(tweets!C:C,D1345)</f>
        <v>1</v>
      </c>
      <c r="I1345"/>
      <c r="J1345"/>
    </row>
    <row r="1346" spans="4:10" x14ac:dyDescent="0.2">
      <c r="D1346" t="s">
        <v>5092</v>
      </c>
      <c r="E1346">
        <f>COUNTIF(tweets!C:C,D1346)</f>
        <v>1</v>
      </c>
      <c r="I1346"/>
      <c r="J1346"/>
    </row>
    <row r="1347" spans="4:10" x14ac:dyDescent="0.2">
      <c r="D1347" t="s">
        <v>5096</v>
      </c>
      <c r="E1347">
        <f>COUNTIF(tweets!C:C,D1347)</f>
        <v>1</v>
      </c>
      <c r="I1347"/>
      <c r="J1347"/>
    </row>
    <row r="1348" spans="4:10" x14ac:dyDescent="0.2">
      <c r="D1348" t="s">
        <v>5100</v>
      </c>
      <c r="E1348">
        <f>COUNTIF(tweets!C:C,D1348)</f>
        <v>1</v>
      </c>
      <c r="I1348"/>
      <c r="J1348"/>
    </row>
    <row r="1349" spans="4:10" x14ac:dyDescent="0.2">
      <c r="D1349" t="s">
        <v>5103</v>
      </c>
      <c r="E1349">
        <f>COUNTIF(tweets!C:C,D1349)</f>
        <v>1</v>
      </c>
      <c r="I1349"/>
      <c r="J1349"/>
    </row>
    <row r="1350" spans="4:10" x14ac:dyDescent="0.2">
      <c r="D1350" t="s">
        <v>5107</v>
      </c>
      <c r="E1350">
        <f>COUNTIF(tweets!C:C,D1350)</f>
        <v>1</v>
      </c>
      <c r="I1350"/>
      <c r="J1350"/>
    </row>
    <row r="1351" spans="4:10" x14ac:dyDescent="0.2">
      <c r="D1351" t="s">
        <v>5114</v>
      </c>
      <c r="E1351">
        <f>COUNTIF(tweets!C:C,D1351)</f>
        <v>1</v>
      </c>
      <c r="I1351"/>
      <c r="J1351"/>
    </row>
    <row r="1352" spans="4:10" x14ac:dyDescent="0.2">
      <c r="D1352" t="s">
        <v>5118</v>
      </c>
      <c r="E1352">
        <f>COUNTIF(tweets!C:C,D1352)</f>
        <v>1</v>
      </c>
      <c r="I1352"/>
      <c r="J1352"/>
    </row>
    <row r="1353" spans="4:10" x14ac:dyDescent="0.2">
      <c r="D1353" t="s">
        <v>5128</v>
      </c>
      <c r="E1353">
        <f>COUNTIF(tweets!C:C,D1353)</f>
        <v>1</v>
      </c>
      <c r="I1353"/>
      <c r="J1353"/>
    </row>
    <row r="1354" spans="4:10" x14ac:dyDescent="0.2">
      <c r="D1354" t="s">
        <v>5131</v>
      </c>
      <c r="E1354">
        <f>COUNTIF(tweets!C:C,D1354)</f>
        <v>1</v>
      </c>
      <c r="I1354"/>
      <c r="J1354"/>
    </row>
    <row r="1355" spans="4:10" x14ac:dyDescent="0.2">
      <c r="D1355" t="s">
        <v>5139</v>
      </c>
      <c r="E1355">
        <f>COUNTIF(tweets!C:C,D1355)</f>
        <v>1</v>
      </c>
      <c r="I1355"/>
      <c r="J1355"/>
    </row>
    <row r="1356" spans="4:10" x14ac:dyDescent="0.2">
      <c r="D1356" t="s">
        <v>5144</v>
      </c>
      <c r="E1356">
        <f>COUNTIF(tweets!C:C,D1356)</f>
        <v>1</v>
      </c>
      <c r="I1356"/>
      <c r="J1356"/>
    </row>
    <row r="1357" spans="4:10" x14ac:dyDescent="0.2">
      <c r="D1357" t="s">
        <v>5147</v>
      </c>
      <c r="E1357">
        <f>COUNTIF(tweets!C:C,D1357)</f>
        <v>1</v>
      </c>
      <c r="I1357"/>
      <c r="J1357"/>
    </row>
    <row r="1358" spans="4:10" x14ac:dyDescent="0.2">
      <c r="D1358" t="s">
        <v>5151</v>
      </c>
      <c r="E1358">
        <f>COUNTIF(tweets!C:C,D1358)</f>
        <v>1</v>
      </c>
      <c r="I1358"/>
      <c r="J1358"/>
    </row>
    <row r="1359" spans="4:10" x14ac:dyDescent="0.2">
      <c r="D1359" t="s">
        <v>5155</v>
      </c>
      <c r="E1359">
        <f>COUNTIF(tweets!C:C,D1359)</f>
        <v>1</v>
      </c>
      <c r="I1359"/>
      <c r="J1359"/>
    </row>
    <row r="1360" spans="4:10" x14ac:dyDescent="0.2">
      <c r="D1360" t="s">
        <v>5158</v>
      </c>
      <c r="E1360">
        <f>COUNTIF(tweets!C:C,D1360)</f>
        <v>1</v>
      </c>
      <c r="I1360"/>
      <c r="J1360"/>
    </row>
    <row r="1361" spans="4:10" x14ac:dyDescent="0.2">
      <c r="D1361" t="s">
        <v>5167</v>
      </c>
      <c r="E1361">
        <f>COUNTIF(tweets!C:C,D1361)</f>
        <v>1</v>
      </c>
      <c r="I1361"/>
      <c r="J1361"/>
    </row>
    <row r="1362" spans="4:10" x14ac:dyDescent="0.2">
      <c r="D1362" t="s">
        <v>5170</v>
      </c>
      <c r="E1362">
        <f>COUNTIF(tweets!C:C,D1362)</f>
        <v>1</v>
      </c>
      <c r="I1362"/>
      <c r="J1362"/>
    </row>
    <row r="1363" spans="4:10" x14ac:dyDescent="0.2">
      <c r="D1363" t="s">
        <v>5176</v>
      </c>
      <c r="E1363">
        <f>COUNTIF(tweets!C:C,D1363)</f>
        <v>1</v>
      </c>
      <c r="I1363"/>
      <c r="J1363"/>
    </row>
    <row r="1364" spans="4:10" x14ac:dyDescent="0.2">
      <c r="D1364" t="s">
        <v>5179</v>
      </c>
      <c r="E1364">
        <f>COUNTIF(tweets!C:C,D1364)</f>
        <v>1</v>
      </c>
      <c r="I1364"/>
      <c r="J1364"/>
    </row>
    <row r="1365" spans="4:10" x14ac:dyDescent="0.2">
      <c r="D1365" t="s">
        <v>5185</v>
      </c>
      <c r="E1365">
        <f>COUNTIF(tweets!C:C,D1365)</f>
        <v>1</v>
      </c>
      <c r="I1365"/>
      <c r="J1365"/>
    </row>
    <row r="1366" spans="4:10" x14ac:dyDescent="0.2">
      <c r="D1366" t="s">
        <v>5187</v>
      </c>
      <c r="E1366">
        <f>COUNTIF(tweets!C:C,D1366)</f>
        <v>1</v>
      </c>
      <c r="I1366"/>
      <c r="J1366"/>
    </row>
    <row r="1367" spans="4:10" x14ac:dyDescent="0.2">
      <c r="D1367" t="s">
        <v>5193</v>
      </c>
      <c r="E1367">
        <f>COUNTIF(tweets!C:C,D1367)</f>
        <v>1</v>
      </c>
      <c r="I1367"/>
      <c r="J1367"/>
    </row>
    <row r="1368" spans="4:10" x14ac:dyDescent="0.2">
      <c r="D1368" t="s">
        <v>5196</v>
      </c>
      <c r="E1368">
        <f>COUNTIF(tweets!C:C,D1368)</f>
        <v>1</v>
      </c>
      <c r="I1368"/>
      <c r="J1368"/>
    </row>
    <row r="1369" spans="4:10" x14ac:dyDescent="0.2">
      <c r="D1369" t="s">
        <v>5200</v>
      </c>
      <c r="E1369">
        <f>COUNTIF(tweets!C:C,D1369)</f>
        <v>1</v>
      </c>
      <c r="I1369"/>
      <c r="J1369"/>
    </row>
    <row r="1370" spans="4:10" x14ac:dyDescent="0.2">
      <c r="D1370" t="s">
        <v>5204</v>
      </c>
      <c r="E1370">
        <f>COUNTIF(tweets!C:C,D1370)</f>
        <v>1</v>
      </c>
      <c r="I1370"/>
      <c r="J1370"/>
    </row>
    <row r="1371" spans="4:10" x14ac:dyDescent="0.2">
      <c r="D1371" t="s">
        <v>5210</v>
      </c>
      <c r="E1371">
        <f>COUNTIF(tweets!C:C,D1371)</f>
        <v>1</v>
      </c>
      <c r="I1371"/>
      <c r="J1371"/>
    </row>
    <row r="1372" spans="4:10" x14ac:dyDescent="0.2">
      <c r="D1372" t="s">
        <v>5218</v>
      </c>
      <c r="E1372">
        <f>COUNTIF(tweets!C:C,D1372)</f>
        <v>1</v>
      </c>
      <c r="I1372"/>
      <c r="J1372"/>
    </row>
    <row r="1373" spans="4:10" x14ac:dyDescent="0.2">
      <c r="D1373" t="s">
        <v>5221</v>
      </c>
      <c r="E1373">
        <f>COUNTIF(tweets!C:C,D1373)</f>
        <v>1</v>
      </c>
      <c r="I1373"/>
      <c r="J1373"/>
    </row>
    <row r="1374" spans="4:10" x14ac:dyDescent="0.2">
      <c r="D1374" t="s">
        <v>5224</v>
      </c>
      <c r="E1374">
        <f>COUNTIF(tweets!C:C,D1374)</f>
        <v>1</v>
      </c>
      <c r="I1374"/>
      <c r="J1374"/>
    </row>
    <row r="1375" spans="4:10" x14ac:dyDescent="0.2">
      <c r="D1375" t="s">
        <v>5227</v>
      </c>
      <c r="E1375">
        <f>COUNTIF(tweets!C:C,D1375)</f>
        <v>1</v>
      </c>
      <c r="I1375"/>
      <c r="J1375"/>
    </row>
    <row r="1376" spans="4:10" x14ac:dyDescent="0.2">
      <c r="D1376" t="s">
        <v>5230</v>
      </c>
      <c r="E1376">
        <f>COUNTIF(tweets!C:C,D1376)</f>
        <v>1</v>
      </c>
      <c r="I1376"/>
      <c r="J1376"/>
    </row>
    <row r="1377" spans="4:10" x14ac:dyDescent="0.2">
      <c r="D1377" t="s">
        <v>5236</v>
      </c>
      <c r="E1377">
        <f>COUNTIF(tweets!C:C,D1377)</f>
        <v>1</v>
      </c>
      <c r="I1377"/>
      <c r="J1377"/>
    </row>
    <row r="1378" spans="4:10" x14ac:dyDescent="0.2">
      <c r="D1378" t="s">
        <v>5239</v>
      </c>
      <c r="E1378">
        <f>COUNTIF(tweets!C:C,D1378)</f>
        <v>1</v>
      </c>
      <c r="I1378"/>
      <c r="J1378"/>
    </row>
    <row r="1379" spans="4:10" x14ac:dyDescent="0.2">
      <c r="D1379" t="s">
        <v>5241</v>
      </c>
      <c r="E1379">
        <f>COUNTIF(tweets!C:C,D1379)</f>
        <v>1</v>
      </c>
      <c r="I1379"/>
      <c r="J1379"/>
    </row>
    <row r="1380" spans="4:10" x14ac:dyDescent="0.2">
      <c r="D1380" t="s">
        <v>5246</v>
      </c>
      <c r="E1380">
        <f>COUNTIF(tweets!C:C,D1380)</f>
        <v>1</v>
      </c>
      <c r="I1380"/>
      <c r="J1380"/>
    </row>
    <row r="1381" spans="4:10" x14ac:dyDescent="0.2">
      <c r="D1381" t="s">
        <v>5250</v>
      </c>
      <c r="E1381">
        <f>COUNTIF(tweets!C:C,D1381)</f>
        <v>1</v>
      </c>
      <c r="I1381"/>
      <c r="J1381"/>
    </row>
    <row r="1382" spans="4:10" x14ac:dyDescent="0.2">
      <c r="D1382" t="s">
        <v>5253</v>
      </c>
      <c r="E1382">
        <f>COUNTIF(tweets!C:C,D1382)</f>
        <v>1</v>
      </c>
      <c r="I1382"/>
      <c r="J1382"/>
    </row>
    <row r="1383" spans="4:10" x14ac:dyDescent="0.2">
      <c r="D1383" t="s">
        <v>5261</v>
      </c>
      <c r="E1383">
        <f>COUNTIF(tweets!C:C,D1383)</f>
        <v>1</v>
      </c>
      <c r="I1383"/>
      <c r="J1383"/>
    </row>
    <row r="1384" spans="4:10" x14ac:dyDescent="0.2">
      <c r="D1384" t="s">
        <v>5264</v>
      </c>
      <c r="E1384">
        <f>COUNTIF(tweets!C:C,D1384)</f>
        <v>1</v>
      </c>
      <c r="I1384"/>
      <c r="J1384"/>
    </row>
    <row r="1385" spans="4:10" x14ac:dyDescent="0.2">
      <c r="D1385" t="s">
        <v>5267</v>
      </c>
      <c r="E1385">
        <f>COUNTIF(tweets!C:C,D1385)</f>
        <v>1</v>
      </c>
      <c r="I1385"/>
      <c r="J1385"/>
    </row>
    <row r="1386" spans="4:10" x14ac:dyDescent="0.2">
      <c r="D1386" t="s">
        <v>5270</v>
      </c>
      <c r="E1386">
        <f>COUNTIF(tweets!C:C,D1386)</f>
        <v>1</v>
      </c>
      <c r="I1386"/>
      <c r="J1386"/>
    </row>
    <row r="1387" spans="4:10" x14ac:dyDescent="0.2">
      <c r="D1387" t="s">
        <v>5274</v>
      </c>
      <c r="E1387">
        <f>COUNTIF(tweets!C:C,D1387)</f>
        <v>1</v>
      </c>
      <c r="I1387"/>
      <c r="J1387"/>
    </row>
    <row r="1388" spans="4:10" x14ac:dyDescent="0.2">
      <c r="D1388" t="s">
        <v>5277</v>
      </c>
      <c r="E1388">
        <f>COUNTIF(tweets!C:C,D1388)</f>
        <v>1</v>
      </c>
      <c r="I1388"/>
      <c r="J1388"/>
    </row>
    <row r="1389" spans="4:10" x14ac:dyDescent="0.2">
      <c r="D1389" t="s">
        <v>5280</v>
      </c>
      <c r="E1389">
        <f>COUNTIF(tweets!C:C,D1389)</f>
        <v>1</v>
      </c>
      <c r="I1389"/>
      <c r="J1389"/>
    </row>
    <row r="1390" spans="4:10" x14ac:dyDescent="0.2">
      <c r="D1390" t="s">
        <v>5284</v>
      </c>
      <c r="E1390">
        <f>COUNTIF(tweets!C:C,D1390)</f>
        <v>1</v>
      </c>
      <c r="I1390"/>
      <c r="J1390"/>
    </row>
    <row r="1391" spans="4:10" x14ac:dyDescent="0.2">
      <c r="D1391" t="s">
        <v>5287</v>
      </c>
      <c r="E1391">
        <f>COUNTIF(tweets!C:C,D1391)</f>
        <v>1</v>
      </c>
      <c r="I1391"/>
      <c r="J1391"/>
    </row>
    <row r="1392" spans="4:10" x14ac:dyDescent="0.2">
      <c r="D1392" t="s">
        <v>5296</v>
      </c>
      <c r="E1392">
        <f>COUNTIF(tweets!C:C,D1392)</f>
        <v>1</v>
      </c>
      <c r="I1392"/>
      <c r="J1392"/>
    </row>
    <row r="1393" spans="4:10" x14ac:dyDescent="0.2">
      <c r="D1393" t="s">
        <v>5299</v>
      </c>
      <c r="E1393">
        <f>COUNTIF(tweets!C:C,D1393)</f>
        <v>1</v>
      </c>
      <c r="I1393"/>
      <c r="J1393"/>
    </row>
    <row r="1394" spans="4:10" x14ac:dyDescent="0.2">
      <c r="D1394" t="s">
        <v>5303</v>
      </c>
      <c r="E1394">
        <f>COUNTIF(tweets!C:C,D1394)</f>
        <v>1</v>
      </c>
      <c r="I1394"/>
      <c r="J1394"/>
    </row>
    <row r="1395" spans="4:10" x14ac:dyDescent="0.2">
      <c r="D1395" t="s">
        <v>5306</v>
      </c>
      <c r="E1395">
        <f>COUNTIF(tweets!C:C,D1395)</f>
        <v>1</v>
      </c>
      <c r="I1395"/>
      <c r="J1395"/>
    </row>
    <row r="1396" spans="4:10" x14ac:dyDescent="0.2">
      <c r="D1396" t="s">
        <v>5309</v>
      </c>
      <c r="E1396">
        <f>COUNTIF(tweets!C:C,D1396)</f>
        <v>1</v>
      </c>
      <c r="I1396"/>
      <c r="J1396"/>
    </row>
    <row r="1397" spans="4:10" x14ac:dyDescent="0.2">
      <c r="D1397" t="s">
        <v>5318</v>
      </c>
      <c r="E1397">
        <f>COUNTIF(tweets!C:C,D1397)</f>
        <v>1</v>
      </c>
      <c r="I1397"/>
      <c r="J1397"/>
    </row>
    <row r="1398" spans="4:10" x14ac:dyDescent="0.2">
      <c r="D1398" t="s">
        <v>5325</v>
      </c>
      <c r="E1398">
        <f>COUNTIF(tweets!C:C,D1398)</f>
        <v>1</v>
      </c>
      <c r="I1398"/>
      <c r="J1398"/>
    </row>
    <row r="1399" spans="4:10" x14ac:dyDescent="0.2">
      <c r="D1399" t="s">
        <v>5329</v>
      </c>
      <c r="E1399">
        <f>COUNTIF(tweets!C:C,D1399)</f>
        <v>1</v>
      </c>
      <c r="I1399"/>
      <c r="J1399"/>
    </row>
    <row r="1400" spans="4:10" x14ac:dyDescent="0.2">
      <c r="D1400" t="s">
        <v>5344</v>
      </c>
      <c r="E1400">
        <f>COUNTIF(tweets!C:C,D1400)</f>
        <v>1</v>
      </c>
      <c r="I1400"/>
      <c r="J1400"/>
    </row>
    <row r="1401" spans="4:10" x14ac:dyDescent="0.2">
      <c r="D1401" t="s">
        <v>5348</v>
      </c>
      <c r="E1401">
        <f>COUNTIF(tweets!C:C,D1401)</f>
        <v>1</v>
      </c>
      <c r="I1401"/>
      <c r="J1401"/>
    </row>
    <row r="1402" spans="4:10" x14ac:dyDescent="0.2">
      <c r="D1402" t="s">
        <v>5352</v>
      </c>
      <c r="E1402">
        <f>COUNTIF(tweets!C:C,D1402)</f>
        <v>1</v>
      </c>
      <c r="I1402"/>
      <c r="J1402"/>
    </row>
    <row r="1403" spans="4:10" x14ac:dyDescent="0.2">
      <c r="D1403" t="s">
        <v>5356</v>
      </c>
      <c r="E1403">
        <f>COUNTIF(tweets!C:C,D1403)</f>
        <v>1</v>
      </c>
      <c r="I1403"/>
      <c r="J1403"/>
    </row>
    <row r="1404" spans="4:10" x14ac:dyDescent="0.2">
      <c r="D1404" t="s">
        <v>5359</v>
      </c>
      <c r="E1404">
        <f>COUNTIF(tweets!C:C,D1404)</f>
        <v>1</v>
      </c>
      <c r="I1404"/>
      <c r="J1404"/>
    </row>
    <row r="1405" spans="4:10" x14ac:dyDescent="0.2">
      <c r="D1405" t="s">
        <v>5363</v>
      </c>
      <c r="E1405">
        <f>COUNTIF(tweets!C:C,D1405)</f>
        <v>1</v>
      </c>
      <c r="I1405"/>
      <c r="J1405"/>
    </row>
    <row r="1406" spans="4:10" x14ac:dyDescent="0.2">
      <c r="D1406" t="s">
        <v>5369</v>
      </c>
      <c r="E1406">
        <f>COUNTIF(tweets!C:C,D1406)</f>
        <v>1</v>
      </c>
      <c r="I1406"/>
      <c r="J1406"/>
    </row>
    <row r="1407" spans="4:10" x14ac:dyDescent="0.2">
      <c r="D1407" t="s">
        <v>5372</v>
      </c>
      <c r="E1407">
        <f>COUNTIF(tweets!C:C,D1407)</f>
        <v>1</v>
      </c>
      <c r="I1407"/>
      <c r="J1407"/>
    </row>
    <row r="1408" spans="4:10" x14ac:dyDescent="0.2">
      <c r="D1408" t="s">
        <v>5378</v>
      </c>
      <c r="E1408">
        <f>COUNTIF(tweets!C:C,D1408)</f>
        <v>1</v>
      </c>
      <c r="I1408"/>
      <c r="J1408"/>
    </row>
    <row r="1409" spans="4:10" x14ac:dyDescent="0.2">
      <c r="D1409" t="s">
        <v>5386</v>
      </c>
      <c r="E1409">
        <f>COUNTIF(tweets!C:C,D1409)</f>
        <v>1</v>
      </c>
      <c r="I1409"/>
      <c r="J1409"/>
    </row>
    <row r="1410" spans="4:10" x14ac:dyDescent="0.2">
      <c r="D1410" t="s">
        <v>5395</v>
      </c>
      <c r="E1410">
        <f>COUNTIF(tweets!C:C,D1410)</f>
        <v>1</v>
      </c>
      <c r="I1410"/>
      <c r="J1410"/>
    </row>
    <row r="1411" spans="4:10" x14ac:dyDescent="0.2">
      <c r="D1411" t="s">
        <v>5401</v>
      </c>
      <c r="E1411">
        <f>COUNTIF(tweets!C:C,D1411)</f>
        <v>1</v>
      </c>
      <c r="I1411"/>
      <c r="J1411"/>
    </row>
    <row r="1412" spans="4:10" x14ac:dyDescent="0.2">
      <c r="D1412" t="s">
        <v>5405</v>
      </c>
      <c r="E1412">
        <f>COUNTIF(tweets!C:C,D1412)</f>
        <v>1</v>
      </c>
      <c r="I1412"/>
      <c r="J1412"/>
    </row>
    <row r="1413" spans="4:10" x14ac:dyDescent="0.2">
      <c r="D1413" t="s">
        <v>5412</v>
      </c>
      <c r="E1413">
        <f>COUNTIF(tweets!C:C,D1413)</f>
        <v>1</v>
      </c>
      <c r="I1413"/>
      <c r="J1413"/>
    </row>
    <row r="1414" spans="4:10" x14ac:dyDescent="0.2">
      <c r="D1414" t="s">
        <v>5415</v>
      </c>
      <c r="E1414">
        <f>COUNTIF(tweets!C:C,D1414)</f>
        <v>1</v>
      </c>
      <c r="I1414"/>
      <c r="J1414"/>
    </row>
    <row r="1415" spans="4:10" x14ac:dyDescent="0.2">
      <c r="D1415" t="s">
        <v>5418</v>
      </c>
      <c r="E1415">
        <f>COUNTIF(tweets!C:C,D1415)</f>
        <v>1</v>
      </c>
      <c r="I1415"/>
      <c r="J1415"/>
    </row>
    <row r="1416" spans="4:10" x14ac:dyDescent="0.2">
      <c r="D1416" t="s">
        <v>5421</v>
      </c>
      <c r="E1416">
        <f>COUNTIF(tweets!C:C,D1416)</f>
        <v>1</v>
      </c>
      <c r="I1416"/>
      <c r="J1416"/>
    </row>
    <row r="1417" spans="4:10" x14ac:dyDescent="0.2">
      <c r="D1417" t="s">
        <v>5425</v>
      </c>
      <c r="E1417">
        <f>COUNTIF(tweets!C:C,D1417)</f>
        <v>1</v>
      </c>
      <c r="I1417"/>
      <c r="J1417"/>
    </row>
    <row r="1418" spans="4:10" x14ac:dyDescent="0.2">
      <c r="D1418" t="s">
        <v>5429</v>
      </c>
      <c r="E1418">
        <f>COUNTIF(tweets!C:C,D1418)</f>
        <v>1</v>
      </c>
      <c r="I1418"/>
      <c r="J1418"/>
    </row>
    <row r="1419" spans="4:10" x14ac:dyDescent="0.2">
      <c r="D1419" t="s">
        <v>5432</v>
      </c>
      <c r="E1419">
        <f>COUNTIF(tweets!C:C,D1419)</f>
        <v>1</v>
      </c>
      <c r="I1419"/>
      <c r="J1419"/>
    </row>
    <row r="1420" spans="4:10" x14ac:dyDescent="0.2">
      <c r="D1420" t="s">
        <v>5437</v>
      </c>
      <c r="E1420">
        <f>COUNTIF(tweets!C:C,D1420)</f>
        <v>1</v>
      </c>
      <c r="I1420"/>
      <c r="J1420"/>
    </row>
    <row r="1421" spans="4:10" x14ac:dyDescent="0.2">
      <c r="D1421" t="s">
        <v>5448</v>
      </c>
      <c r="E1421">
        <f>COUNTIF(tweets!C:C,D1421)</f>
        <v>1</v>
      </c>
      <c r="I1421"/>
      <c r="J1421"/>
    </row>
    <row r="1422" spans="4:10" x14ac:dyDescent="0.2">
      <c r="D1422" t="s">
        <v>5451</v>
      </c>
      <c r="E1422">
        <f>COUNTIF(tweets!C:C,D1422)</f>
        <v>1</v>
      </c>
      <c r="I1422"/>
      <c r="J1422"/>
    </row>
    <row r="1423" spans="4:10" x14ac:dyDescent="0.2">
      <c r="D1423" t="s">
        <v>5454</v>
      </c>
      <c r="E1423">
        <f>COUNTIF(tweets!C:C,D1423)</f>
        <v>1</v>
      </c>
      <c r="I1423"/>
      <c r="J1423"/>
    </row>
    <row r="1424" spans="4:10" x14ac:dyDescent="0.2">
      <c r="D1424" t="s">
        <v>5458</v>
      </c>
      <c r="E1424">
        <f>COUNTIF(tweets!C:C,D1424)</f>
        <v>1</v>
      </c>
      <c r="I1424"/>
      <c r="J1424"/>
    </row>
    <row r="1425" spans="4:10" x14ac:dyDescent="0.2">
      <c r="D1425" t="s">
        <v>5462</v>
      </c>
      <c r="E1425">
        <f>COUNTIF(tweets!C:C,D1425)</f>
        <v>1</v>
      </c>
      <c r="I1425"/>
      <c r="J1425"/>
    </row>
    <row r="1426" spans="4:10" x14ac:dyDescent="0.2">
      <c r="D1426" t="s">
        <v>5470</v>
      </c>
      <c r="E1426">
        <f>COUNTIF(tweets!C:C,D1426)</f>
        <v>1</v>
      </c>
      <c r="I1426"/>
      <c r="J1426"/>
    </row>
    <row r="1427" spans="4:10" x14ac:dyDescent="0.2">
      <c r="D1427" t="s">
        <v>5479</v>
      </c>
      <c r="E1427">
        <f>COUNTIF(tweets!C:C,D1427)</f>
        <v>1</v>
      </c>
      <c r="I1427"/>
      <c r="J1427"/>
    </row>
    <row r="1428" spans="4:10" x14ac:dyDescent="0.2">
      <c r="D1428" t="s">
        <v>5485</v>
      </c>
      <c r="E1428">
        <f>COUNTIF(tweets!C:C,D1428)</f>
        <v>1</v>
      </c>
      <c r="I1428"/>
      <c r="J1428"/>
    </row>
    <row r="1429" spans="4:10" x14ac:dyDescent="0.2">
      <c r="D1429" t="s">
        <v>5488</v>
      </c>
      <c r="E1429">
        <f>COUNTIF(tweets!C:C,D1429)</f>
        <v>1</v>
      </c>
      <c r="I1429"/>
      <c r="J1429"/>
    </row>
    <row r="1430" spans="4:10" x14ac:dyDescent="0.2">
      <c r="D1430" t="s">
        <v>5495</v>
      </c>
      <c r="E1430">
        <f>COUNTIF(tweets!C:C,D1430)</f>
        <v>1</v>
      </c>
      <c r="I1430"/>
      <c r="J1430"/>
    </row>
    <row r="1431" spans="4:10" x14ac:dyDescent="0.2">
      <c r="D1431" t="s">
        <v>5498</v>
      </c>
      <c r="E1431">
        <f>COUNTIF(tweets!C:C,D1431)</f>
        <v>1</v>
      </c>
      <c r="I1431"/>
      <c r="J1431"/>
    </row>
    <row r="1432" spans="4:10" x14ac:dyDescent="0.2">
      <c r="D1432" t="s">
        <v>5501</v>
      </c>
      <c r="E1432">
        <f>COUNTIF(tweets!C:C,D1432)</f>
        <v>1</v>
      </c>
      <c r="I1432"/>
      <c r="J1432"/>
    </row>
    <row r="1433" spans="4:10" x14ac:dyDescent="0.2">
      <c r="D1433" t="s">
        <v>5512</v>
      </c>
      <c r="E1433">
        <f>COUNTIF(tweets!C:C,D1433)</f>
        <v>1</v>
      </c>
      <c r="I1433"/>
      <c r="J1433"/>
    </row>
    <row r="1434" spans="4:10" x14ac:dyDescent="0.2">
      <c r="D1434" t="s">
        <v>5519</v>
      </c>
      <c r="E1434">
        <f>COUNTIF(tweets!C:C,D1434)</f>
        <v>1</v>
      </c>
      <c r="I1434"/>
      <c r="J1434"/>
    </row>
    <row r="1435" spans="4:10" x14ac:dyDescent="0.2">
      <c r="D1435" t="s">
        <v>5523</v>
      </c>
      <c r="E1435">
        <f>COUNTIF(tweets!C:C,D1435)</f>
        <v>1</v>
      </c>
      <c r="I1435"/>
      <c r="J1435"/>
    </row>
    <row r="1436" spans="4:10" x14ac:dyDescent="0.2">
      <c r="D1436" t="s">
        <v>5527</v>
      </c>
      <c r="E1436">
        <f>COUNTIF(tweets!C:C,D1436)</f>
        <v>1</v>
      </c>
      <c r="I1436"/>
      <c r="J1436"/>
    </row>
    <row r="1437" spans="4:10" x14ac:dyDescent="0.2">
      <c r="D1437" t="s">
        <v>5530</v>
      </c>
      <c r="E1437">
        <f>COUNTIF(tweets!C:C,D1437)</f>
        <v>1</v>
      </c>
      <c r="I1437"/>
      <c r="J1437"/>
    </row>
    <row r="1438" spans="4:10" x14ac:dyDescent="0.2">
      <c r="D1438" t="s">
        <v>5534</v>
      </c>
      <c r="E1438">
        <f>COUNTIF(tweets!C:C,D1438)</f>
        <v>1</v>
      </c>
      <c r="I1438"/>
      <c r="J1438"/>
    </row>
    <row r="1439" spans="4:10" x14ac:dyDescent="0.2">
      <c r="D1439" t="s">
        <v>5545</v>
      </c>
      <c r="E1439">
        <f>COUNTIF(tweets!C:C,D1439)</f>
        <v>1</v>
      </c>
      <c r="I1439"/>
      <c r="J1439"/>
    </row>
    <row r="1440" spans="4:10" x14ac:dyDescent="0.2">
      <c r="D1440" t="s">
        <v>5551</v>
      </c>
      <c r="E1440">
        <f>COUNTIF(tweets!C:C,D1440)</f>
        <v>1</v>
      </c>
      <c r="I1440"/>
      <c r="J1440"/>
    </row>
    <row r="1441" spans="4:10" x14ac:dyDescent="0.2">
      <c r="D1441" t="s">
        <v>5554</v>
      </c>
      <c r="E1441">
        <f>COUNTIF(tweets!C:C,D1441)</f>
        <v>1</v>
      </c>
      <c r="I1441"/>
      <c r="J1441"/>
    </row>
    <row r="1442" spans="4:10" x14ac:dyDescent="0.2">
      <c r="D1442" t="s">
        <v>5557</v>
      </c>
      <c r="E1442">
        <f>COUNTIF(tweets!C:C,D1442)</f>
        <v>1</v>
      </c>
      <c r="I1442"/>
      <c r="J1442"/>
    </row>
    <row r="1443" spans="4:10" x14ac:dyDescent="0.2">
      <c r="D1443" t="s">
        <v>5561</v>
      </c>
      <c r="E1443">
        <f>COUNTIF(tweets!C:C,D1443)</f>
        <v>1</v>
      </c>
      <c r="I1443"/>
      <c r="J1443"/>
    </row>
    <row r="1444" spans="4:10" x14ac:dyDescent="0.2">
      <c r="D1444" t="s">
        <v>5565</v>
      </c>
      <c r="E1444">
        <f>COUNTIF(tweets!C:C,D1444)</f>
        <v>1</v>
      </c>
      <c r="I1444"/>
      <c r="J1444"/>
    </row>
    <row r="1445" spans="4:10" x14ac:dyDescent="0.2">
      <c r="D1445" t="s">
        <v>5569</v>
      </c>
      <c r="E1445">
        <f>COUNTIF(tweets!C:C,D1445)</f>
        <v>1</v>
      </c>
      <c r="I1445"/>
      <c r="J1445"/>
    </row>
    <row r="1446" spans="4:10" x14ac:dyDescent="0.2">
      <c r="D1446" t="s">
        <v>5572</v>
      </c>
      <c r="E1446">
        <f>COUNTIF(tweets!C:C,D1446)</f>
        <v>1</v>
      </c>
      <c r="I1446"/>
      <c r="J1446"/>
    </row>
    <row r="1447" spans="4:10" x14ac:dyDescent="0.2">
      <c r="D1447" t="s">
        <v>5579</v>
      </c>
      <c r="E1447">
        <f>COUNTIF(tweets!C:C,D1447)</f>
        <v>1</v>
      </c>
      <c r="I1447"/>
      <c r="J1447"/>
    </row>
    <row r="1448" spans="4:10" x14ac:dyDescent="0.2">
      <c r="D1448" t="s">
        <v>5582</v>
      </c>
      <c r="E1448">
        <f>COUNTIF(tweets!C:C,D1448)</f>
        <v>1</v>
      </c>
      <c r="I1448"/>
      <c r="J1448"/>
    </row>
    <row r="1449" spans="4:10" x14ac:dyDescent="0.2">
      <c r="D1449" t="s">
        <v>5585</v>
      </c>
      <c r="E1449">
        <f>COUNTIF(tweets!C:C,D1449)</f>
        <v>1</v>
      </c>
      <c r="I1449"/>
      <c r="J1449"/>
    </row>
    <row r="1450" spans="4:10" x14ac:dyDescent="0.2">
      <c r="D1450" t="s">
        <v>5588</v>
      </c>
      <c r="E1450">
        <f>COUNTIF(tweets!C:C,D1450)</f>
        <v>1</v>
      </c>
      <c r="I1450"/>
      <c r="J1450"/>
    </row>
    <row r="1451" spans="4:10" x14ac:dyDescent="0.2">
      <c r="D1451" t="s">
        <v>5595</v>
      </c>
      <c r="E1451">
        <f>COUNTIF(tweets!C:C,D1451)</f>
        <v>1</v>
      </c>
      <c r="I1451"/>
      <c r="J1451"/>
    </row>
    <row r="1452" spans="4:10" x14ac:dyDescent="0.2">
      <c r="D1452" t="s">
        <v>5601</v>
      </c>
      <c r="E1452">
        <f>COUNTIF(tweets!C:C,D1452)</f>
        <v>1</v>
      </c>
      <c r="I1452"/>
      <c r="J1452"/>
    </row>
    <row r="1453" spans="4:10" x14ac:dyDescent="0.2">
      <c r="D1453" t="s">
        <v>5604</v>
      </c>
      <c r="E1453">
        <f>COUNTIF(tweets!C:C,D1453)</f>
        <v>1</v>
      </c>
      <c r="I1453"/>
      <c r="J1453"/>
    </row>
    <row r="1454" spans="4:10" x14ac:dyDescent="0.2">
      <c r="D1454" t="s">
        <v>5614</v>
      </c>
      <c r="E1454">
        <f>COUNTIF(tweets!C:C,D1454)</f>
        <v>1</v>
      </c>
      <c r="I1454"/>
      <c r="J1454"/>
    </row>
    <row r="1455" spans="4:10" x14ac:dyDescent="0.2">
      <c r="D1455" t="s">
        <v>5617</v>
      </c>
      <c r="E1455">
        <f>COUNTIF(tweets!C:C,D1455)</f>
        <v>1</v>
      </c>
      <c r="I1455"/>
      <c r="J1455"/>
    </row>
    <row r="1456" spans="4:10" x14ac:dyDescent="0.2">
      <c r="D1456" t="s">
        <v>5620</v>
      </c>
      <c r="E1456">
        <f>COUNTIF(tweets!C:C,D1456)</f>
        <v>1</v>
      </c>
      <c r="I1456"/>
      <c r="J1456"/>
    </row>
    <row r="1457" spans="4:10" x14ac:dyDescent="0.2">
      <c r="D1457" t="s">
        <v>5623</v>
      </c>
      <c r="E1457">
        <f>COUNTIF(tweets!C:C,D1457)</f>
        <v>1</v>
      </c>
      <c r="I1457"/>
      <c r="J1457"/>
    </row>
    <row r="1458" spans="4:10" x14ac:dyDescent="0.2">
      <c r="D1458" t="s">
        <v>5627</v>
      </c>
      <c r="E1458">
        <f>COUNTIF(tweets!C:C,D1458)</f>
        <v>1</v>
      </c>
      <c r="I1458"/>
      <c r="J1458"/>
    </row>
    <row r="1459" spans="4:10" x14ac:dyDescent="0.2">
      <c r="D1459" t="s">
        <v>5632</v>
      </c>
      <c r="E1459">
        <f>COUNTIF(tweets!C:C,D1459)</f>
        <v>1</v>
      </c>
      <c r="I1459"/>
      <c r="J1459"/>
    </row>
    <row r="1460" spans="4:10" x14ac:dyDescent="0.2">
      <c r="D1460" t="s">
        <v>5642</v>
      </c>
      <c r="E1460">
        <f>COUNTIF(tweets!C:C,D1460)</f>
        <v>1</v>
      </c>
      <c r="I1460"/>
      <c r="J1460"/>
    </row>
    <row r="1461" spans="4:10" x14ac:dyDescent="0.2">
      <c r="D1461" t="s">
        <v>5645</v>
      </c>
      <c r="E1461">
        <f>COUNTIF(tweets!C:C,D1461)</f>
        <v>1</v>
      </c>
      <c r="I1461"/>
      <c r="J1461"/>
    </row>
    <row r="1462" spans="4:10" x14ac:dyDescent="0.2">
      <c r="D1462" t="s">
        <v>5648</v>
      </c>
      <c r="E1462">
        <f>COUNTIF(tweets!C:C,D1462)</f>
        <v>1</v>
      </c>
      <c r="I1462"/>
      <c r="J1462"/>
    </row>
    <row r="1463" spans="4:10" x14ac:dyDescent="0.2">
      <c r="D1463" t="s">
        <v>5651</v>
      </c>
      <c r="E1463">
        <f>COUNTIF(tweets!C:C,D1463)</f>
        <v>1</v>
      </c>
      <c r="I1463"/>
      <c r="J1463"/>
    </row>
    <row r="1464" spans="4:10" x14ac:dyDescent="0.2">
      <c r="D1464" t="s">
        <v>5656</v>
      </c>
      <c r="E1464">
        <f>COUNTIF(tweets!C:C,D1464)</f>
        <v>1</v>
      </c>
      <c r="I1464"/>
      <c r="J1464"/>
    </row>
    <row r="1465" spans="4:10" x14ac:dyDescent="0.2">
      <c r="D1465" t="s">
        <v>5661</v>
      </c>
      <c r="E1465">
        <f>COUNTIF(tweets!C:C,D1465)</f>
        <v>1</v>
      </c>
      <c r="I1465"/>
      <c r="J1465"/>
    </row>
    <row r="1466" spans="4:10" x14ac:dyDescent="0.2">
      <c r="D1466" t="s">
        <v>5665</v>
      </c>
      <c r="E1466">
        <f>COUNTIF(tweets!C:C,D1466)</f>
        <v>1</v>
      </c>
      <c r="I1466"/>
      <c r="J1466"/>
    </row>
    <row r="1467" spans="4:10" x14ac:dyDescent="0.2">
      <c r="D1467" t="s">
        <v>5672</v>
      </c>
      <c r="E1467">
        <f>COUNTIF(tweets!C:C,D1467)</f>
        <v>1</v>
      </c>
      <c r="I1467"/>
      <c r="J1467"/>
    </row>
    <row r="1468" spans="4:10" x14ac:dyDescent="0.2">
      <c r="D1468" t="s">
        <v>5675</v>
      </c>
      <c r="E1468">
        <f>COUNTIF(tweets!C:C,D1468)</f>
        <v>1</v>
      </c>
      <c r="I1468"/>
      <c r="J1468"/>
    </row>
    <row r="1469" spans="4:10" x14ac:dyDescent="0.2">
      <c r="D1469" t="s">
        <v>5681</v>
      </c>
      <c r="E1469">
        <f>COUNTIF(tweets!C:C,D1469)</f>
        <v>1</v>
      </c>
      <c r="I1469"/>
      <c r="J1469"/>
    </row>
    <row r="1470" spans="4:10" x14ac:dyDescent="0.2">
      <c r="D1470" t="s">
        <v>5688</v>
      </c>
      <c r="E1470">
        <f>COUNTIF(tweets!C:C,D1470)</f>
        <v>1</v>
      </c>
      <c r="I1470"/>
      <c r="J1470"/>
    </row>
    <row r="1471" spans="4:10" x14ac:dyDescent="0.2">
      <c r="D1471" t="s">
        <v>5692</v>
      </c>
      <c r="E1471">
        <f>COUNTIF(tweets!C:C,D1471)</f>
        <v>1</v>
      </c>
      <c r="I1471"/>
      <c r="J1471"/>
    </row>
    <row r="1472" spans="4:10" x14ac:dyDescent="0.2">
      <c r="D1472" t="s">
        <v>5700</v>
      </c>
      <c r="E1472">
        <f>COUNTIF(tweets!C:C,D1472)</f>
        <v>1</v>
      </c>
      <c r="I1472"/>
      <c r="J1472"/>
    </row>
    <row r="1473" spans="4:10" x14ac:dyDescent="0.2">
      <c r="D1473" t="s">
        <v>5707</v>
      </c>
      <c r="E1473">
        <f>COUNTIF(tweets!C:C,D1473)</f>
        <v>1</v>
      </c>
      <c r="I1473"/>
      <c r="J1473"/>
    </row>
    <row r="1474" spans="4:10" x14ac:dyDescent="0.2">
      <c r="D1474" t="s">
        <v>5722</v>
      </c>
      <c r="E1474">
        <f>COUNTIF(tweets!C:C,D1474)</f>
        <v>1</v>
      </c>
      <c r="I1474"/>
      <c r="J1474"/>
    </row>
    <row r="1475" spans="4:10" x14ac:dyDescent="0.2">
      <c r="D1475" t="s">
        <v>5714</v>
      </c>
      <c r="E1475">
        <f>COUNTIF(tweets!C:C,D1475)</f>
        <v>1</v>
      </c>
      <c r="I1475"/>
      <c r="J1475"/>
    </row>
    <row r="1476" spans="4:10" x14ac:dyDescent="0.2">
      <c r="D1476" t="s">
        <v>5733</v>
      </c>
      <c r="E1476">
        <f>COUNTIF(tweets!C:C,D1476)</f>
        <v>1</v>
      </c>
      <c r="I1476"/>
      <c r="J1476"/>
    </row>
    <row r="1477" spans="4:10" x14ac:dyDescent="0.2">
      <c r="D1477" t="s">
        <v>5736</v>
      </c>
      <c r="E1477">
        <f>COUNTIF(tweets!C:C,D1477)</f>
        <v>1</v>
      </c>
      <c r="I1477"/>
      <c r="J1477"/>
    </row>
    <row r="1478" spans="4:10" x14ac:dyDescent="0.2">
      <c r="D1478" t="s">
        <v>5741</v>
      </c>
      <c r="E1478">
        <f>COUNTIF(tweets!C:C,D1478)</f>
        <v>1</v>
      </c>
      <c r="I1478"/>
      <c r="J1478"/>
    </row>
    <row r="1479" spans="4:10" x14ac:dyDescent="0.2">
      <c r="D1479" t="s">
        <v>5749</v>
      </c>
      <c r="E1479">
        <f>COUNTIF(tweets!C:C,D1479)</f>
        <v>1</v>
      </c>
      <c r="I1479"/>
      <c r="J1479"/>
    </row>
    <row r="1480" spans="4:10" x14ac:dyDescent="0.2">
      <c r="D1480" t="s">
        <v>5763</v>
      </c>
      <c r="E1480">
        <f>COUNTIF(tweets!C:C,D1480)</f>
        <v>1</v>
      </c>
      <c r="I1480"/>
      <c r="J1480"/>
    </row>
    <row r="1481" spans="4:10" x14ac:dyDescent="0.2">
      <c r="D1481" t="s">
        <v>5775</v>
      </c>
      <c r="E1481">
        <f>COUNTIF(tweets!C:C,D1481)</f>
        <v>1</v>
      </c>
      <c r="I1481"/>
      <c r="J1481"/>
    </row>
    <row r="1482" spans="4:10" x14ac:dyDescent="0.2">
      <c r="D1482" t="s">
        <v>5778</v>
      </c>
      <c r="E1482">
        <f>COUNTIF(tweets!C:C,D1482)</f>
        <v>1</v>
      </c>
      <c r="I1482"/>
      <c r="J1482"/>
    </row>
    <row r="1483" spans="4:10" x14ac:dyDescent="0.2">
      <c r="D1483" t="s">
        <v>5781</v>
      </c>
      <c r="E1483">
        <f>COUNTIF(tweets!C:C,D1483)</f>
        <v>1</v>
      </c>
      <c r="I1483"/>
      <c r="J1483"/>
    </row>
    <row r="1484" spans="4:10" x14ac:dyDescent="0.2">
      <c r="D1484" t="s">
        <v>5785</v>
      </c>
      <c r="E1484">
        <f>COUNTIF(tweets!C:C,D1484)</f>
        <v>1</v>
      </c>
      <c r="I1484"/>
      <c r="J1484"/>
    </row>
    <row r="1485" spans="4:10" x14ac:dyDescent="0.2">
      <c r="D1485" t="s">
        <v>5789</v>
      </c>
      <c r="E1485">
        <f>COUNTIF(tweets!C:C,D1485)</f>
        <v>1</v>
      </c>
      <c r="I1485"/>
      <c r="J1485"/>
    </row>
    <row r="1486" spans="4:10" x14ac:dyDescent="0.2">
      <c r="D1486" t="s">
        <v>5796</v>
      </c>
      <c r="E1486">
        <f>COUNTIF(tweets!C:C,D1486)</f>
        <v>1</v>
      </c>
      <c r="I1486"/>
      <c r="J1486"/>
    </row>
    <row r="1487" spans="4:10" x14ac:dyDescent="0.2">
      <c r="D1487" t="s">
        <v>5799</v>
      </c>
      <c r="E1487">
        <f>COUNTIF(tweets!C:C,D1487)</f>
        <v>1</v>
      </c>
      <c r="I1487"/>
      <c r="J1487"/>
    </row>
    <row r="1488" spans="4:10" x14ac:dyDescent="0.2">
      <c r="D1488" t="s">
        <v>5805</v>
      </c>
      <c r="E1488">
        <f>COUNTIF(tweets!C:C,D1488)</f>
        <v>1</v>
      </c>
      <c r="I1488"/>
      <c r="J1488"/>
    </row>
    <row r="1489" spans="4:10" x14ac:dyDescent="0.2">
      <c r="D1489" t="s">
        <v>5809</v>
      </c>
      <c r="E1489">
        <f>COUNTIF(tweets!C:C,D1489)</f>
        <v>1</v>
      </c>
      <c r="I1489"/>
      <c r="J1489"/>
    </row>
    <row r="1490" spans="4:10" x14ac:dyDescent="0.2">
      <c r="D1490" t="s">
        <v>5816</v>
      </c>
      <c r="E1490">
        <f>COUNTIF(tweets!C:C,D1490)</f>
        <v>1</v>
      </c>
      <c r="I1490"/>
      <c r="J1490"/>
    </row>
    <row r="1491" spans="4:10" x14ac:dyDescent="0.2">
      <c r="D1491" t="s">
        <v>5826</v>
      </c>
      <c r="E1491">
        <f>COUNTIF(tweets!C:C,D1491)</f>
        <v>1</v>
      </c>
      <c r="I1491"/>
      <c r="J1491"/>
    </row>
    <row r="1492" spans="4:10" x14ac:dyDescent="0.2">
      <c r="D1492" t="s">
        <v>5830</v>
      </c>
      <c r="E1492">
        <f>COUNTIF(tweets!C:C,D1492)</f>
        <v>1</v>
      </c>
      <c r="I1492"/>
      <c r="J1492"/>
    </row>
    <row r="1493" spans="4:10" x14ac:dyDescent="0.2">
      <c r="D1493" t="s">
        <v>5835</v>
      </c>
      <c r="E1493">
        <f>COUNTIF(tweets!C:C,D1493)</f>
        <v>1</v>
      </c>
      <c r="I1493"/>
      <c r="J1493"/>
    </row>
    <row r="1494" spans="4:10" x14ac:dyDescent="0.2">
      <c r="D1494" t="s">
        <v>5837</v>
      </c>
      <c r="E1494">
        <f>COUNTIF(tweets!C:C,D1494)</f>
        <v>1</v>
      </c>
      <c r="I1494"/>
      <c r="J1494"/>
    </row>
    <row r="1495" spans="4:10" x14ac:dyDescent="0.2">
      <c r="D1495" t="s">
        <v>5844</v>
      </c>
      <c r="E1495">
        <f>COUNTIF(tweets!C:C,D1495)</f>
        <v>1</v>
      </c>
      <c r="I1495"/>
      <c r="J1495"/>
    </row>
    <row r="1496" spans="4:10" x14ac:dyDescent="0.2">
      <c r="D1496" t="s">
        <v>5848</v>
      </c>
      <c r="E1496">
        <f>COUNTIF(tweets!C:C,D1496)</f>
        <v>1</v>
      </c>
      <c r="I1496"/>
      <c r="J1496"/>
    </row>
    <row r="1497" spans="4:10" x14ac:dyDescent="0.2">
      <c r="D1497" t="s">
        <v>5855</v>
      </c>
      <c r="E1497">
        <f>COUNTIF(tweets!C:C,D1497)</f>
        <v>1</v>
      </c>
      <c r="I1497"/>
      <c r="J1497"/>
    </row>
    <row r="1498" spans="4:10" x14ac:dyDescent="0.2">
      <c r="D1498" t="s">
        <v>5859</v>
      </c>
      <c r="E1498">
        <f>COUNTIF(tweets!C:C,D1498)</f>
        <v>1</v>
      </c>
      <c r="I1498"/>
      <c r="J1498"/>
    </row>
    <row r="1499" spans="4:10" x14ac:dyDescent="0.2">
      <c r="D1499" t="s">
        <v>5864</v>
      </c>
      <c r="E1499">
        <f>COUNTIF(tweets!C:C,D1499)</f>
        <v>1</v>
      </c>
      <c r="I1499"/>
      <c r="J1499"/>
    </row>
    <row r="1500" spans="4:10" x14ac:dyDescent="0.2">
      <c r="D1500" t="s">
        <v>5872</v>
      </c>
      <c r="E1500">
        <f>COUNTIF(tweets!C:C,D1500)</f>
        <v>1</v>
      </c>
      <c r="I1500"/>
      <c r="J1500"/>
    </row>
    <row r="1501" spans="4:10" x14ac:dyDescent="0.2">
      <c r="D1501" t="s">
        <v>5870</v>
      </c>
      <c r="E1501">
        <f>COUNTIF(tweets!C:C,D1501)</f>
        <v>1</v>
      </c>
      <c r="I1501"/>
      <c r="J1501"/>
    </row>
    <row r="1502" spans="4:10" x14ac:dyDescent="0.2">
      <c r="D1502" t="s">
        <v>5881</v>
      </c>
      <c r="E1502">
        <f>COUNTIF(tweets!C:C,D1502)</f>
        <v>1</v>
      </c>
      <c r="I1502"/>
      <c r="J1502"/>
    </row>
    <row r="1503" spans="4:10" x14ac:dyDescent="0.2">
      <c r="D1503" t="s">
        <v>5887</v>
      </c>
      <c r="E1503">
        <f>COUNTIF(tweets!C:C,D1503)</f>
        <v>1</v>
      </c>
      <c r="I1503"/>
      <c r="J1503"/>
    </row>
    <row r="1504" spans="4:10" x14ac:dyDescent="0.2">
      <c r="D1504" t="s">
        <v>5892</v>
      </c>
      <c r="E1504">
        <f>COUNTIF(tweets!C:C,D1504)</f>
        <v>1</v>
      </c>
      <c r="I1504"/>
      <c r="J1504"/>
    </row>
    <row r="1505" spans="4:10" x14ac:dyDescent="0.2">
      <c r="D1505" t="s">
        <v>5890</v>
      </c>
      <c r="E1505">
        <f>COUNTIF(tweets!C:C,D1505)</f>
        <v>1</v>
      </c>
      <c r="I1505"/>
      <c r="J1505"/>
    </row>
    <row r="1506" spans="4:10" x14ac:dyDescent="0.2">
      <c r="D1506" t="s">
        <v>5897</v>
      </c>
      <c r="E1506">
        <f>COUNTIF(tweets!C:C,D1506)</f>
        <v>1</v>
      </c>
      <c r="I1506"/>
      <c r="J1506"/>
    </row>
    <row r="1507" spans="4:10" x14ac:dyDescent="0.2">
      <c r="D1507" t="s">
        <v>5908</v>
      </c>
      <c r="E1507">
        <f>COUNTIF(tweets!C:C,D1507)</f>
        <v>1</v>
      </c>
      <c r="I1507"/>
      <c r="J1507"/>
    </row>
    <row r="1508" spans="4:10" x14ac:dyDescent="0.2">
      <c r="D1508" t="s">
        <v>5920</v>
      </c>
      <c r="E1508">
        <f>COUNTIF(tweets!C:C,D1508)</f>
        <v>1</v>
      </c>
      <c r="I1508"/>
      <c r="J1508"/>
    </row>
    <row r="1509" spans="4:10" x14ac:dyDescent="0.2">
      <c r="D1509" t="s">
        <v>5925</v>
      </c>
      <c r="E1509">
        <f>COUNTIF(tweets!C:C,D1509)</f>
        <v>1</v>
      </c>
      <c r="I1509"/>
      <c r="J1509"/>
    </row>
    <row r="1510" spans="4:10" x14ac:dyDescent="0.2">
      <c r="D1510" t="s">
        <v>5936</v>
      </c>
      <c r="E1510">
        <f>COUNTIF(tweets!C:C,D1510)</f>
        <v>1</v>
      </c>
      <c r="I1510"/>
      <c r="J1510"/>
    </row>
    <row r="1511" spans="4:10" x14ac:dyDescent="0.2">
      <c r="D1511" t="s">
        <v>5940</v>
      </c>
      <c r="E1511">
        <f>COUNTIF(tweets!C:C,D1511)</f>
        <v>1</v>
      </c>
      <c r="I1511"/>
      <c r="J1511"/>
    </row>
    <row r="1512" spans="4:10" x14ac:dyDescent="0.2">
      <c r="D1512" t="s">
        <v>5946</v>
      </c>
      <c r="E1512">
        <f>COUNTIF(tweets!C:C,D1512)</f>
        <v>1</v>
      </c>
      <c r="I1512"/>
      <c r="J1512"/>
    </row>
    <row r="1513" spans="4:10" x14ac:dyDescent="0.2">
      <c r="D1513" t="s">
        <v>5949</v>
      </c>
      <c r="E1513">
        <f>COUNTIF(tweets!C:C,D1513)</f>
        <v>1</v>
      </c>
      <c r="I1513"/>
      <c r="J1513"/>
    </row>
    <row r="1514" spans="4:10" x14ac:dyDescent="0.2">
      <c r="D1514" t="s">
        <v>5952</v>
      </c>
      <c r="E1514">
        <f>COUNTIF(tweets!C:C,D1514)</f>
        <v>1</v>
      </c>
      <c r="I1514"/>
      <c r="J1514"/>
    </row>
    <row r="1515" spans="4:10" x14ac:dyDescent="0.2">
      <c r="D1515" t="s">
        <v>5955</v>
      </c>
      <c r="E1515">
        <f>COUNTIF(tweets!C:C,D1515)</f>
        <v>1</v>
      </c>
      <c r="I1515"/>
      <c r="J1515"/>
    </row>
    <row r="1516" spans="4:10" x14ac:dyDescent="0.2">
      <c r="D1516" t="s">
        <v>5958</v>
      </c>
      <c r="E1516">
        <f>COUNTIF(tweets!C:C,D1516)</f>
        <v>1</v>
      </c>
      <c r="I1516"/>
      <c r="J1516"/>
    </row>
    <row r="1517" spans="4:10" x14ac:dyDescent="0.2">
      <c r="D1517" t="s">
        <v>5962</v>
      </c>
      <c r="E1517">
        <f>COUNTIF(tweets!C:C,D1517)</f>
        <v>1</v>
      </c>
      <c r="I1517"/>
      <c r="J1517"/>
    </row>
    <row r="1518" spans="4:10" x14ac:dyDescent="0.2">
      <c r="D1518" t="s">
        <v>5965</v>
      </c>
      <c r="E1518">
        <f>COUNTIF(tweets!C:C,D1518)</f>
        <v>1</v>
      </c>
      <c r="I1518"/>
      <c r="J1518"/>
    </row>
    <row r="1519" spans="4:10" x14ac:dyDescent="0.2">
      <c r="D1519" t="s">
        <v>5970</v>
      </c>
      <c r="E1519">
        <f>COUNTIF(tweets!C:C,D1519)</f>
        <v>1</v>
      </c>
      <c r="I1519"/>
      <c r="J1519"/>
    </row>
    <row r="1520" spans="4:10" x14ac:dyDescent="0.2">
      <c r="D1520" t="s">
        <v>5973</v>
      </c>
      <c r="E1520">
        <f>COUNTIF(tweets!C:C,D1520)</f>
        <v>1</v>
      </c>
      <c r="I1520"/>
      <c r="J1520"/>
    </row>
    <row r="1521" spans="4:10" x14ac:dyDescent="0.2">
      <c r="D1521" t="s">
        <v>5977</v>
      </c>
      <c r="E1521">
        <f>COUNTIF(tweets!C:C,D1521)</f>
        <v>1</v>
      </c>
      <c r="I1521"/>
      <c r="J1521"/>
    </row>
    <row r="1522" spans="4:10" x14ac:dyDescent="0.2">
      <c r="D1522" t="s">
        <v>5982</v>
      </c>
      <c r="E1522">
        <f>COUNTIF(tweets!C:C,D1522)</f>
        <v>1</v>
      </c>
      <c r="I1522"/>
      <c r="J1522"/>
    </row>
    <row r="1523" spans="4:10" x14ac:dyDescent="0.2">
      <c r="D1523" t="s">
        <v>5986</v>
      </c>
      <c r="E1523">
        <f>COUNTIF(tweets!C:C,D1523)</f>
        <v>1</v>
      </c>
      <c r="I1523"/>
      <c r="J1523"/>
    </row>
    <row r="1524" spans="4:10" x14ac:dyDescent="0.2">
      <c r="D1524" t="s">
        <v>5992</v>
      </c>
      <c r="E1524">
        <f>COUNTIF(tweets!C:C,D1524)</f>
        <v>1</v>
      </c>
      <c r="I1524"/>
      <c r="J1524"/>
    </row>
    <row r="1525" spans="4:10" x14ac:dyDescent="0.2">
      <c r="D1525" t="s">
        <v>5996</v>
      </c>
      <c r="E1525">
        <f>COUNTIF(tweets!C:C,D1525)</f>
        <v>1</v>
      </c>
      <c r="I1525"/>
      <c r="J1525"/>
    </row>
    <row r="1526" spans="4:10" x14ac:dyDescent="0.2">
      <c r="D1526" t="s">
        <v>6001</v>
      </c>
      <c r="E1526">
        <f>COUNTIF(tweets!C:C,D1526)</f>
        <v>1</v>
      </c>
      <c r="I1526"/>
      <c r="J1526"/>
    </row>
    <row r="1527" spans="4:10" x14ac:dyDescent="0.2">
      <c r="D1527" t="s">
        <v>6006</v>
      </c>
      <c r="E1527">
        <f>COUNTIF(tweets!C:C,D1527)</f>
        <v>1</v>
      </c>
      <c r="I1527"/>
      <c r="J1527"/>
    </row>
    <row r="1528" spans="4:10" x14ac:dyDescent="0.2">
      <c r="D1528" t="s">
        <v>6009</v>
      </c>
      <c r="E1528">
        <f>COUNTIF(tweets!C:C,D1528)</f>
        <v>1</v>
      </c>
      <c r="I1528"/>
      <c r="J1528"/>
    </row>
    <row r="1529" spans="4:10" x14ac:dyDescent="0.2">
      <c r="D1529" t="s">
        <v>6012</v>
      </c>
      <c r="E1529">
        <f>COUNTIF(tweets!C:C,D1529)</f>
        <v>1</v>
      </c>
      <c r="I1529"/>
      <c r="J1529"/>
    </row>
    <row r="1530" spans="4:10" x14ac:dyDescent="0.2">
      <c r="D1530" t="s">
        <v>6020</v>
      </c>
      <c r="E1530">
        <f>COUNTIF(tweets!C:C,D1530)</f>
        <v>1</v>
      </c>
      <c r="I1530"/>
      <c r="J1530"/>
    </row>
    <row r="1531" spans="4:10" x14ac:dyDescent="0.2">
      <c r="D1531" t="s">
        <v>6023</v>
      </c>
      <c r="E1531">
        <f>COUNTIF(tweets!C:C,D1531)</f>
        <v>1</v>
      </c>
      <c r="I1531"/>
      <c r="J1531"/>
    </row>
    <row r="1532" spans="4:10" x14ac:dyDescent="0.2">
      <c r="D1532" t="s">
        <v>6026</v>
      </c>
      <c r="E1532">
        <f>COUNTIF(tweets!C:C,D1532)</f>
        <v>1</v>
      </c>
      <c r="I1532"/>
      <c r="J1532"/>
    </row>
    <row r="1533" spans="4:10" x14ac:dyDescent="0.2">
      <c r="D1533" t="s">
        <v>6032</v>
      </c>
      <c r="E1533">
        <f>COUNTIF(tweets!C:C,D1533)</f>
        <v>1</v>
      </c>
      <c r="I1533"/>
      <c r="J1533"/>
    </row>
    <row r="1534" spans="4:10" x14ac:dyDescent="0.2">
      <c r="D1534" t="s">
        <v>6035</v>
      </c>
      <c r="E1534">
        <f>COUNTIF(tweets!C:C,D1534)</f>
        <v>1</v>
      </c>
      <c r="I1534"/>
      <c r="J1534"/>
    </row>
    <row r="1535" spans="4:10" x14ac:dyDescent="0.2">
      <c r="D1535" t="s">
        <v>6039</v>
      </c>
      <c r="E1535">
        <f>COUNTIF(tweets!C:C,D1535)</f>
        <v>1</v>
      </c>
      <c r="I1535"/>
      <c r="J1535"/>
    </row>
    <row r="1536" spans="4:10" x14ac:dyDescent="0.2">
      <c r="D1536" t="s">
        <v>6043</v>
      </c>
      <c r="E1536">
        <f>COUNTIF(tweets!C:C,D1536)</f>
        <v>1</v>
      </c>
      <c r="I1536"/>
      <c r="J1536"/>
    </row>
    <row r="1537" spans="4:10" x14ac:dyDescent="0.2">
      <c r="D1537" t="s">
        <v>6047</v>
      </c>
      <c r="E1537">
        <f>COUNTIF(tweets!C:C,D1537)</f>
        <v>1</v>
      </c>
      <c r="I1537"/>
      <c r="J1537"/>
    </row>
    <row r="1538" spans="4:10" x14ac:dyDescent="0.2">
      <c r="D1538" t="s">
        <v>6060</v>
      </c>
      <c r="E1538">
        <f>COUNTIF(tweets!C:C,D1538)</f>
        <v>1</v>
      </c>
      <c r="I1538"/>
      <c r="J1538"/>
    </row>
    <row r="1539" spans="4:10" x14ac:dyDescent="0.2">
      <c r="D1539" t="s">
        <v>6063</v>
      </c>
      <c r="E1539">
        <f>COUNTIF(tweets!C:C,D1539)</f>
        <v>1</v>
      </c>
      <c r="I1539"/>
      <c r="J1539"/>
    </row>
    <row r="1540" spans="4:10" x14ac:dyDescent="0.2">
      <c r="D1540" t="s">
        <v>6067</v>
      </c>
      <c r="E1540">
        <f>COUNTIF(tweets!C:C,D1540)</f>
        <v>1</v>
      </c>
      <c r="I1540"/>
      <c r="J1540"/>
    </row>
    <row r="1541" spans="4:10" x14ac:dyDescent="0.2">
      <c r="D1541" t="s">
        <v>6075</v>
      </c>
      <c r="E1541">
        <f>COUNTIF(tweets!C:C,D1541)</f>
        <v>1</v>
      </c>
      <c r="I1541"/>
      <c r="J1541"/>
    </row>
    <row r="1542" spans="4:10" x14ac:dyDescent="0.2">
      <c r="D1542" t="s">
        <v>6078</v>
      </c>
      <c r="E1542">
        <f>COUNTIF(tweets!C:C,D1542)</f>
        <v>1</v>
      </c>
      <c r="I1542"/>
      <c r="J1542"/>
    </row>
    <row r="1543" spans="4:10" x14ac:dyDescent="0.2">
      <c r="D1543" t="s">
        <v>6090</v>
      </c>
      <c r="E1543">
        <f>COUNTIF(tweets!C:C,D1543)</f>
        <v>1</v>
      </c>
      <c r="I1543"/>
      <c r="J1543"/>
    </row>
    <row r="1544" spans="4:10" x14ac:dyDescent="0.2">
      <c r="D1544" t="s">
        <v>6094</v>
      </c>
      <c r="E1544">
        <f>COUNTIF(tweets!C:C,D1544)</f>
        <v>1</v>
      </c>
      <c r="I1544"/>
      <c r="J1544"/>
    </row>
    <row r="1545" spans="4:10" x14ac:dyDescent="0.2">
      <c r="D1545" t="s">
        <v>6098</v>
      </c>
      <c r="E1545">
        <f>COUNTIF(tweets!C:C,D1545)</f>
        <v>1</v>
      </c>
      <c r="I1545"/>
      <c r="J1545"/>
    </row>
    <row r="1546" spans="4:10" x14ac:dyDescent="0.2">
      <c r="D1546" t="s">
        <v>6101</v>
      </c>
      <c r="E1546">
        <f>COUNTIF(tweets!C:C,D1546)</f>
        <v>1</v>
      </c>
      <c r="I1546"/>
      <c r="J1546"/>
    </row>
    <row r="1547" spans="4:10" x14ac:dyDescent="0.2">
      <c r="D1547" t="s">
        <v>6103</v>
      </c>
      <c r="E1547">
        <f>COUNTIF(tweets!C:C,D1547)</f>
        <v>1</v>
      </c>
      <c r="I1547"/>
      <c r="J1547"/>
    </row>
    <row r="1548" spans="4:10" x14ac:dyDescent="0.2">
      <c r="D1548" t="s">
        <v>6106</v>
      </c>
      <c r="E1548">
        <f>COUNTIF(tweets!C:C,D1548)</f>
        <v>1</v>
      </c>
      <c r="I1548"/>
      <c r="J1548"/>
    </row>
    <row r="1549" spans="4:10" x14ac:dyDescent="0.2">
      <c r="D1549" t="s">
        <v>6112</v>
      </c>
      <c r="E1549">
        <f>COUNTIF(tweets!C:C,D1549)</f>
        <v>1</v>
      </c>
      <c r="I1549"/>
      <c r="J1549"/>
    </row>
    <row r="1550" spans="4:10" x14ac:dyDescent="0.2">
      <c r="D1550" t="s">
        <v>6115</v>
      </c>
      <c r="E1550">
        <f>COUNTIF(tweets!C:C,D1550)</f>
        <v>1</v>
      </c>
      <c r="I1550"/>
      <c r="J1550"/>
    </row>
    <row r="1551" spans="4:10" x14ac:dyDescent="0.2">
      <c r="D1551" t="s">
        <v>6118</v>
      </c>
      <c r="E1551">
        <f>COUNTIF(tweets!C:C,D1551)</f>
        <v>1</v>
      </c>
      <c r="I1551"/>
      <c r="J1551"/>
    </row>
    <row r="1552" spans="4:10" x14ac:dyDescent="0.2">
      <c r="D1552" t="s">
        <v>6121</v>
      </c>
      <c r="E1552">
        <f>COUNTIF(tweets!C:C,D1552)</f>
        <v>1</v>
      </c>
      <c r="I1552"/>
      <c r="J1552"/>
    </row>
    <row r="1553" spans="4:10" x14ac:dyDescent="0.2">
      <c r="D1553" t="s">
        <v>6124</v>
      </c>
      <c r="E1553">
        <f>COUNTIF(tweets!C:C,D1553)</f>
        <v>1</v>
      </c>
      <c r="I1553"/>
      <c r="J1553"/>
    </row>
    <row r="1554" spans="4:10" x14ac:dyDescent="0.2">
      <c r="D1554" t="s">
        <v>6127</v>
      </c>
      <c r="E1554">
        <f>COUNTIF(tweets!C:C,D1554)</f>
        <v>1</v>
      </c>
      <c r="I1554"/>
      <c r="J1554"/>
    </row>
    <row r="1555" spans="4:10" x14ac:dyDescent="0.2">
      <c r="D1555" t="s">
        <v>6132</v>
      </c>
      <c r="E1555">
        <f>COUNTIF(tweets!C:C,D1555)</f>
        <v>1</v>
      </c>
      <c r="I1555"/>
      <c r="J1555"/>
    </row>
    <row r="1556" spans="4:10" x14ac:dyDescent="0.2">
      <c r="D1556" t="s">
        <v>6136</v>
      </c>
      <c r="E1556">
        <f>COUNTIF(tweets!C:C,D1556)</f>
        <v>1</v>
      </c>
      <c r="I1556"/>
      <c r="J1556"/>
    </row>
    <row r="1557" spans="4:10" x14ac:dyDescent="0.2">
      <c r="D1557" t="s">
        <v>6139</v>
      </c>
      <c r="E1557">
        <f>COUNTIF(tweets!C:C,D1557)</f>
        <v>1</v>
      </c>
      <c r="I1557"/>
      <c r="J1557"/>
    </row>
    <row r="1558" spans="4:10" x14ac:dyDescent="0.2">
      <c r="D1558" t="s">
        <v>6146</v>
      </c>
      <c r="E1558">
        <f>COUNTIF(tweets!C:C,D1558)</f>
        <v>1</v>
      </c>
      <c r="I1558"/>
      <c r="J1558"/>
    </row>
    <row r="1559" spans="4:10" x14ac:dyDescent="0.2">
      <c r="D1559" t="s">
        <v>6149</v>
      </c>
      <c r="E1559">
        <f>COUNTIF(tweets!C:C,D1559)</f>
        <v>1</v>
      </c>
      <c r="I1559"/>
      <c r="J1559"/>
    </row>
    <row r="1560" spans="4:10" x14ac:dyDescent="0.2">
      <c r="D1560" t="s">
        <v>6153</v>
      </c>
      <c r="E1560">
        <f>COUNTIF(tweets!C:C,D1560)</f>
        <v>1</v>
      </c>
      <c r="I1560"/>
      <c r="J1560"/>
    </row>
    <row r="1561" spans="4:10" x14ac:dyDescent="0.2">
      <c r="D1561" t="s">
        <v>6156</v>
      </c>
      <c r="E1561">
        <f>COUNTIF(tweets!C:C,D1561)</f>
        <v>1</v>
      </c>
      <c r="I1561"/>
      <c r="J1561"/>
    </row>
    <row r="1562" spans="4:10" x14ac:dyDescent="0.2">
      <c r="D1562" t="s">
        <v>6159</v>
      </c>
      <c r="E1562">
        <f>COUNTIF(tweets!C:C,D1562)</f>
        <v>1</v>
      </c>
      <c r="I1562"/>
      <c r="J1562"/>
    </row>
    <row r="1563" spans="4:10" x14ac:dyDescent="0.2">
      <c r="D1563" t="s">
        <v>6164</v>
      </c>
      <c r="E1563">
        <f>COUNTIF(tweets!C:C,D1563)</f>
        <v>1</v>
      </c>
      <c r="I1563"/>
      <c r="J1563"/>
    </row>
    <row r="1564" spans="4:10" x14ac:dyDescent="0.2">
      <c r="D1564" t="s">
        <v>6169</v>
      </c>
      <c r="E1564">
        <f>COUNTIF(tweets!C:C,D1564)</f>
        <v>1</v>
      </c>
      <c r="I1564"/>
      <c r="J1564"/>
    </row>
    <row r="1565" spans="4:10" x14ac:dyDescent="0.2">
      <c r="D1565" t="s">
        <v>6173</v>
      </c>
      <c r="E1565">
        <f>COUNTIF(tweets!C:C,D1565)</f>
        <v>1</v>
      </c>
      <c r="I1565"/>
      <c r="J1565"/>
    </row>
    <row r="1566" spans="4:10" x14ac:dyDescent="0.2">
      <c r="D1566" t="s">
        <v>6177</v>
      </c>
      <c r="E1566">
        <f>COUNTIF(tweets!C:C,D1566)</f>
        <v>1</v>
      </c>
      <c r="I1566"/>
      <c r="J1566"/>
    </row>
    <row r="1567" spans="4:10" x14ac:dyDescent="0.2">
      <c r="D1567" t="s">
        <v>6182</v>
      </c>
      <c r="E1567">
        <f>COUNTIF(tweets!C:C,D1567)</f>
        <v>1</v>
      </c>
      <c r="I1567"/>
      <c r="J1567"/>
    </row>
    <row r="1568" spans="4:10" x14ac:dyDescent="0.2">
      <c r="D1568" t="s">
        <v>6187</v>
      </c>
      <c r="E1568">
        <f>COUNTIF(tweets!C:C,D1568)</f>
        <v>1</v>
      </c>
      <c r="I1568"/>
      <c r="J1568"/>
    </row>
    <row r="1569" spans="4:10" x14ac:dyDescent="0.2">
      <c r="D1569" t="s">
        <v>6192</v>
      </c>
      <c r="E1569">
        <f>COUNTIF(tweets!C:C,D1569)</f>
        <v>1</v>
      </c>
      <c r="I1569"/>
      <c r="J1569"/>
    </row>
    <row r="1570" spans="4:10" x14ac:dyDescent="0.2">
      <c r="D1570" t="s">
        <v>6196</v>
      </c>
      <c r="E1570">
        <f>COUNTIF(tweets!C:C,D1570)</f>
        <v>1</v>
      </c>
      <c r="I1570"/>
      <c r="J1570"/>
    </row>
    <row r="1571" spans="4:10" x14ac:dyDescent="0.2">
      <c r="D1571" t="s">
        <v>6200</v>
      </c>
      <c r="E1571">
        <f>COUNTIF(tweets!C:C,D1571)</f>
        <v>1</v>
      </c>
      <c r="I1571"/>
      <c r="J1571"/>
    </row>
    <row r="1572" spans="4:10" x14ac:dyDescent="0.2">
      <c r="D1572" t="s">
        <v>6207</v>
      </c>
      <c r="E1572">
        <f>COUNTIF(tweets!C:C,D1572)</f>
        <v>1</v>
      </c>
      <c r="I1572"/>
      <c r="J1572"/>
    </row>
    <row r="1573" spans="4:10" x14ac:dyDescent="0.2">
      <c r="D1573" t="s">
        <v>6217</v>
      </c>
      <c r="E1573">
        <f>COUNTIF(tweets!C:C,D1573)</f>
        <v>1</v>
      </c>
      <c r="I1573"/>
      <c r="J1573"/>
    </row>
    <row r="1574" spans="4:10" x14ac:dyDescent="0.2">
      <c r="D1574" t="s">
        <v>6221</v>
      </c>
      <c r="E1574">
        <f>COUNTIF(tweets!C:C,D1574)</f>
        <v>1</v>
      </c>
      <c r="I1574"/>
      <c r="J1574"/>
    </row>
    <row r="1575" spans="4:10" x14ac:dyDescent="0.2">
      <c r="D1575" t="s">
        <v>6224</v>
      </c>
      <c r="E1575">
        <f>COUNTIF(tweets!C:C,D1575)</f>
        <v>1</v>
      </c>
      <c r="I1575"/>
      <c r="J1575"/>
    </row>
    <row r="1576" spans="4:10" x14ac:dyDescent="0.2">
      <c r="D1576" t="s">
        <v>6232</v>
      </c>
      <c r="E1576">
        <f>COUNTIF(tweets!C:C,D1576)</f>
        <v>1</v>
      </c>
      <c r="I1576"/>
      <c r="J1576"/>
    </row>
    <row r="1577" spans="4:10" x14ac:dyDescent="0.2">
      <c r="D1577" t="s">
        <v>6235</v>
      </c>
      <c r="E1577">
        <f>COUNTIF(tweets!C:C,D1577)</f>
        <v>1</v>
      </c>
      <c r="I1577"/>
      <c r="J1577"/>
    </row>
    <row r="1578" spans="4:10" x14ac:dyDescent="0.2">
      <c r="D1578" t="s">
        <v>6238</v>
      </c>
      <c r="E1578">
        <f>COUNTIF(tweets!C:C,D1578)</f>
        <v>1</v>
      </c>
      <c r="I1578"/>
      <c r="J1578"/>
    </row>
    <row r="1579" spans="4:10" x14ac:dyDescent="0.2">
      <c r="D1579" t="s">
        <v>6241</v>
      </c>
      <c r="E1579">
        <f>COUNTIF(tweets!C:C,D1579)</f>
        <v>1</v>
      </c>
      <c r="I1579"/>
      <c r="J1579"/>
    </row>
    <row r="1580" spans="4:10" x14ac:dyDescent="0.2">
      <c r="D1580" t="s">
        <v>6244</v>
      </c>
      <c r="E1580">
        <f>COUNTIF(tweets!C:C,D1580)</f>
        <v>1</v>
      </c>
      <c r="I1580"/>
      <c r="J1580"/>
    </row>
    <row r="1581" spans="4:10" x14ac:dyDescent="0.2">
      <c r="D1581" t="s">
        <v>6248</v>
      </c>
      <c r="E1581">
        <f>COUNTIF(tweets!C:C,D1581)</f>
        <v>1</v>
      </c>
      <c r="I1581"/>
      <c r="J1581"/>
    </row>
    <row r="1582" spans="4:10" x14ac:dyDescent="0.2">
      <c r="D1582" t="s">
        <v>6251</v>
      </c>
      <c r="E1582">
        <f>COUNTIF(tweets!C:C,D1582)</f>
        <v>1</v>
      </c>
      <c r="I1582"/>
      <c r="J1582"/>
    </row>
    <row r="1583" spans="4:10" x14ac:dyDescent="0.2">
      <c r="D1583" t="s">
        <v>6254</v>
      </c>
      <c r="E1583">
        <f>COUNTIF(tweets!C:C,D1583)</f>
        <v>1</v>
      </c>
      <c r="I1583"/>
      <c r="J1583"/>
    </row>
    <row r="1584" spans="4:10" x14ac:dyDescent="0.2">
      <c r="D1584" t="s">
        <v>6257</v>
      </c>
      <c r="E1584">
        <f>COUNTIF(tweets!C:C,D1584)</f>
        <v>1</v>
      </c>
      <c r="I1584"/>
      <c r="J1584"/>
    </row>
    <row r="1585" spans="4:10" x14ac:dyDescent="0.2">
      <c r="D1585" t="s">
        <v>6260</v>
      </c>
      <c r="E1585">
        <f>COUNTIF(tweets!C:C,D1585)</f>
        <v>1</v>
      </c>
      <c r="I1585"/>
      <c r="J1585"/>
    </row>
    <row r="1586" spans="4:10" x14ac:dyDescent="0.2">
      <c r="D1586" t="s">
        <v>6264</v>
      </c>
      <c r="E1586">
        <f>COUNTIF(tweets!C:C,D1586)</f>
        <v>1</v>
      </c>
      <c r="I1586"/>
      <c r="J1586"/>
    </row>
    <row r="1587" spans="4:10" x14ac:dyDescent="0.2">
      <c r="D1587" t="s">
        <v>6272</v>
      </c>
      <c r="E1587">
        <f>COUNTIF(tweets!C:C,D1587)</f>
        <v>1</v>
      </c>
      <c r="I1587"/>
      <c r="J1587"/>
    </row>
    <row r="1588" spans="4:10" x14ac:dyDescent="0.2">
      <c r="D1588" t="s">
        <v>6276</v>
      </c>
      <c r="E1588">
        <f>COUNTIF(tweets!C:C,D1588)</f>
        <v>1</v>
      </c>
      <c r="I1588"/>
      <c r="J1588"/>
    </row>
    <row r="1589" spans="4:10" x14ac:dyDescent="0.2">
      <c r="D1589" t="s">
        <v>6278</v>
      </c>
      <c r="E1589">
        <f>COUNTIF(tweets!C:C,D1589)</f>
        <v>1</v>
      </c>
      <c r="I1589"/>
      <c r="J1589"/>
    </row>
    <row r="1590" spans="4:10" x14ac:dyDescent="0.2">
      <c r="D1590" t="s">
        <v>6282</v>
      </c>
      <c r="E1590">
        <f>COUNTIF(tweets!C:C,D1590)</f>
        <v>1</v>
      </c>
      <c r="I1590"/>
      <c r="J1590"/>
    </row>
    <row r="1591" spans="4:10" x14ac:dyDescent="0.2">
      <c r="D1591" t="s">
        <v>6286</v>
      </c>
      <c r="E1591">
        <f>COUNTIF(tweets!C:C,D1591)</f>
        <v>1</v>
      </c>
      <c r="I1591"/>
      <c r="J1591"/>
    </row>
    <row r="1592" spans="4:10" x14ac:dyDescent="0.2">
      <c r="D1592" t="s">
        <v>6289</v>
      </c>
      <c r="E1592">
        <f>COUNTIF(tweets!C:C,D1592)</f>
        <v>1</v>
      </c>
      <c r="I1592"/>
      <c r="J1592"/>
    </row>
    <row r="1593" spans="4:10" x14ac:dyDescent="0.2">
      <c r="D1593" t="s">
        <v>6292</v>
      </c>
      <c r="E1593">
        <f>COUNTIF(tweets!C:C,D1593)</f>
        <v>1</v>
      </c>
      <c r="I1593"/>
      <c r="J1593"/>
    </row>
    <row r="1594" spans="4:10" x14ac:dyDescent="0.2">
      <c r="D1594" t="s">
        <v>6296</v>
      </c>
      <c r="E1594">
        <f>COUNTIF(tweets!C:C,D1594)</f>
        <v>1</v>
      </c>
      <c r="I1594"/>
      <c r="J1594"/>
    </row>
    <row r="1595" spans="4:10" x14ac:dyDescent="0.2">
      <c r="D1595" t="s">
        <v>6301</v>
      </c>
      <c r="E1595">
        <f>COUNTIF(tweets!C:C,D1595)</f>
        <v>1</v>
      </c>
      <c r="I1595"/>
      <c r="J1595"/>
    </row>
    <row r="1596" spans="4:10" x14ac:dyDescent="0.2">
      <c r="D1596" t="s">
        <v>6307</v>
      </c>
      <c r="E1596">
        <f>COUNTIF(tweets!C:C,D1596)</f>
        <v>1</v>
      </c>
      <c r="I1596"/>
      <c r="J1596"/>
    </row>
    <row r="1597" spans="4:10" x14ac:dyDescent="0.2">
      <c r="D1597" t="s">
        <v>6319</v>
      </c>
      <c r="E1597">
        <f>COUNTIF(tweets!C:C,D1597)</f>
        <v>1</v>
      </c>
      <c r="I1597"/>
      <c r="J1597"/>
    </row>
    <row r="1598" spans="4:10" x14ac:dyDescent="0.2">
      <c r="D1598" t="s">
        <v>6327</v>
      </c>
      <c r="E1598">
        <f>COUNTIF(tweets!C:C,D1598)</f>
        <v>1</v>
      </c>
      <c r="I1598"/>
      <c r="J1598"/>
    </row>
    <row r="1599" spans="4:10" x14ac:dyDescent="0.2">
      <c r="D1599" t="s">
        <v>6333</v>
      </c>
      <c r="E1599">
        <f>COUNTIF(tweets!C:C,D1599)</f>
        <v>1</v>
      </c>
      <c r="I1599"/>
      <c r="J1599"/>
    </row>
    <row r="1600" spans="4:10" x14ac:dyDescent="0.2">
      <c r="D1600" t="s">
        <v>6337</v>
      </c>
      <c r="E1600">
        <f>COUNTIF(tweets!C:C,D1600)</f>
        <v>1</v>
      </c>
      <c r="I1600"/>
      <c r="J1600"/>
    </row>
    <row r="1601" spans="4:10" x14ac:dyDescent="0.2">
      <c r="D1601" t="s">
        <v>6341</v>
      </c>
      <c r="E1601">
        <f>COUNTIF(tweets!C:C,D1601)</f>
        <v>1</v>
      </c>
      <c r="I1601"/>
      <c r="J1601"/>
    </row>
    <row r="1602" spans="4:10" x14ac:dyDescent="0.2">
      <c r="D1602" t="s">
        <v>6344</v>
      </c>
      <c r="E1602">
        <f>COUNTIF(tweets!C:C,D1602)</f>
        <v>1</v>
      </c>
      <c r="I1602"/>
      <c r="J1602"/>
    </row>
    <row r="1603" spans="4:10" x14ac:dyDescent="0.2">
      <c r="D1603" t="s">
        <v>6349</v>
      </c>
      <c r="E1603">
        <f>COUNTIF(tweets!C:C,D1603)</f>
        <v>1</v>
      </c>
      <c r="I1603"/>
      <c r="J1603"/>
    </row>
    <row r="1604" spans="4:10" x14ac:dyDescent="0.2">
      <c r="D1604" t="s">
        <v>6352</v>
      </c>
      <c r="E1604">
        <f>COUNTIF(tweets!C:C,D1604)</f>
        <v>1</v>
      </c>
      <c r="I1604"/>
      <c r="J1604"/>
    </row>
    <row r="1605" spans="4:10" x14ac:dyDescent="0.2">
      <c r="D1605" t="s">
        <v>6355</v>
      </c>
      <c r="E1605">
        <f>COUNTIF(tweets!C:C,D1605)</f>
        <v>1</v>
      </c>
      <c r="I1605"/>
      <c r="J1605"/>
    </row>
    <row r="1606" spans="4:10" x14ac:dyDescent="0.2">
      <c r="D1606" t="s">
        <v>6360</v>
      </c>
      <c r="E1606">
        <f>COUNTIF(tweets!C:C,D1606)</f>
        <v>1</v>
      </c>
      <c r="I1606"/>
      <c r="J1606"/>
    </row>
    <row r="1607" spans="4:10" x14ac:dyDescent="0.2">
      <c r="D1607" t="s">
        <v>6365</v>
      </c>
      <c r="E1607">
        <f>COUNTIF(tweets!C:C,D1607)</f>
        <v>1</v>
      </c>
      <c r="I1607"/>
      <c r="J1607"/>
    </row>
    <row r="1608" spans="4:10" x14ac:dyDescent="0.2">
      <c r="D1608" t="s">
        <v>6370</v>
      </c>
      <c r="E1608">
        <f>COUNTIF(tweets!C:C,D1608)</f>
        <v>1</v>
      </c>
      <c r="I1608"/>
      <c r="J1608"/>
    </row>
    <row r="1609" spans="4:10" x14ac:dyDescent="0.2">
      <c r="D1609" t="s">
        <v>6374</v>
      </c>
      <c r="E1609">
        <f>COUNTIF(tweets!C:C,D1609)</f>
        <v>1</v>
      </c>
      <c r="I1609"/>
      <c r="J1609"/>
    </row>
    <row r="1610" spans="4:10" x14ac:dyDescent="0.2">
      <c r="D1610" t="s">
        <v>6377</v>
      </c>
      <c r="E1610">
        <f>COUNTIF(tweets!C:C,D1610)</f>
        <v>1</v>
      </c>
      <c r="I1610"/>
      <c r="J1610"/>
    </row>
    <row r="1611" spans="4:10" x14ac:dyDescent="0.2">
      <c r="D1611" t="s">
        <v>6384</v>
      </c>
      <c r="E1611">
        <f>COUNTIF(tweets!C:C,D1611)</f>
        <v>1</v>
      </c>
      <c r="I1611"/>
      <c r="J1611"/>
    </row>
    <row r="1612" spans="4:10" x14ac:dyDescent="0.2">
      <c r="D1612" t="s">
        <v>6387</v>
      </c>
      <c r="E1612">
        <f>COUNTIF(tweets!C:C,D1612)</f>
        <v>1</v>
      </c>
      <c r="I1612"/>
      <c r="J1612"/>
    </row>
    <row r="1613" spans="4:10" x14ac:dyDescent="0.2">
      <c r="D1613" t="s">
        <v>6391</v>
      </c>
      <c r="E1613">
        <f>COUNTIF(tweets!C:C,D1613)</f>
        <v>1</v>
      </c>
      <c r="I1613"/>
      <c r="J1613"/>
    </row>
    <row r="1614" spans="4:10" x14ac:dyDescent="0.2">
      <c r="D1614" t="s">
        <v>6398</v>
      </c>
      <c r="E1614">
        <f>COUNTIF(tweets!C:C,D1614)</f>
        <v>1</v>
      </c>
      <c r="I1614"/>
      <c r="J1614"/>
    </row>
    <row r="1615" spans="4:10" x14ac:dyDescent="0.2">
      <c r="D1615" t="s">
        <v>6402</v>
      </c>
      <c r="E1615">
        <f>COUNTIF(tweets!C:C,D1615)</f>
        <v>1</v>
      </c>
      <c r="I1615"/>
      <c r="J1615"/>
    </row>
    <row r="1616" spans="4:10" x14ac:dyDescent="0.2">
      <c r="D1616" t="s">
        <v>6405</v>
      </c>
      <c r="E1616">
        <f>COUNTIF(tweets!C:C,D1616)</f>
        <v>1</v>
      </c>
      <c r="I1616"/>
      <c r="J1616"/>
    </row>
    <row r="1617" spans="4:10" x14ac:dyDescent="0.2">
      <c r="D1617" t="s">
        <v>6408</v>
      </c>
      <c r="E1617">
        <f>COUNTIF(tweets!C:C,D1617)</f>
        <v>1</v>
      </c>
      <c r="I1617"/>
      <c r="J1617"/>
    </row>
    <row r="1618" spans="4:10" x14ac:dyDescent="0.2">
      <c r="D1618" t="s">
        <v>6411</v>
      </c>
      <c r="E1618">
        <f>COUNTIF(tweets!C:C,D1618)</f>
        <v>1</v>
      </c>
      <c r="I1618"/>
      <c r="J1618"/>
    </row>
    <row r="1619" spans="4:10" x14ac:dyDescent="0.2">
      <c r="D1619" t="s">
        <v>6415</v>
      </c>
      <c r="E1619">
        <f>COUNTIF(tweets!C:C,D1619)</f>
        <v>1</v>
      </c>
      <c r="I1619"/>
      <c r="J1619"/>
    </row>
    <row r="1620" spans="4:10" x14ac:dyDescent="0.2">
      <c r="D1620" t="s">
        <v>6419</v>
      </c>
      <c r="E1620">
        <f>COUNTIF(tweets!C:C,D1620)</f>
        <v>1</v>
      </c>
      <c r="I1620"/>
      <c r="J1620"/>
    </row>
    <row r="1621" spans="4:10" x14ac:dyDescent="0.2">
      <c r="D1621" t="s">
        <v>6423</v>
      </c>
      <c r="E1621">
        <f>COUNTIF(tweets!C:C,D1621)</f>
        <v>1</v>
      </c>
      <c r="I1621"/>
      <c r="J1621"/>
    </row>
    <row r="1622" spans="4:10" x14ac:dyDescent="0.2">
      <c r="D1622" t="s">
        <v>6426</v>
      </c>
      <c r="E1622">
        <f>COUNTIF(tweets!C:C,D1622)</f>
        <v>1</v>
      </c>
      <c r="I1622"/>
      <c r="J1622"/>
    </row>
    <row r="1623" spans="4:10" x14ac:dyDescent="0.2">
      <c r="D1623" t="s">
        <v>6430</v>
      </c>
      <c r="E1623">
        <f>COUNTIF(tweets!C:C,D1623)</f>
        <v>1</v>
      </c>
      <c r="I1623"/>
      <c r="J1623"/>
    </row>
    <row r="1624" spans="4:10" x14ac:dyDescent="0.2">
      <c r="D1624" t="s">
        <v>6433</v>
      </c>
      <c r="E1624">
        <f>COUNTIF(tweets!C:C,D1624)</f>
        <v>1</v>
      </c>
      <c r="I1624"/>
      <c r="J1624"/>
    </row>
    <row r="1625" spans="4:10" x14ac:dyDescent="0.2">
      <c r="D1625" t="s">
        <v>6436</v>
      </c>
      <c r="E1625">
        <f>COUNTIF(tweets!C:C,D1625)</f>
        <v>1</v>
      </c>
      <c r="I1625"/>
      <c r="J1625"/>
    </row>
    <row r="1626" spans="4:10" x14ac:dyDescent="0.2">
      <c r="D1626" t="s">
        <v>6442</v>
      </c>
      <c r="E1626">
        <f>COUNTIF(tweets!C:C,D1626)</f>
        <v>1</v>
      </c>
      <c r="I1626"/>
      <c r="J1626"/>
    </row>
    <row r="1627" spans="4:10" x14ac:dyDescent="0.2">
      <c r="D1627" t="s">
        <v>6446</v>
      </c>
      <c r="E1627">
        <f>COUNTIF(tweets!C:C,D1627)</f>
        <v>1</v>
      </c>
      <c r="I1627"/>
      <c r="J1627"/>
    </row>
    <row r="1628" spans="4:10" x14ac:dyDescent="0.2">
      <c r="D1628" t="s">
        <v>6449</v>
      </c>
      <c r="E1628">
        <f>COUNTIF(tweets!C:C,D1628)</f>
        <v>1</v>
      </c>
      <c r="I1628"/>
      <c r="J1628"/>
    </row>
    <row r="1629" spans="4:10" x14ac:dyDescent="0.2">
      <c r="D1629" t="s">
        <v>6452</v>
      </c>
      <c r="E1629">
        <f>COUNTIF(tweets!C:C,D1629)</f>
        <v>1</v>
      </c>
      <c r="I1629"/>
      <c r="J1629"/>
    </row>
    <row r="1630" spans="4:10" x14ac:dyDescent="0.2">
      <c r="D1630" t="s">
        <v>6455</v>
      </c>
      <c r="E1630">
        <f>COUNTIF(tweets!C:C,D1630)</f>
        <v>1</v>
      </c>
      <c r="I1630"/>
      <c r="J1630"/>
    </row>
    <row r="1631" spans="4:10" x14ac:dyDescent="0.2">
      <c r="D1631" t="s">
        <v>6459</v>
      </c>
      <c r="E1631">
        <f>COUNTIF(tweets!C:C,D1631)</f>
        <v>1</v>
      </c>
      <c r="I1631"/>
      <c r="J1631"/>
    </row>
    <row r="1632" spans="4:10" x14ac:dyDescent="0.2">
      <c r="D1632" t="s">
        <v>6463</v>
      </c>
      <c r="E1632">
        <f>COUNTIF(tweets!C:C,D1632)</f>
        <v>1</v>
      </c>
      <c r="I1632"/>
      <c r="J1632"/>
    </row>
    <row r="1633" spans="4:10" x14ac:dyDescent="0.2">
      <c r="D1633" t="s">
        <v>6468</v>
      </c>
      <c r="E1633">
        <f>COUNTIF(tweets!C:C,D1633)</f>
        <v>1</v>
      </c>
      <c r="I1633"/>
      <c r="J1633"/>
    </row>
    <row r="1634" spans="4:10" x14ac:dyDescent="0.2">
      <c r="D1634" t="s">
        <v>6471</v>
      </c>
      <c r="E1634">
        <f>COUNTIF(tweets!C:C,D1634)</f>
        <v>1</v>
      </c>
      <c r="I1634"/>
      <c r="J1634"/>
    </row>
    <row r="1635" spans="4:10" x14ac:dyDescent="0.2">
      <c r="D1635" t="s">
        <v>6476</v>
      </c>
      <c r="E1635">
        <f>COUNTIF(tweets!C:C,D1635)</f>
        <v>1</v>
      </c>
      <c r="I1635"/>
      <c r="J1635"/>
    </row>
    <row r="1636" spans="4:10" x14ac:dyDescent="0.2">
      <c r="D1636" t="s">
        <v>6485</v>
      </c>
      <c r="E1636">
        <f>COUNTIF(tweets!C:C,D1636)</f>
        <v>1</v>
      </c>
      <c r="I1636"/>
      <c r="J1636"/>
    </row>
    <row r="1637" spans="4:10" x14ac:dyDescent="0.2">
      <c r="D1637" t="s">
        <v>6493</v>
      </c>
      <c r="E1637">
        <f>COUNTIF(tweets!C:C,D1637)</f>
        <v>1</v>
      </c>
      <c r="I1637"/>
      <c r="J1637"/>
    </row>
    <row r="1638" spans="4:10" x14ac:dyDescent="0.2">
      <c r="D1638" t="s">
        <v>6497</v>
      </c>
      <c r="E1638">
        <f>COUNTIF(tweets!C:C,D1638)</f>
        <v>1</v>
      </c>
      <c r="I1638"/>
      <c r="J1638"/>
    </row>
    <row r="1639" spans="4:10" x14ac:dyDescent="0.2">
      <c r="D1639" t="s">
        <v>6503</v>
      </c>
      <c r="E1639">
        <f>COUNTIF(tweets!C:C,D1639)</f>
        <v>1</v>
      </c>
      <c r="I1639"/>
      <c r="J1639"/>
    </row>
    <row r="1640" spans="4:10" x14ac:dyDescent="0.2">
      <c r="D1640" t="s">
        <v>6509</v>
      </c>
      <c r="E1640">
        <f>COUNTIF(tweets!C:C,D1640)</f>
        <v>1</v>
      </c>
      <c r="I1640"/>
      <c r="J1640"/>
    </row>
    <row r="1641" spans="4:10" x14ac:dyDescent="0.2">
      <c r="D1641" t="s">
        <v>6513</v>
      </c>
      <c r="E1641">
        <f>COUNTIF(tweets!C:C,D1641)</f>
        <v>1</v>
      </c>
      <c r="I1641"/>
      <c r="J1641"/>
    </row>
    <row r="1642" spans="4:10" x14ac:dyDescent="0.2">
      <c r="D1642" t="s">
        <v>6516</v>
      </c>
      <c r="E1642">
        <f>COUNTIF(tweets!C:C,D1642)</f>
        <v>1</v>
      </c>
      <c r="I1642"/>
      <c r="J1642"/>
    </row>
    <row r="1643" spans="4:10" x14ac:dyDescent="0.2">
      <c r="D1643" t="s">
        <v>6519</v>
      </c>
      <c r="E1643">
        <f>COUNTIF(tweets!C:C,D1643)</f>
        <v>1</v>
      </c>
      <c r="I1643"/>
      <c r="J1643"/>
    </row>
    <row r="1644" spans="4:10" x14ac:dyDescent="0.2">
      <c r="D1644" t="s">
        <v>6526</v>
      </c>
      <c r="E1644">
        <f>COUNTIF(tweets!C:C,D1644)</f>
        <v>1</v>
      </c>
      <c r="I1644"/>
      <c r="J1644"/>
    </row>
    <row r="1645" spans="4:10" x14ac:dyDescent="0.2">
      <c r="D1645" t="s">
        <v>6529</v>
      </c>
      <c r="E1645">
        <f>COUNTIF(tweets!C:C,D1645)</f>
        <v>1</v>
      </c>
      <c r="I1645"/>
      <c r="J1645"/>
    </row>
    <row r="1646" spans="4:10" x14ac:dyDescent="0.2">
      <c r="D1646" t="s">
        <v>6541</v>
      </c>
      <c r="E1646">
        <f>COUNTIF(tweets!C:C,D1646)</f>
        <v>1</v>
      </c>
      <c r="I1646"/>
      <c r="J1646"/>
    </row>
    <row r="1647" spans="4:10" x14ac:dyDescent="0.2">
      <c r="D1647" t="s">
        <v>6545</v>
      </c>
      <c r="E1647">
        <f>COUNTIF(tweets!C:C,D1647)</f>
        <v>1</v>
      </c>
      <c r="I1647"/>
      <c r="J1647"/>
    </row>
    <row r="1648" spans="4:10" x14ac:dyDescent="0.2">
      <c r="D1648" t="s">
        <v>6556</v>
      </c>
      <c r="E1648">
        <f>COUNTIF(tweets!C:C,D1648)</f>
        <v>1</v>
      </c>
      <c r="I1648"/>
      <c r="J1648"/>
    </row>
    <row r="1649" spans="4:10" x14ac:dyDescent="0.2">
      <c r="D1649" t="s">
        <v>6558</v>
      </c>
      <c r="E1649">
        <f>COUNTIF(tweets!C:C,D1649)</f>
        <v>1</v>
      </c>
      <c r="I1649"/>
      <c r="J1649"/>
    </row>
    <row r="1650" spans="4:10" x14ac:dyDescent="0.2">
      <c r="D1650" t="s">
        <v>6561</v>
      </c>
      <c r="E1650">
        <f>COUNTIF(tweets!C:C,D1650)</f>
        <v>1</v>
      </c>
      <c r="I1650"/>
      <c r="J1650"/>
    </row>
    <row r="1651" spans="4:10" x14ac:dyDescent="0.2">
      <c r="D1651" t="s">
        <v>6564</v>
      </c>
      <c r="E1651">
        <f>COUNTIF(tweets!C:C,D1651)</f>
        <v>1</v>
      </c>
      <c r="I1651"/>
      <c r="J1651"/>
    </row>
    <row r="1652" spans="4:10" x14ac:dyDescent="0.2">
      <c r="D1652" t="s">
        <v>6568</v>
      </c>
      <c r="E1652">
        <f>COUNTIF(tweets!C:C,D1652)</f>
        <v>1</v>
      </c>
      <c r="I1652"/>
      <c r="J1652"/>
    </row>
    <row r="1653" spans="4:10" x14ac:dyDescent="0.2">
      <c r="D1653" t="s">
        <v>6574</v>
      </c>
      <c r="E1653">
        <f>COUNTIF(tweets!C:C,D1653)</f>
        <v>1</v>
      </c>
      <c r="I1653"/>
      <c r="J1653"/>
    </row>
    <row r="1654" spans="4:10" x14ac:dyDescent="0.2">
      <c r="D1654" t="s">
        <v>6578</v>
      </c>
      <c r="E1654">
        <f>COUNTIF(tweets!C:C,D1654)</f>
        <v>1</v>
      </c>
      <c r="I1654"/>
      <c r="J1654"/>
    </row>
    <row r="1655" spans="4:10" x14ac:dyDescent="0.2">
      <c r="D1655" t="s">
        <v>6581</v>
      </c>
      <c r="E1655">
        <f>COUNTIF(tweets!C:C,D1655)</f>
        <v>1</v>
      </c>
      <c r="I1655"/>
      <c r="J1655"/>
    </row>
    <row r="1656" spans="4:10" x14ac:dyDescent="0.2">
      <c r="D1656" t="s">
        <v>6584</v>
      </c>
      <c r="E1656">
        <f>COUNTIF(tweets!C:C,D1656)</f>
        <v>1</v>
      </c>
      <c r="I1656"/>
      <c r="J1656"/>
    </row>
    <row r="1657" spans="4:10" x14ac:dyDescent="0.2">
      <c r="D1657" t="s">
        <v>6599</v>
      </c>
      <c r="E1657">
        <f>COUNTIF(tweets!C:C,D1657)</f>
        <v>1</v>
      </c>
      <c r="I1657"/>
      <c r="J1657"/>
    </row>
    <row r="1658" spans="4:10" x14ac:dyDescent="0.2">
      <c r="D1658" t="s">
        <v>6602</v>
      </c>
      <c r="E1658">
        <f>COUNTIF(tweets!C:C,D1658)</f>
        <v>1</v>
      </c>
      <c r="I1658"/>
      <c r="J1658"/>
    </row>
    <row r="1659" spans="4:10" x14ac:dyDescent="0.2">
      <c r="D1659" t="s">
        <v>6604</v>
      </c>
      <c r="E1659">
        <f>COUNTIF(tweets!C:C,D1659)</f>
        <v>1</v>
      </c>
      <c r="I1659"/>
      <c r="J1659"/>
    </row>
    <row r="1660" spans="4:10" x14ac:dyDescent="0.2">
      <c r="D1660" t="s">
        <v>6607</v>
      </c>
      <c r="E1660">
        <f>COUNTIF(tweets!C:C,D1660)</f>
        <v>1</v>
      </c>
      <c r="I1660"/>
      <c r="J1660"/>
    </row>
    <row r="1661" spans="4:10" x14ac:dyDescent="0.2">
      <c r="D1661" t="s">
        <v>6611</v>
      </c>
      <c r="E1661">
        <f>COUNTIF(tweets!C:C,D1661)</f>
        <v>1</v>
      </c>
      <c r="I1661"/>
      <c r="J1661"/>
    </row>
    <row r="1662" spans="4:10" x14ac:dyDescent="0.2">
      <c r="D1662" t="s">
        <v>6618</v>
      </c>
      <c r="E1662">
        <f>COUNTIF(tweets!C:C,D1662)</f>
        <v>1</v>
      </c>
      <c r="I1662"/>
      <c r="J1662"/>
    </row>
    <row r="1663" spans="4:10" x14ac:dyDescent="0.2">
      <c r="D1663" t="s">
        <v>6622</v>
      </c>
      <c r="E1663">
        <f>COUNTIF(tweets!C:C,D1663)</f>
        <v>1</v>
      </c>
      <c r="I1663"/>
      <c r="J1663"/>
    </row>
    <row r="1664" spans="4:10" x14ac:dyDescent="0.2">
      <c r="D1664" t="s">
        <v>6625</v>
      </c>
      <c r="E1664">
        <f>COUNTIF(tweets!C:C,D1664)</f>
        <v>1</v>
      </c>
      <c r="I1664"/>
      <c r="J1664"/>
    </row>
    <row r="1665" spans="4:10" x14ac:dyDescent="0.2">
      <c r="D1665" t="s">
        <v>6631</v>
      </c>
      <c r="E1665">
        <f>COUNTIF(tweets!C:C,D1665)</f>
        <v>1</v>
      </c>
      <c r="I1665"/>
      <c r="J1665"/>
    </row>
    <row r="1666" spans="4:10" x14ac:dyDescent="0.2">
      <c r="D1666" t="s">
        <v>6638</v>
      </c>
      <c r="E1666">
        <f>COUNTIF(tweets!C:C,D1666)</f>
        <v>1</v>
      </c>
      <c r="I1666"/>
      <c r="J1666"/>
    </row>
    <row r="1667" spans="4:10" x14ac:dyDescent="0.2">
      <c r="D1667" t="s">
        <v>6641</v>
      </c>
      <c r="E1667">
        <f>COUNTIF(tweets!C:C,D1667)</f>
        <v>1</v>
      </c>
      <c r="I1667"/>
      <c r="J1667"/>
    </row>
    <row r="1668" spans="4:10" x14ac:dyDescent="0.2">
      <c r="D1668" t="s">
        <v>6644</v>
      </c>
      <c r="E1668">
        <f>COUNTIF(tweets!C:C,D1668)</f>
        <v>1</v>
      </c>
      <c r="I1668"/>
      <c r="J1668"/>
    </row>
    <row r="1669" spans="4:10" x14ac:dyDescent="0.2">
      <c r="D1669" t="s">
        <v>6647</v>
      </c>
      <c r="E1669">
        <f>COUNTIF(tweets!C:C,D1669)</f>
        <v>1</v>
      </c>
      <c r="I1669"/>
      <c r="J1669"/>
    </row>
    <row r="1670" spans="4:10" x14ac:dyDescent="0.2">
      <c r="D1670" t="s">
        <v>6655</v>
      </c>
      <c r="E1670">
        <f>COUNTIF(tweets!C:C,D1670)</f>
        <v>1</v>
      </c>
      <c r="I1670"/>
      <c r="J1670"/>
    </row>
    <row r="1671" spans="4:10" x14ac:dyDescent="0.2">
      <c r="D1671" t="s">
        <v>6661</v>
      </c>
      <c r="E1671">
        <f>COUNTIF(tweets!C:C,D1671)</f>
        <v>1</v>
      </c>
      <c r="I1671"/>
      <c r="J1671"/>
    </row>
    <row r="1672" spans="4:10" x14ac:dyDescent="0.2">
      <c r="D1672" t="s">
        <v>6667</v>
      </c>
      <c r="E1672">
        <f>COUNTIF(tweets!C:C,D1672)</f>
        <v>1</v>
      </c>
      <c r="I1672"/>
      <c r="J1672"/>
    </row>
    <row r="1673" spans="4:10" x14ac:dyDescent="0.2">
      <c r="D1673" t="s">
        <v>6670</v>
      </c>
      <c r="E1673">
        <f>COUNTIF(tweets!C:C,D1673)</f>
        <v>1</v>
      </c>
      <c r="I1673"/>
      <c r="J1673"/>
    </row>
    <row r="1674" spans="4:10" x14ac:dyDescent="0.2">
      <c r="D1674" t="s">
        <v>6673</v>
      </c>
      <c r="E1674">
        <f>COUNTIF(tweets!C:C,D1674)</f>
        <v>1</v>
      </c>
      <c r="I1674"/>
      <c r="J1674"/>
    </row>
    <row r="1675" spans="4:10" x14ac:dyDescent="0.2">
      <c r="D1675" t="s">
        <v>6677</v>
      </c>
      <c r="E1675">
        <f>COUNTIF(tweets!C:C,D1675)</f>
        <v>1</v>
      </c>
      <c r="I1675"/>
      <c r="J1675"/>
    </row>
    <row r="1676" spans="4:10" x14ac:dyDescent="0.2">
      <c r="D1676" t="s">
        <v>6680</v>
      </c>
      <c r="E1676">
        <f>COUNTIF(tweets!C:C,D1676)</f>
        <v>1</v>
      </c>
      <c r="I1676"/>
      <c r="J1676"/>
    </row>
    <row r="1677" spans="4:10" x14ac:dyDescent="0.2">
      <c r="D1677" t="s">
        <v>6683</v>
      </c>
      <c r="E1677">
        <f>COUNTIF(tweets!C:C,D1677)</f>
        <v>1</v>
      </c>
      <c r="I1677"/>
      <c r="J1677"/>
    </row>
    <row r="1678" spans="4:10" x14ac:dyDescent="0.2">
      <c r="D1678" t="s">
        <v>6688</v>
      </c>
      <c r="E1678">
        <f>COUNTIF(tweets!C:C,D1678)</f>
        <v>1</v>
      </c>
      <c r="I1678"/>
      <c r="J1678"/>
    </row>
    <row r="1679" spans="4:10" x14ac:dyDescent="0.2">
      <c r="D1679" t="s">
        <v>6693</v>
      </c>
      <c r="E1679">
        <f>COUNTIF(tweets!C:C,D1679)</f>
        <v>1</v>
      </c>
      <c r="I1679"/>
      <c r="J1679"/>
    </row>
    <row r="1680" spans="4:10" x14ac:dyDescent="0.2">
      <c r="D1680" t="s">
        <v>6696</v>
      </c>
      <c r="E1680">
        <f>COUNTIF(tweets!C:C,D1680)</f>
        <v>1</v>
      </c>
      <c r="I1680"/>
      <c r="J1680"/>
    </row>
    <row r="1681" spans="4:10" x14ac:dyDescent="0.2">
      <c r="D1681" t="s">
        <v>6699</v>
      </c>
      <c r="E1681">
        <f>COUNTIF(tweets!C:C,D1681)</f>
        <v>1</v>
      </c>
      <c r="I1681"/>
      <c r="J1681"/>
    </row>
    <row r="1682" spans="4:10" x14ac:dyDescent="0.2">
      <c r="D1682" t="s">
        <v>6703</v>
      </c>
      <c r="E1682">
        <f>COUNTIF(tweets!C:C,D1682)</f>
        <v>1</v>
      </c>
      <c r="I1682"/>
      <c r="J1682"/>
    </row>
    <row r="1683" spans="4:10" x14ac:dyDescent="0.2">
      <c r="D1683" t="s">
        <v>6707</v>
      </c>
      <c r="E1683">
        <f>COUNTIF(tweets!C:C,D1683)</f>
        <v>1</v>
      </c>
      <c r="I1683"/>
      <c r="J1683"/>
    </row>
    <row r="1684" spans="4:10" x14ac:dyDescent="0.2">
      <c r="D1684" t="s">
        <v>6710</v>
      </c>
      <c r="E1684">
        <f>COUNTIF(tweets!C:C,D1684)</f>
        <v>1</v>
      </c>
      <c r="I1684"/>
      <c r="J1684"/>
    </row>
    <row r="1685" spans="4:10" x14ac:dyDescent="0.2">
      <c r="D1685" t="s">
        <v>6717</v>
      </c>
      <c r="E1685">
        <f>COUNTIF(tweets!C:C,D1685)</f>
        <v>1</v>
      </c>
      <c r="I1685"/>
      <c r="J1685"/>
    </row>
    <row r="1686" spans="4:10" x14ac:dyDescent="0.2">
      <c r="D1686" t="s">
        <v>6721</v>
      </c>
      <c r="E1686">
        <f>COUNTIF(tweets!C:C,D1686)</f>
        <v>1</v>
      </c>
      <c r="I1686"/>
      <c r="J1686"/>
    </row>
    <row r="1687" spans="4:10" x14ac:dyDescent="0.2">
      <c r="D1687" t="s">
        <v>6726</v>
      </c>
      <c r="E1687">
        <f>COUNTIF(tweets!C:C,D1687)</f>
        <v>1</v>
      </c>
      <c r="I1687"/>
      <c r="J1687"/>
    </row>
    <row r="1688" spans="4:10" x14ac:dyDescent="0.2">
      <c r="D1688" t="s">
        <v>6732</v>
      </c>
      <c r="E1688">
        <f>COUNTIF(tweets!C:C,D1688)</f>
        <v>1</v>
      </c>
      <c r="I1688"/>
      <c r="J1688"/>
    </row>
    <row r="1689" spans="4:10" x14ac:dyDescent="0.2">
      <c r="D1689" t="s">
        <v>6747</v>
      </c>
      <c r="E1689">
        <f>COUNTIF(tweets!C:C,D1689)</f>
        <v>1</v>
      </c>
      <c r="I1689"/>
      <c r="J1689"/>
    </row>
    <row r="1690" spans="4:10" x14ac:dyDescent="0.2">
      <c r="D1690" t="s">
        <v>6754</v>
      </c>
      <c r="E1690">
        <f>COUNTIF(tweets!C:C,D1690)</f>
        <v>1</v>
      </c>
      <c r="I1690"/>
      <c r="J1690"/>
    </row>
    <row r="1691" spans="4:10" x14ac:dyDescent="0.2">
      <c r="D1691" t="s">
        <v>6757</v>
      </c>
      <c r="E1691">
        <f>COUNTIF(tweets!C:C,D1691)</f>
        <v>1</v>
      </c>
      <c r="I1691"/>
      <c r="J1691"/>
    </row>
    <row r="1692" spans="4:10" x14ac:dyDescent="0.2">
      <c r="D1692" t="s">
        <v>6760</v>
      </c>
      <c r="E1692">
        <f>COUNTIF(tweets!C:C,D1692)</f>
        <v>1</v>
      </c>
      <c r="I1692"/>
      <c r="J1692"/>
    </row>
    <row r="1693" spans="4:10" x14ac:dyDescent="0.2">
      <c r="D1693" t="s">
        <v>6764</v>
      </c>
      <c r="E1693">
        <f>COUNTIF(tweets!C:C,D1693)</f>
        <v>1</v>
      </c>
      <c r="I1693"/>
      <c r="J1693"/>
    </row>
    <row r="1694" spans="4:10" x14ac:dyDescent="0.2">
      <c r="D1694" t="s">
        <v>6769</v>
      </c>
      <c r="E1694">
        <f>COUNTIF(tweets!C:C,D1694)</f>
        <v>1</v>
      </c>
      <c r="I1694"/>
      <c r="J1694"/>
    </row>
    <row r="1695" spans="4:10" x14ac:dyDescent="0.2">
      <c r="D1695" t="s">
        <v>6773</v>
      </c>
      <c r="E1695">
        <f>COUNTIF(tweets!C:C,D1695)</f>
        <v>1</v>
      </c>
      <c r="I1695"/>
      <c r="J1695"/>
    </row>
    <row r="1696" spans="4:10" x14ac:dyDescent="0.2">
      <c r="D1696" t="s">
        <v>6777</v>
      </c>
      <c r="E1696">
        <f>COUNTIF(tweets!C:C,D1696)</f>
        <v>1</v>
      </c>
      <c r="I1696"/>
      <c r="J1696"/>
    </row>
    <row r="1697" spans="4:10" x14ac:dyDescent="0.2">
      <c r="D1697" t="s">
        <v>6780</v>
      </c>
      <c r="E1697">
        <f>COUNTIF(tweets!C:C,D1697)</f>
        <v>1</v>
      </c>
      <c r="I1697"/>
      <c r="J1697"/>
    </row>
    <row r="1698" spans="4:10" x14ac:dyDescent="0.2">
      <c r="D1698" t="s">
        <v>6786</v>
      </c>
      <c r="E1698">
        <f>COUNTIF(tweets!C:C,D1698)</f>
        <v>1</v>
      </c>
      <c r="I1698"/>
      <c r="J1698"/>
    </row>
    <row r="1699" spans="4:10" x14ac:dyDescent="0.2">
      <c r="D1699" t="s">
        <v>6789</v>
      </c>
      <c r="E1699">
        <f>COUNTIF(tweets!C:C,D1699)</f>
        <v>1</v>
      </c>
      <c r="I1699"/>
      <c r="J1699"/>
    </row>
    <row r="1700" spans="4:10" x14ac:dyDescent="0.2">
      <c r="D1700" t="s">
        <v>6794</v>
      </c>
      <c r="E1700">
        <f>COUNTIF(tweets!C:C,D1700)</f>
        <v>1</v>
      </c>
      <c r="I1700"/>
      <c r="J1700"/>
    </row>
    <row r="1701" spans="4:10" x14ac:dyDescent="0.2">
      <c r="D1701" t="s">
        <v>6799</v>
      </c>
      <c r="E1701">
        <f>COUNTIF(tweets!C:C,D1701)</f>
        <v>1</v>
      </c>
      <c r="I1701"/>
      <c r="J1701"/>
    </row>
    <row r="1702" spans="4:10" x14ac:dyDescent="0.2">
      <c r="D1702" t="s">
        <v>6807</v>
      </c>
      <c r="E1702">
        <f>COUNTIF(tweets!C:C,D1702)</f>
        <v>1</v>
      </c>
      <c r="I1702"/>
      <c r="J1702"/>
    </row>
    <row r="1703" spans="4:10" x14ac:dyDescent="0.2">
      <c r="D1703" t="s">
        <v>6810</v>
      </c>
      <c r="E1703">
        <f>COUNTIF(tweets!C:C,D1703)</f>
        <v>1</v>
      </c>
      <c r="I1703"/>
      <c r="J1703"/>
    </row>
    <row r="1704" spans="4:10" x14ac:dyDescent="0.2">
      <c r="D1704" t="s">
        <v>6813</v>
      </c>
      <c r="E1704">
        <f>COUNTIF(tweets!C:C,D1704)</f>
        <v>1</v>
      </c>
      <c r="I1704"/>
      <c r="J1704"/>
    </row>
    <row r="1705" spans="4:10" x14ac:dyDescent="0.2">
      <c r="D1705" t="s">
        <v>6816</v>
      </c>
      <c r="E1705">
        <f>COUNTIF(tweets!C:C,D1705)</f>
        <v>1</v>
      </c>
      <c r="I1705"/>
      <c r="J1705"/>
    </row>
    <row r="1706" spans="4:10" x14ac:dyDescent="0.2">
      <c r="D1706" t="s">
        <v>6821</v>
      </c>
      <c r="E1706">
        <f>COUNTIF(tweets!C:C,D1706)</f>
        <v>1</v>
      </c>
      <c r="I1706"/>
      <c r="J1706"/>
    </row>
    <row r="1707" spans="4:10" x14ac:dyDescent="0.2">
      <c r="D1707" t="s">
        <v>6825</v>
      </c>
      <c r="E1707">
        <f>COUNTIF(tweets!C:C,D1707)</f>
        <v>1</v>
      </c>
      <c r="I1707"/>
      <c r="J1707"/>
    </row>
    <row r="1708" spans="4:10" x14ac:dyDescent="0.2">
      <c r="D1708" t="s">
        <v>6829</v>
      </c>
      <c r="E1708">
        <f>COUNTIF(tweets!C:C,D1708)</f>
        <v>1</v>
      </c>
      <c r="I1708"/>
      <c r="J1708"/>
    </row>
    <row r="1709" spans="4:10" x14ac:dyDescent="0.2">
      <c r="D1709" t="s">
        <v>6832</v>
      </c>
      <c r="E1709">
        <f>COUNTIF(tweets!C:C,D1709)</f>
        <v>1</v>
      </c>
      <c r="I1709"/>
      <c r="J1709"/>
    </row>
    <row r="1710" spans="4:10" x14ac:dyDescent="0.2">
      <c r="D1710" t="s">
        <v>6835</v>
      </c>
      <c r="E1710">
        <f>COUNTIF(tweets!C:C,D1710)</f>
        <v>1</v>
      </c>
      <c r="I1710"/>
      <c r="J1710"/>
    </row>
    <row r="1711" spans="4:10" x14ac:dyDescent="0.2">
      <c r="D1711" t="s">
        <v>6838</v>
      </c>
      <c r="E1711">
        <f>COUNTIF(tweets!C:C,D1711)</f>
        <v>1</v>
      </c>
      <c r="I1711"/>
      <c r="J1711"/>
    </row>
    <row r="1712" spans="4:10" x14ac:dyDescent="0.2">
      <c r="D1712" t="s">
        <v>6846</v>
      </c>
      <c r="E1712">
        <f>COUNTIF(tweets!C:C,D1712)</f>
        <v>1</v>
      </c>
      <c r="I1712"/>
      <c r="J1712"/>
    </row>
    <row r="1713" spans="4:10" x14ac:dyDescent="0.2">
      <c r="D1713" t="s">
        <v>6851</v>
      </c>
      <c r="E1713">
        <f>COUNTIF(tweets!C:C,D1713)</f>
        <v>1</v>
      </c>
      <c r="I1713"/>
      <c r="J1713"/>
    </row>
    <row r="1714" spans="4:10" x14ac:dyDescent="0.2">
      <c r="D1714" t="s">
        <v>6855</v>
      </c>
      <c r="E1714">
        <f>COUNTIF(tweets!C:C,D1714)</f>
        <v>1</v>
      </c>
      <c r="I1714"/>
      <c r="J1714"/>
    </row>
    <row r="1715" spans="4:10" x14ac:dyDescent="0.2">
      <c r="D1715" t="s">
        <v>6859</v>
      </c>
      <c r="E1715">
        <f>COUNTIF(tweets!C:C,D1715)</f>
        <v>1</v>
      </c>
      <c r="I1715"/>
      <c r="J1715"/>
    </row>
    <row r="1716" spans="4:10" x14ac:dyDescent="0.2">
      <c r="D1716" t="s">
        <v>6862</v>
      </c>
      <c r="E1716">
        <f>COUNTIF(tweets!C:C,D1716)</f>
        <v>1</v>
      </c>
      <c r="I1716"/>
      <c r="J1716"/>
    </row>
    <row r="1717" spans="4:10" x14ac:dyDescent="0.2">
      <c r="D1717" t="s">
        <v>6866</v>
      </c>
      <c r="E1717">
        <f>COUNTIF(tweets!C:C,D1717)</f>
        <v>1</v>
      </c>
      <c r="I1717"/>
      <c r="J1717"/>
    </row>
    <row r="1718" spans="4:10" x14ac:dyDescent="0.2">
      <c r="D1718" t="s">
        <v>6871</v>
      </c>
      <c r="E1718">
        <f>COUNTIF(tweets!C:C,D1718)</f>
        <v>1</v>
      </c>
      <c r="I1718"/>
      <c r="J1718"/>
    </row>
    <row r="1719" spans="4:10" x14ac:dyDescent="0.2">
      <c r="D1719" t="s">
        <v>6875</v>
      </c>
      <c r="E1719">
        <f>COUNTIF(tweets!C:C,D1719)</f>
        <v>1</v>
      </c>
      <c r="I1719"/>
      <c r="J1719"/>
    </row>
    <row r="1720" spans="4:10" x14ac:dyDescent="0.2">
      <c r="D1720" t="s">
        <v>6879</v>
      </c>
      <c r="E1720">
        <f>COUNTIF(tweets!C:C,D1720)</f>
        <v>1</v>
      </c>
      <c r="I1720"/>
      <c r="J1720"/>
    </row>
    <row r="1721" spans="4:10" x14ac:dyDescent="0.2">
      <c r="D1721" t="s">
        <v>6882</v>
      </c>
      <c r="E1721">
        <f>COUNTIF(tweets!C:C,D1721)</f>
        <v>1</v>
      </c>
      <c r="I1721"/>
      <c r="J1721"/>
    </row>
    <row r="1722" spans="4:10" x14ac:dyDescent="0.2">
      <c r="D1722" t="s">
        <v>6885</v>
      </c>
      <c r="E1722">
        <f>COUNTIF(tweets!C:C,D1722)</f>
        <v>1</v>
      </c>
      <c r="I1722"/>
      <c r="J1722"/>
    </row>
    <row r="1723" spans="4:10" x14ac:dyDescent="0.2">
      <c r="D1723" t="s">
        <v>6888</v>
      </c>
      <c r="E1723">
        <f>COUNTIF(tweets!C:C,D1723)</f>
        <v>1</v>
      </c>
      <c r="I1723"/>
      <c r="J1723"/>
    </row>
    <row r="1724" spans="4:10" x14ac:dyDescent="0.2">
      <c r="D1724" t="s">
        <v>6893</v>
      </c>
      <c r="E1724">
        <f>COUNTIF(tweets!C:C,D1724)</f>
        <v>1</v>
      </c>
      <c r="I1724"/>
      <c r="J1724"/>
    </row>
    <row r="1725" spans="4:10" x14ac:dyDescent="0.2">
      <c r="D1725" t="s">
        <v>6897</v>
      </c>
      <c r="E1725">
        <f>COUNTIF(tweets!C:C,D1725)</f>
        <v>1</v>
      </c>
      <c r="I1725"/>
      <c r="J1725"/>
    </row>
    <row r="1726" spans="4:10" x14ac:dyDescent="0.2">
      <c r="D1726" t="s">
        <v>6900</v>
      </c>
      <c r="E1726">
        <f>COUNTIF(tweets!C:C,D1726)</f>
        <v>1</v>
      </c>
      <c r="I1726"/>
      <c r="J1726"/>
    </row>
    <row r="1727" spans="4:10" x14ac:dyDescent="0.2">
      <c r="D1727" t="s">
        <v>6905</v>
      </c>
      <c r="E1727">
        <f>COUNTIF(tweets!C:C,D1727)</f>
        <v>1</v>
      </c>
      <c r="I1727"/>
      <c r="J1727"/>
    </row>
    <row r="1728" spans="4:10" x14ac:dyDescent="0.2">
      <c r="D1728" t="s">
        <v>6909</v>
      </c>
      <c r="E1728">
        <f>COUNTIF(tweets!C:C,D1728)</f>
        <v>1</v>
      </c>
      <c r="I1728"/>
      <c r="J1728"/>
    </row>
    <row r="1729" spans="4:10" x14ac:dyDescent="0.2">
      <c r="D1729" t="s">
        <v>6913</v>
      </c>
      <c r="E1729">
        <f>COUNTIF(tweets!C:C,D1729)</f>
        <v>1</v>
      </c>
      <c r="I1729"/>
      <c r="J1729"/>
    </row>
    <row r="1730" spans="4:10" x14ac:dyDescent="0.2">
      <c r="D1730" t="s">
        <v>6917</v>
      </c>
      <c r="E1730">
        <f>COUNTIF(tweets!C:C,D1730)</f>
        <v>1</v>
      </c>
      <c r="I1730"/>
      <c r="J1730"/>
    </row>
    <row r="1731" spans="4:10" x14ac:dyDescent="0.2">
      <c r="D1731" t="s">
        <v>6922</v>
      </c>
      <c r="E1731">
        <f>COUNTIF(tweets!C:C,D1731)</f>
        <v>1</v>
      </c>
      <c r="I1731"/>
      <c r="J1731"/>
    </row>
    <row r="1732" spans="4:10" x14ac:dyDescent="0.2">
      <c r="D1732" t="s">
        <v>6925</v>
      </c>
      <c r="E1732">
        <f>COUNTIF(tweets!C:C,D1732)</f>
        <v>1</v>
      </c>
      <c r="I1732"/>
      <c r="J1732"/>
    </row>
    <row r="1733" spans="4:10" x14ac:dyDescent="0.2">
      <c r="D1733" t="s">
        <v>6932</v>
      </c>
      <c r="E1733">
        <f>COUNTIF(tweets!C:C,D1733)</f>
        <v>1</v>
      </c>
      <c r="I1733"/>
      <c r="J1733"/>
    </row>
    <row r="1734" spans="4:10" x14ac:dyDescent="0.2">
      <c r="D1734" t="s">
        <v>6935</v>
      </c>
      <c r="E1734">
        <f>COUNTIF(tweets!C:C,D1734)</f>
        <v>1</v>
      </c>
      <c r="I1734"/>
      <c r="J1734"/>
    </row>
    <row r="1735" spans="4:10" x14ac:dyDescent="0.2">
      <c r="D1735" t="s">
        <v>6939</v>
      </c>
      <c r="E1735">
        <f>COUNTIF(tweets!C:C,D1735)</f>
        <v>1</v>
      </c>
      <c r="I1735"/>
      <c r="J1735"/>
    </row>
    <row r="1736" spans="4:10" x14ac:dyDescent="0.2">
      <c r="D1736" t="s">
        <v>6943</v>
      </c>
      <c r="E1736">
        <f>COUNTIF(tweets!C:C,D1736)</f>
        <v>1</v>
      </c>
      <c r="I1736"/>
      <c r="J1736"/>
    </row>
    <row r="1737" spans="4:10" x14ac:dyDescent="0.2">
      <c r="D1737" t="s">
        <v>6947</v>
      </c>
      <c r="E1737">
        <f>COUNTIF(tweets!C:C,D1737)</f>
        <v>1</v>
      </c>
      <c r="I1737"/>
      <c r="J1737"/>
    </row>
    <row r="1738" spans="4:10" x14ac:dyDescent="0.2">
      <c r="D1738" t="s">
        <v>6951</v>
      </c>
      <c r="E1738">
        <f>COUNTIF(tweets!C:C,D1738)</f>
        <v>1</v>
      </c>
      <c r="I1738"/>
      <c r="J1738"/>
    </row>
    <row r="1739" spans="4:10" x14ac:dyDescent="0.2">
      <c r="D1739" t="s">
        <v>6954</v>
      </c>
      <c r="E1739">
        <f>COUNTIF(tweets!C:C,D1739)</f>
        <v>1</v>
      </c>
      <c r="I1739"/>
      <c r="J1739"/>
    </row>
    <row r="1740" spans="4:10" x14ac:dyDescent="0.2">
      <c r="D1740" t="s">
        <v>6957</v>
      </c>
      <c r="E1740">
        <f>COUNTIF(tweets!C:C,D1740)</f>
        <v>1</v>
      </c>
      <c r="I1740"/>
      <c r="J1740"/>
    </row>
    <row r="1741" spans="4:10" x14ac:dyDescent="0.2">
      <c r="D1741" t="s">
        <v>6960</v>
      </c>
      <c r="E1741">
        <f>COUNTIF(tweets!C:C,D1741)</f>
        <v>1</v>
      </c>
      <c r="I1741"/>
      <c r="J1741"/>
    </row>
    <row r="1742" spans="4:10" x14ac:dyDescent="0.2">
      <c r="D1742" t="s">
        <v>6966</v>
      </c>
      <c r="E1742">
        <f>COUNTIF(tweets!C:C,D1742)</f>
        <v>1</v>
      </c>
      <c r="I1742"/>
      <c r="J1742"/>
    </row>
    <row r="1743" spans="4:10" x14ac:dyDescent="0.2">
      <c r="D1743" t="s">
        <v>6970</v>
      </c>
      <c r="E1743">
        <f>COUNTIF(tweets!C:C,D1743)</f>
        <v>1</v>
      </c>
      <c r="I1743"/>
      <c r="J1743"/>
    </row>
    <row r="1744" spans="4:10" x14ac:dyDescent="0.2">
      <c r="D1744" t="s">
        <v>6973</v>
      </c>
      <c r="E1744">
        <f>COUNTIF(tweets!C:C,D1744)</f>
        <v>1</v>
      </c>
      <c r="I1744"/>
      <c r="J1744"/>
    </row>
    <row r="1745" spans="4:10" x14ac:dyDescent="0.2">
      <c r="D1745" t="s">
        <v>6976</v>
      </c>
      <c r="E1745">
        <f>COUNTIF(tweets!C:C,D1745)</f>
        <v>1</v>
      </c>
      <c r="I1745"/>
      <c r="J1745"/>
    </row>
    <row r="1746" spans="4:10" x14ac:dyDescent="0.2">
      <c r="D1746" t="s">
        <v>6980</v>
      </c>
      <c r="E1746">
        <f>COUNTIF(tweets!C:C,D1746)</f>
        <v>1</v>
      </c>
      <c r="I1746"/>
      <c r="J1746"/>
    </row>
    <row r="1747" spans="4:10" x14ac:dyDescent="0.2">
      <c r="D1747" t="s">
        <v>6983</v>
      </c>
      <c r="E1747">
        <f>COUNTIF(tweets!C:C,D1747)</f>
        <v>1</v>
      </c>
      <c r="I1747"/>
      <c r="J1747"/>
    </row>
    <row r="1748" spans="4:10" x14ac:dyDescent="0.2">
      <c r="D1748" t="s">
        <v>6987</v>
      </c>
      <c r="E1748">
        <f>COUNTIF(tweets!C:C,D1748)</f>
        <v>1</v>
      </c>
      <c r="I1748"/>
      <c r="J1748"/>
    </row>
    <row r="1749" spans="4:10" x14ac:dyDescent="0.2">
      <c r="D1749" t="s">
        <v>6990</v>
      </c>
      <c r="E1749">
        <f>COUNTIF(tweets!C:C,D1749)</f>
        <v>1</v>
      </c>
      <c r="I1749"/>
      <c r="J1749"/>
    </row>
    <row r="1750" spans="4:10" x14ac:dyDescent="0.2">
      <c r="D1750" t="s">
        <v>6994</v>
      </c>
      <c r="E1750">
        <f>COUNTIF(tweets!C:C,D1750)</f>
        <v>1</v>
      </c>
      <c r="I1750"/>
      <c r="J1750"/>
    </row>
    <row r="1751" spans="4:10" x14ac:dyDescent="0.2">
      <c r="D1751" t="s">
        <v>7001</v>
      </c>
      <c r="E1751">
        <f>COUNTIF(tweets!C:C,D1751)</f>
        <v>1</v>
      </c>
      <c r="I1751"/>
      <c r="J1751"/>
    </row>
    <row r="1752" spans="4:10" x14ac:dyDescent="0.2">
      <c r="D1752" t="s">
        <v>7005</v>
      </c>
      <c r="E1752">
        <f>COUNTIF(tweets!C:C,D1752)</f>
        <v>1</v>
      </c>
      <c r="I1752"/>
      <c r="J1752"/>
    </row>
    <row r="1753" spans="4:10" x14ac:dyDescent="0.2">
      <c r="D1753" t="s">
        <v>7009</v>
      </c>
      <c r="E1753">
        <f>COUNTIF(tweets!C:C,D1753)</f>
        <v>1</v>
      </c>
      <c r="I1753"/>
      <c r="J1753"/>
    </row>
    <row r="1754" spans="4:10" x14ac:dyDescent="0.2">
      <c r="D1754" t="s">
        <v>7013</v>
      </c>
      <c r="E1754">
        <f>COUNTIF(tweets!C:C,D1754)</f>
        <v>1</v>
      </c>
      <c r="I1754"/>
      <c r="J1754"/>
    </row>
    <row r="1755" spans="4:10" x14ac:dyDescent="0.2">
      <c r="D1755" t="s">
        <v>7016</v>
      </c>
      <c r="E1755">
        <f>COUNTIF(tweets!C:C,D1755)</f>
        <v>1</v>
      </c>
      <c r="I1755"/>
      <c r="J1755"/>
    </row>
    <row r="1756" spans="4:10" x14ac:dyDescent="0.2">
      <c r="D1756" t="s">
        <v>7019</v>
      </c>
      <c r="E1756">
        <f>COUNTIF(tweets!C:C,D1756)</f>
        <v>1</v>
      </c>
      <c r="I1756"/>
      <c r="J1756"/>
    </row>
    <row r="1757" spans="4:10" x14ac:dyDescent="0.2">
      <c r="D1757" t="s">
        <v>7027</v>
      </c>
      <c r="E1757">
        <f>COUNTIF(tweets!C:C,D1757)</f>
        <v>1</v>
      </c>
      <c r="I1757"/>
      <c r="J1757"/>
    </row>
    <row r="1758" spans="4:10" x14ac:dyDescent="0.2">
      <c r="D1758" t="s">
        <v>7030</v>
      </c>
      <c r="E1758">
        <f>COUNTIF(tweets!C:C,D1758)</f>
        <v>1</v>
      </c>
      <c r="I1758"/>
      <c r="J1758"/>
    </row>
    <row r="1759" spans="4:10" x14ac:dyDescent="0.2">
      <c r="D1759" t="s">
        <v>7036</v>
      </c>
      <c r="E1759">
        <f>COUNTIF(tweets!C:C,D1759)</f>
        <v>1</v>
      </c>
      <c r="I1759"/>
      <c r="J1759"/>
    </row>
    <row r="1760" spans="4:10" x14ac:dyDescent="0.2">
      <c r="D1760" t="s">
        <v>7040</v>
      </c>
      <c r="E1760">
        <f>COUNTIF(tweets!C:C,D1760)</f>
        <v>1</v>
      </c>
      <c r="I1760"/>
      <c r="J1760"/>
    </row>
    <row r="1761" spans="4:10" x14ac:dyDescent="0.2">
      <c r="D1761" t="s">
        <v>7043</v>
      </c>
      <c r="E1761">
        <f>COUNTIF(tweets!C:C,D1761)</f>
        <v>1</v>
      </c>
      <c r="I1761"/>
      <c r="J1761"/>
    </row>
    <row r="1762" spans="4:10" x14ac:dyDescent="0.2">
      <c r="D1762" t="s">
        <v>7050</v>
      </c>
      <c r="E1762">
        <f>COUNTIF(tweets!C:C,D1762)</f>
        <v>1</v>
      </c>
      <c r="I1762"/>
      <c r="J1762"/>
    </row>
    <row r="1763" spans="4:10" x14ac:dyDescent="0.2">
      <c r="D1763" t="s">
        <v>7053</v>
      </c>
      <c r="E1763">
        <f>COUNTIF(tweets!C:C,D1763)</f>
        <v>1</v>
      </c>
      <c r="I1763"/>
      <c r="J1763"/>
    </row>
    <row r="1764" spans="4:10" x14ac:dyDescent="0.2">
      <c r="D1764" t="s">
        <v>7059</v>
      </c>
      <c r="E1764">
        <f>COUNTIF(tweets!C:C,D1764)</f>
        <v>1</v>
      </c>
      <c r="I1764"/>
      <c r="J1764"/>
    </row>
    <row r="1765" spans="4:10" x14ac:dyDescent="0.2">
      <c r="D1765" t="s">
        <v>7062</v>
      </c>
      <c r="E1765">
        <f>COUNTIF(tweets!C:C,D1765)</f>
        <v>1</v>
      </c>
      <c r="I1765"/>
      <c r="J1765"/>
    </row>
    <row r="1766" spans="4:10" x14ac:dyDescent="0.2">
      <c r="D1766" t="s">
        <v>7065</v>
      </c>
      <c r="E1766">
        <f>COUNTIF(tweets!C:C,D1766)</f>
        <v>1</v>
      </c>
      <c r="I1766"/>
      <c r="J1766"/>
    </row>
    <row r="1767" spans="4:10" x14ac:dyDescent="0.2">
      <c r="D1767" t="s">
        <v>7070</v>
      </c>
      <c r="E1767">
        <f>COUNTIF(tweets!C:C,D1767)</f>
        <v>1</v>
      </c>
      <c r="I1767"/>
      <c r="J1767"/>
    </row>
    <row r="1768" spans="4:10" x14ac:dyDescent="0.2">
      <c r="D1768" t="s">
        <v>7073</v>
      </c>
      <c r="E1768">
        <f>COUNTIF(tweets!C:C,D1768)</f>
        <v>1</v>
      </c>
      <c r="I1768"/>
      <c r="J1768"/>
    </row>
    <row r="1769" spans="4:10" x14ac:dyDescent="0.2">
      <c r="D1769" t="s">
        <v>7077</v>
      </c>
      <c r="E1769">
        <f>COUNTIF(tweets!C:C,D1769)</f>
        <v>1</v>
      </c>
      <c r="I1769"/>
      <c r="J1769"/>
    </row>
    <row r="1770" spans="4:10" x14ac:dyDescent="0.2">
      <c r="D1770" t="s">
        <v>7085</v>
      </c>
      <c r="E1770">
        <f>COUNTIF(tweets!C:C,D1770)</f>
        <v>1</v>
      </c>
      <c r="I1770"/>
      <c r="J1770"/>
    </row>
    <row r="1771" spans="4:10" x14ac:dyDescent="0.2">
      <c r="D1771" t="s">
        <v>7082</v>
      </c>
      <c r="E1771">
        <f>COUNTIF(tweets!C:C,D1771)</f>
        <v>1</v>
      </c>
      <c r="I1771"/>
      <c r="J1771"/>
    </row>
    <row r="1772" spans="4:10" x14ac:dyDescent="0.2">
      <c r="D1772" t="s">
        <v>7088</v>
      </c>
      <c r="E1772">
        <f>COUNTIF(tweets!C:C,D1772)</f>
        <v>1</v>
      </c>
      <c r="I1772"/>
      <c r="J1772"/>
    </row>
    <row r="1773" spans="4:10" x14ac:dyDescent="0.2">
      <c r="D1773" t="s">
        <v>7097</v>
      </c>
      <c r="E1773">
        <f>COUNTIF(tweets!C:C,D1773)</f>
        <v>1</v>
      </c>
      <c r="I1773"/>
      <c r="J1773"/>
    </row>
    <row r="1774" spans="4:10" x14ac:dyDescent="0.2">
      <c r="D1774" t="s">
        <v>7100</v>
      </c>
      <c r="E1774">
        <f>COUNTIF(tweets!C:C,D1774)</f>
        <v>1</v>
      </c>
      <c r="I1774"/>
      <c r="J1774"/>
    </row>
    <row r="1775" spans="4:10" x14ac:dyDescent="0.2">
      <c r="D1775" t="s">
        <v>7103</v>
      </c>
      <c r="E1775">
        <f>COUNTIF(tweets!C:C,D1775)</f>
        <v>1</v>
      </c>
      <c r="I1775"/>
      <c r="J1775"/>
    </row>
    <row r="1776" spans="4:10" x14ac:dyDescent="0.2">
      <c r="D1776" t="s">
        <v>7106</v>
      </c>
      <c r="E1776">
        <f>COUNTIF(tweets!C:C,D1776)</f>
        <v>1</v>
      </c>
      <c r="I1776"/>
      <c r="J1776"/>
    </row>
    <row r="1777" spans="4:10" x14ac:dyDescent="0.2">
      <c r="D1777" t="s">
        <v>7109</v>
      </c>
      <c r="E1777">
        <f>COUNTIF(tweets!C:C,D1777)</f>
        <v>1</v>
      </c>
      <c r="I1777"/>
      <c r="J1777"/>
    </row>
    <row r="1778" spans="4:10" x14ac:dyDescent="0.2">
      <c r="D1778" t="s">
        <v>7113</v>
      </c>
      <c r="E1778">
        <f>COUNTIF(tweets!C:C,D1778)</f>
        <v>1</v>
      </c>
      <c r="I1778"/>
      <c r="J1778"/>
    </row>
    <row r="1779" spans="4:10" x14ac:dyDescent="0.2">
      <c r="D1779" t="s">
        <v>7116</v>
      </c>
      <c r="E1779">
        <f>COUNTIF(tweets!C:C,D1779)</f>
        <v>1</v>
      </c>
      <c r="I1779"/>
      <c r="J1779"/>
    </row>
    <row r="1780" spans="4:10" x14ac:dyDescent="0.2">
      <c r="D1780" t="s">
        <v>7119</v>
      </c>
      <c r="E1780">
        <f>COUNTIF(tweets!C:C,D1780)</f>
        <v>1</v>
      </c>
      <c r="I1780"/>
      <c r="J1780"/>
    </row>
    <row r="1781" spans="4:10" x14ac:dyDescent="0.2">
      <c r="D1781" t="s">
        <v>7129</v>
      </c>
      <c r="E1781">
        <f>COUNTIF(tweets!C:C,D1781)</f>
        <v>1</v>
      </c>
      <c r="I1781"/>
      <c r="J1781"/>
    </row>
    <row r="1782" spans="4:10" x14ac:dyDescent="0.2">
      <c r="D1782" t="s">
        <v>7132</v>
      </c>
      <c r="E1782">
        <f>COUNTIF(tweets!C:C,D1782)</f>
        <v>1</v>
      </c>
      <c r="I1782"/>
      <c r="J1782"/>
    </row>
    <row r="1783" spans="4:10" x14ac:dyDescent="0.2">
      <c r="D1783" t="s">
        <v>7135</v>
      </c>
      <c r="E1783">
        <f>COUNTIF(tweets!C:C,D1783)</f>
        <v>1</v>
      </c>
      <c r="I1783"/>
      <c r="J1783"/>
    </row>
    <row r="1784" spans="4:10" x14ac:dyDescent="0.2">
      <c r="D1784" t="s">
        <v>7138</v>
      </c>
      <c r="E1784">
        <f>COUNTIF(tweets!C:C,D1784)</f>
        <v>1</v>
      </c>
      <c r="I1784"/>
      <c r="J1784"/>
    </row>
    <row r="1785" spans="4:10" x14ac:dyDescent="0.2">
      <c r="D1785" t="s">
        <v>7142</v>
      </c>
      <c r="E1785">
        <f>COUNTIF(tweets!C:C,D1785)</f>
        <v>1</v>
      </c>
      <c r="I1785"/>
      <c r="J1785"/>
    </row>
    <row r="1786" spans="4:10" x14ac:dyDescent="0.2">
      <c r="D1786" t="s">
        <v>7147</v>
      </c>
      <c r="E1786">
        <f>COUNTIF(tweets!C:C,D1786)</f>
        <v>1</v>
      </c>
      <c r="I1786"/>
      <c r="J1786"/>
    </row>
    <row r="1787" spans="4:10" x14ac:dyDescent="0.2">
      <c r="D1787" t="s">
        <v>7150</v>
      </c>
      <c r="E1787">
        <f>COUNTIF(tweets!C:C,D1787)</f>
        <v>1</v>
      </c>
      <c r="I1787"/>
      <c r="J1787"/>
    </row>
    <row r="1788" spans="4:10" x14ac:dyDescent="0.2">
      <c r="D1788" t="s">
        <v>7153</v>
      </c>
      <c r="E1788">
        <f>COUNTIF(tweets!C:C,D1788)</f>
        <v>1</v>
      </c>
      <c r="I1788"/>
      <c r="J1788"/>
    </row>
    <row r="1789" spans="4:10" x14ac:dyDescent="0.2">
      <c r="D1789" t="s">
        <v>7157</v>
      </c>
      <c r="E1789">
        <f>COUNTIF(tweets!C:C,D1789)</f>
        <v>1</v>
      </c>
      <c r="I1789"/>
      <c r="J1789"/>
    </row>
    <row r="1790" spans="4:10" x14ac:dyDescent="0.2">
      <c r="D1790" t="s">
        <v>7161</v>
      </c>
      <c r="E1790">
        <f>COUNTIF(tweets!C:C,D1790)</f>
        <v>1</v>
      </c>
      <c r="I1790"/>
      <c r="J1790"/>
    </row>
    <row r="1791" spans="4:10" x14ac:dyDescent="0.2">
      <c r="D1791" t="s">
        <v>7165</v>
      </c>
      <c r="E1791">
        <f>COUNTIF(tweets!C:C,D1791)</f>
        <v>1</v>
      </c>
      <c r="I1791"/>
      <c r="J1791"/>
    </row>
    <row r="1792" spans="4:10" x14ac:dyDescent="0.2">
      <c r="D1792" t="s">
        <v>7169</v>
      </c>
      <c r="E1792">
        <f>COUNTIF(tweets!C:C,D1792)</f>
        <v>1</v>
      </c>
      <c r="I1792"/>
      <c r="J1792"/>
    </row>
    <row r="1793" spans="4:10" x14ac:dyDescent="0.2">
      <c r="D1793" t="s">
        <v>7174</v>
      </c>
      <c r="E1793">
        <f>COUNTIF(tweets!C:C,D1793)</f>
        <v>1</v>
      </c>
      <c r="I1793"/>
      <c r="J1793"/>
    </row>
    <row r="1794" spans="4:10" x14ac:dyDescent="0.2">
      <c r="D1794" t="s">
        <v>7177</v>
      </c>
      <c r="E1794">
        <f>COUNTIF(tweets!C:C,D1794)</f>
        <v>1</v>
      </c>
      <c r="I1794"/>
      <c r="J1794"/>
    </row>
    <row r="1795" spans="4:10" x14ac:dyDescent="0.2">
      <c r="D1795" t="s">
        <v>7182</v>
      </c>
      <c r="E1795">
        <f>COUNTIF(tweets!C:C,D1795)</f>
        <v>1</v>
      </c>
      <c r="I1795"/>
      <c r="J1795"/>
    </row>
    <row r="1796" spans="4:10" x14ac:dyDescent="0.2">
      <c r="D1796" t="s">
        <v>7188</v>
      </c>
      <c r="E1796">
        <f>COUNTIF(tweets!C:C,D1796)</f>
        <v>1</v>
      </c>
      <c r="I1796"/>
      <c r="J1796"/>
    </row>
    <row r="1797" spans="4:10" x14ac:dyDescent="0.2">
      <c r="D1797" t="s">
        <v>7191</v>
      </c>
      <c r="E1797">
        <f>COUNTIF(tweets!C:C,D1797)</f>
        <v>1</v>
      </c>
      <c r="I1797"/>
      <c r="J1797"/>
    </row>
    <row r="1798" spans="4:10" x14ac:dyDescent="0.2">
      <c r="D1798" t="s">
        <v>7195</v>
      </c>
      <c r="E1798">
        <f>COUNTIF(tweets!C:C,D1798)</f>
        <v>1</v>
      </c>
      <c r="I1798"/>
      <c r="J1798"/>
    </row>
    <row r="1799" spans="4:10" x14ac:dyDescent="0.2">
      <c r="D1799" t="s">
        <v>7199</v>
      </c>
      <c r="E1799">
        <f>COUNTIF(tweets!C:C,D1799)</f>
        <v>1</v>
      </c>
      <c r="I1799"/>
      <c r="J1799"/>
    </row>
    <row r="1800" spans="4:10" x14ac:dyDescent="0.2">
      <c r="D1800" t="s">
        <v>7203</v>
      </c>
      <c r="E1800">
        <f>COUNTIF(tweets!C:C,D1800)</f>
        <v>1</v>
      </c>
      <c r="I1800"/>
      <c r="J1800"/>
    </row>
    <row r="1801" spans="4:10" x14ac:dyDescent="0.2">
      <c r="D1801" t="s">
        <v>7206</v>
      </c>
      <c r="E1801">
        <f>COUNTIF(tweets!C:C,D1801)</f>
        <v>1</v>
      </c>
      <c r="I1801"/>
      <c r="J1801"/>
    </row>
    <row r="1802" spans="4:10" x14ac:dyDescent="0.2">
      <c r="D1802" t="s">
        <v>7210</v>
      </c>
      <c r="E1802">
        <f>COUNTIF(tweets!C:C,D1802)</f>
        <v>1</v>
      </c>
      <c r="I1802"/>
      <c r="J1802"/>
    </row>
    <row r="1803" spans="4:10" x14ac:dyDescent="0.2">
      <c r="D1803" t="s">
        <v>7214</v>
      </c>
      <c r="E1803">
        <f>COUNTIF(tweets!C:C,D1803)</f>
        <v>1</v>
      </c>
      <c r="I1803"/>
      <c r="J1803"/>
    </row>
    <row r="1804" spans="4:10" x14ac:dyDescent="0.2">
      <c r="D1804" t="s">
        <v>7218</v>
      </c>
      <c r="E1804">
        <f>COUNTIF(tweets!C:C,D1804)</f>
        <v>1</v>
      </c>
      <c r="I1804"/>
      <c r="J1804"/>
    </row>
    <row r="1805" spans="4:10" x14ac:dyDescent="0.2">
      <c r="D1805" t="s">
        <v>7225</v>
      </c>
      <c r="E1805">
        <f>COUNTIF(tweets!C:C,D1805)</f>
        <v>1</v>
      </c>
      <c r="I1805"/>
      <c r="J1805"/>
    </row>
    <row r="1806" spans="4:10" x14ac:dyDescent="0.2">
      <c r="D1806" t="s">
        <v>7229</v>
      </c>
      <c r="E1806">
        <f>COUNTIF(tweets!C:C,D1806)</f>
        <v>1</v>
      </c>
      <c r="I1806"/>
      <c r="J1806"/>
    </row>
    <row r="1807" spans="4:10" x14ac:dyDescent="0.2">
      <c r="D1807" t="s">
        <v>7238</v>
      </c>
      <c r="E1807">
        <f>COUNTIF(tweets!C:C,D1807)</f>
        <v>1</v>
      </c>
      <c r="I1807"/>
      <c r="J1807"/>
    </row>
    <row r="1808" spans="4:10" x14ac:dyDescent="0.2">
      <c r="D1808" t="s">
        <v>7242</v>
      </c>
      <c r="E1808">
        <f>COUNTIF(tweets!C:C,D1808)</f>
        <v>1</v>
      </c>
      <c r="I1808"/>
      <c r="J1808"/>
    </row>
    <row r="1809" spans="4:10" x14ac:dyDescent="0.2">
      <c r="D1809" t="s">
        <v>7245</v>
      </c>
      <c r="E1809">
        <f>COUNTIF(tweets!C:C,D1809)</f>
        <v>1</v>
      </c>
      <c r="I1809"/>
      <c r="J1809"/>
    </row>
    <row r="1810" spans="4:10" x14ac:dyDescent="0.2">
      <c r="D1810" t="s">
        <v>7249</v>
      </c>
      <c r="E1810">
        <f>COUNTIF(tweets!C:C,D1810)</f>
        <v>1</v>
      </c>
      <c r="I1810"/>
      <c r="J1810"/>
    </row>
    <row r="1811" spans="4:10" x14ac:dyDescent="0.2">
      <c r="D1811" t="s">
        <v>7252</v>
      </c>
      <c r="E1811">
        <f>COUNTIF(tweets!C:C,D1811)</f>
        <v>1</v>
      </c>
      <c r="I1811"/>
      <c r="J1811"/>
    </row>
    <row r="1812" spans="4:10" x14ac:dyDescent="0.2">
      <c r="D1812" t="s">
        <v>7256</v>
      </c>
      <c r="E1812">
        <f>COUNTIF(tweets!C:C,D1812)</f>
        <v>1</v>
      </c>
      <c r="I1812"/>
      <c r="J1812"/>
    </row>
    <row r="1813" spans="4:10" x14ac:dyDescent="0.2">
      <c r="D1813" t="s">
        <v>7259</v>
      </c>
      <c r="E1813">
        <f>COUNTIF(tweets!C:C,D1813)</f>
        <v>1</v>
      </c>
      <c r="I1813"/>
      <c r="J1813"/>
    </row>
    <row r="1814" spans="4:10" x14ac:dyDescent="0.2">
      <c r="D1814" t="s">
        <v>7263</v>
      </c>
      <c r="E1814">
        <f>COUNTIF(tweets!C:C,D1814)</f>
        <v>1</v>
      </c>
      <c r="I1814"/>
      <c r="J1814"/>
    </row>
    <row r="1815" spans="4:10" x14ac:dyDescent="0.2">
      <c r="D1815" t="s">
        <v>7268</v>
      </c>
      <c r="E1815">
        <f>COUNTIF(tweets!C:C,D1815)</f>
        <v>1</v>
      </c>
      <c r="I1815"/>
      <c r="J1815"/>
    </row>
    <row r="1816" spans="4:10" x14ac:dyDescent="0.2">
      <c r="D1816" t="s">
        <v>7274</v>
      </c>
      <c r="E1816">
        <f>COUNTIF(tweets!C:C,D1816)</f>
        <v>1</v>
      </c>
      <c r="I1816"/>
      <c r="J1816"/>
    </row>
    <row r="1817" spans="4:10" x14ac:dyDescent="0.2">
      <c r="D1817" t="s">
        <v>7278</v>
      </c>
      <c r="E1817">
        <f>COUNTIF(tweets!C:C,D1817)</f>
        <v>1</v>
      </c>
      <c r="I1817"/>
      <c r="J1817"/>
    </row>
    <row r="1818" spans="4:10" x14ac:dyDescent="0.2">
      <c r="D1818" t="s">
        <v>7281</v>
      </c>
      <c r="E1818">
        <f>COUNTIF(tweets!C:C,D1818)</f>
        <v>1</v>
      </c>
      <c r="I1818"/>
      <c r="J1818"/>
    </row>
    <row r="1819" spans="4:10" x14ac:dyDescent="0.2">
      <c r="D1819" t="s">
        <v>7285</v>
      </c>
      <c r="E1819">
        <f>COUNTIF(tweets!C:C,D1819)</f>
        <v>1</v>
      </c>
      <c r="I1819"/>
      <c r="J1819"/>
    </row>
    <row r="1820" spans="4:10" x14ac:dyDescent="0.2">
      <c r="D1820" t="s">
        <v>7289</v>
      </c>
      <c r="E1820">
        <f>COUNTIF(tweets!C:C,D1820)</f>
        <v>1</v>
      </c>
      <c r="I1820"/>
      <c r="J1820"/>
    </row>
    <row r="1821" spans="4:10" x14ac:dyDescent="0.2">
      <c r="D1821" t="s">
        <v>7293</v>
      </c>
      <c r="E1821">
        <f>COUNTIF(tweets!C:C,D1821)</f>
        <v>1</v>
      </c>
      <c r="I1821"/>
      <c r="J1821"/>
    </row>
    <row r="1822" spans="4:10" x14ac:dyDescent="0.2">
      <c r="D1822" t="s">
        <v>7296</v>
      </c>
      <c r="E1822">
        <f>COUNTIF(tweets!C:C,D1822)</f>
        <v>1</v>
      </c>
      <c r="I1822"/>
      <c r="J1822"/>
    </row>
    <row r="1823" spans="4:10" x14ac:dyDescent="0.2">
      <c r="D1823" t="s">
        <v>7299</v>
      </c>
      <c r="E1823">
        <f>COUNTIF(tweets!C:C,D1823)</f>
        <v>1</v>
      </c>
      <c r="I1823"/>
      <c r="J1823"/>
    </row>
    <row r="1824" spans="4:10" x14ac:dyDescent="0.2">
      <c r="D1824" t="s">
        <v>7310</v>
      </c>
      <c r="E1824">
        <f>COUNTIF(tweets!C:C,D1824)</f>
        <v>1</v>
      </c>
      <c r="I1824"/>
      <c r="J1824"/>
    </row>
    <row r="1825" spans="4:10" x14ac:dyDescent="0.2">
      <c r="D1825" t="s">
        <v>7314</v>
      </c>
      <c r="E1825">
        <f>COUNTIF(tweets!C:C,D1825)</f>
        <v>1</v>
      </c>
      <c r="I1825"/>
      <c r="J1825"/>
    </row>
    <row r="1826" spans="4:10" x14ac:dyDescent="0.2">
      <c r="D1826" t="s">
        <v>7321</v>
      </c>
      <c r="E1826">
        <f>COUNTIF(tweets!C:C,D1826)</f>
        <v>1</v>
      </c>
      <c r="I1826"/>
      <c r="J1826"/>
    </row>
    <row r="1827" spans="4:10" x14ac:dyDescent="0.2">
      <c r="D1827" t="s">
        <v>7324</v>
      </c>
      <c r="E1827">
        <f>COUNTIF(tweets!C:C,D1827)</f>
        <v>1</v>
      </c>
      <c r="I1827"/>
      <c r="J1827"/>
    </row>
    <row r="1828" spans="4:10" x14ac:dyDescent="0.2">
      <c r="D1828" t="s">
        <v>7327</v>
      </c>
      <c r="E1828">
        <f>COUNTIF(tweets!C:C,D1828)</f>
        <v>1</v>
      </c>
      <c r="I1828"/>
      <c r="J1828"/>
    </row>
    <row r="1829" spans="4:10" x14ac:dyDescent="0.2">
      <c r="D1829" t="s">
        <v>7330</v>
      </c>
      <c r="E1829">
        <f>COUNTIF(tweets!C:C,D1829)</f>
        <v>1</v>
      </c>
      <c r="I1829"/>
      <c r="J1829"/>
    </row>
    <row r="1830" spans="4:10" x14ac:dyDescent="0.2">
      <c r="D1830" t="s">
        <v>7333</v>
      </c>
      <c r="E1830">
        <f>COUNTIF(tweets!C:C,D1830)</f>
        <v>1</v>
      </c>
      <c r="I1830"/>
      <c r="J1830"/>
    </row>
    <row r="1831" spans="4:10" x14ac:dyDescent="0.2">
      <c r="D1831" t="s">
        <v>7336</v>
      </c>
      <c r="E1831">
        <f>COUNTIF(tweets!C:C,D1831)</f>
        <v>1</v>
      </c>
      <c r="I1831"/>
      <c r="J1831"/>
    </row>
    <row r="1832" spans="4:10" x14ac:dyDescent="0.2">
      <c r="D1832" t="s">
        <v>7340</v>
      </c>
      <c r="E1832">
        <f>COUNTIF(tweets!C:C,D1832)</f>
        <v>1</v>
      </c>
      <c r="I1832"/>
      <c r="J1832"/>
    </row>
    <row r="1833" spans="4:10" x14ac:dyDescent="0.2">
      <c r="D1833" t="s">
        <v>7344</v>
      </c>
      <c r="E1833">
        <f>COUNTIF(tweets!C:C,D1833)</f>
        <v>1</v>
      </c>
      <c r="I1833"/>
      <c r="J1833"/>
    </row>
    <row r="1834" spans="4:10" x14ac:dyDescent="0.2">
      <c r="D1834" t="s">
        <v>7348</v>
      </c>
      <c r="E1834">
        <f>COUNTIF(tweets!C:C,D1834)</f>
        <v>1</v>
      </c>
      <c r="I1834"/>
      <c r="J1834"/>
    </row>
    <row r="1835" spans="4:10" x14ac:dyDescent="0.2">
      <c r="D1835" t="s">
        <v>7355</v>
      </c>
      <c r="E1835">
        <f>COUNTIF(tweets!C:C,D1835)</f>
        <v>1</v>
      </c>
      <c r="I1835"/>
      <c r="J1835"/>
    </row>
    <row r="1836" spans="4:10" x14ac:dyDescent="0.2">
      <c r="D1836" t="s">
        <v>7360</v>
      </c>
      <c r="E1836">
        <f>COUNTIF(tweets!C:C,D1836)</f>
        <v>1</v>
      </c>
      <c r="I1836"/>
      <c r="J1836"/>
    </row>
    <row r="1837" spans="4:10" x14ac:dyDescent="0.2">
      <c r="D1837" t="s">
        <v>7364</v>
      </c>
      <c r="E1837">
        <f>COUNTIF(tweets!C:C,D1837)</f>
        <v>1</v>
      </c>
      <c r="I1837"/>
      <c r="J1837"/>
    </row>
    <row r="1838" spans="4:10" x14ac:dyDescent="0.2">
      <c r="D1838" t="s">
        <v>7368</v>
      </c>
      <c r="E1838">
        <f>COUNTIF(tweets!C:C,D1838)</f>
        <v>1</v>
      </c>
      <c r="I1838"/>
      <c r="J1838"/>
    </row>
    <row r="1839" spans="4:10" x14ac:dyDescent="0.2">
      <c r="D1839" t="s">
        <v>7371</v>
      </c>
      <c r="E1839">
        <f>COUNTIF(tweets!C:C,D1839)</f>
        <v>1</v>
      </c>
      <c r="I1839"/>
      <c r="J1839"/>
    </row>
    <row r="1840" spans="4:10" x14ac:dyDescent="0.2">
      <c r="D1840" t="s">
        <v>7374</v>
      </c>
      <c r="E1840">
        <f>COUNTIF(tweets!C:C,D1840)</f>
        <v>1</v>
      </c>
      <c r="I1840"/>
      <c r="J1840"/>
    </row>
    <row r="1841" spans="4:10" x14ac:dyDescent="0.2">
      <c r="D1841" t="s">
        <v>7383</v>
      </c>
      <c r="E1841">
        <f>COUNTIF(tweets!C:C,D1841)</f>
        <v>1</v>
      </c>
      <c r="I1841"/>
      <c r="J1841"/>
    </row>
    <row r="1842" spans="4:10" x14ac:dyDescent="0.2">
      <c r="D1842" t="s">
        <v>7386</v>
      </c>
      <c r="E1842">
        <f>COUNTIF(tweets!C:C,D1842)</f>
        <v>1</v>
      </c>
      <c r="I1842"/>
      <c r="J1842"/>
    </row>
    <row r="1843" spans="4:10" x14ac:dyDescent="0.2">
      <c r="D1843" t="s">
        <v>7391</v>
      </c>
      <c r="E1843">
        <f>COUNTIF(tweets!C:C,D1843)</f>
        <v>1</v>
      </c>
      <c r="I1843"/>
      <c r="J1843"/>
    </row>
    <row r="1844" spans="4:10" x14ac:dyDescent="0.2">
      <c r="D1844" t="s">
        <v>7395</v>
      </c>
      <c r="E1844">
        <f>COUNTIF(tweets!C:C,D1844)</f>
        <v>1</v>
      </c>
      <c r="I1844"/>
      <c r="J1844"/>
    </row>
    <row r="1845" spans="4:10" x14ac:dyDescent="0.2">
      <c r="D1845" t="s">
        <v>7398</v>
      </c>
      <c r="E1845">
        <f>COUNTIF(tweets!C:C,D1845)</f>
        <v>1</v>
      </c>
      <c r="I1845"/>
      <c r="J1845"/>
    </row>
    <row r="1846" spans="4:10" x14ac:dyDescent="0.2">
      <c r="D1846" t="s">
        <v>7401</v>
      </c>
      <c r="E1846">
        <f>COUNTIF(tweets!C:C,D1846)</f>
        <v>1</v>
      </c>
      <c r="I1846"/>
      <c r="J1846"/>
    </row>
    <row r="1847" spans="4:10" x14ac:dyDescent="0.2">
      <c r="D1847" t="s">
        <v>7408</v>
      </c>
      <c r="E1847">
        <f>COUNTIF(tweets!C:C,D1847)</f>
        <v>1</v>
      </c>
      <c r="I1847"/>
      <c r="J1847"/>
    </row>
    <row r="1848" spans="4:10" x14ac:dyDescent="0.2">
      <c r="D1848" t="s">
        <v>7411</v>
      </c>
      <c r="E1848">
        <f>COUNTIF(tweets!C:C,D1848)</f>
        <v>1</v>
      </c>
      <c r="I1848"/>
      <c r="J1848"/>
    </row>
    <row r="1849" spans="4:10" x14ac:dyDescent="0.2">
      <c r="D1849" t="s">
        <v>7414</v>
      </c>
      <c r="E1849">
        <f>COUNTIF(tweets!C:C,D1849)</f>
        <v>1</v>
      </c>
      <c r="I1849"/>
      <c r="J1849"/>
    </row>
    <row r="1850" spans="4:10" x14ac:dyDescent="0.2">
      <c r="D1850" t="s">
        <v>7418</v>
      </c>
      <c r="E1850">
        <f>COUNTIF(tweets!C:C,D1850)</f>
        <v>1</v>
      </c>
      <c r="I1850"/>
      <c r="J1850"/>
    </row>
    <row r="1851" spans="4:10" x14ac:dyDescent="0.2">
      <c r="D1851" t="s">
        <v>7422</v>
      </c>
      <c r="E1851">
        <f>COUNTIF(tweets!C:C,D1851)</f>
        <v>1</v>
      </c>
      <c r="I1851"/>
      <c r="J1851"/>
    </row>
    <row r="1852" spans="4:10" x14ac:dyDescent="0.2">
      <c r="D1852" t="s">
        <v>7426</v>
      </c>
      <c r="E1852">
        <f>COUNTIF(tweets!C:C,D1852)</f>
        <v>1</v>
      </c>
      <c r="I1852"/>
      <c r="J1852"/>
    </row>
    <row r="1853" spans="4:10" x14ac:dyDescent="0.2">
      <c r="D1853" t="s">
        <v>7431</v>
      </c>
      <c r="E1853">
        <f>COUNTIF(tweets!C:C,D1853)</f>
        <v>1</v>
      </c>
      <c r="I1853"/>
      <c r="J1853"/>
    </row>
    <row r="1854" spans="4:10" x14ac:dyDescent="0.2">
      <c r="D1854" t="s">
        <v>7434</v>
      </c>
      <c r="E1854">
        <f>COUNTIF(tweets!C:C,D1854)</f>
        <v>1</v>
      </c>
      <c r="I1854"/>
      <c r="J1854"/>
    </row>
    <row r="1855" spans="4:10" x14ac:dyDescent="0.2">
      <c r="D1855" t="s">
        <v>7438</v>
      </c>
      <c r="E1855">
        <f>COUNTIF(tweets!C:C,D1855)</f>
        <v>1</v>
      </c>
      <c r="I1855"/>
      <c r="J1855"/>
    </row>
    <row r="1856" spans="4:10" x14ac:dyDescent="0.2">
      <c r="D1856" t="s">
        <v>7442</v>
      </c>
      <c r="E1856">
        <f>COUNTIF(tweets!C:C,D1856)</f>
        <v>1</v>
      </c>
      <c r="I1856"/>
      <c r="J1856"/>
    </row>
    <row r="1857" spans="4:10" x14ac:dyDescent="0.2">
      <c r="D1857" t="s">
        <v>7446</v>
      </c>
      <c r="E1857">
        <f>COUNTIF(tweets!C:C,D1857)</f>
        <v>1</v>
      </c>
      <c r="I1857"/>
      <c r="J1857"/>
    </row>
    <row r="1858" spans="4:10" x14ac:dyDescent="0.2">
      <c r="D1858" t="s">
        <v>7450</v>
      </c>
      <c r="E1858">
        <f>COUNTIF(tweets!C:C,D1858)</f>
        <v>1</v>
      </c>
      <c r="I1858"/>
      <c r="J1858"/>
    </row>
    <row r="1859" spans="4:10" x14ac:dyDescent="0.2">
      <c r="D1859" t="s">
        <v>7453</v>
      </c>
      <c r="E1859">
        <f>COUNTIF(tweets!C:C,D1859)</f>
        <v>1</v>
      </c>
      <c r="I1859"/>
      <c r="J1859"/>
    </row>
    <row r="1860" spans="4:10" x14ac:dyDescent="0.2">
      <c r="D1860" t="s">
        <v>7457</v>
      </c>
      <c r="E1860">
        <f>COUNTIF(tweets!C:C,D1860)</f>
        <v>1</v>
      </c>
      <c r="I1860"/>
      <c r="J1860"/>
    </row>
    <row r="1861" spans="4:10" x14ac:dyDescent="0.2">
      <c r="D1861" t="s">
        <v>7460</v>
      </c>
      <c r="E1861">
        <f>COUNTIF(tweets!C:C,D1861)</f>
        <v>1</v>
      </c>
      <c r="I1861"/>
      <c r="J1861"/>
    </row>
    <row r="1862" spans="4:10" x14ac:dyDescent="0.2">
      <c r="D1862" t="s">
        <v>7464</v>
      </c>
      <c r="E1862">
        <f>COUNTIF(tweets!C:C,D1862)</f>
        <v>1</v>
      </c>
      <c r="I1862"/>
      <c r="J1862"/>
    </row>
    <row r="1863" spans="4:10" x14ac:dyDescent="0.2">
      <c r="D1863" t="s">
        <v>7467</v>
      </c>
      <c r="E1863">
        <f>COUNTIF(tweets!C:C,D1863)</f>
        <v>1</v>
      </c>
      <c r="I1863"/>
      <c r="J1863"/>
    </row>
    <row r="1864" spans="4:10" x14ac:dyDescent="0.2">
      <c r="D1864" t="s">
        <v>7470</v>
      </c>
      <c r="E1864">
        <f>COUNTIF(tweets!C:C,D1864)</f>
        <v>1</v>
      </c>
      <c r="I1864"/>
      <c r="J1864"/>
    </row>
    <row r="1865" spans="4:10" x14ac:dyDescent="0.2">
      <c r="D1865" t="s">
        <v>7473</v>
      </c>
      <c r="E1865">
        <f>COUNTIF(tweets!C:C,D1865)</f>
        <v>1</v>
      </c>
      <c r="I1865"/>
      <c r="J1865"/>
    </row>
    <row r="1866" spans="4:10" x14ac:dyDescent="0.2">
      <c r="D1866" t="s">
        <v>7476</v>
      </c>
      <c r="E1866">
        <f>COUNTIF(tweets!C:C,D1866)</f>
        <v>1</v>
      </c>
      <c r="I1866"/>
      <c r="J1866"/>
    </row>
    <row r="1867" spans="4:10" x14ac:dyDescent="0.2">
      <c r="D1867" t="s">
        <v>7482</v>
      </c>
      <c r="E1867">
        <f>COUNTIF(tweets!C:C,D1867)</f>
        <v>1</v>
      </c>
      <c r="I1867"/>
      <c r="J1867"/>
    </row>
    <row r="1868" spans="4:10" x14ac:dyDescent="0.2">
      <c r="D1868" t="s">
        <v>7485</v>
      </c>
      <c r="E1868">
        <f>COUNTIF(tweets!C:C,D1868)</f>
        <v>1</v>
      </c>
      <c r="I1868"/>
      <c r="J1868"/>
    </row>
    <row r="1869" spans="4:10" x14ac:dyDescent="0.2">
      <c r="D1869" t="s">
        <v>7489</v>
      </c>
      <c r="E1869">
        <f>COUNTIF(tweets!C:C,D1869)</f>
        <v>1</v>
      </c>
      <c r="I1869"/>
      <c r="J1869"/>
    </row>
    <row r="1870" spans="4:10" x14ac:dyDescent="0.2">
      <c r="D1870" t="s">
        <v>7493</v>
      </c>
      <c r="E1870">
        <f>COUNTIF(tweets!C:C,D1870)</f>
        <v>1</v>
      </c>
      <c r="I1870"/>
      <c r="J1870"/>
    </row>
    <row r="1871" spans="4:10" x14ac:dyDescent="0.2">
      <c r="D1871" t="s">
        <v>7496</v>
      </c>
      <c r="E1871">
        <f>COUNTIF(tweets!C:C,D1871)</f>
        <v>1</v>
      </c>
      <c r="I1871"/>
      <c r="J1871"/>
    </row>
    <row r="1872" spans="4:10" x14ac:dyDescent="0.2">
      <c r="D1872" t="s">
        <v>7500</v>
      </c>
      <c r="E1872">
        <f>COUNTIF(tweets!C:C,D1872)</f>
        <v>1</v>
      </c>
      <c r="I1872"/>
      <c r="J1872"/>
    </row>
    <row r="1873" spans="4:10" x14ac:dyDescent="0.2">
      <c r="D1873" t="s">
        <v>7504</v>
      </c>
      <c r="E1873">
        <f>COUNTIF(tweets!C:C,D1873)</f>
        <v>1</v>
      </c>
      <c r="I1873"/>
      <c r="J1873"/>
    </row>
    <row r="1874" spans="4:10" x14ac:dyDescent="0.2">
      <c r="D1874" t="s">
        <v>7508</v>
      </c>
      <c r="E1874">
        <f>COUNTIF(tweets!C:C,D1874)</f>
        <v>1</v>
      </c>
      <c r="I1874"/>
      <c r="J1874"/>
    </row>
    <row r="1875" spans="4:10" x14ac:dyDescent="0.2">
      <c r="D1875" t="s">
        <v>7511</v>
      </c>
      <c r="E1875">
        <f>COUNTIF(tweets!C:C,D1875)</f>
        <v>1</v>
      </c>
      <c r="I1875"/>
      <c r="J1875"/>
    </row>
    <row r="1876" spans="4:10" x14ac:dyDescent="0.2">
      <c r="D1876" t="s">
        <v>7515</v>
      </c>
      <c r="E1876">
        <f>COUNTIF(tweets!C:C,D1876)</f>
        <v>1</v>
      </c>
      <c r="I1876"/>
      <c r="J1876"/>
    </row>
    <row r="1877" spans="4:10" x14ac:dyDescent="0.2">
      <c r="D1877" t="s">
        <v>7518</v>
      </c>
      <c r="E1877">
        <f>COUNTIF(tweets!C:C,D1877)</f>
        <v>1</v>
      </c>
      <c r="I1877"/>
      <c r="J1877"/>
    </row>
    <row r="1878" spans="4:10" x14ac:dyDescent="0.2">
      <c r="D1878" t="s">
        <v>7522</v>
      </c>
      <c r="E1878">
        <f>COUNTIF(tweets!C:C,D1878)</f>
        <v>1</v>
      </c>
      <c r="I1878"/>
      <c r="J1878"/>
    </row>
    <row r="1879" spans="4:10" x14ac:dyDescent="0.2">
      <c r="D1879" t="s">
        <v>7528</v>
      </c>
      <c r="E1879">
        <f>COUNTIF(tweets!C:C,D1879)</f>
        <v>1</v>
      </c>
      <c r="I1879"/>
      <c r="J1879"/>
    </row>
    <row r="1880" spans="4:10" x14ac:dyDescent="0.2">
      <c r="D1880" t="s">
        <v>7532</v>
      </c>
      <c r="E1880">
        <f>COUNTIF(tweets!C:C,D1880)</f>
        <v>1</v>
      </c>
      <c r="I1880"/>
      <c r="J1880"/>
    </row>
    <row r="1881" spans="4:10" x14ac:dyDescent="0.2">
      <c r="D1881" t="s">
        <v>7535</v>
      </c>
      <c r="E1881">
        <f>COUNTIF(tweets!C:C,D1881)</f>
        <v>1</v>
      </c>
      <c r="I1881"/>
      <c r="J1881"/>
    </row>
    <row r="1882" spans="4:10" x14ac:dyDescent="0.2">
      <c r="D1882" t="s">
        <v>7539</v>
      </c>
      <c r="E1882">
        <f>COUNTIF(tweets!C:C,D1882)</f>
        <v>1</v>
      </c>
      <c r="I1882"/>
      <c r="J1882"/>
    </row>
    <row r="1883" spans="4:10" x14ac:dyDescent="0.2">
      <c r="D1883" t="s">
        <v>7542</v>
      </c>
      <c r="E1883">
        <f>COUNTIF(tweets!C:C,D1883)</f>
        <v>1</v>
      </c>
      <c r="I1883"/>
      <c r="J1883"/>
    </row>
    <row r="1884" spans="4:10" x14ac:dyDescent="0.2">
      <c r="D1884" t="s">
        <v>7546</v>
      </c>
      <c r="E1884">
        <f>COUNTIF(tweets!C:C,D1884)</f>
        <v>1</v>
      </c>
      <c r="I1884"/>
      <c r="J1884"/>
    </row>
    <row r="1885" spans="4:10" x14ac:dyDescent="0.2">
      <c r="D1885" t="s">
        <v>7553</v>
      </c>
      <c r="E1885">
        <f>COUNTIF(tweets!C:C,D1885)</f>
        <v>1</v>
      </c>
      <c r="I1885"/>
      <c r="J1885"/>
    </row>
    <row r="1886" spans="4:10" x14ac:dyDescent="0.2">
      <c r="D1886" t="s">
        <v>7562</v>
      </c>
      <c r="E1886">
        <f>COUNTIF(tweets!C:C,D1886)</f>
        <v>1</v>
      </c>
      <c r="I1886"/>
      <c r="J1886"/>
    </row>
    <row r="1887" spans="4:10" x14ac:dyDescent="0.2">
      <c r="D1887" t="s">
        <v>7571</v>
      </c>
      <c r="E1887">
        <f>COUNTIF(tweets!C:C,D1887)</f>
        <v>1</v>
      </c>
      <c r="I1887"/>
      <c r="J1887"/>
    </row>
    <row r="1888" spans="4:10" x14ac:dyDescent="0.2">
      <c r="D1888" t="s">
        <v>7573</v>
      </c>
      <c r="E1888">
        <f>COUNTIF(tweets!C:C,D1888)</f>
        <v>1</v>
      </c>
      <c r="I1888"/>
      <c r="J1888"/>
    </row>
    <row r="1889" spans="4:10" x14ac:dyDescent="0.2">
      <c r="D1889" t="s">
        <v>7577</v>
      </c>
      <c r="E1889">
        <f>COUNTIF(tweets!C:C,D1889)</f>
        <v>1</v>
      </c>
      <c r="I1889"/>
      <c r="J1889"/>
    </row>
    <row r="1890" spans="4:10" x14ac:dyDescent="0.2">
      <c r="D1890" t="s">
        <v>7582</v>
      </c>
      <c r="E1890">
        <f>COUNTIF(tweets!C:C,D1890)</f>
        <v>1</v>
      </c>
      <c r="I1890"/>
      <c r="J1890"/>
    </row>
    <row r="1891" spans="4:10" x14ac:dyDescent="0.2">
      <c r="D1891" t="s">
        <v>7585</v>
      </c>
      <c r="E1891">
        <f>COUNTIF(tweets!C:C,D1891)</f>
        <v>1</v>
      </c>
      <c r="I1891"/>
      <c r="J1891"/>
    </row>
    <row r="1892" spans="4:10" x14ac:dyDescent="0.2">
      <c r="D1892" t="s">
        <v>7588</v>
      </c>
      <c r="E1892">
        <f>COUNTIF(tweets!C:C,D1892)</f>
        <v>1</v>
      </c>
      <c r="I1892"/>
      <c r="J1892"/>
    </row>
    <row r="1893" spans="4:10" x14ac:dyDescent="0.2">
      <c r="D1893" t="s">
        <v>7594</v>
      </c>
      <c r="E1893">
        <f>COUNTIF(tweets!C:C,D1893)</f>
        <v>1</v>
      </c>
      <c r="I1893"/>
      <c r="J1893"/>
    </row>
    <row r="1894" spans="4:10" x14ac:dyDescent="0.2">
      <c r="D1894" t="s">
        <v>7596</v>
      </c>
      <c r="E1894">
        <f>COUNTIF(tweets!C:C,D1894)</f>
        <v>1</v>
      </c>
      <c r="I1894"/>
      <c r="J1894"/>
    </row>
    <row r="1895" spans="4:10" x14ac:dyDescent="0.2">
      <c r="D1895" t="s">
        <v>7600</v>
      </c>
      <c r="E1895">
        <f>COUNTIF(tweets!C:C,D1895)</f>
        <v>1</v>
      </c>
      <c r="I1895"/>
      <c r="J1895"/>
    </row>
    <row r="1896" spans="4:10" x14ac:dyDescent="0.2">
      <c r="D1896" t="s">
        <v>7603</v>
      </c>
      <c r="E1896">
        <f>COUNTIF(tweets!C:C,D1896)</f>
        <v>1</v>
      </c>
      <c r="I1896"/>
      <c r="J1896"/>
    </row>
    <row r="1897" spans="4:10" x14ac:dyDescent="0.2">
      <c r="D1897" t="s">
        <v>7606</v>
      </c>
      <c r="E1897">
        <f>COUNTIF(tweets!C:C,D1897)</f>
        <v>1</v>
      </c>
      <c r="I1897"/>
      <c r="J1897"/>
    </row>
    <row r="1898" spans="4:10" x14ac:dyDescent="0.2">
      <c r="D1898" t="s">
        <v>7610</v>
      </c>
      <c r="E1898">
        <f>COUNTIF(tweets!C:C,D1898)</f>
        <v>1</v>
      </c>
      <c r="I1898"/>
      <c r="J1898"/>
    </row>
    <row r="1899" spans="4:10" x14ac:dyDescent="0.2">
      <c r="D1899" t="s">
        <v>7612</v>
      </c>
      <c r="E1899">
        <f>COUNTIF(tweets!C:C,D1899)</f>
        <v>1</v>
      </c>
      <c r="I1899"/>
      <c r="J1899"/>
    </row>
    <row r="1900" spans="4:10" x14ac:dyDescent="0.2">
      <c r="D1900" t="s">
        <v>7615</v>
      </c>
      <c r="E1900">
        <f>COUNTIF(tweets!C:C,D1900)</f>
        <v>1</v>
      </c>
      <c r="I1900"/>
      <c r="J1900"/>
    </row>
    <row r="1901" spans="4:10" x14ac:dyDescent="0.2">
      <c r="D1901" t="s">
        <v>7623</v>
      </c>
      <c r="E1901">
        <f>COUNTIF(tweets!C:C,D1901)</f>
        <v>1</v>
      </c>
      <c r="I1901"/>
      <c r="J1901"/>
    </row>
    <row r="1902" spans="4:10" x14ac:dyDescent="0.2">
      <c r="D1902" t="s">
        <v>7628</v>
      </c>
      <c r="E1902">
        <f>COUNTIF(tweets!C:C,D1902)</f>
        <v>1</v>
      </c>
      <c r="I1902"/>
      <c r="J1902"/>
    </row>
    <row r="1903" spans="4:10" x14ac:dyDescent="0.2">
      <c r="D1903" t="s">
        <v>7645</v>
      </c>
      <c r="E1903">
        <f>COUNTIF(tweets!C:C,D1903)</f>
        <v>1</v>
      </c>
      <c r="I1903"/>
      <c r="J1903"/>
    </row>
    <row r="1904" spans="4:10" x14ac:dyDescent="0.2">
      <c r="D1904" t="s">
        <v>7652</v>
      </c>
      <c r="E1904">
        <f>COUNTIF(tweets!C:C,D1904)</f>
        <v>1</v>
      </c>
      <c r="I1904"/>
      <c r="J1904"/>
    </row>
    <row r="1905" spans="4:10" x14ac:dyDescent="0.2">
      <c r="D1905" t="s">
        <v>7657</v>
      </c>
      <c r="E1905">
        <f>COUNTIF(tweets!C:C,D1905)</f>
        <v>1</v>
      </c>
      <c r="I1905"/>
      <c r="J1905"/>
    </row>
    <row r="1906" spans="4:10" x14ac:dyDescent="0.2">
      <c r="D1906" t="s">
        <v>7667</v>
      </c>
      <c r="E1906">
        <f>COUNTIF(tweets!C:C,D1906)</f>
        <v>1</v>
      </c>
      <c r="I1906"/>
      <c r="J1906"/>
    </row>
    <row r="1907" spans="4:10" x14ac:dyDescent="0.2">
      <c r="D1907" t="s">
        <v>7665</v>
      </c>
      <c r="E1907">
        <f>COUNTIF(tweets!C:C,D1907)</f>
        <v>1</v>
      </c>
      <c r="I1907"/>
      <c r="J1907"/>
    </row>
    <row r="1908" spans="4:10" x14ac:dyDescent="0.2">
      <c r="D1908" t="s">
        <v>7671</v>
      </c>
      <c r="E1908">
        <f>COUNTIF(tweets!C:C,D1908)</f>
        <v>1</v>
      </c>
      <c r="I1908"/>
      <c r="J1908"/>
    </row>
    <row r="1909" spans="4:10" x14ac:dyDescent="0.2">
      <c r="D1909" t="s">
        <v>7680</v>
      </c>
      <c r="E1909">
        <f>COUNTIF(tweets!C:C,D1909)</f>
        <v>1</v>
      </c>
      <c r="I1909"/>
      <c r="J1909"/>
    </row>
    <row r="1910" spans="4:10" x14ac:dyDescent="0.2">
      <c r="D1910" t="s">
        <v>7683</v>
      </c>
      <c r="E1910">
        <f>COUNTIF(tweets!C:C,D1910)</f>
        <v>1</v>
      </c>
      <c r="I1910"/>
      <c r="J1910"/>
    </row>
    <row r="1911" spans="4:10" x14ac:dyDescent="0.2">
      <c r="D1911" t="s">
        <v>7686</v>
      </c>
      <c r="E1911">
        <f>COUNTIF(tweets!C:C,D1911)</f>
        <v>1</v>
      </c>
      <c r="I1911"/>
      <c r="J1911"/>
    </row>
    <row r="1912" spans="4:10" x14ac:dyDescent="0.2">
      <c r="D1912" t="s">
        <v>7691</v>
      </c>
      <c r="E1912">
        <f>COUNTIF(tweets!C:C,D1912)</f>
        <v>1</v>
      </c>
      <c r="I1912"/>
      <c r="J1912"/>
    </row>
    <row r="1913" spans="4:10" x14ac:dyDescent="0.2">
      <c r="D1913" t="s">
        <v>7695</v>
      </c>
      <c r="E1913">
        <f>COUNTIF(tweets!C:C,D1913)</f>
        <v>1</v>
      </c>
      <c r="I1913"/>
      <c r="J1913"/>
    </row>
    <row r="1914" spans="4:10" x14ac:dyDescent="0.2">
      <c r="D1914" t="s">
        <v>7698</v>
      </c>
      <c r="E1914">
        <f>COUNTIF(tweets!C:C,D1914)</f>
        <v>1</v>
      </c>
      <c r="I1914"/>
      <c r="J1914"/>
    </row>
    <row r="1915" spans="4:10" x14ac:dyDescent="0.2">
      <c r="D1915" t="s">
        <v>7702</v>
      </c>
      <c r="E1915">
        <f>COUNTIF(tweets!C:C,D1915)</f>
        <v>1</v>
      </c>
      <c r="I1915"/>
      <c r="J1915"/>
    </row>
    <row r="1916" spans="4:10" x14ac:dyDescent="0.2">
      <c r="D1916" t="s">
        <v>7705</v>
      </c>
      <c r="E1916">
        <f>COUNTIF(tweets!C:C,D1916)</f>
        <v>1</v>
      </c>
      <c r="I1916"/>
      <c r="J1916"/>
    </row>
    <row r="1917" spans="4:10" x14ac:dyDescent="0.2">
      <c r="D1917" t="s">
        <v>7709</v>
      </c>
      <c r="E1917">
        <f>COUNTIF(tweets!C:C,D1917)</f>
        <v>1</v>
      </c>
      <c r="I1917"/>
      <c r="J1917"/>
    </row>
    <row r="1918" spans="4:10" x14ac:dyDescent="0.2">
      <c r="D1918" t="s">
        <v>7712</v>
      </c>
      <c r="E1918">
        <f>COUNTIF(tweets!C:C,D1918)</f>
        <v>1</v>
      </c>
      <c r="I1918"/>
      <c r="J1918"/>
    </row>
    <row r="1919" spans="4:10" x14ac:dyDescent="0.2">
      <c r="D1919" t="s">
        <v>7720</v>
      </c>
      <c r="E1919">
        <f>COUNTIF(tweets!C:C,D1919)</f>
        <v>1</v>
      </c>
      <c r="I1919"/>
      <c r="J1919"/>
    </row>
    <row r="1920" spans="4:10" x14ac:dyDescent="0.2">
      <c r="D1920" t="s">
        <v>7724</v>
      </c>
      <c r="E1920">
        <f>COUNTIF(tweets!C:C,D1920)</f>
        <v>1</v>
      </c>
      <c r="I1920"/>
      <c r="J1920"/>
    </row>
    <row r="1921" spans="4:10" x14ac:dyDescent="0.2">
      <c r="D1921" t="s">
        <v>7726</v>
      </c>
      <c r="E1921">
        <f>COUNTIF(tweets!C:C,D1921)</f>
        <v>1</v>
      </c>
      <c r="I1921"/>
      <c r="J1921"/>
    </row>
    <row r="1922" spans="4:10" x14ac:dyDescent="0.2">
      <c r="D1922" t="s">
        <v>7731</v>
      </c>
      <c r="E1922">
        <f>COUNTIF(tweets!C:C,D1922)</f>
        <v>1</v>
      </c>
      <c r="I1922"/>
      <c r="J1922"/>
    </row>
    <row r="1923" spans="4:10" x14ac:dyDescent="0.2">
      <c r="D1923" t="s">
        <v>7747</v>
      </c>
      <c r="E1923">
        <f>COUNTIF(tweets!C:C,D1923)</f>
        <v>1</v>
      </c>
      <c r="I1923"/>
      <c r="J1923"/>
    </row>
    <row r="1924" spans="4:10" x14ac:dyDescent="0.2">
      <c r="D1924" t="s">
        <v>7750</v>
      </c>
      <c r="E1924">
        <f>COUNTIF(tweets!C:C,D1924)</f>
        <v>1</v>
      </c>
      <c r="I1924"/>
      <c r="J1924"/>
    </row>
    <row r="1925" spans="4:10" x14ac:dyDescent="0.2">
      <c r="D1925" t="s">
        <v>7753</v>
      </c>
      <c r="E1925">
        <f>COUNTIF(tweets!C:C,D1925)</f>
        <v>1</v>
      </c>
      <c r="I1925"/>
      <c r="J1925"/>
    </row>
    <row r="1926" spans="4:10" x14ac:dyDescent="0.2">
      <c r="D1926" t="s">
        <v>7757</v>
      </c>
      <c r="E1926">
        <f>COUNTIF(tweets!C:C,D1926)</f>
        <v>1</v>
      </c>
      <c r="I1926"/>
      <c r="J1926"/>
    </row>
    <row r="1927" spans="4:10" x14ac:dyDescent="0.2">
      <c r="D1927" t="s">
        <v>7760</v>
      </c>
      <c r="E1927">
        <f>COUNTIF(tweets!C:C,D1927)</f>
        <v>1</v>
      </c>
      <c r="I1927"/>
      <c r="J1927"/>
    </row>
    <row r="1928" spans="4:10" x14ac:dyDescent="0.2">
      <c r="D1928" t="s">
        <v>7763</v>
      </c>
      <c r="E1928">
        <f>COUNTIF(tweets!C:C,D1928)</f>
        <v>1</v>
      </c>
      <c r="I1928"/>
      <c r="J1928"/>
    </row>
    <row r="1929" spans="4:10" x14ac:dyDescent="0.2">
      <c r="D1929" t="s">
        <v>7766</v>
      </c>
      <c r="E1929">
        <f>COUNTIF(tweets!C:C,D1929)</f>
        <v>1</v>
      </c>
      <c r="I1929"/>
      <c r="J1929"/>
    </row>
    <row r="1930" spans="4:10" x14ac:dyDescent="0.2">
      <c r="D1930" t="s">
        <v>7770</v>
      </c>
      <c r="E1930">
        <f>COUNTIF(tweets!C:C,D1930)</f>
        <v>1</v>
      </c>
      <c r="I1930"/>
      <c r="J1930"/>
    </row>
    <row r="1931" spans="4:10" x14ac:dyDescent="0.2">
      <c r="D1931" t="s">
        <v>7773</v>
      </c>
      <c r="E1931">
        <f>COUNTIF(tweets!C:C,D1931)</f>
        <v>1</v>
      </c>
      <c r="I1931"/>
      <c r="J1931"/>
    </row>
    <row r="1932" spans="4:10" x14ac:dyDescent="0.2">
      <c r="D1932" t="s">
        <v>7780</v>
      </c>
      <c r="E1932">
        <f>COUNTIF(tweets!C:C,D1932)</f>
        <v>1</v>
      </c>
      <c r="I1932"/>
      <c r="J1932"/>
    </row>
    <row r="1933" spans="4:10" x14ac:dyDescent="0.2">
      <c r="D1933" t="s">
        <v>7785</v>
      </c>
      <c r="E1933">
        <f>COUNTIF(tweets!C:C,D1933)</f>
        <v>1</v>
      </c>
      <c r="I1933"/>
      <c r="J1933"/>
    </row>
    <row r="1934" spans="4:10" x14ac:dyDescent="0.2">
      <c r="D1934" t="s">
        <v>7788</v>
      </c>
      <c r="E1934">
        <f>COUNTIF(tweets!C:C,D1934)</f>
        <v>1</v>
      </c>
      <c r="I1934"/>
      <c r="J1934"/>
    </row>
    <row r="1935" spans="4:10" x14ac:dyDescent="0.2">
      <c r="D1935" t="s">
        <v>7791</v>
      </c>
      <c r="E1935">
        <f>COUNTIF(tweets!C:C,D1935)</f>
        <v>1</v>
      </c>
      <c r="I1935"/>
      <c r="J1935"/>
    </row>
    <row r="1936" spans="4:10" x14ac:dyDescent="0.2">
      <c r="D1936" t="s">
        <v>7795</v>
      </c>
      <c r="E1936">
        <f>COUNTIF(tweets!C:C,D1936)</f>
        <v>1</v>
      </c>
      <c r="I1936"/>
      <c r="J1936"/>
    </row>
    <row r="1937" spans="4:10" x14ac:dyDescent="0.2">
      <c r="D1937" t="s">
        <v>7799</v>
      </c>
      <c r="E1937">
        <f>COUNTIF(tweets!C:C,D1937)</f>
        <v>1</v>
      </c>
      <c r="I1937"/>
      <c r="J1937"/>
    </row>
    <row r="1938" spans="4:10" x14ac:dyDescent="0.2">
      <c r="D1938" t="s">
        <v>7802</v>
      </c>
      <c r="E1938">
        <f>COUNTIF(tweets!C:C,D1938)</f>
        <v>1</v>
      </c>
      <c r="I1938"/>
      <c r="J1938"/>
    </row>
    <row r="1939" spans="4:10" x14ac:dyDescent="0.2">
      <c r="D1939" t="s">
        <v>7806</v>
      </c>
      <c r="E1939">
        <f>COUNTIF(tweets!C:C,D1939)</f>
        <v>1</v>
      </c>
      <c r="I1939"/>
      <c r="J1939"/>
    </row>
    <row r="1940" spans="4:10" x14ac:dyDescent="0.2">
      <c r="D1940" t="s">
        <v>7810</v>
      </c>
      <c r="E1940">
        <f>COUNTIF(tweets!C:C,D1940)</f>
        <v>1</v>
      </c>
      <c r="I1940"/>
      <c r="J1940"/>
    </row>
    <row r="1941" spans="4:10" x14ac:dyDescent="0.2">
      <c r="D1941" t="s">
        <v>7813</v>
      </c>
      <c r="E1941">
        <f>COUNTIF(tweets!C:C,D1941)</f>
        <v>1</v>
      </c>
      <c r="I1941"/>
      <c r="J1941"/>
    </row>
    <row r="1942" spans="4:10" x14ac:dyDescent="0.2">
      <c r="D1942" t="s">
        <v>7817</v>
      </c>
      <c r="E1942">
        <f>COUNTIF(tweets!C:C,D1942)</f>
        <v>1</v>
      </c>
      <c r="I1942"/>
      <c r="J1942"/>
    </row>
    <row r="1943" spans="4:10" x14ac:dyDescent="0.2">
      <c r="D1943" t="s">
        <v>7823</v>
      </c>
      <c r="E1943">
        <f>COUNTIF(tweets!C:C,D1943)</f>
        <v>1</v>
      </c>
      <c r="I1943"/>
      <c r="J1943"/>
    </row>
    <row r="1944" spans="4:10" x14ac:dyDescent="0.2">
      <c r="D1944" t="s">
        <v>7826</v>
      </c>
      <c r="E1944">
        <f>COUNTIF(tweets!C:C,D1944)</f>
        <v>1</v>
      </c>
      <c r="I1944"/>
      <c r="J1944"/>
    </row>
    <row r="1945" spans="4:10" x14ac:dyDescent="0.2">
      <c r="D1945" t="s">
        <v>7830</v>
      </c>
      <c r="E1945">
        <f>COUNTIF(tweets!C:C,D1945)</f>
        <v>1</v>
      </c>
      <c r="I1945"/>
      <c r="J1945"/>
    </row>
    <row r="1946" spans="4:10" x14ac:dyDescent="0.2">
      <c r="D1946" t="s">
        <v>7834</v>
      </c>
      <c r="E1946">
        <f>COUNTIF(tweets!C:C,D1946)</f>
        <v>1</v>
      </c>
      <c r="I1946"/>
      <c r="J1946"/>
    </row>
    <row r="1947" spans="4:10" x14ac:dyDescent="0.2">
      <c r="D1947" t="s">
        <v>7838</v>
      </c>
      <c r="E1947">
        <f>COUNTIF(tweets!C:C,D1947)</f>
        <v>1</v>
      </c>
      <c r="I1947"/>
      <c r="J1947"/>
    </row>
    <row r="1948" spans="4:10" x14ac:dyDescent="0.2">
      <c r="D1948" t="s">
        <v>7843</v>
      </c>
      <c r="E1948">
        <f>COUNTIF(tweets!C:C,D1948)</f>
        <v>1</v>
      </c>
      <c r="I1948"/>
      <c r="J1948"/>
    </row>
    <row r="1949" spans="4:10" x14ac:dyDescent="0.2">
      <c r="D1949" t="s">
        <v>7855</v>
      </c>
      <c r="E1949">
        <f>COUNTIF(tweets!C:C,D1949)</f>
        <v>1</v>
      </c>
      <c r="I1949"/>
      <c r="J1949"/>
    </row>
    <row r="1950" spans="4:10" x14ac:dyDescent="0.2">
      <c r="D1950" t="s">
        <v>7858</v>
      </c>
      <c r="E1950">
        <f>COUNTIF(tweets!C:C,D1950)</f>
        <v>1</v>
      </c>
      <c r="I1950"/>
      <c r="J1950"/>
    </row>
    <row r="1951" spans="4:10" x14ac:dyDescent="0.2">
      <c r="D1951" t="s">
        <v>7863</v>
      </c>
      <c r="E1951">
        <f>COUNTIF(tweets!C:C,D1951)</f>
        <v>1</v>
      </c>
      <c r="I1951"/>
      <c r="J1951"/>
    </row>
    <row r="1952" spans="4:10" x14ac:dyDescent="0.2">
      <c r="D1952" t="s">
        <v>7866</v>
      </c>
      <c r="E1952">
        <f>COUNTIF(tweets!C:C,D1952)</f>
        <v>1</v>
      </c>
      <c r="I1952"/>
      <c r="J1952"/>
    </row>
    <row r="1953" spans="4:10" x14ac:dyDescent="0.2">
      <c r="D1953" t="s">
        <v>7873</v>
      </c>
      <c r="E1953">
        <f>COUNTIF(tweets!C:C,D1953)</f>
        <v>1</v>
      </c>
      <c r="I1953"/>
      <c r="J1953"/>
    </row>
    <row r="1954" spans="4:10" x14ac:dyDescent="0.2">
      <c r="D1954" t="s">
        <v>7877</v>
      </c>
      <c r="E1954">
        <f>COUNTIF(tweets!C:C,D1954)</f>
        <v>1</v>
      </c>
      <c r="I1954"/>
      <c r="J1954"/>
    </row>
    <row r="1955" spans="4:10" x14ac:dyDescent="0.2">
      <c r="D1955" t="s">
        <v>7881</v>
      </c>
      <c r="E1955">
        <f>COUNTIF(tweets!C:C,D1955)</f>
        <v>1</v>
      </c>
      <c r="I1955"/>
      <c r="J1955"/>
    </row>
    <row r="1956" spans="4:10" x14ac:dyDescent="0.2">
      <c r="D1956" t="s">
        <v>7886</v>
      </c>
      <c r="E1956">
        <f>COUNTIF(tweets!C:C,D1956)</f>
        <v>1</v>
      </c>
      <c r="I1956"/>
      <c r="J1956"/>
    </row>
    <row r="1957" spans="4:10" x14ac:dyDescent="0.2">
      <c r="D1957" t="s">
        <v>7898</v>
      </c>
      <c r="E1957">
        <f>COUNTIF(tweets!C:C,D1957)</f>
        <v>1</v>
      </c>
      <c r="I1957"/>
      <c r="J1957"/>
    </row>
    <row r="1958" spans="4:10" x14ac:dyDescent="0.2">
      <c r="D1958" t="s">
        <v>7901</v>
      </c>
      <c r="E1958">
        <f>COUNTIF(tweets!C:C,D1958)</f>
        <v>1</v>
      </c>
      <c r="I1958"/>
      <c r="J1958"/>
    </row>
    <row r="1959" spans="4:10" x14ac:dyDescent="0.2">
      <c r="D1959" t="s">
        <v>7904</v>
      </c>
      <c r="E1959">
        <f>COUNTIF(tweets!C:C,D1959)</f>
        <v>1</v>
      </c>
      <c r="I1959"/>
      <c r="J1959"/>
    </row>
    <row r="1960" spans="4:10" x14ac:dyDescent="0.2">
      <c r="D1960" t="s">
        <v>7908</v>
      </c>
      <c r="E1960">
        <f>COUNTIF(tweets!C:C,D1960)</f>
        <v>1</v>
      </c>
      <c r="I1960"/>
      <c r="J1960"/>
    </row>
    <row r="1961" spans="4:10" x14ac:dyDescent="0.2">
      <c r="D1961" t="s">
        <v>7916</v>
      </c>
      <c r="E1961">
        <f>COUNTIF(tweets!C:C,D1961)</f>
        <v>1</v>
      </c>
      <c r="I1961"/>
      <c r="J1961"/>
    </row>
    <row r="1962" spans="4:10" x14ac:dyDescent="0.2">
      <c r="D1962" t="s">
        <v>7921</v>
      </c>
      <c r="E1962">
        <f>COUNTIF(tweets!C:C,D1962)</f>
        <v>1</v>
      </c>
      <c r="I1962"/>
      <c r="J1962"/>
    </row>
    <row r="1963" spans="4:10" x14ac:dyDescent="0.2">
      <c r="D1963" t="s">
        <v>7924</v>
      </c>
      <c r="E1963">
        <f>COUNTIF(tweets!C:C,D1963)</f>
        <v>1</v>
      </c>
      <c r="I1963"/>
      <c r="J1963"/>
    </row>
    <row r="1964" spans="4:10" x14ac:dyDescent="0.2">
      <c r="D1964" t="s">
        <v>7927</v>
      </c>
      <c r="E1964">
        <f>COUNTIF(tweets!C:C,D1964)</f>
        <v>1</v>
      </c>
      <c r="I1964"/>
      <c r="J1964"/>
    </row>
    <row r="1965" spans="4:10" x14ac:dyDescent="0.2">
      <c r="D1965" t="s">
        <v>7930</v>
      </c>
      <c r="E1965">
        <f>COUNTIF(tweets!C:C,D1965)</f>
        <v>1</v>
      </c>
      <c r="I1965"/>
      <c r="J1965"/>
    </row>
    <row r="1966" spans="4:10" x14ac:dyDescent="0.2">
      <c r="D1966" t="s">
        <v>7933</v>
      </c>
      <c r="E1966">
        <f>COUNTIF(tweets!C:C,D1966)</f>
        <v>1</v>
      </c>
      <c r="I1966"/>
      <c r="J1966"/>
    </row>
    <row r="1967" spans="4:10" x14ac:dyDescent="0.2">
      <c r="D1967" t="s">
        <v>7937</v>
      </c>
      <c r="E1967">
        <f>COUNTIF(tweets!C:C,D1967)</f>
        <v>1</v>
      </c>
      <c r="I1967"/>
      <c r="J1967"/>
    </row>
    <row r="1968" spans="4:10" x14ac:dyDescent="0.2">
      <c r="D1968" t="s">
        <v>7945</v>
      </c>
      <c r="E1968">
        <f>COUNTIF(tweets!C:C,D1968)</f>
        <v>1</v>
      </c>
      <c r="I1968"/>
      <c r="J1968"/>
    </row>
    <row r="1969" spans="4:10" x14ac:dyDescent="0.2">
      <c r="D1969" t="s">
        <v>7949</v>
      </c>
      <c r="E1969">
        <f>COUNTIF(tweets!C:C,D1969)</f>
        <v>1</v>
      </c>
      <c r="I1969"/>
      <c r="J1969"/>
    </row>
    <row r="1970" spans="4:10" x14ac:dyDescent="0.2">
      <c r="D1970" t="s">
        <v>7952</v>
      </c>
      <c r="E1970">
        <f>COUNTIF(tweets!C:C,D1970)</f>
        <v>1</v>
      </c>
      <c r="I1970"/>
      <c r="J1970"/>
    </row>
    <row r="1971" spans="4:10" x14ac:dyDescent="0.2">
      <c r="D1971" t="s">
        <v>7955</v>
      </c>
      <c r="E1971">
        <f>COUNTIF(tweets!C:C,D1971)</f>
        <v>1</v>
      </c>
      <c r="I1971"/>
      <c r="J1971"/>
    </row>
    <row r="1972" spans="4:10" x14ac:dyDescent="0.2">
      <c r="D1972" t="s">
        <v>7964</v>
      </c>
      <c r="E1972">
        <f>COUNTIF(tweets!C:C,D1972)</f>
        <v>1</v>
      </c>
      <c r="I1972"/>
      <c r="J1972"/>
    </row>
    <row r="1973" spans="4:10" x14ac:dyDescent="0.2">
      <c r="D1973" t="s">
        <v>7961</v>
      </c>
      <c r="E1973">
        <f>COUNTIF(tweets!C:C,D1973)</f>
        <v>1</v>
      </c>
      <c r="I1973"/>
      <c r="J1973"/>
    </row>
    <row r="1974" spans="4:10" x14ac:dyDescent="0.2">
      <c r="D1974" t="s">
        <v>7967</v>
      </c>
      <c r="E1974">
        <f>COUNTIF(tweets!C:C,D1974)</f>
        <v>1</v>
      </c>
      <c r="I1974"/>
      <c r="J1974"/>
    </row>
    <row r="1975" spans="4:10" x14ac:dyDescent="0.2">
      <c r="D1975" t="s">
        <v>7970</v>
      </c>
      <c r="E1975">
        <f>COUNTIF(tweets!C:C,D1975)</f>
        <v>1</v>
      </c>
      <c r="I1975"/>
      <c r="J1975"/>
    </row>
    <row r="1976" spans="4:10" x14ac:dyDescent="0.2">
      <c r="D1976" t="s">
        <v>7977</v>
      </c>
      <c r="E1976">
        <f>COUNTIF(tweets!C:C,D1976)</f>
        <v>1</v>
      </c>
      <c r="I1976"/>
      <c r="J1976"/>
    </row>
    <row r="1977" spans="4:10" x14ac:dyDescent="0.2">
      <c r="D1977" t="s">
        <v>7987</v>
      </c>
      <c r="E1977">
        <f>COUNTIF(tweets!C:C,D1977)</f>
        <v>1</v>
      </c>
      <c r="I1977"/>
      <c r="J1977"/>
    </row>
    <row r="1978" spans="4:10" x14ac:dyDescent="0.2">
      <c r="D1978" t="s">
        <v>7989</v>
      </c>
      <c r="E1978">
        <f>COUNTIF(tweets!C:C,D1978)</f>
        <v>1</v>
      </c>
      <c r="I1978"/>
      <c r="J1978"/>
    </row>
    <row r="1979" spans="4:10" x14ac:dyDescent="0.2">
      <c r="D1979" t="s">
        <v>7992</v>
      </c>
      <c r="E1979">
        <f>COUNTIF(tweets!C:C,D1979)</f>
        <v>1</v>
      </c>
      <c r="I1979"/>
      <c r="J1979"/>
    </row>
    <row r="1980" spans="4:10" x14ac:dyDescent="0.2">
      <c r="D1980" t="s">
        <v>7996</v>
      </c>
      <c r="E1980">
        <f>COUNTIF(tweets!C:C,D1980)</f>
        <v>1</v>
      </c>
      <c r="I1980"/>
      <c r="J1980"/>
    </row>
    <row r="1981" spans="4:10" x14ac:dyDescent="0.2">
      <c r="D1981" t="s">
        <v>8000</v>
      </c>
      <c r="E1981">
        <f>COUNTIF(tweets!C:C,D1981)</f>
        <v>1</v>
      </c>
      <c r="I1981"/>
      <c r="J1981"/>
    </row>
    <row r="1982" spans="4:10" x14ac:dyDescent="0.2">
      <c r="D1982" t="s">
        <v>8006</v>
      </c>
      <c r="E1982">
        <f>COUNTIF(tweets!C:C,D1982)</f>
        <v>1</v>
      </c>
      <c r="I1982"/>
      <c r="J1982"/>
    </row>
    <row r="1983" spans="4:10" x14ac:dyDescent="0.2">
      <c r="D1983" t="s">
        <v>8010</v>
      </c>
      <c r="E1983">
        <f>COUNTIF(tweets!C:C,D1983)</f>
        <v>1</v>
      </c>
      <c r="I1983"/>
      <c r="J1983"/>
    </row>
    <row r="1984" spans="4:10" x14ac:dyDescent="0.2">
      <c r="D1984" t="s">
        <v>8018</v>
      </c>
      <c r="E1984">
        <f>COUNTIF(tweets!C:C,D1984)</f>
        <v>1</v>
      </c>
      <c r="I1984"/>
      <c r="J1984"/>
    </row>
    <row r="1985" spans="4:10" x14ac:dyDescent="0.2">
      <c r="D1985" t="s">
        <v>8021</v>
      </c>
      <c r="E1985">
        <f>COUNTIF(tweets!C:C,D1985)</f>
        <v>1</v>
      </c>
      <c r="I1985"/>
      <c r="J1985"/>
    </row>
    <row r="1986" spans="4:10" x14ac:dyDescent="0.2">
      <c r="D1986" t="s">
        <v>8025</v>
      </c>
      <c r="E1986">
        <f>COUNTIF(tweets!C:C,D1986)</f>
        <v>1</v>
      </c>
      <c r="I1986"/>
      <c r="J1986"/>
    </row>
    <row r="1987" spans="4:10" x14ac:dyDescent="0.2">
      <c r="D1987" t="s">
        <v>8031</v>
      </c>
      <c r="E1987">
        <f>COUNTIF(tweets!C:C,D1987)</f>
        <v>1</v>
      </c>
      <c r="I1987"/>
      <c r="J1987"/>
    </row>
    <row r="1988" spans="4:10" x14ac:dyDescent="0.2">
      <c r="D1988" t="s">
        <v>8037</v>
      </c>
      <c r="E1988">
        <f>COUNTIF(tweets!C:C,D1988)</f>
        <v>1</v>
      </c>
      <c r="I1988"/>
      <c r="J1988"/>
    </row>
    <row r="1989" spans="4:10" x14ac:dyDescent="0.2">
      <c r="D1989" t="s">
        <v>8042</v>
      </c>
      <c r="E1989">
        <f>COUNTIF(tweets!C:C,D1989)</f>
        <v>1</v>
      </c>
      <c r="I1989"/>
      <c r="J1989"/>
    </row>
    <row r="1990" spans="4:10" x14ac:dyDescent="0.2">
      <c r="D1990" t="s">
        <v>8045</v>
      </c>
      <c r="E1990">
        <f>COUNTIF(tweets!C:C,D1990)</f>
        <v>1</v>
      </c>
      <c r="I1990"/>
      <c r="J1990"/>
    </row>
    <row r="1991" spans="4:10" x14ac:dyDescent="0.2">
      <c r="D1991" t="s">
        <v>8051</v>
      </c>
      <c r="E1991">
        <f>COUNTIF(tweets!C:C,D1991)</f>
        <v>1</v>
      </c>
      <c r="I1991"/>
      <c r="J1991"/>
    </row>
    <row r="1992" spans="4:10" x14ac:dyDescent="0.2">
      <c r="D1992" t="s">
        <v>8054</v>
      </c>
      <c r="E1992">
        <f>COUNTIF(tweets!C:C,D1992)</f>
        <v>1</v>
      </c>
      <c r="I1992"/>
      <c r="J1992"/>
    </row>
    <row r="1993" spans="4:10" x14ac:dyDescent="0.2">
      <c r="D1993" t="s">
        <v>8058</v>
      </c>
      <c r="E1993">
        <f>COUNTIF(tweets!C:C,D1993)</f>
        <v>1</v>
      </c>
      <c r="I1993"/>
      <c r="J1993"/>
    </row>
    <row r="1994" spans="4:10" x14ac:dyDescent="0.2">
      <c r="D1994" t="s">
        <v>8061</v>
      </c>
      <c r="E1994">
        <f>COUNTIF(tweets!C:C,D1994)</f>
        <v>1</v>
      </c>
      <c r="I1994"/>
      <c r="J1994"/>
    </row>
    <row r="1995" spans="4:10" x14ac:dyDescent="0.2">
      <c r="D1995" t="s">
        <v>8064</v>
      </c>
      <c r="E1995">
        <f>COUNTIF(tweets!C:C,D1995)</f>
        <v>1</v>
      </c>
      <c r="I1995"/>
      <c r="J1995"/>
    </row>
    <row r="1996" spans="4:10" x14ac:dyDescent="0.2">
      <c r="D1996" t="s">
        <v>8067</v>
      </c>
      <c r="E1996">
        <f>COUNTIF(tweets!C:C,D1996)</f>
        <v>1</v>
      </c>
      <c r="I1996"/>
      <c r="J1996"/>
    </row>
    <row r="1997" spans="4:10" x14ac:dyDescent="0.2">
      <c r="D1997" t="s">
        <v>8070</v>
      </c>
      <c r="E1997">
        <f>COUNTIF(tweets!C:C,D1997)</f>
        <v>1</v>
      </c>
      <c r="I1997"/>
      <c r="J1997"/>
    </row>
    <row r="1998" spans="4:10" x14ac:dyDescent="0.2">
      <c r="D1998" t="s">
        <v>8074</v>
      </c>
      <c r="E1998">
        <f>COUNTIF(tweets!C:C,D1998)</f>
        <v>1</v>
      </c>
      <c r="I1998"/>
      <c r="J1998"/>
    </row>
    <row r="1999" spans="4:10" x14ac:dyDescent="0.2">
      <c r="D1999" t="s">
        <v>8079</v>
      </c>
      <c r="E1999">
        <f>COUNTIF(tweets!C:C,D1999)</f>
        <v>1</v>
      </c>
      <c r="I1999"/>
      <c r="J1999"/>
    </row>
    <row r="2000" spans="4:10" x14ac:dyDescent="0.2">
      <c r="D2000" t="s">
        <v>8086</v>
      </c>
      <c r="E2000">
        <f>COUNTIF(tweets!C:C,D2000)</f>
        <v>1</v>
      </c>
      <c r="I2000"/>
      <c r="J2000"/>
    </row>
    <row r="2001" spans="4:10" x14ac:dyDescent="0.2">
      <c r="D2001" t="s">
        <v>8089</v>
      </c>
      <c r="E2001">
        <f>COUNTIF(tweets!C:C,D2001)</f>
        <v>1</v>
      </c>
      <c r="I2001"/>
      <c r="J2001"/>
    </row>
    <row r="2002" spans="4:10" x14ac:dyDescent="0.2">
      <c r="D2002" t="s">
        <v>8092</v>
      </c>
      <c r="E2002">
        <f>COUNTIF(tweets!C:C,D2002)</f>
        <v>1</v>
      </c>
      <c r="I2002"/>
      <c r="J2002"/>
    </row>
    <row r="2003" spans="4:10" x14ac:dyDescent="0.2">
      <c r="D2003" t="s">
        <v>8095</v>
      </c>
      <c r="E2003">
        <f>COUNTIF(tweets!C:C,D2003)</f>
        <v>1</v>
      </c>
      <c r="I2003"/>
      <c r="J2003"/>
    </row>
    <row r="2004" spans="4:10" x14ac:dyDescent="0.2">
      <c r="D2004" t="s">
        <v>8098</v>
      </c>
      <c r="E2004">
        <f>COUNTIF(tweets!C:C,D2004)</f>
        <v>1</v>
      </c>
      <c r="I2004"/>
      <c r="J2004"/>
    </row>
    <row r="2005" spans="4:10" x14ac:dyDescent="0.2">
      <c r="D2005" t="s">
        <v>8105</v>
      </c>
      <c r="E2005">
        <f>COUNTIF(tweets!C:C,D2005)</f>
        <v>1</v>
      </c>
      <c r="I2005"/>
      <c r="J2005"/>
    </row>
    <row r="2006" spans="4:10" x14ac:dyDescent="0.2">
      <c r="D2006" t="s">
        <v>8108</v>
      </c>
      <c r="E2006">
        <f>COUNTIF(tweets!C:C,D2006)</f>
        <v>1</v>
      </c>
      <c r="I2006"/>
      <c r="J2006"/>
    </row>
    <row r="2007" spans="4:10" x14ac:dyDescent="0.2">
      <c r="D2007" t="s">
        <v>8112</v>
      </c>
      <c r="E2007">
        <f>COUNTIF(tweets!C:C,D2007)</f>
        <v>1</v>
      </c>
      <c r="I2007"/>
      <c r="J2007"/>
    </row>
    <row r="2008" spans="4:10" x14ac:dyDescent="0.2">
      <c r="D2008" t="s">
        <v>8115</v>
      </c>
      <c r="E2008">
        <f>COUNTIF(tweets!C:C,D2008)</f>
        <v>1</v>
      </c>
      <c r="I2008"/>
      <c r="J2008"/>
    </row>
    <row r="2009" spans="4:10" x14ac:dyDescent="0.2">
      <c r="D2009" t="s">
        <v>8120</v>
      </c>
      <c r="E2009">
        <f>COUNTIF(tweets!C:C,D2009)</f>
        <v>1</v>
      </c>
      <c r="I2009"/>
      <c r="J2009"/>
    </row>
    <row r="2010" spans="4:10" x14ac:dyDescent="0.2">
      <c r="D2010" t="s">
        <v>8124</v>
      </c>
      <c r="E2010">
        <f>COUNTIF(tweets!C:C,D2010)</f>
        <v>1</v>
      </c>
      <c r="I2010"/>
      <c r="J2010"/>
    </row>
    <row r="2011" spans="4:10" x14ac:dyDescent="0.2">
      <c r="D2011" t="s">
        <v>8128</v>
      </c>
      <c r="E2011">
        <f>COUNTIF(tweets!C:C,D2011)</f>
        <v>1</v>
      </c>
      <c r="I2011"/>
      <c r="J2011"/>
    </row>
    <row r="2012" spans="4:10" x14ac:dyDescent="0.2">
      <c r="D2012" t="s">
        <v>8131</v>
      </c>
      <c r="E2012">
        <f>COUNTIF(tweets!C:C,D2012)</f>
        <v>1</v>
      </c>
      <c r="I2012"/>
      <c r="J2012"/>
    </row>
    <row r="2013" spans="4:10" x14ac:dyDescent="0.2">
      <c r="D2013" t="s">
        <v>8135</v>
      </c>
      <c r="E2013">
        <f>COUNTIF(tweets!C:C,D2013)</f>
        <v>1</v>
      </c>
      <c r="I2013"/>
      <c r="J2013"/>
    </row>
    <row r="2014" spans="4:10" x14ac:dyDescent="0.2">
      <c r="D2014" t="s">
        <v>8138</v>
      </c>
      <c r="E2014">
        <f>COUNTIF(tweets!C:C,D2014)</f>
        <v>1</v>
      </c>
      <c r="I2014"/>
      <c r="J2014"/>
    </row>
    <row r="2015" spans="4:10" x14ac:dyDescent="0.2">
      <c r="D2015" t="s">
        <v>8142</v>
      </c>
      <c r="E2015">
        <f>COUNTIF(tweets!C:C,D2015)</f>
        <v>1</v>
      </c>
      <c r="I2015"/>
      <c r="J2015"/>
    </row>
    <row r="2016" spans="4:10" x14ac:dyDescent="0.2">
      <c r="D2016" t="s">
        <v>8145</v>
      </c>
      <c r="E2016">
        <f>COUNTIF(tweets!C:C,D2016)</f>
        <v>1</v>
      </c>
      <c r="I2016"/>
      <c r="J2016"/>
    </row>
    <row r="2017" spans="4:10" x14ac:dyDescent="0.2">
      <c r="D2017" t="s">
        <v>8148</v>
      </c>
      <c r="E2017">
        <f>COUNTIF(tweets!C:C,D2017)</f>
        <v>1</v>
      </c>
      <c r="I2017"/>
      <c r="J2017"/>
    </row>
    <row r="2018" spans="4:10" x14ac:dyDescent="0.2">
      <c r="D2018" t="s">
        <v>8151</v>
      </c>
      <c r="E2018">
        <f>COUNTIF(tweets!C:C,D2018)</f>
        <v>1</v>
      </c>
      <c r="I2018"/>
      <c r="J2018"/>
    </row>
    <row r="2019" spans="4:10" x14ac:dyDescent="0.2">
      <c r="D2019" t="s">
        <v>8157</v>
      </c>
      <c r="E2019">
        <f>COUNTIF(tweets!C:C,D2019)</f>
        <v>1</v>
      </c>
      <c r="I2019"/>
      <c r="J2019"/>
    </row>
    <row r="2020" spans="4:10" x14ac:dyDescent="0.2">
      <c r="D2020" t="s">
        <v>8160</v>
      </c>
      <c r="E2020">
        <f>COUNTIF(tweets!C:C,D2020)</f>
        <v>1</v>
      </c>
      <c r="I2020"/>
      <c r="J2020"/>
    </row>
    <row r="2021" spans="4:10" x14ac:dyDescent="0.2">
      <c r="D2021" t="s">
        <v>8164</v>
      </c>
      <c r="E2021">
        <f>COUNTIF(tweets!C:C,D2021)</f>
        <v>1</v>
      </c>
      <c r="I2021"/>
      <c r="J2021"/>
    </row>
    <row r="2022" spans="4:10" x14ac:dyDescent="0.2">
      <c r="D2022" t="s">
        <v>8170</v>
      </c>
      <c r="E2022">
        <f>COUNTIF(tweets!C:C,D2022)</f>
        <v>1</v>
      </c>
      <c r="I2022"/>
      <c r="J2022"/>
    </row>
    <row r="2023" spans="4:10" x14ac:dyDescent="0.2">
      <c r="D2023" t="s">
        <v>8174</v>
      </c>
      <c r="E2023">
        <f>COUNTIF(tweets!C:C,D2023)</f>
        <v>1</v>
      </c>
      <c r="I2023"/>
      <c r="J2023"/>
    </row>
    <row r="2024" spans="4:10" x14ac:dyDescent="0.2">
      <c r="D2024" t="s">
        <v>8179</v>
      </c>
      <c r="E2024">
        <f>COUNTIF(tweets!C:C,D2024)</f>
        <v>1</v>
      </c>
      <c r="I2024"/>
      <c r="J2024"/>
    </row>
    <row r="2025" spans="4:10" x14ac:dyDescent="0.2">
      <c r="D2025" t="s">
        <v>8183</v>
      </c>
      <c r="E2025">
        <f>COUNTIF(tweets!C:C,D2025)</f>
        <v>1</v>
      </c>
      <c r="I2025"/>
      <c r="J2025"/>
    </row>
    <row r="2026" spans="4:10" x14ac:dyDescent="0.2">
      <c r="D2026" t="s">
        <v>8186</v>
      </c>
      <c r="E2026">
        <f>COUNTIF(tweets!C:C,D2026)</f>
        <v>1</v>
      </c>
      <c r="I2026"/>
      <c r="J2026"/>
    </row>
    <row r="2027" spans="4:10" x14ac:dyDescent="0.2">
      <c r="D2027" t="s">
        <v>8189</v>
      </c>
      <c r="E2027">
        <f>COUNTIF(tweets!C:C,D2027)</f>
        <v>1</v>
      </c>
      <c r="I2027"/>
      <c r="J2027"/>
    </row>
    <row r="2028" spans="4:10" x14ac:dyDescent="0.2">
      <c r="D2028" t="s">
        <v>8192</v>
      </c>
      <c r="E2028">
        <f>COUNTIF(tweets!C:C,D2028)</f>
        <v>1</v>
      </c>
      <c r="I2028"/>
      <c r="J2028"/>
    </row>
    <row r="2029" spans="4:10" x14ac:dyDescent="0.2">
      <c r="D2029" t="s">
        <v>8195</v>
      </c>
      <c r="E2029">
        <f>COUNTIF(tweets!C:C,D2029)</f>
        <v>1</v>
      </c>
      <c r="I2029"/>
      <c r="J2029"/>
    </row>
    <row r="2030" spans="4:10" x14ac:dyDescent="0.2">
      <c r="D2030" t="s">
        <v>8205</v>
      </c>
      <c r="E2030">
        <f>COUNTIF(tweets!C:C,D2030)</f>
        <v>1</v>
      </c>
      <c r="I2030"/>
      <c r="J2030"/>
    </row>
    <row r="2031" spans="4:10" x14ac:dyDescent="0.2">
      <c r="D2031" t="s">
        <v>8210</v>
      </c>
      <c r="E2031">
        <f>COUNTIF(tweets!C:C,D2031)</f>
        <v>1</v>
      </c>
      <c r="I2031"/>
      <c r="J2031"/>
    </row>
    <row r="2032" spans="4:10" x14ac:dyDescent="0.2">
      <c r="D2032" t="s">
        <v>8213</v>
      </c>
      <c r="E2032">
        <f>COUNTIF(tweets!C:C,D2032)</f>
        <v>1</v>
      </c>
      <c r="I2032"/>
      <c r="J2032"/>
    </row>
    <row r="2033" spans="4:10" x14ac:dyDescent="0.2">
      <c r="D2033" t="s">
        <v>8216</v>
      </c>
      <c r="E2033">
        <f>COUNTIF(tweets!C:C,D2033)</f>
        <v>1</v>
      </c>
      <c r="I2033"/>
      <c r="J2033"/>
    </row>
    <row r="2034" spans="4:10" x14ac:dyDescent="0.2">
      <c r="D2034" t="s">
        <v>8220</v>
      </c>
      <c r="E2034">
        <f>COUNTIF(tweets!C:C,D2034)</f>
        <v>1</v>
      </c>
      <c r="I2034"/>
      <c r="J2034"/>
    </row>
    <row r="2035" spans="4:10" x14ac:dyDescent="0.2">
      <c r="D2035" t="s">
        <v>8228</v>
      </c>
      <c r="E2035">
        <f>COUNTIF(tweets!C:C,D2035)</f>
        <v>1</v>
      </c>
      <c r="I2035"/>
      <c r="J2035"/>
    </row>
    <row r="2036" spans="4:10" x14ac:dyDescent="0.2">
      <c r="D2036" t="s">
        <v>8231</v>
      </c>
      <c r="E2036">
        <f>COUNTIF(tweets!C:C,D2036)</f>
        <v>1</v>
      </c>
      <c r="I2036"/>
      <c r="J2036"/>
    </row>
    <row r="2037" spans="4:10" x14ac:dyDescent="0.2">
      <c r="D2037" t="s">
        <v>8235</v>
      </c>
      <c r="E2037">
        <f>COUNTIF(tweets!C:C,D2037)</f>
        <v>1</v>
      </c>
      <c r="I2037"/>
      <c r="J2037"/>
    </row>
    <row r="2038" spans="4:10" x14ac:dyDescent="0.2">
      <c r="D2038" t="s">
        <v>8241</v>
      </c>
      <c r="E2038">
        <f>COUNTIF(tweets!C:C,D2038)</f>
        <v>1</v>
      </c>
      <c r="I2038"/>
      <c r="J2038"/>
    </row>
    <row r="2039" spans="4:10" x14ac:dyDescent="0.2">
      <c r="D2039" t="s">
        <v>8239</v>
      </c>
      <c r="E2039">
        <f>COUNTIF(tweets!C:C,D2039)</f>
        <v>1</v>
      </c>
      <c r="I2039"/>
      <c r="J2039"/>
    </row>
    <row r="2040" spans="4:10" x14ac:dyDescent="0.2">
      <c r="D2040" t="s">
        <v>8244</v>
      </c>
      <c r="E2040">
        <f>COUNTIF(tweets!C:C,D2040)</f>
        <v>1</v>
      </c>
      <c r="I2040"/>
      <c r="J2040"/>
    </row>
    <row r="2041" spans="4:10" x14ac:dyDescent="0.2">
      <c r="D2041" t="s">
        <v>8247</v>
      </c>
      <c r="E2041">
        <f>COUNTIF(tweets!C:C,D2041)</f>
        <v>1</v>
      </c>
      <c r="I2041"/>
      <c r="J2041"/>
    </row>
    <row r="2042" spans="4:10" x14ac:dyDescent="0.2">
      <c r="D2042" t="s">
        <v>8251</v>
      </c>
      <c r="E2042">
        <f>COUNTIF(tweets!C:C,D2042)</f>
        <v>1</v>
      </c>
      <c r="I2042"/>
      <c r="J2042"/>
    </row>
    <row r="2043" spans="4:10" x14ac:dyDescent="0.2">
      <c r="D2043" t="s">
        <v>8258</v>
      </c>
      <c r="E2043">
        <f>COUNTIF(tweets!C:C,D2043)</f>
        <v>1</v>
      </c>
      <c r="I2043"/>
      <c r="J2043"/>
    </row>
    <row r="2044" spans="4:10" x14ac:dyDescent="0.2">
      <c r="D2044" t="s">
        <v>8262</v>
      </c>
      <c r="E2044">
        <f>COUNTIF(tweets!C:C,D2044)</f>
        <v>1</v>
      </c>
      <c r="I2044"/>
      <c r="J2044"/>
    </row>
    <row r="2045" spans="4:10" x14ac:dyDescent="0.2">
      <c r="D2045" t="s">
        <v>8266</v>
      </c>
      <c r="E2045">
        <f>COUNTIF(tweets!C:C,D2045)</f>
        <v>1</v>
      </c>
      <c r="I2045"/>
      <c r="J2045"/>
    </row>
    <row r="2046" spans="4:10" x14ac:dyDescent="0.2">
      <c r="D2046" t="s">
        <v>8269</v>
      </c>
      <c r="E2046">
        <f>COUNTIF(tweets!C:C,D2046)</f>
        <v>1</v>
      </c>
      <c r="I2046"/>
      <c r="J2046"/>
    </row>
    <row r="2047" spans="4:10" x14ac:dyDescent="0.2">
      <c r="D2047" t="s">
        <v>8272</v>
      </c>
      <c r="E2047">
        <f>COUNTIF(tweets!C:C,D2047)</f>
        <v>1</v>
      </c>
      <c r="I2047"/>
      <c r="J2047"/>
    </row>
    <row r="2048" spans="4:10" x14ac:dyDescent="0.2">
      <c r="D2048" t="s">
        <v>8277</v>
      </c>
      <c r="E2048">
        <f>COUNTIF(tweets!C:C,D2048)</f>
        <v>1</v>
      </c>
      <c r="I2048"/>
      <c r="J2048"/>
    </row>
    <row r="2049" spans="4:10" x14ac:dyDescent="0.2">
      <c r="D2049" t="s">
        <v>8281</v>
      </c>
      <c r="E2049">
        <f>COUNTIF(tweets!C:C,D2049)</f>
        <v>1</v>
      </c>
      <c r="I2049"/>
      <c r="J2049"/>
    </row>
    <row r="2050" spans="4:10" x14ac:dyDescent="0.2">
      <c r="D2050" t="s">
        <v>8284</v>
      </c>
      <c r="E2050">
        <f>COUNTIF(tweets!C:C,D2050)</f>
        <v>1</v>
      </c>
      <c r="I2050"/>
      <c r="J2050"/>
    </row>
    <row r="2051" spans="4:10" x14ac:dyDescent="0.2">
      <c r="D2051" t="s">
        <v>8287</v>
      </c>
      <c r="E2051">
        <f>COUNTIF(tweets!C:C,D2051)</f>
        <v>1</v>
      </c>
      <c r="I2051"/>
      <c r="J2051"/>
    </row>
    <row r="2052" spans="4:10" x14ac:dyDescent="0.2">
      <c r="D2052" t="s">
        <v>8291</v>
      </c>
      <c r="E2052">
        <f>COUNTIF(tweets!C:C,D2052)</f>
        <v>1</v>
      </c>
      <c r="I2052"/>
      <c r="J2052"/>
    </row>
    <row r="2053" spans="4:10" x14ac:dyDescent="0.2">
      <c r="D2053" t="s">
        <v>8295</v>
      </c>
      <c r="E2053">
        <f>COUNTIF(tweets!C:C,D2053)</f>
        <v>1</v>
      </c>
      <c r="I2053"/>
      <c r="J2053"/>
    </row>
    <row r="2054" spans="4:10" x14ac:dyDescent="0.2">
      <c r="D2054" t="s">
        <v>8299</v>
      </c>
      <c r="E2054">
        <f>COUNTIF(tweets!C:C,D2054)</f>
        <v>1</v>
      </c>
      <c r="I2054"/>
      <c r="J2054"/>
    </row>
    <row r="2055" spans="4:10" x14ac:dyDescent="0.2">
      <c r="D2055" t="s">
        <v>8303</v>
      </c>
      <c r="E2055">
        <f>COUNTIF(tweets!C:C,D2055)</f>
        <v>1</v>
      </c>
      <c r="I2055"/>
      <c r="J2055"/>
    </row>
    <row r="2056" spans="4:10" x14ac:dyDescent="0.2">
      <c r="D2056" t="s">
        <v>8306</v>
      </c>
      <c r="E2056">
        <f>COUNTIF(tweets!C:C,D2056)</f>
        <v>1</v>
      </c>
      <c r="I2056"/>
      <c r="J2056"/>
    </row>
    <row r="2057" spans="4:10" x14ac:dyDescent="0.2">
      <c r="D2057" t="s">
        <v>8309</v>
      </c>
      <c r="E2057">
        <f>COUNTIF(tweets!C:C,D2057)</f>
        <v>1</v>
      </c>
      <c r="I2057"/>
      <c r="J2057"/>
    </row>
    <row r="2058" spans="4:10" x14ac:dyDescent="0.2">
      <c r="D2058" t="s">
        <v>8317</v>
      </c>
      <c r="E2058">
        <f>COUNTIF(tweets!C:C,D2058)</f>
        <v>1</v>
      </c>
      <c r="I2058"/>
      <c r="J2058"/>
    </row>
    <row r="2059" spans="4:10" x14ac:dyDescent="0.2">
      <c r="D2059" t="s">
        <v>8323</v>
      </c>
      <c r="E2059">
        <f>COUNTIF(tweets!C:C,D2059)</f>
        <v>1</v>
      </c>
      <c r="I2059"/>
      <c r="J2059"/>
    </row>
    <row r="2060" spans="4:10" x14ac:dyDescent="0.2">
      <c r="D2060" t="s">
        <v>8327</v>
      </c>
      <c r="E2060">
        <f>COUNTIF(tweets!C:C,D2060)</f>
        <v>1</v>
      </c>
      <c r="I2060"/>
      <c r="J2060"/>
    </row>
    <row r="2061" spans="4:10" x14ac:dyDescent="0.2">
      <c r="D2061" t="s">
        <v>8331</v>
      </c>
      <c r="E2061">
        <f>COUNTIF(tweets!C:C,D2061)</f>
        <v>1</v>
      </c>
      <c r="I2061"/>
      <c r="J2061"/>
    </row>
    <row r="2062" spans="4:10" x14ac:dyDescent="0.2">
      <c r="D2062" t="s">
        <v>8352</v>
      </c>
      <c r="E2062">
        <f>COUNTIF(tweets!C:C,D2062)</f>
        <v>1</v>
      </c>
      <c r="I2062"/>
      <c r="J2062"/>
    </row>
    <row r="2063" spans="4:10" x14ac:dyDescent="0.2">
      <c r="D2063" t="s">
        <v>8356</v>
      </c>
      <c r="E2063">
        <f>COUNTIF(tweets!C:C,D2063)</f>
        <v>1</v>
      </c>
      <c r="I2063"/>
      <c r="J2063"/>
    </row>
    <row r="2064" spans="4:10" x14ac:dyDescent="0.2">
      <c r="D2064" t="s">
        <v>8368</v>
      </c>
      <c r="E2064">
        <f>COUNTIF(tweets!C:C,D2064)</f>
        <v>1</v>
      </c>
      <c r="I2064"/>
      <c r="J2064"/>
    </row>
    <row r="2065" spans="4:10" x14ac:dyDescent="0.2">
      <c r="D2065" t="s">
        <v>8371</v>
      </c>
      <c r="E2065">
        <f>COUNTIF(tweets!C:C,D2065)</f>
        <v>1</v>
      </c>
      <c r="I2065"/>
      <c r="J2065"/>
    </row>
    <row r="2066" spans="4:10" x14ac:dyDescent="0.2">
      <c r="D2066" t="s">
        <v>8380</v>
      </c>
      <c r="E2066">
        <f>COUNTIF(tweets!C:C,D2066)</f>
        <v>1</v>
      </c>
      <c r="I2066"/>
      <c r="J2066"/>
    </row>
    <row r="2067" spans="4:10" x14ac:dyDescent="0.2">
      <c r="D2067" t="s">
        <v>8383</v>
      </c>
      <c r="E2067">
        <f>COUNTIF(tweets!C:C,D2067)</f>
        <v>1</v>
      </c>
      <c r="I2067"/>
      <c r="J2067"/>
    </row>
    <row r="2068" spans="4:10" x14ac:dyDescent="0.2">
      <c r="D2068" t="s">
        <v>8387</v>
      </c>
      <c r="E2068">
        <f>COUNTIF(tweets!C:C,D2068)</f>
        <v>1</v>
      </c>
      <c r="I2068"/>
      <c r="J2068"/>
    </row>
    <row r="2069" spans="4:10" x14ac:dyDescent="0.2">
      <c r="D2069" t="s">
        <v>8390</v>
      </c>
      <c r="E2069">
        <f>COUNTIF(tweets!C:C,D2069)</f>
        <v>1</v>
      </c>
      <c r="I2069"/>
      <c r="J2069"/>
    </row>
    <row r="2070" spans="4:10" x14ac:dyDescent="0.2">
      <c r="D2070" t="s">
        <v>8396</v>
      </c>
      <c r="E2070">
        <f>COUNTIF(tweets!C:C,D2070)</f>
        <v>1</v>
      </c>
      <c r="I2070"/>
      <c r="J2070"/>
    </row>
    <row r="2071" spans="4:10" x14ac:dyDescent="0.2">
      <c r="D2071" t="s">
        <v>8402</v>
      </c>
      <c r="E2071">
        <f>COUNTIF(tweets!C:C,D2071)</f>
        <v>1</v>
      </c>
      <c r="I2071"/>
      <c r="J2071"/>
    </row>
    <row r="2072" spans="4:10" x14ac:dyDescent="0.2">
      <c r="D2072" t="s">
        <v>8410</v>
      </c>
      <c r="E2072">
        <f>COUNTIF(tweets!C:C,D2072)</f>
        <v>1</v>
      </c>
      <c r="I2072"/>
      <c r="J2072"/>
    </row>
    <row r="2073" spans="4:10" x14ac:dyDescent="0.2">
      <c r="D2073" t="s">
        <v>8408</v>
      </c>
      <c r="E2073">
        <f>COUNTIF(tweets!C:C,D2073)</f>
        <v>1</v>
      </c>
      <c r="I2073"/>
      <c r="J2073"/>
    </row>
    <row r="2074" spans="4:10" x14ac:dyDescent="0.2">
      <c r="D2074" t="s">
        <v>8413</v>
      </c>
      <c r="E2074">
        <f>COUNTIF(tweets!C:C,D2074)</f>
        <v>1</v>
      </c>
      <c r="I2074"/>
      <c r="J2074"/>
    </row>
    <row r="2075" spans="4:10" x14ac:dyDescent="0.2">
      <c r="D2075" t="s">
        <v>8417</v>
      </c>
      <c r="E2075">
        <f>COUNTIF(tweets!C:C,D2075)</f>
        <v>1</v>
      </c>
      <c r="I2075"/>
      <c r="J2075"/>
    </row>
    <row r="2076" spans="4:10" x14ac:dyDescent="0.2">
      <c r="D2076" t="s">
        <v>8423</v>
      </c>
      <c r="E2076">
        <f>COUNTIF(tweets!C:C,D2076)</f>
        <v>1</v>
      </c>
      <c r="I2076"/>
      <c r="J2076"/>
    </row>
    <row r="2077" spans="4:10" x14ac:dyDescent="0.2">
      <c r="D2077" t="s">
        <v>8426</v>
      </c>
      <c r="E2077">
        <f>COUNTIF(tweets!C:C,D2077)</f>
        <v>1</v>
      </c>
      <c r="I2077"/>
      <c r="J2077"/>
    </row>
    <row r="2078" spans="4:10" x14ac:dyDescent="0.2">
      <c r="D2078" t="s">
        <v>8429</v>
      </c>
      <c r="E2078">
        <f>COUNTIF(tweets!C:C,D2078)</f>
        <v>1</v>
      </c>
      <c r="I2078"/>
      <c r="J2078"/>
    </row>
    <row r="2079" spans="4:10" x14ac:dyDescent="0.2">
      <c r="D2079" t="s">
        <v>8433</v>
      </c>
      <c r="E2079">
        <f>COUNTIF(tweets!C:C,D2079)</f>
        <v>1</v>
      </c>
      <c r="I2079"/>
      <c r="J2079"/>
    </row>
    <row r="2080" spans="4:10" x14ac:dyDescent="0.2">
      <c r="D2080" t="s">
        <v>8436</v>
      </c>
      <c r="E2080">
        <f>COUNTIF(tweets!C:C,D2080)</f>
        <v>1</v>
      </c>
      <c r="I2080"/>
      <c r="J2080"/>
    </row>
    <row r="2081" spans="4:10" x14ac:dyDescent="0.2">
      <c r="D2081" t="s">
        <v>8439</v>
      </c>
      <c r="E2081">
        <f>COUNTIF(tweets!C:C,D2081)</f>
        <v>1</v>
      </c>
      <c r="I2081"/>
      <c r="J2081"/>
    </row>
    <row r="2082" spans="4:10" x14ac:dyDescent="0.2">
      <c r="D2082" t="s">
        <v>8443</v>
      </c>
      <c r="E2082">
        <f>COUNTIF(tweets!C:C,D2082)</f>
        <v>1</v>
      </c>
      <c r="I2082"/>
      <c r="J2082"/>
    </row>
    <row r="2083" spans="4:10" x14ac:dyDescent="0.2">
      <c r="D2083" t="s">
        <v>8448</v>
      </c>
      <c r="E2083">
        <f>COUNTIF(tweets!C:C,D2083)</f>
        <v>1</v>
      </c>
      <c r="I2083"/>
      <c r="J2083"/>
    </row>
    <row r="2084" spans="4:10" x14ac:dyDescent="0.2">
      <c r="D2084" t="s">
        <v>8453</v>
      </c>
      <c r="E2084">
        <f>COUNTIF(tweets!C:C,D2084)</f>
        <v>1</v>
      </c>
      <c r="I2084"/>
      <c r="J2084"/>
    </row>
    <row r="2085" spans="4:10" x14ac:dyDescent="0.2">
      <c r="D2085" t="s">
        <v>8457</v>
      </c>
      <c r="E2085">
        <f>COUNTIF(tweets!C:C,D2085)</f>
        <v>1</v>
      </c>
      <c r="I2085"/>
      <c r="J2085"/>
    </row>
    <row r="2086" spans="4:10" x14ac:dyDescent="0.2">
      <c r="D2086" t="s">
        <v>8461</v>
      </c>
      <c r="E2086">
        <f>COUNTIF(tweets!C:C,D2086)</f>
        <v>1</v>
      </c>
      <c r="I2086"/>
      <c r="J2086"/>
    </row>
    <row r="2087" spans="4:10" x14ac:dyDescent="0.2">
      <c r="D2087" t="s">
        <v>8464</v>
      </c>
      <c r="E2087">
        <f>COUNTIF(tweets!C:C,D2087)</f>
        <v>1</v>
      </c>
      <c r="I2087"/>
      <c r="J2087"/>
    </row>
    <row r="2088" spans="4:10" x14ac:dyDescent="0.2">
      <c r="D2088" t="s">
        <v>8470</v>
      </c>
      <c r="E2088">
        <f>COUNTIF(tweets!C:C,D2088)</f>
        <v>1</v>
      </c>
      <c r="I2088"/>
      <c r="J2088"/>
    </row>
    <row r="2089" spans="4:10" x14ac:dyDescent="0.2">
      <c r="D2089" t="s">
        <v>8473</v>
      </c>
      <c r="E2089">
        <f>COUNTIF(tweets!C:C,D2089)</f>
        <v>1</v>
      </c>
      <c r="I2089"/>
      <c r="J2089"/>
    </row>
    <row r="2090" spans="4:10" x14ac:dyDescent="0.2">
      <c r="D2090" t="s">
        <v>8476</v>
      </c>
      <c r="E2090">
        <f>COUNTIF(tweets!C:C,D2090)</f>
        <v>1</v>
      </c>
      <c r="I2090"/>
      <c r="J2090"/>
    </row>
    <row r="2091" spans="4:10" x14ac:dyDescent="0.2">
      <c r="D2091" t="s">
        <v>8480</v>
      </c>
      <c r="E2091">
        <f>COUNTIF(tweets!C:C,D2091)</f>
        <v>1</v>
      </c>
      <c r="I2091"/>
      <c r="J2091"/>
    </row>
    <row r="2092" spans="4:10" x14ac:dyDescent="0.2">
      <c r="D2092" t="s">
        <v>8485</v>
      </c>
      <c r="E2092">
        <f>COUNTIF(tweets!C:C,D2092)</f>
        <v>1</v>
      </c>
      <c r="I2092"/>
      <c r="J2092"/>
    </row>
    <row r="2093" spans="4:10" x14ac:dyDescent="0.2">
      <c r="D2093" t="s">
        <v>8488</v>
      </c>
      <c r="E2093">
        <f>COUNTIF(tweets!C:C,D2093)</f>
        <v>1</v>
      </c>
      <c r="I2093"/>
      <c r="J2093"/>
    </row>
    <row r="2094" spans="4:10" x14ac:dyDescent="0.2">
      <c r="D2094" t="s">
        <v>8495</v>
      </c>
      <c r="E2094">
        <f>COUNTIF(tweets!C:C,D2094)</f>
        <v>1</v>
      </c>
      <c r="I2094"/>
      <c r="J2094"/>
    </row>
    <row r="2095" spans="4:10" x14ac:dyDescent="0.2">
      <c r="D2095" t="s">
        <v>8499</v>
      </c>
      <c r="E2095">
        <f>COUNTIF(tweets!C:C,D2095)</f>
        <v>1</v>
      </c>
      <c r="I2095"/>
      <c r="J2095"/>
    </row>
    <row r="2096" spans="4:10" x14ac:dyDescent="0.2">
      <c r="D2096" t="s">
        <v>8505</v>
      </c>
      <c r="E2096">
        <f>COUNTIF(tweets!C:C,D2096)</f>
        <v>1</v>
      </c>
      <c r="I2096"/>
      <c r="J2096"/>
    </row>
    <row r="2097" spans="4:10" x14ac:dyDescent="0.2">
      <c r="D2097" t="s">
        <v>8528</v>
      </c>
      <c r="E2097">
        <f>COUNTIF(tweets!C:C,D2097)</f>
        <v>1</v>
      </c>
      <c r="I2097"/>
      <c r="J2097"/>
    </row>
    <row r="2098" spans="4:10" x14ac:dyDescent="0.2">
      <c r="D2098" t="s">
        <v>8533</v>
      </c>
      <c r="E2098">
        <f>COUNTIF(tweets!C:C,D2098)</f>
        <v>1</v>
      </c>
      <c r="I2098"/>
      <c r="J2098"/>
    </row>
    <row r="2099" spans="4:10" x14ac:dyDescent="0.2">
      <c r="D2099" t="s">
        <v>8538</v>
      </c>
      <c r="E2099">
        <f>COUNTIF(tweets!C:C,D2099)</f>
        <v>1</v>
      </c>
      <c r="I2099"/>
      <c r="J2099"/>
    </row>
    <row r="2100" spans="4:10" x14ac:dyDescent="0.2">
      <c r="D2100" t="s">
        <v>8543</v>
      </c>
      <c r="E2100">
        <f>COUNTIF(tweets!C:C,D2100)</f>
        <v>1</v>
      </c>
      <c r="I2100"/>
      <c r="J2100"/>
    </row>
    <row r="2101" spans="4:10" x14ac:dyDescent="0.2">
      <c r="D2101" t="s">
        <v>8546</v>
      </c>
      <c r="E2101">
        <f>COUNTIF(tweets!C:C,D2101)</f>
        <v>1</v>
      </c>
      <c r="I2101"/>
      <c r="J2101"/>
    </row>
    <row r="2102" spans="4:10" x14ac:dyDescent="0.2">
      <c r="D2102" t="s">
        <v>8550</v>
      </c>
      <c r="E2102">
        <f>COUNTIF(tweets!C:C,D2102)</f>
        <v>1</v>
      </c>
      <c r="I2102"/>
      <c r="J2102"/>
    </row>
    <row r="2103" spans="4:10" x14ac:dyDescent="0.2">
      <c r="D2103" t="s">
        <v>8553</v>
      </c>
      <c r="E2103">
        <f>COUNTIF(tweets!C:C,D2103)</f>
        <v>1</v>
      </c>
      <c r="I2103"/>
      <c r="J2103"/>
    </row>
    <row r="2104" spans="4:10" x14ac:dyDescent="0.2">
      <c r="D2104" t="s">
        <v>8556</v>
      </c>
      <c r="E2104">
        <f>COUNTIF(tweets!C:C,D2104)</f>
        <v>1</v>
      </c>
      <c r="I2104"/>
      <c r="J2104"/>
    </row>
    <row r="2105" spans="4:10" x14ac:dyDescent="0.2">
      <c r="D2105" t="s">
        <v>8559</v>
      </c>
      <c r="E2105">
        <f>COUNTIF(tweets!C:C,D2105)</f>
        <v>1</v>
      </c>
      <c r="I2105"/>
      <c r="J2105"/>
    </row>
    <row r="2106" spans="4:10" x14ac:dyDescent="0.2">
      <c r="D2106" t="s">
        <v>8567</v>
      </c>
      <c r="E2106">
        <f>COUNTIF(tweets!C:C,D2106)</f>
        <v>1</v>
      </c>
      <c r="I2106"/>
      <c r="J2106"/>
    </row>
    <row r="2107" spans="4:10" x14ac:dyDescent="0.2">
      <c r="D2107" t="s">
        <v>8571</v>
      </c>
      <c r="E2107">
        <f>COUNTIF(tweets!C:C,D2107)</f>
        <v>1</v>
      </c>
      <c r="I2107"/>
      <c r="J2107"/>
    </row>
    <row r="2108" spans="4:10" x14ac:dyDescent="0.2">
      <c r="D2108" t="s">
        <v>8574</v>
      </c>
      <c r="E2108">
        <f>COUNTIF(tweets!C:C,D2108)</f>
        <v>1</v>
      </c>
      <c r="I2108"/>
      <c r="J2108"/>
    </row>
    <row r="2109" spans="4:10" x14ac:dyDescent="0.2">
      <c r="D2109" t="s">
        <v>8578</v>
      </c>
      <c r="E2109">
        <f>COUNTIF(tweets!C:C,D2109)</f>
        <v>1</v>
      </c>
      <c r="I2109"/>
      <c r="J2109"/>
    </row>
    <row r="2110" spans="4:10" x14ac:dyDescent="0.2">
      <c r="D2110" t="s">
        <v>8581</v>
      </c>
      <c r="E2110">
        <f>COUNTIF(tweets!C:C,D2110)</f>
        <v>1</v>
      </c>
      <c r="I2110"/>
      <c r="J2110"/>
    </row>
    <row r="2111" spans="4:10" x14ac:dyDescent="0.2">
      <c r="D2111" t="s">
        <v>8586</v>
      </c>
      <c r="E2111">
        <f>COUNTIF(tweets!C:C,D2111)</f>
        <v>1</v>
      </c>
      <c r="I2111"/>
      <c r="J2111"/>
    </row>
    <row r="2112" spans="4:10" x14ac:dyDescent="0.2">
      <c r="D2112" t="s">
        <v>8594</v>
      </c>
      <c r="E2112">
        <f>COUNTIF(tweets!C:C,D2112)</f>
        <v>1</v>
      </c>
      <c r="I2112"/>
      <c r="J2112"/>
    </row>
    <row r="2113" spans="9:10" x14ac:dyDescent="0.2">
      <c r="I2113"/>
      <c r="J2113"/>
    </row>
    <row r="2114" spans="9:10" x14ac:dyDescent="0.2">
      <c r="I2114"/>
      <c r="J2114"/>
    </row>
    <row r="2115" spans="9:10" x14ac:dyDescent="0.2">
      <c r="I2115"/>
      <c r="J2115"/>
    </row>
    <row r="2116" spans="9:10" x14ac:dyDescent="0.2">
      <c r="I2116"/>
      <c r="J2116"/>
    </row>
    <row r="2117" spans="9:10" x14ac:dyDescent="0.2">
      <c r="I2117"/>
      <c r="J2117"/>
    </row>
    <row r="2118" spans="9:10" x14ac:dyDescent="0.2">
      <c r="I2118"/>
      <c r="J2118"/>
    </row>
    <row r="2119" spans="9:10" x14ac:dyDescent="0.2">
      <c r="I2119"/>
      <c r="J2119"/>
    </row>
    <row r="2120" spans="9:10" x14ac:dyDescent="0.2">
      <c r="I2120"/>
      <c r="J2120"/>
    </row>
    <row r="2121" spans="9:10" x14ac:dyDescent="0.2">
      <c r="I2121"/>
      <c r="J2121"/>
    </row>
    <row r="2122" spans="9:10" x14ac:dyDescent="0.2">
      <c r="I2122"/>
      <c r="J2122"/>
    </row>
    <row r="2123" spans="9:10" x14ac:dyDescent="0.2">
      <c r="I2123"/>
      <c r="J2123"/>
    </row>
    <row r="2124" spans="9:10" x14ac:dyDescent="0.2">
      <c r="I2124"/>
      <c r="J2124"/>
    </row>
    <row r="2125" spans="9:10" x14ac:dyDescent="0.2">
      <c r="I2125"/>
      <c r="J2125"/>
    </row>
    <row r="2126" spans="9:10" x14ac:dyDescent="0.2">
      <c r="I2126"/>
      <c r="J2126"/>
    </row>
    <row r="2127" spans="9:10" x14ac:dyDescent="0.2">
      <c r="I2127"/>
      <c r="J2127"/>
    </row>
    <row r="2128" spans="9:10" x14ac:dyDescent="0.2">
      <c r="I2128"/>
      <c r="J2128"/>
    </row>
    <row r="2129" spans="9:10" x14ac:dyDescent="0.2">
      <c r="I2129"/>
      <c r="J2129"/>
    </row>
    <row r="2130" spans="9:10" x14ac:dyDescent="0.2">
      <c r="I2130"/>
      <c r="J2130"/>
    </row>
    <row r="2131" spans="9:10" x14ac:dyDescent="0.2">
      <c r="I2131"/>
      <c r="J2131"/>
    </row>
    <row r="2132" spans="9:10" x14ac:dyDescent="0.2">
      <c r="I2132"/>
      <c r="J2132"/>
    </row>
    <row r="2133" spans="9:10" x14ac:dyDescent="0.2">
      <c r="I2133"/>
      <c r="J2133"/>
    </row>
    <row r="2134" spans="9:10" x14ac:dyDescent="0.2">
      <c r="I2134"/>
      <c r="J2134"/>
    </row>
    <row r="2135" spans="9:10" x14ac:dyDescent="0.2">
      <c r="I2135"/>
      <c r="J2135"/>
    </row>
    <row r="2136" spans="9:10" x14ac:dyDescent="0.2">
      <c r="I2136"/>
      <c r="J2136"/>
    </row>
    <row r="2137" spans="9:10" x14ac:dyDescent="0.2">
      <c r="I2137"/>
      <c r="J2137"/>
    </row>
    <row r="2138" spans="9:10" x14ac:dyDescent="0.2">
      <c r="I2138"/>
      <c r="J2138"/>
    </row>
    <row r="2139" spans="9:10" x14ac:dyDescent="0.2">
      <c r="I2139"/>
      <c r="J2139"/>
    </row>
    <row r="2140" spans="9:10" x14ac:dyDescent="0.2">
      <c r="I2140"/>
      <c r="J2140"/>
    </row>
    <row r="2141" spans="9:10" x14ac:dyDescent="0.2">
      <c r="I2141"/>
      <c r="J2141"/>
    </row>
    <row r="2142" spans="9:10" x14ac:dyDescent="0.2">
      <c r="I2142"/>
      <c r="J2142"/>
    </row>
    <row r="2143" spans="9:10" x14ac:dyDescent="0.2">
      <c r="I2143"/>
      <c r="J2143"/>
    </row>
    <row r="2144" spans="9:10" x14ac:dyDescent="0.2">
      <c r="I2144"/>
      <c r="J2144"/>
    </row>
    <row r="2145" spans="9:10" x14ac:dyDescent="0.2">
      <c r="I2145"/>
      <c r="J2145"/>
    </row>
    <row r="2146" spans="9:10" x14ac:dyDescent="0.2">
      <c r="I2146"/>
      <c r="J2146"/>
    </row>
    <row r="2147" spans="9:10" x14ac:dyDescent="0.2">
      <c r="I2147"/>
      <c r="J2147"/>
    </row>
    <row r="2148" spans="9:10" x14ac:dyDescent="0.2">
      <c r="I2148"/>
      <c r="J2148"/>
    </row>
    <row r="2149" spans="9:10" x14ac:dyDescent="0.2">
      <c r="I2149"/>
      <c r="J2149"/>
    </row>
    <row r="2150" spans="9:10" x14ac:dyDescent="0.2">
      <c r="I2150"/>
      <c r="J2150"/>
    </row>
    <row r="2151" spans="9:10" x14ac:dyDescent="0.2">
      <c r="I2151"/>
      <c r="J2151"/>
    </row>
    <row r="2152" spans="9:10" x14ac:dyDescent="0.2">
      <c r="I2152"/>
      <c r="J2152"/>
    </row>
    <row r="2153" spans="9:10" x14ac:dyDescent="0.2">
      <c r="I2153"/>
      <c r="J2153"/>
    </row>
    <row r="2154" spans="9:10" x14ac:dyDescent="0.2">
      <c r="I2154"/>
      <c r="J2154"/>
    </row>
    <row r="2155" spans="9:10" x14ac:dyDescent="0.2">
      <c r="I2155"/>
      <c r="J2155"/>
    </row>
    <row r="2156" spans="9:10" x14ac:dyDescent="0.2">
      <c r="I2156"/>
      <c r="J2156"/>
    </row>
    <row r="2157" spans="9:10" x14ac:dyDescent="0.2">
      <c r="I2157"/>
      <c r="J2157"/>
    </row>
    <row r="2158" spans="9:10" x14ac:dyDescent="0.2">
      <c r="I2158"/>
      <c r="J2158"/>
    </row>
    <row r="2159" spans="9:10" x14ac:dyDescent="0.2">
      <c r="I2159"/>
      <c r="J2159"/>
    </row>
    <row r="2160" spans="9:10" x14ac:dyDescent="0.2">
      <c r="I2160"/>
      <c r="J2160"/>
    </row>
    <row r="2161" spans="9:10" x14ac:dyDescent="0.2">
      <c r="I2161"/>
      <c r="J2161"/>
    </row>
    <row r="2162" spans="9:10" x14ac:dyDescent="0.2">
      <c r="I2162"/>
      <c r="J2162"/>
    </row>
    <row r="2163" spans="9:10" x14ac:dyDescent="0.2">
      <c r="I2163"/>
      <c r="J2163"/>
    </row>
    <row r="2164" spans="9:10" x14ac:dyDescent="0.2">
      <c r="I2164"/>
      <c r="J2164"/>
    </row>
    <row r="2165" spans="9:10" x14ac:dyDescent="0.2">
      <c r="I2165"/>
      <c r="J2165"/>
    </row>
    <row r="2166" spans="9:10" x14ac:dyDescent="0.2">
      <c r="I2166"/>
      <c r="J2166"/>
    </row>
    <row r="2167" spans="9:10" x14ac:dyDescent="0.2">
      <c r="I2167"/>
      <c r="J2167"/>
    </row>
    <row r="2168" spans="9:10" x14ac:dyDescent="0.2">
      <c r="I2168"/>
      <c r="J2168"/>
    </row>
    <row r="2169" spans="9:10" x14ac:dyDescent="0.2">
      <c r="I2169"/>
      <c r="J2169"/>
    </row>
    <row r="2170" spans="9:10" x14ac:dyDescent="0.2">
      <c r="I2170"/>
      <c r="J2170"/>
    </row>
    <row r="2171" spans="9:10" x14ac:dyDescent="0.2">
      <c r="I2171"/>
      <c r="J2171"/>
    </row>
    <row r="2172" spans="9:10" x14ac:dyDescent="0.2">
      <c r="I2172"/>
      <c r="J2172"/>
    </row>
    <row r="2173" spans="9:10" x14ac:dyDescent="0.2">
      <c r="I2173"/>
      <c r="J2173"/>
    </row>
    <row r="2174" spans="9:10" x14ac:dyDescent="0.2">
      <c r="I2174"/>
      <c r="J2174"/>
    </row>
    <row r="2175" spans="9:10" x14ac:dyDescent="0.2">
      <c r="I2175"/>
      <c r="J2175"/>
    </row>
    <row r="2176" spans="9:10" x14ac:dyDescent="0.2">
      <c r="I2176"/>
      <c r="J2176"/>
    </row>
    <row r="2177" spans="9:10" x14ac:dyDescent="0.2">
      <c r="I2177"/>
      <c r="J2177"/>
    </row>
    <row r="2178" spans="9:10" x14ac:dyDescent="0.2">
      <c r="I2178"/>
      <c r="J2178"/>
    </row>
    <row r="2179" spans="9:10" x14ac:dyDescent="0.2">
      <c r="I2179"/>
      <c r="J2179"/>
    </row>
    <row r="2180" spans="9:10" x14ac:dyDescent="0.2">
      <c r="I2180"/>
      <c r="J2180"/>
    </row>
    <row r="2181" spans="9:10" x14ac:dyDescent="0.2">
      <c r="I2181"/>
      <c r="J2181"/>
    </row>
    <row r="2182" spans="9:10" x14ac:dyDescent="0.2">
      <c r="I2182"/>
      <c r="J2182"/>
    </row>
    <row r="2183" spans="9:10" x14ac:dyDescent="0.2">
      <c r="I2183"/>
      <c r="J2183"/>
    </row>
    <row r="2184" spans="9:10" x14ac:dyDescent="0.2">
      <c r="I2184"/>
      <c r="J2184"/>
    </row>
    <row r="2185" spans="9:10" x14ac:dyDescent="0.2">
      <c r="I2185"/>
      <c r="J2185"/>
    </row>
    <row r="2186" spans="9:10" x14ac:dyDescent="0.2">
      <c r="I2186"/>
      <c r="J2186"/>
    </row>
    <row r="2187" spans="9:10" x14ac:dyDescent="0.2">
      <c r="I2187"/>
      <c r="J2187"/>
    </row>
    <row r="2188" spans="9:10" x14ac:dyDescent="0.2">
      <c r="I2188"/>
      <c r="J2188"/>
    </row>
    <row r="2189" spans="9:10" x14ac:dyDescent="0.2">
      <c r="I2189"/>
      <c r="J2189"/>
    </row>
    <row r="2190" spans="9:10" x14ac:dyDescent="0.2">
      <c r="I2190"/>
      <c r="J2190"/>
    </row>
    <row r="2191" spans="9:10" x14ac:dyDescent="0.2">
      <c r="I2191"/>
      <c r="J2191"/>
    </row>
    <row r="2192" spans="9:10" x14ac:dyDescent="0.2">
      <c r="I2192"/>
      <c r="J2192"/>
    </row>
    <row r="2193" spans="9:10" x14ac:dyDescent="0.2">
      <c r="I2193"/>
      <c r="J2193"/>
    </row>
    <row r="2194" spans="9:10" x14ac:dyDescent="0.2">
      <c r="I2194"/>
      <c r="J2194"/>
    </row>
    <row r="2195" spans="9:10" x14ac:dyDescent="0.2">
      <c r="I2195"/>
      <c r="J2195"/>
    </row>
    <row r="2196" spans="9:10" x14ac:dyDescent="0.2">
      <c r="I2196"/>
      <c r="J2196"/>
    </row>
    <row r="2197" spans="9:10" x14ac:dyDescent="0.2">
      <c r="I2197"/>
      <c r="J2197"/>
    </row>
    <row r="2198" spans="9:10" x14ac:dyDescent="0.2">
      <c r="I2198"/>
      <c r="J2198"/>
    </row>
    <row r="2199" spans="9:10" x14ac:dyDescent="0.2">
      <c r="I2199"/>
      <c r="J2199"/>
    </row>
    <row r="2200" spans="9:10" x14ac:dyDescent="0.2">
      <c r="I2200"/>
      <c r="J2200"/>
    </row>
    <row r="2201" spans="9:10" x14ac:dyDescent="0.2">
      <c r="I2201"/>
      <c r="J2201"/>
    </row>
    <row r="2202" spans="9:10" x14ac:dyDescent="0.2">
      <c r="I2202"/>
      <c r="J2202"/>
    </row>
    <row r="2203" spans="9:10" x14ac:dyDescent="0.2">
      <c r="I2203"/>
      <c r="J2203"/>
    </row>
    <row r="2204" spans="9:10" x14ac:dyDescent="0.2">
      <c r="I2204"/>
      <c r="J2204"/>
    </row>
    <row r="2205" spans="9:10" x14ac:dyDescent="0.2">
      <c r="I2205"/>
      <c r="J2205"/>
    </row>
    <row r="2206" spans="9:10" x14ac:dyDescent="0.2">
      <c r="I2206"/>
      <c r="J2206"/>
    </row>
    <row r="2207" spans="9:10" x14ac:dyDescent="0.2">
      <c r="I2207"/>
      <c r="J2207"/>
    </row>
    <row r="2208" spans="9:10" x14ac:dyDescent="0.2">
      <c r="I2208"/>
      <c r="J2208"/>
    </row>
    <row r="2209" spans="9:10" x14ac:dyDescent="0.2">
      <c r="I2209"/>
      <c r="J2209"/>
    </row>
    <row r="2210" spans="9:10" x14ac:dyDescent="0.2">
      <c r="I2210"/>
      <c r="J2210"/>
    </row>
    <row r="2211" spans="9:10" x14ac:dyDescent="0.2">
      <c r="I2211"/>
      <c r="J2211"/>
    </row>
    <row r="2212" spans="9:10" x14ac:dyDescent="0.2">
      <c r="I2212"/>
      <c r="J2212"/>
    </row>
    <row r="2213" spans="9:10" x14ac:dyDescent="0.2">
      <c r="I2213"/>
      <c r="J2213"/>
    </row>
    <row r="2214" spans="9:10" x14ac:dyDescent="0.2">
      <c r="I2214"/>
      <c r="J2214"/>
    </row>
    <row r="2215" spans="9:10" x14ac:dyDescent="0.2">
      <c r="I2215"/>
      <c r="J2215"/>
    </row>
    <row r="2216" spans="9:10" x14ac:dyDescent="0.2">
      <c r="I2216"/>
      <c r="J2216"/>
    </row>
    <row r="2217" spans="9:10" x14ac:dyDescent="0.2">
      <c r="I2217"/>
      <c r="J2217"/>
    </row>
    <row r="2218" spans="9:10" x14ac:dyDescent="0.2">
      <c r="I2218"/>
      <c r="J2218"/>
    </row>
    <row r="2219" spans="9:10" x14ac:dyDescent="0.2">
      <c r="I2219"/>
      <c r="J2219"/>
    </row>
    <row r="2220" spans="9:10" x14ac:dyDescent="0.2">
      <c r="I2220"/>
      <c r="J2220"/>
    </row>
    <row r="2221" spans="9:10" x14ac:dyDescent="0.2">
      <c r="I2221"/>
      <c r="J2221"/>
    </row>
    <row r="2222" spans="9:10" x14ac:dyDescent="0.2">
      <c r="I2222"/>
      <c r="J2222"/>
    </row>
    <row r="2223" spans="9:10" x14ac:dyDescent="0.2">
      <c r="I2223"/>
      <c r="J2223"/>
    </row>
    <row r="2224" spans="9:10" x14ac:dyDescent="0.2">
      <c r="I2224"/>
      <c r="J2224"/>
    </row>
    <row r="2225" spans="9:10" x14ac:dyDescent="0.2">
      <c r="I2225"/>
      <c r="J2225"/>
    </row>
    <row r="2226" spans="9:10" x14ac:dyDescent="0.2">
      <c r="I2226"/>
      <c r="J2226"/>
    </row>
    <row r="2227" spans="9:10" x14ac:dyDescent="0.2">
      <c r="I2227"/>
      <c r="J2227"/>
    </row>
    <row r="2228" spans="9:10" x14ac:dyDescent="0.2">
      <c r="I2228"/>
      <c r="J2228"/>
    </row>
    <row r="2229" spans="9:10" x14ac:dyDescent="0.2">
      <c r="I2229"/>
      <c r="J2229"/>
    </row>
    <row r="2230" spans="9:10" x14ac:dyDescent="0.2">
      <c r="I2230"/>
      <c r="J2230"/>
    </row>
    <row r="2231" spans="9:10" x14ac:dyDescent="0.2">
      <c r="I2231"/>
      <c r="J2231"/>
    </row>
    <row r="2232" spans="9:10" x14ac:dyDescent="0.2">
      <c r="I2232"/>
      <c r="J2232"/>
    </row>
    <row r="2233" spans="9:10" x14ac:dyDescent="0.2">
      <c r="I2233"/>
      <c r="J2233"/>
    </row>
    <row r="2234" spans="9:10" x14ac:dyDescent="0.2">
      <c r="I2234"/>
      <c r="J2234"/>
    </row>
    <row r="2235" spans="9:10" x14ac:dyDescent="0.2">
      <c r="I2235"/>
      <c r="J2235"/>
    </row>
    <row r="2236" spans="9:10" x14ac:dyDescent="0.2">
      <c r="I2236"/>
      <c r="J2236"/>
    </row>
    <row r="2237" spans="9:10" x14ac:dyDescent="0.2">
      <c r="I2237"/>
      <c r="J2237"/>
    </row>
    <row r="2238" spans="9:10" x14ac:dyDescent="0.2">
      <c r="I2238"/>
      <c r="J2238"/>
    </row>
    <row r="2239" spans="9:10" x14ac:dyDescent="0.2">
      <c r="I2239"/>
      <c r="J2239"/>
    </row>
    <row r="2240" spans="9:10" x14ac:dyDescent="0.2">
      <c r="I2240"/>
      <c r="J2240"/>
    </row>
    <row r="2241" spans="9:10" x14ac:dyDescent="0.2">
      <c r="I2241"/>
      <c r="J2241"/>
    </row>
    <row r="2242" spans="9:10" x14ac:dyDescent="0.2">
      <c r="I2242"/>
      <c r="J2242"/>
    </row>
    <row r="2243" spans="9:10" x14ac:dyDescent="0.2">
      <c r="I2243"/>
      <c r="J2243"/>
    </row>
    <row r="2244" spans="9:10" x14ac:dyDescent="0.2">
      <c r="I2244"/>
      <c r="J2244"/>
    </row>
    <row r="2245" spans="9:10" x14ac:dyDescent="0.2">
      <c r="I2245"/>
      <c r="J2245"/>
    </row>
    <row r="2246" spans="9:10" x14ac:dyDescent="0.2">
      <c r="I2246"/>
      <c r="J2246"/>
    </row>
    <row r="2247" spans="9:10" x14ac:dyDescent="0.2">
      <c r="I2247"/>
      <c r="J2247"/>
    </row>
    <row r="2248" spans="9:10" x14ac:dyDescent="0.2">
      <c r="I2248"/>
      <c r="J2248"/>
    </row>
    <row r="2249" spans="9:10" x14ac:dyDescent="0.2">
      <c r="I2249"/>
      <c r="J2249"/>
    </row>
    <row r="2250" spans="9:10" x14ac:dyDescent="0.2">
      <c r="I2250"/>
      <c r="J2250"/>
    </row>
    <row r="2251" spans="9:10" x14ac:dyDescent="0.2">
      <c r="I2251"/>
      <c r="J2251"/>
    </row>
    <row r="2252" spans="9:10" x14ac:dyDescent="0.2">
      <c r="I2252"/>
      <c r="J2252"/>
    </row>
    <row r="2253" spans="9:10" x14ac:dyDescent="0.2">
      <c r="I2253"/>
      <c r="J2253"/>
    </row>
    <row r="2254" spans="9:10" x14ac:dyDescent="0.2">
      <c r="I2254"/>
      <c r="J2254"/>
    </row>
    <row r="2255" spans="9:10" x14ac:dyDescent="0.2">
      <c r="I2255"/>
      <c r="J2255"/>
    </row>
    <row r="2256" spans="9:10" x14ac:dyDescent="0.2">
      <c r="I2256"/>
      <c r="J2256"/>
    </row>
    <row r="2257" spans="9:10" x14ac:dyDescent="0.2">
      <c r="I2257"/>
      <c r="J2257"/>
    </row>
    <row r="2258" spans="9:10" x14ac:dyDescent="0.2">
      <c r="I2258"/>
      <c r="J2258"/>
    </row>
    <row r="2259" spans="9:10" x14ac:dyDescent="0.2">
      <c r="I2259"/>
      <c r="J2259"/>
    </row>
    <row r="2260" spans="9:10" x14ac:dyDescent="0.2">
      <c r="I2260"/>
      <c r="J2260"/>
    </row>
    <row r="2261" spans="9:10" x14ac:dyDescent="0.2">
      <c r="I2261"/>
      <c r="J2261"/>
    </row>
    <row r="2262" spans="9:10" x14ac:dyDescent="0.2">
      <c r="I2262"/>
      <c r="J2262"/>
    </row>
    <row r="2263" spans="9:10" x14ac:dyDescent="0.2">
      <c r="I2263"/>
      <c r="J2263"/>
    </row>
    <row r="2264" spans="9:10" x14ac:dyDescent="0.2">
      <c r="I2264"/>
      <c r="J2264"/>
    </row>
    <row r="2265" spans="9:10" x14ac:dyDescent="0.2">
      <c r="I2265"/>
      <c r="J2265"/>
    </row>
    <row r="2266" spans="9:10" x14ac:dyDescent="0.2">
      <c r="I2266"/>
      <c r="J2266"/>
    </row>
    <row r="2267" spans="9:10" x14ac:dyDescent="0.2">
      <c r="I2267"/>
      <c r="J2267"/>
    </row>
    <row r="2268" spans="9:10" x14ac:dyDescent="0.2">
      <c r="I2268"/>
      <c r="J2268"/>
    </row>
    <row r="2269" spans="9:10" x14ac:dyDescent="0.2">
      <c r="I2269"/>
      <c r="J2269"/>
    </row>
    <row r="2270" spans="9:10" x14ac:dyDescent="0.2">
      <c r="I2270"/>
      <c r="J2270"/>
    </row>
    <row r="2271" spans="9:10" x14ac:dyDescent="0.2">
      <c r="I2271"/>
      <c r="J2271"/>
    </row>
    <row r="2272" spans="9:10" x14ac:dyDescent="0.2">
      <c r="I2272"/>
      <c r="J2272"/>
    </row>
    <row r="2273" spans="9:10" x14ac:dyDescent="0.2">
      <c r="I2273"/>
      <c r="J2273"/>
    </row>
    <row r="2274" spans="9:10" x14ac:dyDescent="0.2">
      <c r="I2274"/>
      <c r="J2274"/>
    </row>
    <row r="2275" spans="9:10" x14ac:dyDescent="0.2">
      <c r="I2275"/>
      <c r="J2275"/>
    </row>
    <row r="2276" spans="9:10" x14ac:dyDescent="0.2">
      <c r="I2276"/>
      <c r="J2276"/>
    </row>
    <row r="2277" spans="9:10" x14ac:dyDescent="0.2">
      <c r="I2277"/>
      <c r="J2277"/>
    </row>
    <row r="2278" spans="9:10" x14ac:dyDescent="0.2">
      <c r="I2278"/>
      <c r="J2278"/>
    </row>
    <row r="2279" spans="9:10" x14ac:dyDescent="0.2">
      <c r="I2279"/>
      <c r="J2279"/>
    </row>
    <row r="2280" spans="9:10" x14ac:dyDescent="0.2">
      <c r="I2280"/>
      <c r="J2280"/>
    </row>
    <row r="2281" spans="9:10" x14ac:dyDescent="0.2">
      <c r="I2281"/>
      <c r="J2281"/>
    </row>
    <row r="2282" spans="9:10" x14ac:dyDescent="0.2">
      <c r="I2282"/>
      <c r="J2282"/>
    </row>
    <row r="2283" spans="9:10" x14ac:dyDescent="0.2">
      <c r="I2283"/>
      <c r="J2283"/>
    </row>
    <row r="2284" spans="9:10" x14ac:dyDescent="0.2">
      <c r="I2284"/>
      <c r="J2284"/>
    </row>
    <row r="2285" spans="9:10" x14ac:dyDescent="0.2">
      <c r="I2285"/>
      <c r="J2285"/>
    </row>
    <row r="2286" spans="9:10" x14ac:dyDescent="0.2">
      <c r="I2286"/>
      <c r="J2286"/>
    </row>
    <row r="2287" spans="9:10" x14ac:dyDescent="0.2">
      <c r="I2287"/>
      <c r="J2287"/>
    </row>
    <row r="2288" spans="9:10" x14ac:dyDescent="0.2">
      <c r="I2288"/>
      <c r="J2288"/>
    </row>
    <row r="2289" spans="9:10" x14ac:dyDescent="0.2">
      <c r="I2289"/>
      <c r="J2289"/>
    </row>
    <row r="2290" spans="9:10" x14ac:dyDescent="0.2">
      <c r="I2290"/>
      <c r="J2290"/>
    </row>
    <row r="2291" spans="9:10" x14ac:dyDescent="0.2">
      <c r="I2291"/>
      <c r="J2291"/>
    </row>
    <row r="2292" spans="9:10" x14ac:dyDescent="0.2">
      <c r="I2292"/>
      <c r="J2292"/>
    </row>
    <row r="2293" spans="9:10" x14ac:dyDescent="0.2">
      <c r="I2293"/>
      <c r="J2293"/>
    </row>
    <row r="2294" spans="9:10" x14ac:dyDescent="0.2">
      <c r="I2294"/>
      <c r="J2294"/>
    </row>
    <row r="2295" spans="9:10" x14ac:dyDescent="0.2">
      <c r="I2295"/>
      <c r="J2295"/>
    </row>
    <row r="2296" spans="9:10" x14ac:dyDescent="0.2">
      <c r="I2296"/>
      <c r="J2296"/>
    </row>
    <row r="2297" spans="9:10" x14ac:dyDescent="0.2">
      <c r="I2297"/>
      <c r="J2297"/>
    </row>
    <row r="2298" spans="9:10" x14ac:dyDescent="0.2">
      <c r="I2298"/>
      <c r="J2298"/>
    </row>
    <row r="2299" spans="9:10" x14ac:dyDescent="0.2">
      <c r="I2299"/>
      <c r="J2299"/>
    </row>
    <row r="2300" spans="9:10" x14ac:dyDescent="0.2">
      <c r="I2300"/>
      <c r="J2300"/>
    </row>
    <row r="2301" spans="9:10" x14ac:dyDescent="0.2">
      <c r="I2301"/>
      <c r="J2301"/>
    </row>
    <row r="2302" spans="9:10" x14ac:dyDescent="0.2">
      <c r="I2302"/>
      <c r="J2302"/>
    </row>
    <row r="2303" spans="9:10" x14ac:dyDescent="0.2">
      <c r="I2303"/>
      <c r="J2303"/>
    </row>
    <row r="2304" spans="9:10" x14ac:dyDescent="0.2">
      <c r="I2304"/>
      <c r="J2304"/>
    </row>
    <row r="2305" spans="9:10" x14ac:dyDescent="0.2">
      <c r="I2305"/>
      <c r="J2305"/>
    </row>
    <row r="2306" spans="9:10" x14ac:dyDescent="0.2">
      <c r="I2306"/>
      <c r="J2306"/>
    </row>
    <row r="2307" spans="9:10" x14ac:dyDescent="0.2">
      <c r="I2307"/>
      <c r="J2307"/>
    </row>
    <row r="2308" spans="9:10" x14ac:dyDescent="0.2">
      <c r="I2308"/>
      <c r="J2308"/>
    </row>
    <row r="2309" spans="9:10" x14ac:dyDescent="0.2">
      <c r="I2309"/>
      <c r="J2309"/>
    </row>
    <row r="2310" spans="9:10" x14ac:dyDescent="0.2">
      <c r="I2310"/>
      <c r="J2310"/>
    </row>
    <row r="2311" spans="9:10" x14ac:dyDescent="0.2">
      <c r="I2311"/>
      <c r="J2311"/>
    </row>
    <row r="2312" spans="9:10" x14ac:dyDescent="0.2">
      <c r="I2312"/>
      <c r="J2312"/>
    </row>
    <row r="2313" spans="9:10" x14ac:dyDescent="0.2">
      <c r="I2313"/>
      <c r="J2313"/>
    </row>
    <row r="2314" spans="9:10" x14ac:dyDescent="0.2">
      <c r="I2314"/>
      <c r="J2314"/>
    </row>
    <row r="2315" spans="9:10" x14ac:dyDescent="0.2">
      <c r="I2315"/>
      <c r="J2315"/>
    </row>
    <row r="2316" spans="9:10" x14ac:dyDescent="0.2">
      <c r="I2316"/>
      <c r="J2316"/>
    </row>
    <row r="2317" spans="9:10" x14ac:dyDescent="0.2">
      <c r="I2317"/>
      <c r="J2317"/>
    </row>
    <row r="2318" spans="9:10" x14ac:dyDescent="0.2">
      <c r="I2318"/>
      <c r="J2318"/>
    </row>
    <row r="2319" spans="9:10" x14ac:dyDescent="0.2">
      <c r="I2319"/>
      <c r="J2319"/>
    </row>
    <row r="2320" spans="9:10" x14ac:dyDescent="0.2">
      <c r="I2320"/>
      <c r="J2320"/>
    </row>
    <row r="2321" spans="9:10" x14ac:dyDescent="0.2">
      <c r="I2321"/>
      <c r="J2321"/>
    </row>
    <row r="2322" spans="9:10" x14ac:dyDescent="0.2">
      <c r="I2322"/>
      <c r="J2322"/>
    </row>
    <row r="2323" spans="9:10" x14ac:dyDescent="0.2">
      <c r="I2323"/>
      <c r="J2323"/>
    </row>
    <row r="2324" spans="9:10" x14ac:dyDescent="0.2">
      <c r="I2324"/>
      <c r="J2324"/>
    </row>
    <row r="2325" spans="9:10" x14ac:dyDescent="0.2">
      <c r="I2325"/>
      <c r="J2325"/>
    </row>
    <row r="2326" spans="9:10" x14ac:dyDescent="0.2">
      <c r="I2326"/>
      <c r="J2326"/>
    </row>
    <row r="2327" spans="9:10" x14ac:dyDescent="0.2">
      <c r="I2327"/>
      <c r="J2327"/>
    </row>
    <row r="2328" spans="9:10" x14ac:dyDescent="0.2">
      <c r="I2328"/>
      <c r="J2328"/>
    </row>
    <row r="2329" spans="9:10" x14ac:dyDescent="0.2">
      <c r="I2329"/>
      <c r="J2329"/>
    </row>
    <row r="2330" spans="9:10" x14ac:dyDescent="0.2">
      <c r="I2330"/>
      <c r="J2330"/>
    </row>
    <row r="2331" spans="9:10" x14ac:dyDescent="0.2">
      <c r="I2331"/>
      <c r="J2331"/>
    </row>
    <row r="2332" spans="9:10" x14ac:dyDescent="0.2">
      <c r="I2332"/>
      <c r="J2332"/>
    </row>
    <row r="2333" spans="9:10" x14ac:dyDescent="0.2">
      <c r="I2333"/>
      <c r="J2333"/>
    </row>
    <row r="2334" spans="9:10" x14ac:dyDescent="0.2">
      <c r="I2334"/>
      <c r="J2334"/>
    </row>
    <row r="2335" spans="9:10" x14ac:dyDescent="0.2">
      <c r="I2335"/>
      <c r="J2335"/>
    </row>
    <row r="2336" spans="9:10" x14ac:dyDescent="0.2">
      <c r="I2336"/>
      <c r="J2336"/>
    </row>
    <row r="2337" spans="9:10" x14ac:dyDescent="0.2">
      <c r="I2337"/>
      <c r="J2337"/>
    </row>
    <row r="2338" spans="9:10" x14ac:dyDescent="0.2">
      <c r="I2338"/>
      <c r="J2338"/>
    </row>
    <row r="2339" spans="9:10" x14ac:dyDescent="0.2">
      <c r="I2339"/>
      <c r="J2339"/>
    </row>
    <row r="2340" spans="9:10" x14ac:dyDescent="0.2">
      <c r="I2340"/>
      <c r="J2340"/>
    </row>
    <row r="2341" spans="9:10" x14ac:dyDescent="0.2">
      <c r="I2341"/>
      <c r="J2341"/>
    </row>
    <row r="2342" spans="9:10" x14ac:dyDescent="0.2">
      <c r="I2342"/>
      <c r="J2342"/>
    </row>
    <row r="2343" spans="9:10" x14ac:dyDescent="0.2">
      <c r="I2343"/>
      <c r="J2343"/>
    </row>
    <row r="2344" spans="9:10" x14ac:dyDescent="0.2">
      <c r="I2344"/>
      <c r="J2344"/>
    </row>
    <row r="2345" spans="9:10" x14ac:dyDescent="0.2">
      <c r="I2345"/>
      <c r="J2345"/>
    </row>
    <row r="2346" spans="9:10" x14ac:dyDescent="0.2">
      <c r="I2346"/>
      <c r="J2346"/>
    </row>
    <row r="2347" spans="9:10" x14ac:dyDescent="0.2">
      <c r="I2347"/>
      <c r="J2347"/>
    </row>
    <row r="2348" spans="9:10" x14ac:dyDescent="0.2">
      <c r="I2348"/>
      <c r="J2348"/>
    </row>
    <row r="2349" spans="9:10" x14ac:dyDescent="0.2">
      <c r="I2349"/>
      <c r="J2349"/>
    </row>
    <row r="2350" spans="9:10" x14ac:dyDescent="0.2">
      <c r="I2350"/>
      <c r="J2350"/>
    </row>
    <row r="2351" spans="9:10" x14ac:dyDescent="0.2">
      <c r="I2351"/>
      <c r="J2351"/>
    </row>
    <row r="2352" spans="9:10" x14ac:dyDescent="0.2">
      <c r="I2352"/>
      <c r="J2352"/>
    </row>
    <row r="2353" spans="9:10" x14ac:dyDescent="0.2">
      <c r="I2353"/>
      <c r="J2353"/>
    </row>
    <row r="2354" spans="9:10" x14ac:dyDescent="0.2">
      <c r="I2354"/>
      <c r="J2354"/>
    </row>
    <row r="2355" spans="9:10" x14ac:dyDescent="0.2">
      <c r="I2355"/>
      <c r="J2355"/>
    </row>
    <row r="2356" spans="9:10" x14ac:dyDescent="0.2">
      <c r="I2356"/>
      <c r="J2356"/>
    </row>
    <row r="2357" spans="9:10" x14ac:dyDescent="0.2">
      <c r="I2357"/>
      <c r="J2357"/>
    </row>
    <row r="2358" spans="9:10" x14ac:dyDescent="0.2">
      <c r="I2358"/>
      <c r="J2358"/>
    </row>
    <row r="2359" spans="9:10" x14ac:dyDescent="0.2">
      <c r="I2359"/>
      <c r="J2359"/>
    </row>
    <row r="2360" spans="9:10" x14ac:dyDescent="0.2">
      <c r="I2360"/>
      <c r="J2360"/>
    </row>
    <row r="2361" spans="9:10" x14ac:dyDescent="0.2">
      <c r="I2361"/>
      <c r="J2361"/>
    </row>
    <row r="2362" spans="9:10" x14ac:dyDescent="0.2">
      <c r="I2362"/>
      <c r="J2362"/>
    </row>
    <row r="2363" spans="9:10" x14ac:dyDescent="0.2">
      <c r="I2363"/>
      <c r="J2363"/>
    </row>
    <row r="2364" spans="9:10" x14ac:dyDescent="0.2">
      <c r="I2364"/>
      <c r="J2364"/>
    </row>
    <row r="2365" spans="9:10" x14ac:dyDescent="0.2">
      <c r="I2365"/>
      <c r="J2365"/>
    </row>
    <row r="2366" spans="9:10" x14ac:dyDescent="0.2">
      <c r="I2366"/>
      <c r="J2366"/>
    </row>
    <row r="2367" spans="9:10" x14ac:dyDescent="0.2">
      <c r="I2367"/>
      <c r="J2367"/>
    </row>
    <row r="2368" spans="9:10" x14ac:dyDescent="0.2">
      <c r="I2368"/>
      <c r="J2368"/>
    </row>
    <row r="2369" spans="9:10" x14ac:dyDescent="0.2">
      <c r="I2369"/>
      <c r="J2369"/>
    </row>
    <row r="2370" spans="9:10" x14ac:dyDescent="0.2">
      <c r="I2370"/>
      <c r="J2370"/>
    </row>
    <row r="2371" spans="9:10" x14ac:dyDescent="0.2">
      <c r="I2371"/>
      <c r="J2371"/>
    </row>
    <row r="2372" spans="9:10" x14ac:dyDescent="0.2">
      <c r="I2372"/>
      <c r="J2372"/>
    </row>
    <row r="2373" spans="9:10" x14ac:dyDescent="0.2">
      <c r="I2373"/>
      <c r="J2373"/>
    </row>
    <row r="2374" spans="9:10" x14ac:dyDescent="0.2">
      <c r="I2374"/>
      <c r="J2374"/>
    </row>
    <row r="2375" spans="9:10" x14ac:dyDescent="0.2">
      <c r="I2375"/>
      <c r="J2375"/>
    </row>
    <row r="2376" spans="9:10" x14ac:dyDescent="0.2">
      <c r="I2376"/>
      <c r="J2376"/>
    </row>
    <row r="2377" spans="9:10" x14ac:dyDescent="0.2">
      <c r="I2377"/>
      <c r="J2377"/>
    </row>
    <row r="2378" spans="9:10" x14ac:dyDescent="0.2">
      <c r="I2378"/>
      <c r="J2378"/>
    </row>
    <row r="2379" spans="9:10" x14ac:dyDescent="0.2">
      <c r="I2379"/>
      <c r="J2379"/>
    </row>
    <row r="2380" spans="9:10" x14ac:dyDescent="0.2">
      <c r="I2380"/>
      <c r="J2380"/>
    </row>
    <row r="2381" spans="9:10" x14ac:dyDescent="0.2">
      <c r="I2381"/>
      <c r="J2381"/>
    </row>
    <row r="2382" spans="9:10" x14ac:dyDescent="0.2">
      <c r="I2382"/>
      <c r="J2382"/>
    </row>
    <row r="2383" spans="9:10" x14ac:dyDescent="0.2">
      <c r="I2383"/>
      <c r="J2383"/>
    </row>
    <row r="2384" spans="9:10" x14ac:dyDescent="0.2">
      <c r="I2384"/>
      <c r="J2384"/>
    </row>
    <row r="2385" spans="9:10" x14ac:dyDescent="0.2">
      <c r="I2385"/>
      <c r="J2385"/>
    </row>
    <row r="2386" spans="9:10" x14ac:dyDescent="0.2">
      <c r="I2386"/>
      <c r="J2386"/>
    </row>
    <row r="2387" spans="9:10" x14ac:dyDescent="0.2">
      <c r="I2387"/>
      <c r="J2387"/>
    </row>
    <row r="2388" spans="9:10" x14ac:dyDescent="0.2">
      <c r="I2388"/>
      <c r="J2388"/>
    </row>
    <row r="2389" spans="9:10" x14ac:dyDescent="0.2">
      <c r="I2389"/>
      <c r="J2389"/>
    </row>
    <row r="2390" spans="9:10" x14ac:dyDescent="0.2">
      <c r="I2390"/>
      <c r="J2390"/>
    </row>
    <row r="2391" spans="9:10" x14ac:dyDescent="0.2">
      <c r="I2391"/>
      <c r="J2391"/>
    </row>
    <row r="2392" spans="9:10" x14ac:dyDescent="0.2">
      <c r="I2392"/>
      <c r="J2392"/>
    </row>
    <row r="2393" spans="9:10" x14ac:dyDescent="0.2">
      <c r="I2393"/>
      <c r="J2393"/>
    </row>
    <row r="2394" spans="9:10" x14ac:dyDescent="0.2">
      <c r="I2394"/>
      <c r="J2394"/>
    </row>
    <row r="2395" spans="9:10" x14ac:dyDescent="0.2">
      <c r="I2395"/>
      <c r="J2395"/>
    </row>
    <row r="2396" spans="9:10" x14ac:dyDescent="0.2">
      <c r="I2396"/>
      <c r="J2396"/>
    </row>
    <row r="2397" spans="9:10" x14ac:dyDescent="0.2">
      <c r="I2397"/>
      <c r="J2397"/>
    </row>
    <row r="2398" spans="9:10" x14ac:dyDescent="0.2">
      <c r="I2398"/>
      <c r="J2398"/>
    </row>
    <row r="2399" spans="9:10" x14ac:dyDescent="0.2">
      <c r="I2399"/>
      <c r="J2399"/>
    </row>
    <row r="2400" spans="9:10" x14ac:dyDescent="0.2">
      <c r="I2400"/>
      <c r="J2400"/>
    </row>
    <row r="2401" spans="9:10" x14ac:dyDescent="0.2">
      <c r="I2401"/>
      <c r="J2401"/>
    </row>
    <row r="2402" spans="9:10" x14ac:dyDescent="0.2">
      <c r="I2402"/>
      <c r="J2402"/>
    </row>
    <row r="2403" spans="9:10" x14ac:dyDescent="0.2">
      <c r="I2403"/>
      <c r="J2403"/>
    </row>
    <row r="2404" spans="9:10" x14ac:dyDescent="0.2">
      <c r="I2404"/>
      <c r="J2404"/>
    </row>
    <row r="2405" spans="9:10" x14ac:dyDescent="0.2">
      <c r="I2405"/>
      <c r="J2405"/>
    </row>
    <row r="2406" spans="9:10" x14ac:dyDescent="0.2">
      <c r="I2406"/>
      <c r="J2406"/>
    </row>
    <row r="2407" spans="9:10" x14ac:dyDescent="0.2">
      <c r="I2407"/>
      <c r="J2407"/>
    </row>
    <row r="2408" spans="9:10" x14ac:dyDescent="0.2">
      <c r="I2408"/>
      <c r="J2408"/>
    </row>
    <row r="2409" spans="9:10" x14ac:dyDescent="0.2">
      <c r="I2409"/>
      <c r="J2409"/>
    </row>
    <row r="2410" spans="9:10" x14ac:dyDescent="0.2">
      <c r="I2410"/>
      <c r="J2410"/>
    </row>
    <row r="2411" spans="9:10" x14ac:dyDescent="0.2">
      <c r="I2411"/>
      <c r="J2411"/>
    </row>
    <row r="2412" spans="9:10" x14ac:dyDescent="0.2">
      <c r="I2412"/>
      <c r="J2412"/>
    </row>
    <row r="2413" spans="9:10" x14ac:dyDescent="0.2">
      <c r="I2413"/>
      <c r="J2413"/>
    </row>
    <row r="2414" spans="9:10" x14ac:dyDescent="0.2">
      <c r="I2414"/>
      <c r="J2414"/>
    </row>
    <row r="2415" spans="9:10" x14ac:dyDescent="0.2">
      <c r="I2415"/>
      <c r="J2415"/>
    </row>
    <row r="2416" spans="9:10" x14ac:dyDescent="0.2">
      <c r="I2416"/>
      <c r="J2416"/>
    </row>
    <row r="2417" spans="9:10" x14ac:dyDescent="0.2">
      <c r="I2417"/>
      <c r="J2417"/>
    </row>
    <row r="2418" spans="9:10" x14ac:dyDescent="0.2">
      <c r="I2418"/>
      <c r="J2418"/>
    </row>
    <row r="2419" spans="9:10" x14ac:dyDescent="0.2">
      <c r="I2419"/>
      <c r="J2419"/>
    </row>
    <row r="2420" spans="9:10" x14ac:dyDescent="0.2">
      <c r="I2420"/>
      <c r="J2420"/>
    </row>
    <row r="2421" spans="9:10" x14ac:dyDescent="0.2">
      <c r="I2421"/>
      <c r="J2421"/>
    </row>
    <row r="2422" spans="9:10" x14ac:dyDescent="0.2">
      <c r="I2422"/>
      <c r="J2422"/>
    </row>
    <row r="2423" spans="9:10" x14ac:dyDescent="0.2">
      <c r="I2423"/>
      <c r="J2423"/>
    </row>
    <row r="2424" spans="9:10" x14ac:dyDescent="0.2">
      <c r="I2424"/>
      <c r="J2424"/>
    </row>
    <row r="2425" spans="9:10" x14ac:dyDescent="0.2">
      <c r="I2425"/>
      <c r="J2425"/>
    </row>
    <row r="2426" spans="9:10" x14ac:dyDescent="0.2">
      <c r="I2426"/>
      <c r="J2426"/>
    </row>
    <row r="2427" spans="9:10" x14ac:dyDescent="0.2">
      <c r="I2427"/>
      <c r="J2427"/>
    </row>
    <row r="2428" spans="9:10" x14ac:dyDescent="0.2">
      <c r="I2428"/>
      <c r="J2428"/>
    </row>
    <row r="2429" spans="9:10" x14ac:dyDescent="0.2">
      <c r="I2429"/>
      <c r="J2429"/>
    </row>
    <row r="2430" spans="9:10" x14ac:dyDescent="0.2">
      <c r="I2430"/>
      <c r="J2430"/>
    </row>
    <row r="2431" spans="9:10" x14ac:dyDescent="0.2">
      <c r="I2431"/>
      <c r="J2431"/>
    </row>
    <row r="2432" spans="9:10" x14ac:dyDescent="0.2">
      <c r="I2432"/>
      <c r="J2432"/>
    </row>
    <row r="2433" spans="9:10" x14ac:dyDescent="0.2">
      <c r="I2433"/>
      <c r="J2433"/>
    </row>
    <row r="2434" spans="9:10" x14ac:dyDescent="0.2">
      <c r="I2434"/>
      <c r="J2434"/>
    </row>
    <row r="2435" spans="9:10" x14ac:dyDescent="0.2">
      <c r="I2435"/>
      <c r="J2435"/>
    </row>
    <row r="2436" spans="9:10" x14ac:dyDescent="0.2">
      <c r="I2436"/>
      <c r="J2436"/>
    </row>
    <row r="2437" spans="9:10" x14ac:dyDescent="0.2">
      <c r="I2437"/>
      <c r="J2437"/>
    </row>
    <row r="2438" spans="9:10" x14ac:dyDescent="0.2">
      <c r="I2438"/>
      <c r="J2438"/>
    </row>
    <row r="2439" spans="9:10" x14ac:dyDescent="0.2">
      <c r="I2439"/>
      <c r="J2439"/>
    </row>
    <row r="2440" spans="9:10" x14ac:dyDescent="0.2">
      <c r="I2440"/>
      <c r="J2440"/>
    </row>
    <row r="2441" spans="9:10" x14ac:dyDescent="0.2">
      <c r="I2441"/>
      <c r="J2441"/>
    </row>
    <row r="2442" spans="9:10" x14ac:dyDescent="0.2">
      <c r="I2442"/>
      <c r="J2442"/>
    </row>
    <row r="2443" spans="9:10" x14ac:dyDescent="0.2">
      <c r="I2443"/>
      <c r="J2443"/>
    </row>
    <row r="2444" spans="9:10" x14ac:dyDescent="0.2">
      <c r="I2444"/>
      <c r="J2444"/>
    </row>
    <row r="2445" spans="9:10" x14ac:dyDescent="0.2">
      <c r="I2445"/>
      <c r="J2445"/>
    </row>
    <row r="2446" spans="9:10" x14ac:dyDescent="0.2">
      <c r="I2446"/>
      <c r="J2446"/>
    </row>
    <row r="2447" spans="9:10" x14ac:dyDescent="0.2">
      <c r="I2447"/>
      <c r="J2447"/>
    </row>
    <row r="2448" spans="9:10" x14ac:dyDescent="0.2">
      <c r="I2448"/>
      <c r="J2448"/>
    </row>
    <row r="2449" spans="9:10" x14ac:dyDescent="0.2">
      <c r="I2449"/>
      <c r="J2449"/>
    </row>
    <row r="2450" spans="9:10" x14ac:dyDescent="0.2">
      <c r="I2450"/>
      <c r="J2450"/>
    </row>
    <row r="2451" spans="9:10" x14ac:dyDescent="0.2">
      <c r="I2451"/>
      <c r="J2451"/>
    </row>
    <row r="2452" spans="9:10" x14ac:dyDescent="0.2">
      <c r="I2452"/>
      <c r="J2452"/>
    </row>
    <row r="2453" spans="9:10" x14ac:dyDescent="0.2">
      <c r="I2453"/>
      <c r="J2453"/>
    </row>
    <row r="2454" spans="9:10" x14ac:dyDescent="0.2">
      <c r="I2454"/>
      <c r="J2454"/>
    </row>
    <row r="2455" spans="9:10" x14ac:dyDescent="0.2">
      <c r="I2455"/>
      <c r="J2455"/>
    </row>
    <row r="2456" spans="9:10" x14ac:dyDescent="0.2">
      <c r="I2456"/>
      <c r="J2456"/>
    </row>
    <row r="2457" spans="9:10" x14ac:dyDescent="0.2">
      <c r="I2457"/>
      <c r="J2457"/>
    </row>
    <row r="2458" spans="9:10" x14ac:dyDescent="0.2">
      <c r="I2458"/>
      <c r="J2458"/>
    </row>
    <row r="2459" spans="9:10" x14ac:dyDescent="0.2">
      <c r="I2459"/>
      <c r="J2459"/>
    </row>
    <row r="2460" spans="9:10" x14ac:dyDescent="0.2">
      <c r="I2460"/>
      <c r="J2460"/>
    </row>
    <row r="2461" spans="9:10" x14ac:dyDescent="0.2">
      <c r="I2461"/>
      <c r="J2461"/>
    </row>
    <row r="2462" spans="9:10" x14ac:dyDescent="0.2">
      <c r="I2462"/>
      <c r="J2462"/>
    </row>
    <row r="2463" spans="9:10" x14ac:dyDescent="0.2">
      <c r="I2463"/>
      <c r="J2463"/>
    </row>
    <row r="2464" spans="9:10" x14ac:dyDescent="0.2">
      <c r="I2464"/>
      <c r="J2464"/>
    </row>
    <row r="2465" spans="9:10" x14ac:dyDescent="0.2">
      <c r="I2465"/>
      <c r="J2465"/>
    </row>
    <row r="2466" spans="9:10" x14ac:dyDescent="0.2">
      <c r="I2466"/>
      <c r="J2466"/>
    </row>
    <row r="2467" spans="9:10" x14ac:dyDescent="0.2">
      <c r="I2467"/>
      <c r="J2467"/>
    </row>
    <row r="2468" spans="9:10" x14ac:dyDescent="0.2">
      <c r="I2468"/>
      <c r="J2468"/>
    </row>
    <row r="2469" spans="9:10" x14ac:dyDescent="0.2">
      <c r="I2469"/>
      <c r="J2469"/>
    </row>
    <row r="2470" spans="9:10" x14ac:dyDescent="0.2">
      <c r="I2470"/>
      <c r="J2470"/>
    </row>
    <row r="2471" spans="9:10" x14ac:dyDescent="0.2">
      <c r="I2471"/>
      <c r="J2471"/>
    </row>
    <row r="2472" spans="9:10" x14ac:dyDescent="0.2">
      <c r="I2472"/>
      <c r="J2472"/>
    </row>
    <row r="2473" spans="9:10" x14ac:dyDescent="0.2">
      <c r="I2473"/>
      <c r="J2473"/>
    </row>
    <row r="2474" spans="9:10" x14ac:dyDescent="0.2">
      <c r="I2474"/>
      <c r="J2474"/>
    </row>
    <row r="2475" spans="9:10" x14ac:dyDescent="0.2">
      <c r="I2475"/>
      <c r="J2475"/>
    </row>
    <row r="2476" spans="9:10" x14ac:dyDescent="0.2">
      <c r="I2476"/>
      <c r="J2476"/>
    </row>
    <row r="2477" spans="9:10" x14ac:dyDescent="0.2">
      <c r="I2477"/>
      <c r="J2477"/>
    </row>
    <row r="2478" spans="9:10" x14ac:dyDescent="0.2">
      <c r="I2478"/>
      <c r="J2478"/>
    </row>
    <row r="2479" spans="9:10" x14ac:dyDescent="0.2">
      <c r="I2479"/>
      <c r="J2479"/>
    </row>
    <row r="2480" spans="9:10" x14ac:dyDescent="0.2">
      <c r="I2480"/>
      <c r="J2480"/>
    </row>
    <row r="2481" spans="9:10" x14ac:dyDescent="0.2">
      <c r="I2481"/>
      <c r="J2481"/>
    </row>
    <row r="2482" spans="9:10" x14ac:dyDescent="0.2">
      <c r="I2482"/>
      <c r="J2482"/>
    </row>
    <row r="2483" spans="9:10" x14ac:dyDescent="0.2">
      <c r="I2483"/>
      <c r="J2483"/>
    </row>
    <row r="2484" spans="9:10" x14ac:dyDescent="0.2">
      <c r="I2484"/>
      <c r="J2484"/>
    </row>
    <row r="2485" spans="9:10" x14ac:dyDescent="0.2">
      <c r="I2485"/>
      <c r="J2485"/>
    </row>
    <row r="2486" spans="9:10" x14ac:dyDescent="0.2">
      <c r="I2486"/>
      <c r="J2486"/>
    </row>
    <row r="2487" spans="9:10" x14ac:dyDescent="0.2">
      <c r="I2487"/>
      <c r="J2487"/>
    </row>
    <row r="2488" spans="9:10" x14ac:dyDescent="0.2">
      <c r="I2488"/>
      <c r="J2488"/>
    </row>
    <row r="2489" spans="9:10" x14ac:dyDescent="0.2">
      <c r="I2489"/>
      <c r="J2489"/>
    </row>
    <row r="2490" spans="9:10" x14ac:dyDescent="0.2">
      <c r="I2490"/>
      <c r="J2490"/>
    </row>
    <row r="2491" spans="9:10" x14ac:dyDescent="0.2">
      <c r="I2491"/>
      <c r="J2491"/>
    </row>
    <row r="2492" spans="9:10" x14ac:dyDescent="0.2">
      <c r="I2492"/>
      <c r="J2492"/>
    </row>
    <row r="2493" spans="9:10" x14ac:dyDescent="0.2">
      <c r="I2493"/>
      <c r="J2493"/>
    </row>
    <row r="2494" spans="9:10" x14ac:dyDescent="0.2">
      <c r="I2494"/>
      <c r="J2494"/>
    </row>
    <row r="2495" spans="9:10" x14ac:dyDescent="0.2">
      <c r="I2495"/>
      <c r="J2495"/>
    </row>
    <row r="2496" spans="9:10" x14ac:dyDescent="0.2">
      <c r="I2496"/>
      <c r="J2496"/>
    </row>
    <row r="2497" spans="9:10" x14ac:dyDescent="0.2">
      <c r="I2497"/>
      <c r="J2497"/>
    </row>
    <row r="2498" spans="9:10" x14ac:dyDescent="0.2">
      <c r="I2498"/>
      <c r="J2498"/>
    </row>
    <row r="2499" spans="9:10" x14ac:dyDescent="0.2">
      <c r="I2499"/>
      <c r="J2499"/>
    </row>
    <row r="2500" spans="9:10" x14ac:dyDescent="0.2">
      <c r="I2500"/>
      <c r="J2500"/>
    </row>
    <row r="2501" spans="9:10" x14ac:dyDescent="0.2">
      <c r="I2501"/>
      <c r="J2501"/>
    </row>
    <row r="2502" spans="9:10" x14ac:dyDescent="0.2">
      <c r="I2502"/>
      <c r="J2502"/>
    </row>
    <row r="2503" spans="9:10" x14ac:dyDescent="0.2">
      <c r="I2503"/>
      <c r="J2503"/>
    </row>
    <row r="2504" spans="9:10" x14ac:dyDescent="0.2">
      <c r="I2504"/>
      <c r="J2504"/>
    </row>
    <row r="2505" spans="9:10" x14ac:dyDescent="0.2">
      <c r="I2505"/>
      <c r="J2505"/>
    </row>
    <row r="2506" spans="9:10" x14ac:dyDescent="0.2">
      <c r="I2506"/>
      <c r="J2506"/>
    </row>
    <row r="2507" spans="9:10" x14ac:dyDescent="0.2">
      <c r="I2507"/>
      <c r="J2507"/>
    </row>
    <row r="2508" spans="9:10" x14ac:dyDescent="0.2">
      <c r="I2508"/>
      <c r="J2508"/>
    </row>
    <row r="2509" spans="9:10" x14ac:dyDescent="0.2">
      <c r="I2509"/>
      <c r="J2509"/>
    </row>
    <row r="2510" spans="9:10" x14ac:dyDescent="0.2">
      <c r="I2510"/>
      <c r="J2510"/>
    </row>
    <row r="2511" spans="9:10" x14ac:dyDescent="0.2">
      <c r="I2511"/>
      <c r="J2511"/>
    </row>
    <row r="2512" spans="9:10" x14ac:dyDescent="0.2">
      <c r="I2512"/>
      <c r="J2512"/>
    </row>
    <row r="2513" spans="9:10" x14ac:dyDescent="0.2">
      <c r="I2513"/>
      <c r="J2513"/>
    </row>
    <row r="2514" spans="9:10" x14ac:dyDescent="0.2">
      <c r="I2514"/>
      <c r="J2514"/>
    </row>
    <row r="2515" spans="9:10" x14ac:dyDescent="0.2">
      <c r="I2515"/>
      <c r="J2515"/>
    </row>
    <row r="2516" spans="9:10" x14ac:dyDescent="0.2">
      <c r="I2516"/>
      <c r="J2516"/>
    </row>
    <row r="2517" spans="9:10" x14ac:dyDescent="0.2">
      <c r="I2517"/>
      <c r="J2517"/>
    </row>
    <row r="2518" spans="9:10" x14ac:dyDescent="0.2">
      <c r="I2518"/>
      <c r="J2518"/>
    </row>
    <row r="2519" spans="9:10" x14ac:dyDescent="0.2">
      <c r="I2519"/>
      <c r="J2519"/>
    </row>
    <row r="2520" spans="9:10" x14ac:dyDescent="0.2">
      <c r="I2520"/>
      <c r="J2520"/>
    </row>
    <row r="2521" spans="9:10" x14ac:dyDescent="0.2">
      <c r="I2521"/>
      <c r="J2521"/>
    </row>
    <row r="2522" spans="9:10" x14ac:dyDescent="0.2">
      <c r="I2522"/>
      <c r="J2522"/>
    </row>
    <row r="2523" spans="9:10" x14ac:dyDescent="0.2">
      <c r="I2523"/>
      <c r="J2523"/>
    </row>
    <row r="2524" spans="9:10" x14ac:dyDescent="0.2">
      <c r="I2524"/>
      <c r="J2524"/>
    </row>
    <row r="2525" spans="9:10" x14ac:dyDescent="0.2">
      <c r="I2525"/>
      <c r="J2525"/>
    </row>
    <row r="2526" spans="9:10" x14ac:dyDescent="0.2">
      <c r="I2526"/>
      <c r="J2526"/>
    </row>
    <row r="2527" spans="9:10" x14ac:dyDescent="0.2">
      <c r="I2527"/>
      <c r="J2527"/>
    </row>
    <row r="2528" spans="9:10" x14ac:dyDescent="0.2">
      <c r="I2528"/>
      <c r="J2528"/>
    </row>
    <row r="2529" spans="9:10" x14ac:dyDescent="0.2">
      <c r="I2529"/>
      <c r="J2529"/>
    </row>
    <row r="2530" spans="9:10" x14ac:dyDescent="0.2">
      <c r="I2530"/>
      <c r="J2530"/>
    </row>
    <row r="2531" spans="9:10" x14ac:dyDescent="0.2">
      <c r="I2531"/>
      <c r="J2531"/>
    </row>
    <row r="2532" spans="9:10" x14ac:dyDescent="0.2">
      <c r="I2532"/>
      <c r="J2532"/>
    </row>
    <row r="2533" spans="9:10" x14ac:dyDescent="0.2">
      <c r="I2533"/>
      <c r="J2533"/>
    </row>
    <row r="2534" spans="9:10" x14ac:dyDescent="0.2">
      <c r="I2534"/>
      <c r="J2534"/>
    </row>
    <row r="2535" spans="9:10" x14ac:dyDescent="0.2">
      <c r="I2535"/>
      <c r="J2535"/>
    </row>
    <row r="2536" spans="9:10" x14ac:dyDescent="0.2">
      <c r="I2536"/>
      <c r="J2536"/>
    </row>
    <row r="2537" spans="9:10" x14ac:dyDescent="0.2">
      <c r="I2537"/>
      <c r="J2537"/>
    </row>
    <row r="2538" spans="9:10" x14ac:dyDescent="0.2">
      <c r="I2538"/>
      <c r="J2538"/>
    </row>
    <row r="2539" spans="9:10" x14ac:dyDescent="0.2">
      <c r="I2539"/>
      <c r="J2539"/>
    </row>
    <row r="2540" spans="9:10" x14ac:dyDescent="0.2">
      <c r="I2540"/>
      <c r="J2540"/>
    </row>
    <row r="2541" spans="9:10" x14ac:dyDescent="0.2">
      <c r="I2541"/>
      <c r="J2541"/>
    </row>
    <row r="2542" spans="9:10" x14ac:dyDescent="0.2">
      <c r="I2542"/>
      <c r="J2542"/>
    </row>
    <row r="2543" spans="9:10" x14ac:dyDescent="0.2">
      <c r="I2543"/>
      <c r="J2543"/>
    </row>
    <row r="2544" spans="9:10" x14ac:dyDescent="0.2">
      <c r="I2544"/>
      <c r="J2544"/>
    </row>
    <row r="2545" spans="9:10" x14ac:dyDescent="0.2">
      <c r="I2545"/>
      <c r="J2545"/>
    </row>
    <row r="2546" spans="9:10" x14ac:dyDescent="0.2">
      <c r="I2546"/>
      <c r="J2546"/>
    </row>
    <row r="2547" spans="9:10" x14ac:dyDescent="0.2">
      <c r="I2547"/>
      <c r="J2547"/>
    </row>
    <row r="2548" spans="9:10" x14ac:dyDescent="0.2">
      <c r="I2548"/>
      <c r="J2548"/>
    </row>
    <row r="2549" spans="9:10" x14ac:dyDescent="0.2">
      <c r="I2549"/>
      <c r="J2549"/>
    </row>
    <row r="2550" spans="9:10" x14ac:dyDescent="0.2">
      <c r="I2550"/>
      <c r="J2550"/>
    </row>
    <row r="2551" spans="9:10" x14ac:dyDescent="0.2">
      <c r="I2551"/>
      <c r="J2551"/>
    </row>
    <row r="2552" spans="9:10" x14ac:dyDescent="0.2">
      <c r="I2552"/>
      <c r="J2552"/>
    </row>
    <row r="2553" spans="9:10" x14ac:dyDescent="0.2">
      <c r="I2553"/>
      <c r="J2553"/>
    </row>
    <row r="2554" spans="9:10" x14ac:dyDescent="0.2">
      <c r="I2554"/>
      <c r="J2554"/>
    </row>
    <row r="2555" spans="9:10" x14ac:dyDescent="0.2">
      <c r="I2555"/>
      <c r="J2555"/>
    </row>
    <row r="2556" spans="9:10" x14ac:dyDescent="0.2">
      <c r="I2556"/>
      <c r="J2556"/>
    </row>
    <row r="2557" spans="9:10" x14ac:dyDescent="0.2">
      <c r="I2557"/>
      <c r="J2557"/>
    </row>
    <row r="2558" spans="9:10" x14ac:dyDescent="0.2">
      <c r="I2558"/>
      <c r="J2558"/>
    </row>
    <row r="2559" spans="9:10" x14ac:dyDescent="0.2">
      <c r="I2559"/>
      <c r="J2559"/>
    </row>
    <row r="2560" spans="9:10" x14ac:dyDescent="0.2">
      <c r="I2560"/>
      <c r="J2560"/>
    </row>
    <row r="2561" spans="9:10" x14ac:dyDescent="0.2">
      <c r="I2561"/>
      <c r="J2561"/>
    </row>
    <row r="2562" spans="9:10" x14ac:dyDescent="0.2">
      <c r="I2562"/>
      <c r="J2562"/>
    </row>
    <row r="2563" spans="9:10" x14ac:dyDescent="0.2">
      <c r="I2563"/>
      <c r="J2563"/>
    </row>
    <row r="2564" spans="9:10" x14ac:dyDescent="0.2">
      <c r="I2564"/>
      <c r="J2564"/>
    </row>
    <row r="2565" spans="9:10" x14ac:dyDescent="0.2">
      <c r="I2565"/>
      <c r="J2565"/>
    </row>
    <row r="2566" spans="9:10" x14ac:dyDescent="0.2">
      <c r="I2566"/>
      <c r="J2566"/>
    </row>
    <row r="2567" spans="9:10" x14ac:dyDescent="0.2">
      <c r="I2567"/>
      <c r="J2567"/>
    </row>
    <row r="2568" spans="9:10" x14ac:dyDescent="0.2">
      <c r="I2568"/>
      <c r="J2568"/>
    </row>
    <row r="2569" spans="9:10" x14ac:dyDescent="0.2">
      <c r="I2569"/>
      <c r="J2569"/>
    </row>
    <row r="2570" spans="9:10" x14ac:dyDescent="0.2">
      <c r="I2570"/>
      <c r="J2570"/>
    </row>
    <row r="2571" spans="9:10" x14ac:dyDescent="0.2">
      <c r="I2571"/>
      <c r="J2571"/>
    </row>
    <row r="2572" spans="9:10" x14ac:dyDescent="0.2">
      <c r="I2572"/>
      <c r="J2572"/>
    </row>
    <row r="2573" spans="9:10" x14ac:dyDescent="0.2">
      <c r="I2573"/>
      <c r="J2573"/>
    </row>
    <row r="2574" spans="9:10" x14ac:dyDescent="0.2">
      <c r="I2574"/>
      <c r="J2574"/>
    </row>
    <row r="2575" spans="9:10" x14ac:dyDescent="0.2">
      <c r="I2575"/>
      <c r="J2575"/>
    </row>
    <row r="2576" spans="9:10" x14ac:dyDescent="0.2">
      <c r="I2576"/>
      <c r="J2576"/>
    </row>
    <row r="2577" spans="9:10" x14ac:dyDescent="0.2">
      <c r="I2577"/>
      <c r="J2577"/>
    </row>
    <row r="2578" spans="9:10" x14ac:dyDescent="0.2">
      <c r="I2578"/>
      <c r="J2578"/>
    </row>
    <row r="2579" spans="9:10" x14ac:dyDescent="0.2">
      <c r="I2579"/>
      <c r="J2579"/>
    </row>
    <row r="2580" spans="9:10" x14ac:dyDescent="0.2">
      <c r="I2580"/>
      <c r="J2580"/>
    </row>
    <row r="2581" spans="9:10" x14ac:dyDescent="0.2">
      <c r="I2581"/>
      <c r="J2581"/>
    </row>
    <row r="2582" spans="9:10" x14ac:dyDescent="0.2">
      <c r="I2582"/>
      <c r="J2582"/>
    </row>
    <row r="2583" spans="9:10" x14ac:dyDescent="0.2">
      <c r="I2583"/>
      <c r="J2583"/>
    </row>
    <row r="2584" spans="9:10" x14ac:dyDescent="0.2">
      <c r="I2584"/>
      <c r="J2584"/>
    </row>
    <row r="2585" spans="9:10" x14ac:dyDescent="0.2">
      <c r="I2585"/>
      <c r="J2585"/>
    </row>
    <row r="2586" spans="9:10" x14ac:dyDescent="0.2">
      <c r="I2586"/>
      <c r="J2586"/>
    </row>
    <row r="2587" spans="9:10" x14ac:dyDescent="0.2">
      <c r="I2587"/>
      <c r="J2587"/>
    </row>
    <row r="2588" spans="9:10" x14ac:dyDescent="0.2">
      <c r="I2588"/>
      <c r="J2588"/>
    </row>
    <row r="2589" spans="9:10" x14ac:dyDescent="0.2">
      <c r="I2589"/>
      <c r="J2589"/>
    </row>
    <row r="2590" spans="9:10" x14ac:dyDescent="0.2">
      <c r="I2590"/>
      <c r="J2590"/>
    </row>
    <row r="2591" spans="9:10" x14ac:dyDescent="0.2">
      <c r="I2591"/>
      <c r="J2591"/>
    </row>
    <row r="2592" spans="9:10" x14ac:dyDescent="0.2">
      <c r="I2592"/>
      <c r="J2592"/>
    </row>
    <row r="2593" spans="9:10" x14ac:dyDescent="0.2">
      <c r="I2593"/>
      <c r="J2593"/>
    </row>
    <row r="2594" spans="9:10" x14ac:dyDescent="0.2">
      <c r="I2594"/>
      <c r="J2594"/>
    </row>
    <row r="2595" spans="9:10" x14ac:dyDescent="0.2">
      <c r="I2595"/>
      <c r="J2595"/>
    </row>
    <row r="2596" spans="9:10" x14ac:dyDescent="0.2">
      <c r="I2596"/>
      <c r="J2596"/>
    </row>
    <row r="2597" spans="9:10" x14ac:dyDescent="0.2">
      <c r="I2597"/>
      <c r="J2597"/>
    </row>
    <row r="2598" spans="9:10" x14ac:dyDescent="0.2">
      <c r="I2598"/>
      <c r="J2598"/>
    </row>
    <row r="2599" spans="9:10" x14ac:dyDescent="0.2">
      <c r="I2599"/>
      <c r="J2599"/>
    </row>
    <row r="2600" spans="9:10" x14ac:dyDescent="0.2">
      <c r="I2600"/>
      <c r="J2600"/>
    </row>
    <row r="2601" spans="9:10" x14ac:dyDescent="0.2">
      <c r="I2601"/>
      <c r="J2601"/>
    </row>
    <row r="2602" spans="9:10" x14ac:dyDescent="0.2">
      <c r="I2602"/>
      <c r="J2602"/>
    </row>
    <row r="2603" spans="9:10" x14ac:dyDescent="0.2">
      <c r="I2603"/>
      <c r="J2603"/>
    </row>
    <row r="2604" spans="9:10" x14ac:dyDescent="0.2">
      <c r="I2604"/>
      <c r="J2604"/>
    </row>
    <row r="2605" spans="9:10" x14ac:dyDescent="0.2">
      <c r="I2605"/>
      <c r="J2605"/>
    </row>
    <row r="2606" spans="9:10" x14ac:dyDescent="0.2">
      <c r="I2606"/>
      <c r="J2606"/>
    </row>
    <row r="2607" spans="9:10" x14ac:dyDescent="0.2">
      <c r="I2607"/>
      <c r="J2607"/>
    </row>
    <row r="2608" spans="9:10" x14ac:dyDescent="0.2">
      <c r="I2608"/>
      <c r="J2608"/>
    </row>
    <row r="2609" spans="9:10" x14ac:dyDescent="0.2">
      <c r="I2609"/>
      <c r="J2609"/>
    </row>
    <row r="2610" spans="9:10" x14ac:dyDescent="0.2">
      <c r="I2610"/>
      <c r="J2610"/>
    </row>
    <row r="2611" spans="9:10" x14ac:dyDescent="0.2">
      <c r="I2611"/>
      <c r="J2611"/>
    </row>
    <row r="2612" spans="9:10" x14ac:dyDescent="0.2">
      <c r="I2612"/>
      <c r="J2612"/>
    </row>
    <row r="2613" spans="9:10" x14ac:dyDescent="0.2">
      <c r="I2613"/>
      <c r="J2613"/>
    </row>
    <row r="2614" spans="9:10" x14ac:dyDescent="0.2">
      <c r="I2614"/>
      <c r="J2614"/>
    </row>
    <row r="2615" spans="9:10" x14ac:dyDescent="0.2">
      <c r="I2615"/>
      <c r="J2615"/>
    </row>
    <row r="2616" spans="9:10" x14ac:dyDescent="0.2">
      <c r="I2616"/>
      <c r="J2616"/>
    </row>
    <row r="2617" spans="9:10" x14ac:dyDescent="0.2">
      <c r="I2617"/>
      <c r="J2617"/>
    </row>
    <row r="2618" spans="9:10" x14ac:dyDescent="0.2">
      <c r="I2618"/>
      <c r="J2618"/>
    </row>
    <row r="2619" spans="9:10" x14ac:dyDescent="0.2">
      <c r="I2619"/>
      <c r="J2619"/>
    </row>
    <row r="2620" spans="9:10" x14ac:dyDescent="0.2">
      <c r="I2620"/>
      <c r="J2620"/>
    </row>
    <row r="2621" spans="9:10" x14ac:dyDescent="0.2">
      <c r="I2621"/>
      <c r="J2621"/>
    </row>
    <row r="2622" spans="9:10" x14ac:dyDescent="0.2">
      <c r="I2622"/>
      <c r="J2622"/>
    </row>
    <row r="2623" spans="9:10" x14ac:dyDescent="0.2">
      <c r="I2623"/>
      <c r="J2623"/>
    </row>
    <row r="2624" spans="9:10" x14ac:dyDescent="0.2">
      <c r="I2624"/>
      <c r="J2624"/>
    </row>
    <row r="2625" spans="9:10" x14ac:dyDescent="0.2">
      <c r="I2625"/>
      <c r="J2625"/>
    </row>
    <row r="2626" spans="9:10" x14ac:dyDescent="0.2">
      <c r="I2626"/>
      <c r="J2626"/>
    </row>
    <row r="2627" spans="9:10" x14ac:dyDescent="0.2">
      <c r="I2627"/>
      <c r="J2627"/>
    </row>
    <row r="2628" spans="9:10" x14ac:dyDescent="0.2">
      <c r="I2628"/>
      <c r="J2628"/>
    </row>
    <row r="2629" spans="9:10" x14ac:dyDescent="0.2">
      <c r="I2629"/>
      <c r="J2629"/>
    </row>
    <row r="2630" spans="9:10" x14ac:dyDescent="0.2">
      <c r="I2630"/>
      <c r="J2630"/>
    </row>
    <row r="2631" spans="9:10" x14ac:dyDescent="0.2">
      <c r="I2631"/>
      <c r="J2631"/>
    </row>
    <row r="2632" spans="9:10" x14ac:dyDescent="0.2">
      <c r="I2632"/>
      <c r="J2632"/>
    </row>
    <row r="2633" spans="9:10" x14ac:dyDescent="0.2">
      <c r="I2633"/>
      <c r="J2633"/>
    </row>
    <row r="2634" spans="9:10" x14ac:dyDescent="0.2">
      <c r="I2634"/>
      <c r="J2634"/>
    </row>
    <row r="2635" spans="9:10" x14ac:dyDescent="0.2">
      <c r="I2635"/>
      <c r="J2635"/>
    </row>
    <row r="2636" spans="9:10" x14ac:dyDescent="0.2">
      <c r="I2636"/>
      <c r="J2636"/>
    </row>
    <row r="2637" spans="9:10" x14ac:dyDescent="0.2">
      <c r="I2637"/>
      <c r="J2637"/>
    </row>
    <row r="2638" spans="9:10" x14ac:dyDescent="0.2">
      <c r="I2638"/>
      <c r="J2638"/>
    </row>
    <row r="2639" spans="9:10" x14ac:dyDescent="0.2">
      <c r="I2639"/>
      <c r="J2639"/>
    </row>
    <row r="2640" spans="9:10" x14ac:dyDescent="0.2">
      <c r="I2640"/>
      <c r="J2640"/>
    </row>
    <row r="2641" spans="9:10" x14ac:dyDescent="0.2">
      <c r="I2641"/>
      <c r="J2641"/>
    </row>
    <row r="2642" spans="9:10" x14ac:dyDescent="0.2">
      <c r="I2642"/>
      <c r="J2642"/>
    </row>
    <row r="2643" spans="9:10" x14ac:dyDescent="0.2">
      <c r="I2643"/>
      <c r="J2643"/>
    </row>
    <row r="2644" spans="9:10" x14ac:dyDescent="0.2">
      <c r="I2644"/>
      <c r="J2644"/>
    </row>
    <row r="2645" spans="9:10" x14ac:dyDescent="0.2">
      <c r="I2645"/>
      <c r="J2645"/>
    </row>
    <row r="2646" spans="9:10" x14ac:dyDescent="0.2">
      <c r="I2646"/>
      <c r="J2646"/>
    </row>
    <row r="2647" spans="9:10" x14ac:dyDescent="0.2">
      <c r="I2647"/>
      <c r="J2647"/>
    </row>
    <row r="2648" spans="9:10" x14ac:dyDescent="0.2">
      <c r="I2648"/>
      <c r="J2648"/>
    </row>
    <row r="2649" spans="9:10" x14ac:dyDescent="0.2">
      <c r="I2649"/>
      <c r="J2649"/>
    </row>
    <row r="2650" spans="9:10" x14ac:dyDescent="0.2">
      <c r="I2650"/>
      <c r="J2650"/>
    </row>
    <row r="2651" spans="9:10" x14ac:dyDescent="0.2">
      <c r="I2651"/>
      <c r="J2651"/>
    </row>
    <row r="2652" spans="9:10" x14ac:dyDescent="0.2">
      <c r="I2652"/>
      <c r="J2652"/>
    </row>
    <row r="2653" spans="9:10" x14ac:dyDescent="0.2">
      <c r="I2653"/>
      <c r="J2653"/>
    </row>
    <row r="2654" spans="9:10" x14ac:dyDescent="0.2">
      <c r="I2654"/>
      <c r="J2654"/>
    </row>
    <row r="2655" spans="9:10" x14ac:dyDescent="0.2">
      <c r="I2655"/>
      <c r="J2655"/>
    </row>
    <row r="2656" spans="9:10" x14ac:dyDescent="0.2">
      <c r="I2656"/>
      <c r="J2656"/>
    </row>
    <row r="2657" spans="9:10" x14ac:dyDescent="0.2">
      <c r="I2657"/>
      <c r="J2657"/>
    </row>
    <row r="2658" spans="9:10" x14ac:dyDescent="0.2">
      <c r="I2658"/>
      <c r="J2658"/>
    </row>
    <row r="2659" spans="9:10" x14ac:dyDescent="0.2">
      <c r="I2659"/>
      <c r="J2659"/>
    </row>
    <row r="2660" spans="9:10" x14ac:dyDescent="0.2">
      <c r="I2660"/>
      <c r="J2660"/>
    </row>
    <row r="2661" spans="9:10" x14ac:dyDescent="0.2">
      <c r="I2661"/>
      <c r="J2661"/>
    </row>
    <row r="2662" spans="9:10" x14ac:dyDescent="0.2">
      <c r="I2662"/>
      <c r="J2662"/>
    </row>
    <row r="2663" spans="9:10" x14ac:dyDescent="0.2">
      <c r="I2663"/>
      <c r="J2663"/>
    </row>
    <row r="2664" spans="9:10" x14ac:dyDescent="0.2">
      <c r="I2664"/>
      <c r="J2664"/>
    </row>
    <row r="2665" spans="9:10" x14ac:dyDescent="0.2">
      <c r="I2665"/>
      <c r="J2665"/>
    </row>
    <row r="2666" spans="9:10" x14ac:dyDescent="0.2">
      <c r="I2666"/>
      <c r="J2666"/>
    </row>
    <row r="2667" spans="9:10" x14ac:dyDescent="0.2">
      <c r="I2667"/>
      <c r="J2667"/>
    </row>
    <row r="2668" spans="9:10" x14ac:dyDescent="0.2">
      <c r="I2668"/>
      <c r="J2668"/>
    </row>
    <row r="2669" spans="9:10" x14ac:dyDescent="0.2">
      <c r="I2669"/>
      <c r="J2669"/>
    </row>
    <row r="2670" spans="9:10" x14ac:dyDescent="0.2">
      <c r="I2670"/>
      <c r="J2670"/>
    </row>
    <row r="2671" spans="9:10" x14ac:dyDescent="0.2">
      <c r="I2671"/>
      <c r="J2671"/>
    </row>
    <row r="2672" spans="9:10" x14ac:dyDescent="0.2">
      <c r="I2672"/>
      <c r="J2672"/>
    </row>
    <row r="2673" spans="9:10" x14ac:dyDescent="0.2">
      <c r="I2673"/>
      <c r="J2673"/>
    </row>
    <row r="2674" spans="9:10" x14ac:dyDescent="0.2">
      <c r="I2674"/>
      <c r="J2674"/>
    </row>
    <row r="2675" spans="9:10" x14ac:dyDescent="0.2">
      <c r="I2675"/>
      <c r="J2675"/>
    </row>
    <row r="2676" spans="9:10" x14ac:dyDescent="0.2">
      <c r="I2676"/>
      <c r="J2676"/>
    </row>
    <row r="2677" spans="9:10" x14ac:dyDescent="0.2">
      <c r="I2677"/>
      <c r="J2677"/>
    </row>
    <row r="2678" spans="9:10" x14ac:dyDescent="0.2">
      <c r="I2678"/>
      <c r="J2678"/>
    </row>
    <row r="2679" spans="9:10" x14ac:dyDescent="0.2">
      <c r="I2679"/>
      <c r="J2679"/>
    </row>
    <row r="2680" spans="9:10" x14ac:dyDescent="0.2">
      <c r="I2680"/>
      <c r="J2680"/>
    </row>
    <row r="2681" spans="9:10" x14ac:dyDescent="0.2">
      <c r="I2681"/>
      <c r="J2681"/>
    </row>
    <row r="2682" spans="9:10" x14ac:dyDescent="0.2">
      <c r="I2682"/>
      <c r="J2682"/>
    </row>
    <row r="2683" spans="9:10" x14ac:dyDescent="0.2">
      <c r="I2683"/>
      <c r="J2683"/>
    </row>
    <row r="2684" spans="9:10" x14ac:dyDescent="0.2">
      <c r="I2684"/>
      <c r="J2684"/>
    </row>
    <row r="2685" spans="9:10" x14ac:dyDescent="0.2">
      <c r="I2685"/>
      <c r="J2685"/>
    </row>
    <row r="2686" spans="9:10" x14ac:dyDescent="0.2">
      <c r="I2686"/>
      <c r="J2686"/>
    </row>
    <row r="2687" spans="9:10" x14ac:dyDescent="0.2">
      <c r="I2687"/>
      <c r="J2687"/>
    </row>
    <row r="2688" spans="9:10" x14ac:dyDescent="0.2">
      <c r="I2688"/>
      <c r="J2688"/>
    </row>
    <row r="2689" spans="9:10" x14ac:dyDescent="0.2">
      <c r="I2689"/>
      <c r="J2689"/>
    </row>
    <row r="2690" spans="9:10" x14ac:dyDescent="0.2">
      <c r="I2690"/>
      <c r="J2690"/>
    </row>
    <row r="2691" spans="9:10" x14ac:dyDescent="0.2">
      <c r="I2691"/>
      <c r="J2691"/>
    </row>
    <row r="2692" spans="9:10" x14ac:dyDescent="0.2">
      <c r="I2692"/>
      <c r="J2692"/>
    </row>
    <row r="2693" spans="9:10" x14ac:dyDescent="0.2">
      <c r="I2693"/>
      <c r="J2693"/>
    </row>
    <row r="2694" spans="9:10" x14ac:dyDescent="0.2">
      <c r="I2694"/>
      <c r="J2694"/>
    </row>
    <row r="2695" spans="9:10" x14ac:dyDescent="0.2">
      <c r="I2695"/>
      <c r="J2695"/>
    </row>
    <row r="2696" spans="9:10" x14ac:dyDescent="0.2">
      <c r="I2696"/>
      <c r="J2696"/>
    </row>
    <row r="2697" spans="9:10" x14ac:dyDescent="0.2">
      <c r="I2697"/>
      <c r="J2697"/>
    </row>
    <row r="2698" spans="9:10" x14ac:dyDescent="0.2">
      <c r="I2698"/>
      <c r="J2698"/>
    </row>
    <row r="2699" spans="9:10" x14ac:dyDescent="0.2">
      <c r="I2699"/>
      <c r="J2699"/>
    </row>
    <row r="2700" spans="9:10" x14ac:dyDescent="0.2">
      <c r="I2700"/>
      <c r="J2700"/>
    </row>
    <row r="2701" spans="9:10" x14ac:dyDescent="0.2">
      <c r="I2701"/>
      <c r="J2701"/>
    </row>
    <row r="2702" spans="9:10" x14ac:dyDescent="0.2">
      <c r="I2702"/>
      <c r="J2702"/>
    </row>
    <row r="2703" spans="9:10" x14ac:dyDescent="0.2">
      <c r="I2703"/>
      <c r="J2703"/>
    </row>
    <row r="2704" spans="9:10" x14ac:dyDescent="0.2">
      <c r="I2704"/>
      <c r="J2704"/>
    </row>
    <row r="2705" spans="9:10" x14ac:dyDescent="0.2">
      <c r="I2705"/>
      <c r="J2705"/>
    </row>
    <row r="2706" spans="9:10" x14ac:dyDescent="0.2">
      <c r="I2706"/>
      <c r="J2706"/>
    </row>
    <row r="2707" spans="9:10" x14ac:dyDescent="0.2">
      <c r="I2707"/>
      <c r="J2707"/>
    </row>
    <row r="2708" spans="9:10" x14ac:dyDescent="0.2">
      <c r="I2708"/>
      <c r="J2708"/>
    </row>
    <row r="2709" spans="9:10" x14ac:dyDescent="0.2">
      <c r="I2709"/>
      <c r="J2709"/>
    </row>
    <row r="2710" spans="9:10" x14ac:dyDescent="0.2">
      <c r="I2710"/>
      <c r="J2710"/>
    </row>
    <row r="2711" spans="9:10" x14ac:dyDescent="0.2">
      <c r="I2711"/>
      <c r="J2711"/>
    </row>
    <row r="2712" spans="9:10" x14ac:dyDescent="0.2">
      <c r="I2712"/>
      <c r="J2712"/>
    </row>
    <row r="2713" spans="9:10" x14ac:dyDescent="0.2">
      <c r="I2713"/>
      <c r="J2713"/>
    </row>
    <row r="2714" spans="9:10" x14ac:dyDescent="0.2">
      <c r="I2714"/>
      <c r="J2714"/>
    </row>
    <row r="2715" spans="9:10" x14ac:dyDescent="0.2">
      <c r="I2715"/>
      <c r="J2715"/>
    </row>
    <row r="2716" spans="9:10" x14ac:dyDescent="0.2">
      <c r="I2716"/>
      <c r="J2716"/>
    </row>
    <row r="2717" spans="9:10" x14ac:dyDescent="0.2">
      <c r="I2717"/>
      <c r="J2717"/>
    </row>
    <row r="2718" spans="9:10" x14ac:dyDescent="0.2">
      <c r="I2718"/>
      <c r="J2718"/>
    </row>
    <row r="2719" spans="9:10" x14ac:dyDescent="0.2">
      <c r="I2719"/>
      <c r="J2719"/>
    </row>
    <row r="2720" spans="9:10" x14ac:dyDescent="0.2">
      <c r="I2720"/>
      <c r="J2720"/>
    </row>
    <row r="2721" spans="9:10" x14ac:dyDescent="0.2">
      <c r="I2721"/>
      <c r="J2721"/>
    </row>
    <row r="2722" spans="9:10" x14ac:dyDescent="0.2">
      <c r="I2722"/>
      <c r="J2722"/>
    </row>
    <row r="2723" spans="9:10" x14ac:dyDescent="0.2">
      <c r="I2723"/>
      <c r="J2723"/>
    </row>
    <row r="2724" spans="9:10" x14ac:dyDescent="0.2">
      <c r="I2724"/>
      <c r="J2724"/>
    </row>
    <row r="2725" spans="9:10" x14ac:dyDescent="0.2">
      <c r="I2725"/>
      <c r="J2725"/>
    </row>
    <row r="2726" spans="9:10" x14ac:dyDescent="0.2">
      <c r="I2726"/>
      <c r="J2726"/>
    </row>
    <row r="2727" spans="9:10" x14ac:dyDescent="0.2">
      <c r="I2727"/>
      <c r="J2727"/>
    </row>
    <row r="2728" spans="9:10" x14ac:dyDescent="0.2">
      <c r="I2728"/>
      <c r="J2728"/>
    </row>
    <row r="2729" spans="9:10" x14ac:dyDescent="0.2">
      <c r="I2729"/>
      <c r="J2729"/>
    </row>
    <row r="2730" spans="9:10" x14ac:dyDescent="0.2">
      <c r="I2730"/>
      <c r="J2730"/>
    </row>
    <row r="2731" spans="9:10" x14ac:dyDescent="0.2">
      <c r="I2731"/>
      <c r="J2731"/>
    </row>
    <row r="2732" spans="9:10" x14ac:dyDescent="0.2">
      <c r="I2732"/>
      <c r="J2732"/>
    </row>
    <row r="2733" spans="9:10" x14ac:dyDescent="0.2">
      <c r="I2733"/>
      <c r="J2733"/>
    </row>
    <row r="2734" spans="9:10" x14ac:dyDescent="0.2">
      <c r="I2734"/>
      <c r="J2734"/>
    </row>
    <row r="2735" spans="9:10" x14ac:dyDescent="0.2">
      <c r="I2735"/>
      <c r="J2735"/>
    </row>
    <row r="2736" spans="9:10" x14ac:dyDescent="0.2">
      <c r="I2736"/>
      <c r="J2736"/>
    </row>
    <row r="2737" spans="9:10" x14ac:dyDescent="0.2">
      <c r="I2737"/>
      <c r="J2737"/>
    </row>
    <row r="2738" spans="9:10" x14ac:dyDescent="0.2">
      <c r="I2738"/>
      <c r="J2738"/>
    </row>
    <row r="2739" spans="9:10" x14ac:dyDescent="0.2">
      <c r="I2739"/>
      <c r="J2739"/>
    </row>
    <row r="2740" spans="9:10" x14ac:dyDescent="0.2">
      <c r="I2740"/>
      <c r="J2740"/>
    </row>
    <row r="2741" spans="9:10" x14ac:dyDescent="0.2">
      <c r="I2741"/>
      <c r="J2741"/>
    </row>
    <row r="2742" spans="9:10" x14ac:dyDescent="0.2">
      <c r="I2742"/>
      <c r="J2742"/>
    </row>
    <row r="2743" spans="9:10" x14ac:dyDescent="0.2">
      <c r="I2743"/>
      <c r="J2743"/>
    </row>
    <row r="2744" spans="9:10" x14ac:dyDescent="0.2">
      <c r="I2744"/>
      <c r="J2744"/>
    </row>
    <row r="2745" spans="9:10" x14ac:dyDescent="0.2">
      <c r="I2745"/>
      <c r="J2745"/>
    </row>
    <row r="2746" spans="9:10" x14ac:dyDescent="0.2">
      <c r="I2746"/>
      <c r="J2746"/>
    </row>
    <row r="2747" spans="9:10" x14ac:dyDescent="0.2">
      <c r="I2747"/>
      <c r="J2747"/>
    </row>
    <row r="2748" spans="9:10" x14ac:dyDescent="0.2">
      <c r="I2748"/>
      <c r="J2748"/>
    </row>
    <row r="2749" spans="9:10" x14ac:dyDescent="0.2">
      <c r="I2749"/>
      <c r="J2749"/>
    </row>
    <row r="2750" spans="9:10" x14ac:dyDescent="0.2">
      <c r="I2750"/>
      <c r="J2750"/>
    </row>
    <row r="2751" spans="9:10" x14ac:dyDescent="0.2">
      <c r="I2751"/>
      <c r="J2751"/>
    </row>
    <row r="2752" spans="9:10" x14ac:dyDescent="0.2">
      <c r="I2752"/>
      <c r="J2752"/>
    </row>
    <row r="2753" spans="9:10" x14ac:dyDescent="0.2">
      <c r="I2753"/>
      <c r="J2753"/>
    </row>
    <row r="2754" spans="9:10" x14ac:dyDescent="0.2">
      <c r="I2754"/>
      <c r="J2754"/>
    </row>
    <row r="2755" spans="9:10" x14ac:dyDescent="0.2">
      <c r="I2755"/>
      <c r="J2755"/>
    </row>
    <row r="2756" spans="9:10" x14ac:dyDescent="0.2">
      <c r="I2756"/>
      <c r="J2756"/>
    </row>
    <row r="2757" spans="9:10" x14ac:dyDescent="0.2">
      <c r="I2757"/>
      <c r="J2757"/>
    </row>
    <row r="2758" spans="9:10" x14ac:dyDescent="0.2">
      <c r="I2758"/>
      <c r="J2758"/>
    </row>
    <row r="2759" spans="9:10" x14ac:dyDescent="0.2">
      <c r="I2759"/>
      <c r="J2759"/>
    </row>
    <row r="2760" spans="9:10" x14ac:dyDescent="0.2">
      <c r="I2760"/>
      <c r="J2760"/>
    </row>
    <row r="2761" spans="9:10" x14ac:dyDescent="0.2">
      <c r="I2761"/>
      <c r="J2761"/>
    </row>
    <row r="2762" spans="9:10" x14ac:dyDescent="0.2">
      <c r="I2762"/>
      <c r="J2762"/>
    </row>
    <row r="2763" spans="9:10" x14ac:dyDescent="0.2">
      <c r="I2763"/>
      <c r="J2763"/>
    </row>
    <row r="2764" spans="9:10" x14ac:dyDescent="0.2">
      <c r="I2764"/>
      <c r="J2764"/>
    </row>
    <row r="2765" spans="9:10" x14ac:dyDescent="0.2">
      <c r="I2765"/>
      <c r="J2765"/>
    </row>
    <row r="2766" spans="9:10" x14ac:dyDescent="0.2">
      <c r="I2766"/>
      <c r="J2766"/>
    </row>
    <row r="2767" spans="9:10" x14ac:dyDescent="0.2">
      <c r="I2767"/>
      <c r="J2767"/>
    </row>
    <row r="2768" spans="9:10" x14ac:dyDescent="0.2">
      <c r="I2768"/>
      <c r="J2768"/>
    </row>
    <row r="2769" spans="9:10" x14ac:dyDescent="0.2">
      <c r="I2769"/>
      <c r="J2769"/>
    </row>
    <row r="2770" spans="9:10" x14ac:dyDescent="0.2">
      <c r="I2770"/>
      <c r="J2770"/>
    </row>
    <row r="2771" spans="9:10" x14ac:dyDescent="0.2">
      <c r="I2771"/>
      <c r="J2771"/>
    </row>
    <row r="2772" spans="9:10" x14ac:dyDescent="0.2">
      <c r="I2772"/>
      <c r="J2772"/>
    </row>
    <row r="2773" spans="9:10" x14ac:dyDescent="0.2">
      <c r="I2773"/>
      <c r="J2773"/>
    </row>
    <row r="2774" spans="9:10" x14ac:dyDescent="0.2">
      <c r="I2774"/>
      <c r="J2774"/>
    </row>
    <row r="2775" spans="9:10" x14ac:dyDescent="0.2">
      <c r="I2775"/>
      <c r="J2775"/>
    </row>
    <row r="2776" spans="9:10" x14ac:dyDescent="0.2">
      <c r="I2776"/>
      <c r="J2776"/>
    </row>
    <row r="2777" spans="9:10" x14ac:dyDescent="0.2">
      <c r="I2777"/>
      <c r="J2777"/>
    </row>
    <row r="2778" spans="9:10" x14ac:dyDescent="0.2">
      <c r="I2778"/>
      <c r="J2778"/>
    </row>
    <row r="2779" spans="9:10" x14ac:dyDescent="0.2">
      <c r="I2779"/>
      <c r="J2779"/>
    </row>
    <row r="2780" spans="9:10" x14ac:dyDescent="0.2">
      <c r="I2780"/>
      <c r="J2780"/>
    </row>
    <row r="2781" spans="9:10" x14ac:dyDescent="0.2">
      <c r="I2781"/>
      <c r="J2781"/>
    </row>
    <row r="2782" spans="9:10" x14ac:dyDescent="0.2">
      <c r="I2782"/>
      <c r="J2782"/>
    </row>
    <row r="2783" spans="9:10" x14ac:dyDescent="0.2">
      <c r="I2783"/>
      <c r="J2783"/>
    </row>
    <row r="2784" spans="9:10" x14ac:dyDescent="0.2">
      <c r="I2784"/>
      <c r="J2784"/>
    </row>
    <row r="2785" spans="9:10" x14ac:dyDescent="0.2">
      <c r="I2785"/>
      <c r="J2785"/>
    </row>
    <row r="2786" spans="9:10" x14ac:dyDescent="0.2">
      <c r="I2786"/>
      <c r="J2786"/>
    </row>
    <row r="2787" spans="9:10" x14ac:dyDescent="0.2">
      <c r="I2787"/>
      <c r="J2787"/>
    </row>
    <row r="2788" spans="9:10" x14ac:dyDescent="0.2">
      <c r="I2788"/>
      <c r="J2788"/>
    </row>
    <row r="2789" spans="9:10" x14ac:dyDescent="0.2">
      <c r="I2789"/>
      <c r="J2789"/>
    </row>
    <row r="2790" spans="9:10" x14ac:dyDescent="0.2">
      <c r="I2790"/>
      <c r="J2790"/>
    </row>
    <row r="2791" spans="9:10" x14ac:dyDescent="0.2">
      <c r="I2791"/>
      <c r="J2791"/>
    </row>
    <row r="2792" spans="9:10" x14ac:dyDescent="0.2">
      <c r="I2792"/>
      <c r="J2792"/>
    </row>
    <row r="2793" spans="9:10" x14ac:dyDescent="0.2">
      <c r="I2793"/>
      <c r="J2793"/>
    </row>
    <row r="2794" spans="9:10" x14ac:dyDescent="0.2">
      <c r="I2794"/>
      <c r="J2794"/>
    </row>
    <row r="2795" spans="9:10" x14ac:dyDescent="0.2">
      <c r="I2795"/>
      <c r="J2795"/>
    </row>
    <row r="2796" spans="9:10" x14ac:dyDescent="0.2">
      <c r="I2796"/>
      <c r="J2796"/>
    </row>
    <row r="2797" spans="9:10" x14ac:dyDescent="0.2">
      <c r="I2797"/>
      <c r="J2797"/>
    </row>
    <row r="2798" spans="9:10" x14ac:dyDescent="0.2">
      <c r="I2798"/>
      <c r="J2798"/>
    </row>
    <row r="2799" spans="9:10" x14ac:dyDescent="0.2">
      <c r="I2799"/>
      <c r="J2799"/>
    </row>
    <row r="2800" spans="9:10" x14ac:dyDescent="0.2">
      <c r="I2800"/>
      <c r="J2800"/>
    </row>
    <row r="2801" spans="9:10" x14ac:dyDescent="0.2">
      <c r="I2801"/>
      <c r="J2801"/>
    </row>
    <row r="2802" spans="9:10" x14ac:dyDescent="0.2">
      <c r="I2802"/>
      <c r="J2802"/>
    </row>
    <row r="2803" spans="9:10" x14ac:dyDescent="0.2">
      <c r="I2803"/>
      <c r="J2803"/>
    </row>
    <row r="2804" spans="9:10" x14ac:dyDescent="0.2">
      <c r="I2804"/>
      <c r="J2804"/>
    </row>
    <row r="2805" spans="9:10" x14ac:dyDescent="0.2">
      <c r="I2805"/>
      <c r="J2805"/>
    </row>
    <row r="2806" spans="9:10" x14ac:dyDescent="0.2">
      <c r="I2806"/>
      <c r="J2806"/>
    </row>
    <row r="2807" spans="9:10" x14ac:dyDescent="0.2">
      <c r="I2807"/>
      <c r="J2807"/>
    </row>
    <row r="2808" spans="9:10" x14ac:dyDescent="0.2">
      <c r="I2808"/>
      <c r="J2808"/>
    </row>
    <row r="2809" spans="9:10" x14ac:dyDescent="0.2">
      <c r="I2809"/>
      <c r="J2809"/>
    </row>
    <row r="2810" spans="9:10" x14ac:dyDescent="0.2">
      <c r="I2810"/>
      <c r="J2810"/>
    </row>
    <row r="2811" spans="9:10" x14ac:dyDescent="0.2">
      <c r="I2811"/>
      <c r="J2811"/>
    </row>
    <row r="2812" spans="9:10" x14ac:dyDescent="0.2">
      <c r="I2812"/>
      <c r="J2812"/>
    </row>
    <row r="2813" spans="9:10" x14ac:dyDescent="0.2">
      <c r="I2813"/>
      <c r="J2813"/>
    </row>
    <row r="2814" spans="9:10" x14ac:dyDescent="0.2">
      <c r="I2814"/>
      <c r="J2814"/>
    </row>
    <row r="2815" spans="9:10" x14ac:dyDescent="0.2">
      <c r="I2815"/>
      <c r="J2815"/>
    </row>
    <row r="2816" spans="9:10" x14ac:dyDescent="0.2">
      <c r="I2816"/>
      <c r="J2816"/>
    </row>
    <row r="2817" spans="9:10" x14ac:dyDescent="0.2">
      <c r="I2817"/>
      <c r="J2817"/>
    </row>
    <row r="2818" spans="9:10" x14ac:dyDescent="0.2">
      <c r="I2818"/>
      <c r="J2818"/>
    </row>
    <row r="2819" spans="9:10" x14ac:dyDescent="0.2">
      <c r="I2819"/>
      <c r="J2819"/>
    </row>
    <row r="2820" spans="9:10" x14ac:dyDescent="0.2">
      <c r="I2820"/>
      <c r="J2820"/>
    </row>
    <row r="2821" spans="9:10" x14ac:dyDescent="0.2">
      <c r="I2821"/>
      <c r="J2821"/>
    </row>
    <row r="2822" spans="9:10" x14ac:dyDescent="0.2">
      <c r="I2822"/>
      <c r="J2822"/>
    </row>
    <row r="2823" spans="9:10" x14ac:dyDescent="0.2">
      <c r="I2823"/>
      <c r="J2823"/>
    </row>
    <row r="2824" spans="9:10" x14ac:dyDescent="0.2">
      <c r="I2824"/>
      <c r="J2824"/>
    </row>
    <row r="2825" spans="9:10" x14ac:dyDescent="0.2">
      <c r="I2825"/>
      <c r="J2825"/>
    </row>
    <row r="2826" spans="9:10" x14ac:dyDescent="0.2">
      <c r="I2826"/>
      <c r="J2826"/>
    </row>
    <row r="2827" spans="9:10" x14ac:dyDescent="0.2">
      <c r="I2827"/>
      <c r="J2827"/>
    </row>
    <row r="2828" spans="9:10" x14ac:dyDescent="0.2">
      <c r="I2828"/>
      <c r="J2828"/>
    </row>
    <row r="2829" spans="9:10" x14ac:dyDescent="0.2">
      <c r="I2829"/>
      <c r="J2829"/>
    </row>
    <row r="2830" spans="9:10" x14ac:dyDescent="0.2">
      <c r="I2830"/>
      <c r="J2830"/>
    </row>
    <row r="2831" spans="9:10" x14ac:dyDescent="0.2">
      <c r="I2831"/>
      <c r="J2831"/>
    </row>
    <row r="2832" spans="9:10" x14ac:dyDescent="0.2">
      <c r="I2832"/>
      <c r="J2832"/>
    </row>
    <row r="2833" spans="9:10" x14ac:dyDescent="0.2">
      <c r="I2833"/>
      <c r="J2833"/>
    </row>
    <row r="2834" spans="9:10" x14ac:dyDescent="0.2">
      <c r="I2834"/>
      <c r="J2834"/>
    </row>
    <row r="2835" spans="9:10" x14ac:dyDescent="0.2">
      <c r="I2835"/>
      <c r="J2835"/>
    </row>
    <row r="2836" spans="9:10" x14ac:dyDescent="0.2">
      <c r="I2836"/>
      <c r="J2836"/>
    </row>
    <row r="2837" spans="9:10" x14ac:dyDescent="0.2">
      <c r="I2837"/>
      <c r="J2837"/>
    </row>
    <row r="2838" spans="9:10" x14ac:dyDescent="0.2">
      <c r="I2838"/>
      <c r="J2838"/>
    </row>
    <row r="2839" spans="9:10" x14ac:dyDescent="0.2">
      <c r="I2839"/>
      <c r="J2839"/>
    </row>
    <row r="2840" spans="9:10" x14ac:dyDescent="0.2">
      <c r="I2840"/>
      <c r="J2840"/>
    </row>
    <row r="2841" spans="9:10" x14ac:dyDescent="0.2">
      <c r="I2841"/>
      <c r="J2841"/>
    </row>
    <row r="2842" spans="9:10" x14ac:dyDescent="0.2">
      <c r="I2842"/>
      <c r="J2842"/>
    </row>
    <row r="2843" spans="9:10" x14ac:dyDescent="0.2">
      <c r="I2843"/>
      <c r="J2843"/>
    </row>
    <row r="2844" spans="9:10" x14ac:dyDescent="0.2">
      <c r="J2844"/>
    </row>
    <row r="2845" spans="9:10" x14ac:dyDescent="0.2">
      <c r="J2845"/>
    </row>
    <row r="2846" spans="9:10" x14ac:dyDescent="0.2">
      <c r="J2846"/>
    </row>
    <row r="2847" spans="9:10" x14ac:dyDescent="0.2">
      <c r="J2847"/>
    </row>
  </sheetData>
  <sortState xmlns:xlrd2="http://schemas.microsoft.com/office/spreadsheetml/2017/richdata2" ref="J2:K2847">
    <sortCondition descending="1" ref="K2:K2847"/>
  </sortState>
  <phoneticPr fontId="2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B31"/>
  <sheetViews>
    <sheetView workbookViewId="0">
      <selection activeCell="C41" sqref="C41"/>
    </sheetView>
  </sheetViews>
  <sheetFormatPr defaultRowHeight="14.25" x14ac:dyDescent="0.2"/>
  <sheetData>
    <row r="1" spans="1:2" x14ac:dyDescent="0.2">
      <c r="A1" s="11" t="s">
        <v>8904</v>
      </c>
      <c r="B1" s="11" t="s">
        <v>8905</v>
      </c>
    </row>
    <row r="2" spans="1:2" x14ac:dyDescent="0.2">
      <c r="A2" t="str">
        <f>hidden!G1</f>
        <v>safe</v>
      </c>
      <c r="B2" t="str">
        <f>hidden!H1</f>
        <v>ban</v>
      </c>
    </row>
    <row r="3" spans="1:2" x14ac:dyDescent="0.2">
      <c r="A3" t="str">
        <f>hidden!G2</f>
        <v>surge</v>
      </c>
      <c r="B3" t="str">
        <f>hidden!H2</f>
        <v>hell</v>
      </c>
    </row>
    <row r="4" spans="1:2" x14ac:dyDescent="0.2">
      <c r="A4" t="str">
        <f>hidden!G3</f>
        <v>gain</v>
      </c>
      <c r="B4" t="str">
        <f>hidden!H3</f>
        <v>stealing</v>
      </c>
    </row>
    <row r="5" spans="1:2" x14ac:dyDescent="0.2">
      <c r="A5" t="str">
        <f>hidden!G4</f>
        <v>protect</v>
      </c>
      <c r="B5" t="str">
        <f>hidden!H4</f>
        <v>struggles</v>
      </c>
    </row>
    <row r="6" spans="1:2" x14ac:dyDescent="0.2">
      <c r="A6" t="str">
        <f>hidden!G5</f>
        <v>save</v>
      </c>
      <c r="B6" t="str">
        <f>hidden!H5</f>
        <v>meltdown</v>
      </c>
    </row>
    <row r="7" spans="1:2" x14ac:dyDescent="0.2">
      <c r="A7" t="str">
        <f>hidden!G6</f>
        <v>high</v>
      </c>
      <c r="B7" t="str">
        <f>hidden!H6</f>
        <v>lost</v>
      </c>
    </row>
    <row r="8" spans="1:2" x14ac:dyDescent="0.2">
      <c r="A8" t="str">
        <f>hidden!G7</f>
        <v>faith</v>
      </c>
      <c r="B8" t="str">
        <f>hidden!H7</f>
        <v>scrutiny</v>
      </c>
    </row>
    <row r="9" spans="1:2" x14ac:dyDescent="0.2">
      <c r="A9" t="str">
        <f>hidden!G8</f>
        <v>reward</v>
      </c>
      <c r="B9" t="str">
        <f>hidden!H8</f>
        <v>hates</v>
      </c>
    </row>
    <row r="10" spans="1:2" x14ac:dyDescent="0.2">
      <c r="A10" t="str">
        <f>hidden!G9</f>
        <v>buying</v>
      </c>
      <c r="B10" t="str">
        <f>hidden!H9</f>
        <v>sold</v>
      </c>
    </row>
    <row r="11" spans="1:2" x14ac:dyDescent="0.2">
      <c r="A11" t="str">
        <f>hidden!G10</f>
        <v>help</v>
      </c>
      <c r="B11" t="str">
        <f>hidden!H10</f>
        <v>outrage</v>
      </c>
    </row>
    <row r="12" spans="1:2" x14ac:dyDescent="0.2">
      <c r="A12" t="str">
        <f>hidden!G11</f>
        <v>winning</v>
      </c>
      <c r="B12" t="str">
        <f>hidden!H11</f>
        <v>freefall</v>
      </c>
    </row>
    <row r="13" spans="1:2" x14ac:dyDescent="0.2">
      <c r="A13" t="str">
        <f>hidden!G12</f>
        <v>plugs</v>
      </c>
      <c r="B13" t="str">
        <f>hidden!H12</f>
        <v>disappear</v>
      </c>
    </row>
    <row r="14" spans="1:2" x14ac:dyDescent="0.2">
      <c r="A14" t="str">
        <f>hidden!G13</f>
        <v>successful</v>
      </c>
      <c r="B14" t="str">
        <f>hidden!H13</f>
        <v>dive</v>
      </c>
    </row>
    <row r="15" spans="1:2" x14ac:dyDescent="0.2">
      <c r="A15" t="str">
        <f>hidden!G14</f>
        <v>bought</v>
      </c>
      <c r="B15" t="str">
        <f>hidden!H14</f>
        <v>crashing</v>
      </c>
    </row>
    <row r="16" spans="1:2" x14ac:dyDescent="0.2">
      <c r="A16" t="str">
        <f>hidden!G15</f>
        <v>rally</v>
      </c>
      <c r="B16" t="str">
        <f>hidden!H15</f>
        <v>sells</v>
      </c>
    </row>
    <row r="17" spans="1:2" x14ac:dyDescent="0.2">
      <c r="A17" t="str">
        <f>hidden!G16</f>
        <v>happy</v>
      </c>
      <c r="B17" t="str">
        <f>hidden!H16</f>
        <v>never</v>
      </c>
    </row>
    <row r="18" spans="1:2" x14ac:dyDescent="0.2">
      <c r="A18" t="str">
        <f>hidden!G17</f>
        <v>remedies</v>
      </c>
      <c r="B18" t="str">
        <f>hidden!H17</f>
        <v>slides</v>
      </c>
    </row>
    <row r="19" spans="1:2" x14ac:dyDescent="0.2">
      <c r="A19" t="str">
        <f>hidden!G18</f>
        <v>repair</v>
      </c>
      <c r="B19" t="str">
        <f>hidden!H18</f>
        <v>fraud</v>
      </c>
    </row>
    <row r="20" spans="1:2" x14ac:dyDescent="0.2">
      <c r="A20" t="str">
        <f>hidden!G19</f>
        <v>invest</v>
      </c>
      <c r="B20" t="str">
        <f>hidden!H19</f>
        <v>sell</v>
      </c>
    </row>
    <row r="21" spans="1:2" x14ac:dyDescent="0.2">
      <c r="A21" t="str">
        <f>hidden!G20</f>
        <v>growing</v>
      </c>
      <c r="B21" t="str">
        <f>hidden!H20</f>
        <v>selloff</v>
      </c>
    </row>
    <row r="22" spans="1:2" x14ac:dyDescent="0.2">
      <c r="A22" t="str">
        <f>hidden!G21</f>
        <v>believe</v>
      </c>
      <c r="B22" t="str">
        <f>hidden!H21</f>
        <v>tumbles</v>
      </c>
    </row>
    <row r="23" spans="1:2" x14ac:dyDescent="0.2">
      <c r="A23" t="str">
        <f>hidden!G22</f>
        <v>correction</v>
      </c>
      <c r="B23" t="str">
        <f>hidden!H22</f>
        <v>sad</v>
      </c>
    </row>
    <row r="24" spans="1:2" x14ac:dyDescent="0.2">
      <c r="A24" t="str">
        <f>hidden!G23</f>
        <v>good</v>
      </c>
      <c r="B24" t="str">
        <f>hidden!H23</f>
        <v>slump</v>
      </c>
    </row>
    <row r="25" spans="1:2" x14ac:dyDescent="0.2">
      <c r="A25" t="str">
        <f>hidden!G24</f>
        <v>growth</v>
      </c>
      <c r="B25" t="str">
        <f>hidden!H24</f>
        <v>down</v>
      </c>
    </row>
    <row r="26" spans="1:2" x14ac:dyDescent="0.2">
      <c r="A26" t="str">
        <f>hidden!G25</f>
        <v>welcomes</v>
      </c>
      <c r="B26" t="str">
        <f>hidden!H25</f>
        <v>scheme</v>
      </c>
    </row>
    <row r="27" spans="1:2" x14ac:dyDescent="0.2">
      <c r="A27" t="str">
        <f>hidden!G26</f>
        <v>stabilize</v>
      </c>
      <c r="B27" t="str">
        <f>hidden!H26</f>
        <v>ponzi</v>
      </c>
    </row>
    <row r="28" spans="1:2" x14ac:dyDescent="0.2">
      <c r="A28" t="str">
        <f>hidden!G27</f>
        <v>rebound</v>
      </c>
      <c r="B28" t="str">
        <f>hidden!H27</f>
        <v>kill</v>
      </c>
    </row>
    <row r="29" spans="1:2" x14ac:dyDescent="0.2">
      <c r="A29" t="str">
        <f>hidden!G28</f>
        <v>millionaire</v>
      </c>
      <c r="B29" t="str">
        <f>hidden!H28</f>
        <v>worse</v>
      </c>
    </row>
    <row r="30" spans="1:2" x14ac:dyDescent="0.2">
      <c r="A30" t="str">
        <f>hidden!G29</f>
        <v>comeback</v>
      </c>
      <c r="B30" t="str">
        <f>hidden!H29</f>
        <v>hoax</v>
      </c>
    </row>
    <row r="31" spans="1:2" x14ac:dyDescent="0.2">
      <c r="A31" t="str">
        <f>hidden!G30</f>
        <v>push</v>
      </c>
      <c r="B31" t="str">
        <f>hidden!H30</f>
        <v>plunges</v>
      </c>
    </row>
  </sheetData>
  <phoneticPr fontId="2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X310"/>
  <sheetViews>
    <sheetView workbookViewId="0">
      <selection sqref="A1:XFD1048576"/>
    </sheetView>
  </sheetViews>
  <sheetFormatPr defaultColWidth="8.75" defaultRowHeight="14.25" x14ac:dyDescent="0.2"/>
  <cols>
    <col min="1" max="4" width="8.875" style="17" bestFit="1" customWidth="1"/>
    <col min="5" max="6" width="9.875" style="17" bestFit="1" customWidth="1"/>
    <col min="7" max="7" width="8.875" style="17" bestFit="1" customWidth="1"/>
    <col min="8" max="8" width="5.875" style="17" customWidth="1"/>
    <col min="9" max="9" width="3.125" style="17" customWidth="1"/>
    <col min="10" max="10" width="4.5" style="17" customWidth="1"/>
    <col min="11" max="11" width="3.125" style="17" customWidth="1"/>
    <col min="12" max="12" width="8.875" style="17" bestFit="1" customWidth="1"/>
    <col min="13" max="13" width="9.875" style="17" customWidth="1"/>
    <col min="14" max="14" width="8.875" style="17" bestFit="1" customWidth="1"/>
    <col min="15" max="15" width="5.5" style="17" customWidth="1"/>
    <col min="16" max="17" width="5" style="17" customWidth="1"/>
    <col min="18" max="18" width="8.75" style="17"/>
    <col min="19" max="19" width="12.25" style="17" customWidth="1"/>
    <col min="20" max="20" width="8.75" style="19"/>
    <col min="21" max="21" width="11" style="19" bestFit="1" customWidth="1"/>
    <col min="22" max="22" width="8.75" style="19"/>
    <col min="23" max="24" width="11.125" style="17" customWidth="1"/>
    <col min="25" max="16384" width="8.75" style="17"/>
  </cols>
  <sheetData>
    <row r="1" spans="1:24" x14ac:dyDescent="0.2">
      <c r="A1" s="17">
        <f>MOD(steps!C1,$L$1)</f>
        <v>16121</v>
      </c>
      <c r="B1" s="17" t="str">
        <f ca="1">IF(A1=0,C$1,C2)</f>
        <v>Welcome to Assignment 2 Shenghua!</v>
      </c>
      <c r="C1" s="17" t="s">
        <v>8600</v>
      </c>
      <c r="G1" s="17" t="str">
        <f>IF($A$1=0,$B$1,INDEX(T:T,MATCH(LARGE(S:S,ROW()),S:S,0)))</f>
        <v>safe</v>
      </c>
      <c r="H1" s="17" t="str">
        <f>IF($A$1=0,$B$1,INDEX(V:V,MATCH(LARGE(U:U,ROW()),U:U,0)))</f>
        <v>ban</v>
      </c>
      <c r="L1" s="17">
        <v>100000</v>
      </c>
      <c r="P1" s="18"/>
      <c r="Q1" s="18"/>
      <c r="S1" s="17">
        <v>0</v>
      </c>
      <c r="T1" s="19" t="s">
        <v>8904</v>
      </c>
      <c r="U1" s="19">
        <v>0</v>
      </c>
      <c r="V1" s="19" t="s">
        <v>8905</v>
      </c>
      <c r="W1" s="17">
        <f>0.5*_xlfn.BITLSHIFT(1,32)</f>
        <v>2147483648</v>
      </c>
      <c r="X1" s="17">
        <v>22695477</v>
      </c>
    </row>
    <row r="2" spans="1:24" x14ac:dyDescent="0.2">
      <c r="B2" s="17">
        <f>IFERROR(MATCH(A1,L:L,0)-1,MOD(A1,4)+1)</f>
        <v>57</v>
      </c>
      <c r="C2" s="17" t="str">
        <f ca="1">"Welcome to Assignment 2 "&amp;C3&amp;"!"</f>
        <v>Welcome to Assignment 2 Shenghua!</v>
      </c>
      <c r="G2" s="17" t="str">
        <f>IF($A$1=0,$B$1,INDEX(T:T,MATCH(LARGE(S:S,ROW()),S:S,0)))</f>
        <v>surge</v>
      </c>
      <c r="H2" s="17" t="str">
        <f>IF($A$1=0,$B$1,INDEX(V:V,MATCH(LARGE(U:U,ROW()),U:U,0)))</f>
        <v>hell</v>
      </c>
      <c r="L2" s="17">
        <v>111</v>
      </c>
      <c r="M2" s="17" t="s">
        <v>8601</v>
      </c>
      <c r="N2" s="17">
        <v>3827</v>
      </c>
      <c r="O2" s="17">
        <v>5216</v>
      </c>
      <c r="S2" s="19" cm="1">
        <f t="array" ref="S2">INDEX(N:N,B2+1)</f>
        <v>7505</v>
      </c>
      <c r="T2" s="19" t="s">
        <v>8906</v>
      </c>
      <c r="U2" s="19" cm="1">
        <f t="array" ref="U2">INDEX(O:O,B2+1)</f>
        <v>8698</v>
      </c>
      <c r="V2" s="19" t="s">
        <v>8907</v>
      </c>
    </row>
    <row r="3" spans="1:24" x14ac:dyDescent="0.2">
      <c r="C3" s="17" t="str">
        <f ca="1">OFFSET(M1,B2,0)</f>
        <v>Shenghua</v>
      </c>
      <c r="G3" s="17" t="str">
        <f t="shared" ref="G3:G30" si="0">IF($A$1=0,$B$1,INDEX(T:T,MATCH(LARGE(S:S,ROW()),S:S,0)))</f>
        <v>gain</v>
      </c>
      <c r="H3" s="17" t="str">
        <f t="shared" ref="H3:H30" si="1">IF($A$1=0,$B$1,INDEX(V:V,MATCH(LARGE(U:U,ROW()),U:U,0)))</f>
        <v>stealing</v>
      </c>
      <c r="L3" s="17">
        <v>112</v>
      </c>
      <c r="M3" s="17" t="s">
        <v>8602</v>
      </c>
      <c r="N3" s="17">
        <v>8585</v>
      </c>
      <c r="O3" s="17">
        <v>1090</v>
      </c>
      <c r="S3" s="19">
        <f t="shared" ref="S3:S54" si="2">MOD(S2*$X$1+1,_xlfn.BITLSHIFT(1,32))</f>
        <v>2825830342</v>
      </c>
      <c r="T3" s="19" t="s">
        <v>8908</v>
      </c>
      <c r="U3" s="19">
        <f t="shared" ref="U3:U54" si="3">MOD(U2*$X$1+1,_xlfn.BITLSHIFT(1,32))</f>
        <v>4131730627</v>
      </c>
      <c r="V3" s="19" t="s">
        <v>8909</v>
      </c>
    </row>
    <row r="4" spans="1:24" x14ac:dyDescent="0.2">
      <c r="C4" s="17" t="str">
        <f ca="1">LEFT(C3,3)</f>
        <v>She</v>
      </c>
      <c r="G4" s="17" t="str">
        <f t="shared" si="0"/>
        <v>protect</v>
      </c>
      <c r="H4" s="17" t="str">
        <f t="shared" si="1"/>
        <v>struggles</v>
      </c>
      <c r="L4" s="17">
        <v>113</v>
      </c>
      <c r="M4" s="17" t="s">
        <v>8603</v>
      </c>
      <c r="N4" s="17">
        <v>9582</v>
      </c>
      <c r="O4" s="17">
        <v>6748</v>
      </c>
      <c r="S4" s="19">
        <f t="shared" si="2"/>
        <v>3472361472</v>
      </c>
      <c r="T4" s="19" t="s">
        <v>8910</v>
      </c>
      <c r="U4" s="19">
        <f t="shared" si="3"/>
        <v>1643468384</v>
      </c>
      <c r="V4" s="19" t="s">
        <v>8911</v>
      </c>
    </row>
    <row r="5" spans="1:24" x14ac:dyDescent="0.2">
      <c r="G5" s="17" t="str">
        <f t="shared" si="0"/>
        <v>save</v>
      </c>
      <c r="H5" s="17" t="str">
        <f t="shared" si="1"/>
        <v>meltdown</v>
      </c>
      <c r="L5" s="17">
        <v>114</v>
      </c>
      <c r="M5" s="17" t="s">
        <v>8604</v>
      </c>
      <c r="N5" s="17">
        <v>9823</v>
      </c>
      <c r="O5" s="17">
        <v>7873</v>
      </c>
      <c r="S5" s="19">
        <f t="shared" si="2"/>
        <v>1003071488</v>
      </c>
      <c r="T5" s="19" t="s">
        <v>8912</v>
      </c>
      <c r="U5" s="19">
        <f t="shared" si="3"/>
        <v>3319538144</v>
      </c>
      <c r="V5" s="19" t="s">
        <v>8913</v>
      </c>
    </row>
    <row r="6" spans="1:24" x14ac:dyDescent="0.2">
      <c r="C6" s="17">
        <f ca="1">IF($A$1=0,$C$1,OFFSET(P$1,$B$2,0))</f>
        <v>0</v>
      </c>
      <c r="D6" s="17" t="str">
        <f ca="1">IF($A$1=0,$C$1,"Enter the value "&amp;C6&amp;" into the cell simple!A1")</f>
        <v>Enter the value 0 into the cell simple!A1</v>
      </c>
      <c r="G6" s="17" t="str">
        <f t="shared" si="0"/>
        <v>high</v>
      </c>
      <c r="H6" s="17" t="str">
        <f t="shared" si="1"/>
        <v>lost</v>
      </c>
      <c r="L6" s="17">
        <v>221</v>
      </c>
      <c r="M6" s="17" t="s">
        <v>8605</v>
      </c>
      <c r="N6" s="17">
        <v>4355</v>
      </c>
      <c r="O6" s="17">
        <v>3762</v>
      </c>
      <c r="S6" s="19">
        <f t="shared" si="2"/>
        <v>3790587904</v>
      </c>
      <c r="T6" s="19" t="s">
        <v>8914</v>
      </c>
      <c r="U6" s="19">
        <f t="shared" si="3"/>
        <v>3517268832</v>
      </c>
      <c r="V6" s="19" t="s">
        <v>8915</v>
      </c>
    </row>
    <row r="7" spans="1:24" x14ac:dyDescent="0.2">
      <c r="G7" s="17" t="str">
        <f t="shared" si="0"/>
        <v>faith</v>
      </c>
      <c r="H7" s="17" t="str">
        <f t="shared" si="1"/>
        <v>scrutiny</v>
      </c>
      <c r="L7" s="17">
        <v>222</v>
      </c>
      <c r="M7" s="17" t="s">
        <v>8606</v>
      </c>
      <c r="N7" s="17">
        <v>7399</v>
      </c>
      <c r="O7" s="17">
        <v>7055</v>
      </c>
      <c r="S7" s="19">
        <f t="shared" si="2"/>
        <v>630482944</v>
      </c>
      <c r="T7" s="19" t="s">
        <v>8916</v>
      </c>
      <c r="U7" s="19">
        <f t="shared" si="3"/>
        <v>3514708704</v>
      </c>
      <c r="V7" s="19" t="s">
        <v>8917</v>
      </c>
    </row>
    <row r="8" spans="1:24" x14ac:dyDescent="0.2">
      <c r="C8" s="17" t="str">
        <f>IF($A$1=0,$C$1,D8)</f>
        <v>The information in the tab "courseD" comes from these pages</v>
      </c>
      <c r="D8" s="47" t="s">
        <v>8607</v>
      </c>
      <c r="E8" s="47"/>
      <c r="G8" s="17" t="str">
        <f t="shared" si="0"/>
        <v>reward</v>
      </c>
      <c r="H8" s="17" t="str">
        <f t="shared" si="1"/>
        <v>hates</v>
      </c>
      <c r="L8" s="17">
        <v>223</v>
      </c>
      <c r="M8" s="17" t="s">
        <v>8608</v>
      </c>
      <c r="N8" s="17">
        <v>1450</v>
      </c>
      <c r="O8" s="17">
        <v>4161</v>
      </c>
      <c r="S8" s="19">
        <f t="shared" si="2"/>
        <v>2406057984</v>
      </c>
      <c r="T8" s="19" t="s">
        <v>8918</v>
      </c>
      <c r="U8" s="19">
        <f t="shared" si="3"/>
        <v>2506147936</v>
      </c>
      <c r="V8" s="19" t="s">
        <v>8919</v>
      </c>
    </row>
    <row r="9" spans="1:24" x14ac:dyDescent="0.2">
      <c r="G9" s="17" t="str">
        <f t="shared" si="0"/>
        <v>buying</v>
      </c>
      <c r="H9" s="17" t="str">
        <f t="shared" si="1"/>
        <v>sold</v>
      </c>
      <c r="L9" s="17">
        <v>224</v>
      </c>
      <c r="M9" s="17" t="s">
        <v>8609</v>
      </c>
      <c r="N9" s="17">
        <v>4952</v>
      </c>
      <c r="O9" s="17">
        <v>4977</v>
      </c>
      <c r="S9" s="19">
        <f t="shared" si="2"/>
        <v>2823366656</v>
      </c>
      <c r="T9" s="19" t="s">
        <v>8920</v>
      </c>
      <c r="U9" s="19">
        <f t="shared" si="3"/>
        <v>1003928544</v>
      </c>
      <c r="V9" s="19" t="s">
        <v>8921</v>
      </c>
    </row>
    <row r="10" spans="1:24" x14ac:dyDescent="0.2">
      <c r="G10" s="17" t="str">
        <f t="shared" si="0"/>
        <v>help</v>
      </c>
      <c r="H10" s="17" t="str">
        <f t="shared" si="1"/>
        <v>outrage</v>
      </c>
      <c r="L10" s="17">
        <v>225</v>
      </c>
      <c r="M10" s="17" t="s">
        <v>8610</v>
      </c>
      <c r="N10" s="17">
        <v>8979</v>
      </c>
      <c r="O10" s="17">
        <v>1511</v>
      </c>
      <c r="S10" s="19">
        <f t="shared" si="2"/>
        <v>827672576</v>
      </c>
      <c r="T10" s="19" t="s">
        <v>8922</v>
      </c>
      <c r="U10" s="19">
        <f t="shared" si="3"/>
        <v>3178440032</v>
      </c>
      <c r="V10" s="19" t="s">
        <v>8923</v>
      </c>
    </row>
    <row r="11" spans="1:24" x14ac:dyDescent="0.2">
      <c r="G11" s="17" t="str">
        <f t="shared" si="0"/>
        <v>winning</v>
      </c>
      <c r="H11" s="17" t="str">
        <f t="shared" si="1"/>
        <v>freefall</v>
      </c>
      <c r="L11" s="17">
        <v>226</v>
      </c>
      <c r="M11" s="17" t="s">
        <v>8611</v>
      </c>
      <c r="N11" s="17">
        <v>5120</v>
      </c>
      <c r="O11" s="17">
        <v>4398</v>
      </c>
      <c r="S11" s="19">
        <f t="shared" si="2"/>
        <v>2190993408</v>
      </c>
      <c r="T11" s="19" t="s">
        <v>8924</v>
      </c>
      <c r="U11" s="19">
        <f t="shared" si="3"/>
        <v>3522821344</v>
      </c>
      <c r="V11" s="19" t="s">
        <v>8925</v>
      </c>
    </row>
    <row r="12" spans="1:24" x14ac:dyDescent="0.2">
      <c r="C12" s="17" t="str">
        <f>IF($A$1=0,$C$1,D12)</f>
        <v>We are going to write a VBA Function called CleanString to remove some unwanted elements. In this case, we are going to use it to remove punctuation.</v>
      </c>
      <c r="D12" s="47" t="s">
        <v>11744</v>
      </c>
      <c r="E12" s="47"/>
      <c r="G12" s="17" t="str">
        <f t="shared" si="0"/>
        <v>plugs</v>
      </c>
      <c r="H12" s="17" t="str">
        <f t="shared" si="1"/>
        <v>disappear</v>
      </c>
      <c r="L12" s="17">
        <v>227</v>
      </c>
      <c r="M12" s="17" t="s">
        <v>8612</v>
      </c>
      <c r="N12" s="17">
        <v>4348</v>
      </c>
      <c r="O12" s="17">
        <v>1850</v>
      </c>
      <c r="S12" s="19">
        <f t="shared" si="2"/>
        <v>3793946624</v>
      </c>
      <c r="T12" s="19" t="s">
        <v>8926</v>
      </c>
      <c r="U12" s="19">
        <f t="shared" si="3"/>
        <v>1787664992</v>
      </c>
      <c r="V12" s="19" t="s">
        <v>8927</v>
      </c>
    </row>
    <row r="13" spans="1:24" x14ac:dyDescent="0.2">
      <c r="G13" s="17" t="str">
        <f t="shared" si="0"/>
        <v>successful</v>
      </c>
      <c r="H13" s="17" t="str">
        <f t="shared" si="1"/>
        <v>dive</v>
      </c>
      <c r="L13" s="17">
        <v>678</v>
      </c>
      <c r="M13" s="17" t="s">
        <v>8613</v>
      </c>
      <c r="N13" s="17">
        <v>1094</v>
      </c>
      <c r="O13" s="17">
        <v>6725</v>
      </c>
      <c r="S13" s="19">
        <f t="shared" si="2"/>
        <v>1303422976</v>
      </c>
      <c r="T13" s="19" t="s">
        <v>8928</v>
      </c>
      <c r="U13" s="19">
        <f t="shared" si="3"/>
        <v>3659150816</v>
      </c>
      <c r="V13" s="19" t="s">
        <v>8929</v>
      </c>
    </row>
    <row r="14" spans="1:24" x14ac:dyDescent="0.2">
      <c r="C14" s="17" t="str">
        <f ca="1">C3&amp;" rules! "&amp;C3&amp;" rules! "&amp;C3&amp;" rules! "</f>
        <v xml:space="preserve">Shenghua rules! Shenghua rules! Shenghua rules! </v>
      </c>
      <c r="G14" s="17" t="str">
        <f t="shared" si="0"/>
        <v>bought</v>
      </c>
      <c r="H14" s="17" t="str">
        <f t="shared" si="1"/>
        <v>crashing</v>
      </c>
      <c r="L14" s="17">
        <v>681</v>
      </c>
      <c r="M14" s="17" t="s">
        <v>8614</v>
      </c>
      <c r="N14" s="17">
        <v>9281</v>
      </c>
      <c r="O14" s="17">
        <v>6967</v>
      </c>
      <c r="S14" s="19">
        <f t="shared" si="2"/>
        <v>4173514752</v>
      </c>
      <c r="T14" s="19" t="s">
        <v>8930</v>
      </c>
      <c r="U14" s="19">
        <f t="shared" si="3"/>
        <v>4103563104</v>
      </c>
      <c r="V14" s="19" t="s">
        <v>8931</v>
      </c>
    </row>
    <row r="15" spans="1:24" x14ac:dyDescent="0.2">
      <c r="C15" s="17" t="str">
        <f>"In C30, test your Function on C28 where you remove F28:G28"</f>
        <v>In C30, test your Function on C28 where you remove F28:G28</v>
      </c>
      <c r="G15" s="17" t="str">
        <f t="shared" si="0"/>
        <v>rally</v>
      </c>
      <c r="H15" s="17" t="str">
        <f t="shared" si="1"/>
        <v>sells</v>
      </c>
      <c r="L15" s="17">
        <v>1306</v>
      </c>
      <c r="M15" s="17" t="s">
        <v>8615</v>
      </c>
      <c r="N15" s="17">
        <v>5050</v>
      </c>
      <c r="O15" s="17">
        <v>2434</v>
      </c>
      <c r="S15" s="19">
        <f t="shared" si="2"/>
        <v>692283392</v>
      </c>
      <c r="T15" s="19" t="s">
        <v>8932</v>
      </c>
      <c r="U15" s="19">
        <f t="shared" si="3"/>
        <v>2090313440</v>
      </c>
      <c r="V15" s="19" t="s">
        <v>8933</v>
      </c>
    </row>
    <row r="16" spans="1:24" x14ac:dyDescent="0.2">
      <c r="C16" s="17" t="str">
        <f ca="1">RIGHT(LEFT(C3,2),1)</f>
        <v>h</v>
      </c>
      <c r="G16" s="17" t="str">
        <f t="shared" si="0"/>
        <v>happy</v>
      </c>
      <c r="H16" s="17" t="str">
        <f t="shared" si="1"/>
        <v>never</v>
      </c>
      <c r="L16" s="17">
        <v>1909</v>
      </c>
      <c r="M16" s="17" t="s">
        <v>8616</v>
      </c>
      <c r="N16" s="17">
        <v>8763</v>
      </c>
      <c r="O16" s="17">
        <v>1671</v>
      </c>
      <c r="S16" s="19">
        <f t="shared" si="2"/>
        <v>2762246144</v>
      </c>
      <c r="T16" s="19" t="s">
        <v>8934</v>
      </c>
      <c r="U16" s="19">
        <f t="shared" si="3"/>
        <v>2331888736</v>
      </c>
      <c r="V16" s="19" t="s">
        <v>8935</v>
      </c>
    </row>
    <row r="17" spans="3:22" x14ac:dyDescent="0.2">
      <c r="C17" s="17" cm="1">
        <f t="array" aca="1" ref="C17" ca="1">IFERROR(IF(CleanString("jimim",H17:I17)="j",1,0),0)</f>
        <v>0</v>
      </c>
      <c r="G17" s="17" t="str">
        <f t="shared" si="0"/>
        <v>remedies</v>
      </c>
      <c r="H17" s="17" t="str">
        <f t="shared" si="1"/>
        <v>slides</v>
      </c>
      <c r="I17" s="17" t="s">
        <v>8617</v>
      </c>
      <c r="L17" s="17">
        <v>2877</v>
      </c>
      <c r="M17" s="17" t="s">
        <v>8618</v>
      </c>
      <c r="N17" s="17">
        <v>9923</v>
      </c>
      <c r="O17" s="17">
        <v>4663</v>
      </c>
      <c r="S17" s="19">
        <f t="shared" si="2"/>
        <v>125839360</v>
      </c>
      <c r="T17" s="19" t="s">
        <v>8936</v>
      </c>
      <c r="U17" s="19">
        <f t="shared" si="3"/>
        <v>1418760160</v>
      </c>
      <c r="V17" s="19" t="s">
        <v>8937</v>
      </c>
    </row>
    <row r="18" spans="3:22" x14ac:dyDescent="0.2">
      <c r="G18" s="17" t="str">
        <f t="shared" si="0"/>
        <v>repair</v>
      </c>
      <c r="H18" s="17" t="str">
        <f t="shared" si="1"/>
        <v>fraud</v>
      </c>
      <c r="L18" s="17">
        <v>3059</v>
      </c>
      <c r="M18" s="17" t="s">
        <v>8619</v>
      </c>
      <c r="N18" s="17">
        <v>9728</v>
      </c>
      <c r="O18" s="17">
        <v>4161</v>
      </c>
      <c r="S18" s="19">
        <f t="shared" si="2"/>
        <v>2847426561</v>
      </c>
      <c r="T18" s="19" t="s">
        <v>8938</v>
      </c>
      <c r="U18" s="19">
        <f t="shared" si="3"/>
        <v>42207584</v>
      </c>
      <c r="V18" s="19" t="s">
        <v>8939</v>
      </c>
    </row>
    <row r="19" spans="3:22" x14ac:dyDescent="0.2">
      <c r="G19" s="17" t="str">
        <f t="shared" si="0"/>
        <v>invest</v>
      </c>
      <c r="H19" s="17" t="str">
        <f t="shared" si="1"/>
        <v>sell</v>
      </c>
      <c r="L19" s="17">
        <v>4261</v>
      </c>
      <c r="M19" s="17" t="s">
        <v>8620</v>
      </c>
      <c r="N19" s="17">
        <v>8601</v>
      </c>
      <c r="O19" s="17">
        <v>6013</v>
      </c>
      <c r="S19" s="19">
        <f t="shared" si="2"/>
        <v>2591110712</v>
      </c>
      <c r="T19" s="19" t="s">
        <v>8940</v>
      </c>
      <c r="U19" s="19">
        <f t="shared" si="3"/>
        <v>1810968801</v>
      </c>
      <c r="V19" s="19" t="s">
        <v>8941</v>
      </c>
    </row>
    <row r="20" spans="3:22" x14ac:dyDescent="0.2">
      <c r="G20" s="17" t="str">
        <f t="shared" si="0"/>
        <v>growing</v>
      </c>
      <c r="H20" s="17" t="str">
        <f t="shared" si="1"/>
        <v>selloff</v>
      </c>
      <c r="L20" s="17">
        <v>4507</v>
      </c>
      <c r="M20" s="17" t="s">
        <v>8621</v>
      </c>
      <c r="N20" s="17">
        <v>4272</v>
      </c>
      <c r="O20" s="17">
        <v>5057</v>
      </c>
      <c r="S20" s="19">
        <f t="shared" si="2"/>
        <v>3215280536</v>
      </c>
      <c r="T20" s="19" t="s">
        <v>8942</v>
      </c>
      <c r="U20" s="19">
        <f t="shared" si="3"/>
        <v>3857558680</v>
      </c>
      <c r="V20" s="19" t="s">
        <v>8943</v>
      </c>
    </row>
    <row r="21" spans="3:22" x14ac:dyDescent="0.2">
      <c r="G21" s="17" t="str">
        <f t="shared" si="0"/>
        <v>believe</v>
      </c>
      <c r="H21" s="17" t="str">
        <f t="shared" si="1"/>
        <v>tumbles</v>
      </c>
      <c r="L21" s="17">
        <v>4777</v>
      </c>
      <c r="M21" s="17" t="s">
        <v>8622</v>
      </c>
      <c r="N21" s="17">
        <v>1824</v>
      </c>
      <c r="O21" s="17">
        <v>1514</v>
      </c>
      <c r="S21" s="19">
        <f t="shared" si="2"/>
        <v>2165607552</v>
      </c>
      <c r="T21" s="19" t="s">
        <v>8944</v>
      </c>
      <c r="U21" s="19">
        <f t="shared" si="3"/>
        <v>1245383552</v>
      </c>
      <c r="V21" s="19" t="s">
        <v>8945</v>
      </c>
    </row>
    <row r="22" spans="3:22" x14ac:dyDescent="0.2">
      <c r="C22" s="17" t="str">
        <f>IF($A$1=0,$C$1,D22)</f>
        <v>We would like to create a simple search interface that lists all the course titles whose description contain a specified keyword.</v>
      </c>
      <c r="D22" s="47" t="s">
        <v>8623</v>
      </c>
      <c r="E22" s="47"/>
      <c r="G22" s="17" t="str">
        <f t="shared" si="0"/>
        <v>correction</v>
      </c>
      <c r="H22" s="17" t="str">
        <f t="shared" si="1"/>
        <v>sad</v>
      </c>
      <c r="L22" s="17">
        <v>4968</v>
      </c>
      <c r="M22" s="17" t="s">
        <v>8624</v>
      </c>
      <c r="N22" s="17">
        <v>6517</v>
      </c>
      <c r="O22" s="17">
        <v>3594</v>
      </c>
      <c r="S22" s="19">
        <f t="shared" si="2"/>
        <v>3775927936</v>
      </c>
      <c r="T22" s="19" t="s">
        <v>8946</v>
      </c>
      <c r="U22" s="19">
        <f t="shared" si="3"/>
        <v>3870974336</v>
      </c>
      <c r="V22" s="19" t="s">
        <v>8947</v>
      </c>
    </row>
    <row r="23" spans="3:22" x14ac:dyDescent="0.2">
      <c r="G23" s="17" t="str">
        <f t="shared" si="0"/>
        <v>good</v>
      </c>
      <c r="H23" s="17" t="str">
        <f t="shared" si="1"/>
        <v>slump</v>
      </c>
      <c r="L23" s="17">
        <v>5996</v>
      </c>
      <c r="M23" s="17" t="s">
        <v>8625</v>
      </c>
      <c r="N23" s="17">
        <v>1201</v>
      </c>
      <c r="O23" s="17">
        <v>6904</v>
      </c>
      <c r="S23" s="19">
        <f t="shared" si="2"/>
        <v>3895437440</v>
      </c>
      <c r="T23" s="19" t="s">
        <v>8948</v>
      </c>
      <c r="U23" s="19">
        <f t="shared" si="3"/>
        <v>1430990720</v>
      </c>
      <c r="V23" s="19" t="s">
        <v>8949</v>
      </c>
    </row>
    <row r="24" spans="3:22" x14ac:dyDescent="0.2">
      <c r="G24" s="17" t="str">
        <f t="shared" si="0"/>
        <v>growth</v>
      </c>
      <c r="H24" s="17" t="str">
        <f t="shared" si="1"/>
        <v>down</v>
      </c>
      <c r="L24" s="17">
        <v>6936</v>
      </c>
      <c r="M24" s="17" t="s">
        <v>8626</v>
      </c>
      <c r="N24" s="17">
        <v>1325</v>
      </c>
      <c r="O24" s="17">
        <v>1321</v>
      </c>
      <c r="S24" s="19">
        <f t="shared" si="2"/>
        <v>1412752000</v>
      </c>
      <c r="T24" s="19" t="s">
        <v>8950</v>
      </c>
      <c r="U24" s="19">
        <f t="shared" si="3"/>
        <v>3288978816</v>
      </c>
      <c r="V24" s="19" t="s">
        <v>8951</v>
      </c>
    </row>
    <row r="25" spans="3:22" ht="18.95" customHeight="1" x14ac:dyDescent="0.2">
      <c r="G25" s="17" t="str">
        <f t="shared" si="0"/>
        <v>welcomes</v>
      </c>
      <c r="H25" s="17" t="str">
        <f t="shared" si="1"/>
        <v>scheme</v>
      </c>
      <c r="L25" s="17">
        <v>6939</v>
      </c>
      <c r="M25" s="17" t="s">
        <v>8627</v>
      </c>
      <c r="N25" s="17">
        <v>1619</v>
      </c>
      <c r="O25" s="17">
        <v>1479</v>
      </c>
      <c r="S25" s="19">
        <f t="shared" si="2"/>
        <v>2901795968</v>
      </c>
      <c r="T25" s="19" t="s">
        <v>8952</v>
      </c>
      <c r="U25" s="19">
        <f t="shared" si="3"/>
        <v>605434752</v>
      </c>
      <c r="V25" s="19" t="s">
        <v>8953</v>
      </c>
    </row>
    <row r="26" spans="3:22" x14ac:dyDescent="0.2">
      <c r="G26" s="17" t="str">
        <f t="shared" si="0"/>
        <v>stabilize</v>
      </c>
      <c r="H26" s="17" t="str">
        <f t="shared" si="1"/>
        <v>ponzi</v>
      </c>
      <c r="L26" s="17">
        <v>6973</v>
      </c>
      <c r="M26" s="17" t="s">
        <v>8628</v>
      </c>
      <c r="N26" s="17">
        <v>2694</v>
      </c>
      <c r="O26" s="17">
        <v>8644</v>
      </c>
      <c r="S26" s="19">
        <f t="shared" si="2"/>
        <v>2408009344</v>
      </c>
      <c r="T26" s="19" t="s">
        <v>8954</v>
      </c>
      <c r="U26" s="19">
        <f t="shared" si="3"/>
        <v>3611928960</v>
      </c>
      <c r="V26" s="19" t="s">
        <v>8955</v>
      </c>
    </row>
    <row r="27" spans="3:22" x14ac:dyDescent="0.2">
      <c r="G27" s="17" t="str">
        <f t="shared" si="0"/>
        <v>rebound</v>
      </c>
      <c r="H27" s="17" t="str">
        <f t="shared" si="1"/>
        <v>kill</v>
      </c>
      <c r="L27" s="17">
        <v>6984</v>
      </c>
      <c r="M27" s="17" t="s">
        <v>8629</v>
      </c>
      <c r="N27" s="17">
        <v>9872</v>
      </c>
      <c r="O27" s="17">
        <v>5646</v>
      </c>
      <c r="S27" s="19">
        <f t="shared" si="2"/>
        <v>166609024</v>
      </c>
      <c r="T27" s="19" t="s">
        <v>8956</v>
      </c>
      <c r="U27" s="19">
        <f t="shared" si="3"/>
        <v>451221376</v>
      </c>
      <c r="V27" s="19" t="s">
        <v>8957</v>
      </c>
    </row>
    <row r="28" spans="3:22" x14ac:dyDescent="0.2">
      <c r="G28" s="17" t="str">
        <f t="shared" si="0"/>
        <v>millionaire</v>
      </c>
      <c r="H28" s="17" t="str">
        <f t="shared" si="1"/>
        <v>worse</v>
      </c>
      <c r="L28" s="17">
        <v>7084</v>
      </c>
      <c r="M28" s="17" t="s">
        <v>8630</v>
      </c>
      <c r="N28" s="17">
        <v>3667</v>
      </c>
      <c r="O28" s="17">
        <v>5093</v>
      </c>
      <c r="S28" s="19">
        <f t="shared" si="2"/>
        <v>3539622529</v>
      </c>
      <c r="T28" s="19" t="s">
        <v>8958</v>
      </c>
      <c r="U28" s="19">
        <f t="shared" si="3"/>
        <v>563535232</v>
      </c>
      <c r="V28" s="19" t="s">
        <v>8959</v>
      </c>
    </row>
    <row r="29" spans="3:22" x14ac:dyDescent="0.2">
      <c r="G29" s="17" t="str">
        <f t="shared" si="0"/>
        <v>comeback</v>
      </c>
      <c r="H29" s="17" t="str">
        <f t="shared" si="1"/>
        <v>hoax</v>
      </c>
      <c r="L29" s="17">
        <v>7326</v>
      </c>
      <c r="M29" s="17" t="s">
        <v>8631</v>
      </c>
      <c r="N29" s="17">
        <v>2634</v>
      </c>
      <c r="O29" s="17">
        <v>7909</v>
      </c>
      <c r="S29" s="19">
        <f t="shared" si="2"/>
        <v>1203899056</v>
      </c>
      <c r="T29" s="19" t="s">
        <v>8960</v>
      </c>
      <c r="U29" s="19">
        <f t="shared" si="3"/>
        <v>1253628800</v>
      </c>
      <c r="V29" s="19" t="s">
        <v>8961</v>
      </c>
    </row>
    <row r="30" spans="3:22" x14ac:dyDescent="0.2">
      <c r="G30" s="17" t="str">
        <f t="shared" si="0"/>
        <v>push</v>
      </c>
      <c r="H30" s="17" t="str">
        <f t="shared" si="1"/>
        <v>plunges</v>
      </c>
      <c r="L30" s="17">
        <v>7355</v>
      </c>
      <c r="M30" s="17" t="s">
        <v>8632</v>
      </c>
      <c r="N30" s="17">
        <v>8177</v>
      </c>
      <c r="O30" s="17">
        <v>3843</v>
      </c>
      <c r="S30" s="19">
        <f t="shared" si="2"/>
        <v>1817040496</v>
      </c>
      <c r="T30" s="19" t="s">
        <v>8962</v>
      </c>
      <c r="U30" s="19">
        <f t="shared" si="3"/>
        <v>1982230912</v>
      </c>
      <c r="V30" s="19" t="s">
        <v>8963</v>
      </c>
    </row>
    <row r="31" spans="3:22" x14ac:dyDescent="0.2">
      <c r="L31" s="17">
        <v>7570</v>
      </c>
      <c r="M31" s="17" t="s">
        <v>8633</v>
      </c>
      <c r="N31" s="17">
        <v>3992</v>
      </c>
      <c r="O31" s="17">
        <v>1492</v>
      </c>
      <c r="S31" s="19">
        <f t="shared" si="2"/>
        <v>4141057328</v>
      </c>
      <c r="T31" s="19" t="s">
        <v>8964</v>
      </c>
      <c r="U31" s="19">
        <f t="shared" si="3"/>
        <v>2475327360</v>
      </c>
      <c r="V31" s="19" t="s">
        <v>8965</v>
      </c>
    </row>
    <row r="32" spans="3:22" x14ac:dyDescent="0.2">
      <c r="L32" s="17">
        <v>7598</v>
      </c>
      <c r="M32" s="17" t="s">
        <v>8634</v>
      </c>
      <c r="N32" s="17">
        <v>6405</v>
      </c>
      <c r="O32" s="17">
        <v>3899</v>
      </c>
      <c r="S32" s="19">
        <f t="shared" si="2"/>
        <v>2403283696</v>
      </c>
      <c r="T32" s="19" t="s">
        <v>8966</v>
      </c>
      <c r="U32" s="19">
        <f t="shared" si="3"/>
        <v>293954944</v>
      </c>
      <c r="V32" s="19" t="s">
        <v>8967</v>
      </c>
    </row>
    <row r="33" spans="12:22" x14ac:dyDescent="0.2">
      <c r="L33" s="17">
        <v>7761</v>
      </c>
      <c r="M33" s="17" t="s">
        <v>8635</v>
      </c>
      <c r="N33" s="17">
        <v>4977</v>
      </c>
      <c r="O33" s="17">
        <v>3426</v>
      </c>
      <c r="S33" s="19">
        <f t="shared" si="2"/>
        <v>3254430640</v>
      </c>
      <c r="T33" s="19" t="s">
        <v>8968</v>
      </c>
      <c r="U33" s="19">
        <f t="shared" si="3"/>
        <v>1955267457</v>
      </c>
      <c r="V33" s="19" t="s">
        <v>8969</v>
      </c>
    </row>
    <row r="34" spans="12:22" x14ac:dyDescent="0.2">
      <c r="L34" s="17">
        <v>9212</v>
      </c>
      <c r="M34" s="17" t="s">
        <v>8636</v>
      </c>
      <c r="N34" s="17">
        <v>2247</v>
      </c>
      <c r="O34" s="17">
        <v>4413</v>
      </c>
      <c r="S34" s="19">
        <f t="shared" si="2"/>
        <v>2501192560</v>
      </c>
      <c r="T34" s="19" t="s">
        <v>8970</v>
      </c>
      <c r="U34" s="19">
        <f t="shared" si="3"/>
        <v>942868408</v>
      </c>
      <c r="V34" s="19" t="s">
        <v>8971</v>
      </c>
    </row>
    <row r="35" spans="12:22" x14ac:dyDescent="0.2">
      <c r="L35" s="17">
        <v>9379</v>
      </c>
      <c r="M35" s="17" t="s">
        <v>8630</v>
      </c>
      <c r="N35" s="17">
        <v>5261</v>
      </c>
      <c r="O35" s="17">
        <v>6718</v>
      </c>
      <c r="S35" s="19">
        <f t="shared" si="2"/>
        <v>100539952</v>
      </c>
      <c r="T35" s="19" t="s">
        <v>8972</v>
      </c>
      <c r="U35" s="19">
        <f t="shared" si="3"/>
        <v>2644158744</v>
      </c>
      <c r="V35" s="19" t="s">
        <v>8973</v>
      </c>
    </row>
    <row r="36" spans="12:22" x14ac:dyDescent="0.2">
      <c r="L36" s="17">
        <v>9539</v>
      </c>
      <c r="M36" s="17" t="s">
        <v>8637</v>
      </c>
      <c r="N36" s="17">
        <v>5371</v>
      </c>
      <c r="O36" s="17">
        <v>5615</v>
      </c>
      <c r="S36" s="19">
        <f t="shared" si="2"/>
        <v>2007949297</v>
      </c>
      <c r="T36" s="19" t="s">
        <v>8974</v>
      </c>
      <c r="U36" s="19">
        <f t="shared" si="3"/>
        <v>1257918968</v>
      </c>
      <c r="V36" s="19" t="s">
        <v>8975</v>
      </c>
    </row>
    <row r="37" spans="12:22" x14ac:dyDescent="0.2">
      <c r="L37" s="17">
        <v>10026</v>
      </c>
      <c r="M37" s="17" t="s">
        <v>8638</v>
      </c>
      <c r="N37" s="17">
        <v>4904</v>
      </c>
      <c r="O37" s="17">
        <v>4244</v>
      </c>
      <c r="S37" s="19">
        <f t="shared" si="2"/>
        <v>3140078312</v>
      </c>
      <c r="T37" s="19" t="s">
        <v>8976</v>
      </c>
      <c r="U37" s="19">
        <f t="shared" si="3"/>
        <v>2482800728</v>
      </c>
      <c r="V37" s="19" t="s">
        <v>8977</v>
      </c>
    </row>
    <row r="38" spans="12:22" x14ac:dyDescent="0.2">
      <c r="L38" s="17">
        <v>10256</v>
      </c>
      <c r="M38" s="17" t="s">
        <v>8639</v>
      </c>
      <c r="N38" s="17">
        <v>3033</v>
      </c>
      <c r="O38" s="17">
        <v>3851</v>
      </c>
      <c r="S38" s="19">
        <f t="shared" si="2"/>
        <v>3104420360</v>
      </c>
      <c r="T38" s="19" t="s">
        <v>8978</v>
      </c>
      <c r="U38" s="19">
        <f t="shared" si="3"/>
        <v>3686992440</v>
      </c>
      <c r="V38" s="19" t="s">
        <v>8979</v>
      </c>
    </row>
    <row r="39" spans="12:22" x14ac:dyDescent="0.2">
      <c r="L39" s="17">
        <v>10312</v>
      </c>
      <c r="M39" s="17" t="s">
        <v>8640</v>
      </c>
      <c r="N39" s="17">
        <v>3860</v>
      </c>
      <c r="O39" s="17">
        <v>4016</v>
      </c>
      <c r="S39" s="19">
        <f t="shared" si="2"/>
        <v>3792718760</v>
      </c>
      <c r="T39" s="19" t="s">
        <v>8980</v>
      </c>
      <c r="U39" s="19">
        <f t="shared" si="3"/>
        <v>3157142944</v>
      </c>
      <c r="V39" s="19" t="s">
        <v>8981</v>
      </c>
    </row>
    <row r="40" spans="12:22" x14ac:dyDescent="0.2">
      <c r="L40" s="17">
        <v>10316</v>
      </c>
      <c r="M40" s="17" t="s">
        <v>8641</v>
      </c>
      <c r="N40" s="17">
        <v>3657</v>
      </c>
      <c r="O40" s="17">
        <v>9648</v>
      </c>
      <c r="S40" s="19">
        <f t="shared" si="2"/>
        <v>92068288</v>
      </c>
      <c r="T40" s="19" t="s">
        <v>8982</v>
      </c>
      <c r="U40" s="19">
        <f t="shared" si="3"/>
        <v>2981507616</v>
      </c>
      <c r="V40" s="19" t="s">
        <v>8983</v>
      </c>
    </row>
    <row r="41" spans="12:22" x14ac:dyDescent="0.2">
      <c r="L41" s="17">
        <v>10625</v>
      </c>
      <c r="M41" s="17" t="s">
        <v>8642</v>
      </c>
      <c r="N41" s="17">
        <v>9356</v>
      </c>
      <c r="O41" s="17">
        <v>4535</v>
      </c>
      <c r="S41" s="19">
        <f t="shared" si="2"/>
        <v>2058458305</v>
      </c>
      <c r="T41" s="19" t="s">
        <v>8984</v>
      </c>
      <c r="U41" s="19">
        <f t="shared" si="3"/>
        <v>222175392</v>
      </c>
      <c r="V41" s="19" t="s">
        <v>8985</v>
      </c>
    </row>
    <row r="42" spans="12:22" x14ac:dyDescent="0.2">
      <c r="L42" s="17">
        <v>10810</v>
      </c>
      <c r="M42" s="17" t="s">
        <v>8643</v>
      </c>
      <c r="N42" s="17">
        <v>7034</v>
      </c>
      <c r="O42" s="17">
        <v>1759</v>
      </c>
      <c r="S42" s="19">
        <f t="shared" si="2"/>
        <v>2398132728</v>
      </c>
      <c r="T42" s="19" t="s">
        <v>8986</v>
      </c>
      <c r="U42" s="19">
        <f t="shared" si="3"/>
        <v>3289219361</v>
      </c>
      <c r="V42" s="19" t="s">
        <v>8987</v>
      </c>
    </row>
    <row r="43" spans="12:22" x14ac:dyDescent="0.2">
      <c r="L43" s="17">
        <v>11013</v>
      </c>
      <c r="M43" s="17" t="s">
        <v>8644</v>
      </c>
      <c r="N43" s="17">
        <v>6986</v>
      </c>
      <c r="O43" s="17">
        <v>8400</v>
      </c>
      <c r="S43" s="19">
        <f t="shared" si="2"/>
        <v>4293488728</v>
      </c>
      <c r="T43" s="19" t="s">
        <v>8988</v>
      </c>
      <c r="U43" s="19">
        <f t="shared" si="3"/>
        <v>985516496</v>
      </c>
      <c r="V43" s="19" t="s">
        <v>8989</v>
      </c>
    </row>
    <row r="44" spans="12:22" x14ac:dyDescent="0.2">
      <c r="L44" s="17">
        <v>11367</v>
      </c>
      <c r="M44" s="17" t="s">
        <v>8645</v>
      </c>
      <c r="N44" s="17">
        <v>1766</v>
      </c>
      <c r="O44" s="17">
        <v>9388</v>
      </c>
      <c r="S44" s="19">
        <f t="shared" si="2"/>
        <v>4068414016</v>
      </c>
      <c r="T44" s="19" t="s">
        <v>8990</v>
      </c>
      <c r="U44" s="19">
        <f t="shared" si="3"/>
        <v>3219662864</v>
      </c>
      <c r="V44" s="19" t="s">
        <v>8991</v>
      </c>
    </row>
    <row r="45" spans="12:22" x14ac:dyDescent="0.2">
      <c r="L45" s="17">
        <v>11695</v>
      </c>
      <c r="M45" s="17" t="s">
        <v>8646</v>
      </c>
      <c r="N45" s="17">
        <v>7779</v>
      </c>
      <c r="O45" s="17">
        <v>9720</v>
      </c>
      <c r="S45" s="19">
        <f t="shared" si="2"/>
        <v>2522761024</v>
      </c>
      <c r="T45" s="19" t="s">
        <v>8992</v>
      </c>
      <c r="U45" s="19">
        <f t="shared" si="3"/>
        <v>2632264528</v>
      </c>
      <c r="V45" s="19" t="s">
        <v>8993</v>
      </c>
    </row>
    <row r="46" spans="12:22" x14ac:dyDescent="0.2">
      <c r="L46" s="17">
        <v>12172</v>
      </c>
      <c r="M46" s="17" t="s">
        <v>8647</v>
      </c>
      <c r="N46" s="17">
        <v>8665</v>
      </c>
      <c r="O46" s="17">
        <v>2818</v>
      </c>
      <c r="S46" s="19">
        <f t="shared" si="2"/>
        <v>666517568</v>
      </c>
      <c r="T46" s="19" t="s">
        <v>8994</v>
      </c>
      <c r="U46" s="19">
        <f t="shared" si="3"/>
        <v>3636746128</v>
      </c>
      <c r="V46" s="19" t="s">
        <v>8995</v>
      </c>
    </row>
    <row r="47" spans="12:22" x14ac:dyDescent="0.2">
      <c r="L47" s="17">
        <v>12255</v>
      </c>
      <c r="M47" s="17" t="s">
        <v>8648</v>
      </c>
      <c r="N47" s="17">
        <v>8633</v>
      </c>
      <c r="O47" s="17">
        <v>3107</v>
      </c>
      <c r="S47" s="19">
        <f t="shared" si="2"/>
        <v>3483553088</v>
      </c>
      <c r="T47" s="19" t="s">
        <v>8996</v>
      </c>
      <c r="U47" s="19">
        <f t="shared" si="3"/>
        <v>200540368</v>
      </c>
      <c r="V47" s="19" t="s">
        <v>8997</v>
      </c>
    </row>
    <row r="48" spans="12:22" x14ac:dyDescent="0.2">
      <c r="L48" s="17">
        <v>13533</v>
      </c>
      <c r="M48" s="17" t="s">
        <v>8649</v>
      </c>
      <c r="N48" s="17">
        <v>2761</v>
      </c>
      <c r="O48" s="17">
        <v>2967</v>
      </c>
      <c r="S48" s="19">
        <f t="shared" si="2"/>
        <v>4290641472</v>
      </c>
      <c r="T48" s="19" t="s">
        <v>8998</v>
      </c>
      <c r="U48" s="19">
        <f t="shared" si="3"/>
        <v>3940780817</v>
      </c>
      <c r="V48" s="19" t="s">
        <v>8999</v>
      </c>
    </row>
    <row r="49" spans="12:22" x14ac:dyDescent="0.2">
      <c r="L49" s="17">
        <v>13645</v>
      </c>
      <c r="M49" s="17" t="s">
        <v>8650</v>
      </c>
      <c r="N49" s="17">
        <v>4746</v>
      </c>
      <c r="O49" s="17">
        <v>2143</v>
      </c>
      <c r="S49" s="19">
        <f t="shared" si="2"/>
        <v>2018321216</v>
      </c>
      <c r="T49" s="19" t="s">
        <v>9000</v>
      </c>
      <c r="U49" s="19">
        <f t="shared" si="3"/>
        <v>3933534336</v>
      </c>
      <c r="V49" s="19" t="s">
        <v>9001</v>
      </c>
    </row>
    <row r="50" spans="12:22" x14ac:dyDescent="0.2">
      <c r="L50" s="17">
        <v>13649</v>
      </c>
      <c r="M50" s="17" t="s">
        <v>8651</v>
      </c>
      <c r="N50" s="17">
        <v>8674</v>
      </c>
      <c r="O50" s="17">
        <v>1266</v>
      </c>
      <c r="S50" s="19">
        <f t="shared" si="2"/>
        <v>221629504</v>
      </c>
      <c r="T50" s="19" t="s">
        <v>9002</v>
      </c>
      <c r="U50" s="19">
        <f t="shared" si="3"/>
        <v>183399040</v>
      </c>
      <c r="V50" s="19" t="s">
        <v>9003</v>
      </c>
    </row>
    <row r="51" spans="12:22" x14ac:dyDescent="0.2">
      <c r="L51" s="17">
        <v>13895</v>
      </c>
      <c r="M51" s="17" t="s">
        <v>8652</v>
      </c>
      <c r="N51" s="17">
        <v>7159</v>
      </c>
      <c r="O51" s="17">
        <v>4774</v>
      </c>
      <c r="S51" s="19">
        <f t="shared" si="2"/>
        <v>786352449</v>
      </c>
      <c r="T51" s="19" t="s">
        <v>9004</v>
      </c>
      <c r="U51" s="19">
        <f t="shared" si="3"/>
        <v>2873144449</v>
      </c>
      <c r="V51" s="19" t="s">
        <v>9005</v>
      </c>
    </row>
    <row r="52" spans="12:22" x14ac:dyDescent="0.2">
      <c r="L52" s="17">
        <v>13963</v>
      </c>
      <c r="M52" s="17" t="s">
        <v>8653</v>
      </c>
      <c r="N52" s="17">
        <v>6574</v>
      </c>
      <c r="O52" s="17">
        <v>6460</v>
      </c>
      <c r="S52" s="19">
        <f t="shared" si="2"/>
        <v>2538305652</v>
      </c>
      <c r="T52" s="19" t="s">
        <v>9006</v>
      </c>
      <c r="U52" s="19">
        <f t="shared" si="3"/>
        <v>566144184</v>
      </c>
      <c r="V52" s="19" t="s">
        <v>9007</v>
      </c>
    </row>
    <row r="53" spans="12:22" x14ac:dyDescent="0.2">
      <c r="L53" s="17">
        <v>14160</v>
      </c>
      <c r="M53" s="17" t="s">
        <v>8654</v>
      </c>
      <c r="N53" s="17">
        <v>3595</v>
      </c>
      <c r="O53" s="17">
        <v>7041</v>
      </c>
      <c r="S53" s="19">
        <f t="shared" si="2"/>
        <v>505104384</v>
      </c>
      <c r="T53" s="19" t="s">
        <v>9008</v>
      </c>
      <c r="U53" s="19">
        <f t="shared" si="3"/>
        <v>2244596248</v>
      </c>
      <c r="V53" s="19" t="s">
        <v>9009</v>
      </c>
    </row>
    <row r="54" spans="12:22" x14ac:dyDescent="0.2">
      <c r="L54" s="17">
        <v>14271</v>
      </c>
      <c r="M54" s="17" t="s">
        <v>8655</v>
      </c>
      <c r="N54" s="17">
        <v>1389</v>
      </c>
      <c r="O54" s="17">
        <v>3827</v>
      </c>
      <c r="S54" s="19">
        <f t="shared" si="2"/>
        <v>3684034560</v>
      </c>
      <c r="T54" s="19" t="s">
        <v>9010</v>
      </c>
      <c r="U54" s="19">
        <f t="shared" si="3"/>
        <v>624676600</v>
      </c>
      <c r="V54" s="19" t="s">
        <v>9011</v>
      </c>
    </row>
    <row r="55" spans="12:22" x14ac:dyDescent="0.2">
      <c r="L55" s="17">
        <v>15386</v>
      </c>
      <c r="M55" s="17" t="s">
        <v>8656</v>
      </c>
      <c r="N55" s="17">
        <v>5878</v>
      </c>
      <c r="O55" s="17">
        <v>2139</v>
      </c>
    </row>
    <row r="56" spans="12:22" x14ac:dyDescent="0.2">
      <c r="L56" s="17">
        <v>15802</v>
      </c>
      <c r="M56" s="17" t="s">
        <v>8657</v>
      </c>
      <c r="N56" s="17">
        <v>3613</v>
      </c>
      <c r="O56" s="17">
        <v>5405</v>
      </c>
    </row>
    <row r="57" spans="12:22" x14ac:dyDescent="0.2">
      <c r="L57" s="17">
        <v>15917</v>
      </c>
      <c r="M57" s="17" t="s">
        <v>8658</v>
      </c>
      <c r="N57" s="17">
        <v>9090</v>
      </c>
      <c r="O57" s="17">
        <v>2729</v>
      </c>
    </row>
    <row r="58" spans="12:22" x14ac:dyDescent="0.2">
      <c r="L58" s="17">
        <v>16121</v>
      </c>
      <c r="M58" s="17" t="s">
        <v>8659</v>
      </c>
      <c r="N58" s="17">
        <v>7505</v>
      </c>
      <c r="O58" s="17">
        <v>8698</v>
      </c>
    </row>
    <row r="59" spans="12:22" x14ac:dyDescent="0.2">
      <c r="L59" s="17">
        <v>16198</v>
      </c>
      <c r="M59" s="17" t="s">
        <v>8660</v>
      </c>
      <c r="N59" s="17">
        <v>5963</v>
      </c>
      <c r="O59" s="17">
        <v>2472</v>
      </c>
    </row>
    <row r="60" spans="12:22" x14ac:dyDescent="0.2">
      <c r="L60" s="17">
        <v>16561</v>
      </c>
      <c r="M60" s="17" t="s">
        <v>8661</v>
      </c>
      <c r="N60" s="17">
        <v>2332</v>
      </c>
      <c r="O60" s="17">
        <v>9593</v>
      </c>
    </row>
    <row r="61" spans="12:22" x14ac:dyDescent="0.2">
      <c r="L61" s="17">
        <v>17915</v>
      </c>
      <c r="M61" s="17" t="s">
        <v>8662</v>
      </c>
      <c r="N61" s="17">
        <v>2691</v>
      </c>
      <c r="O61" s="17">
        <v>8749</v>
      </c>
    </row>
    <row r="62" spans="12:22" x14ac:dyDescent="0.2">
      <c r="L62" s="17">
        <v>19501</v>
      </c>
      <c r="M62" s="17" t="s">
        <v>8663</v>
      </c>
      <c r="N62" s="17">
        <v>1732</v>
      </c>
      <c r="O62" s="17">
        <v>7809</v>
      </c>
    </row>
    <row r="63" spans="12:22" x14ac:dyDescent="0.2">
      <c r="L63" s="17">
        <v>19547</v>
      </c>
      <c r="M63" s="17" t="s">
        <v>8664</v>
      </c>
      <c r="N63" s="17">
        <v>7742</v>
      </c>
      <c r="O63" s="17">
        <v>5740</v>
      </c>
    </row>
    <row r="64" spans="12:22" x14ac:dyDescent="0.2">
      <c r="L64" s="17">
        <v>19644</v>
      </c>
      <c r="M64" s="17" t="s">
        <v>8665</v>
      </c>
      <c r="N64" s="17">
        <v>9134</v>
      </c>
      <c r="O64" s="17">
        <v>5929</v>
      </c>
    </row>
    <row r="65" spans="12:15" x14ac:dyDescent="0.2">
      <c r="L65" s="17">
        <v>20389</v>
      </c>
      <c r="M65" s="17" t="s">
        <v>8666</v>
      </c>
      <c r="N65" s="17">
        <v>3413</v>
      </c>
      <c r="O65" s="17">
        <v>3177</v>
      </c>
    </row>
    <row r="66" spans="12:15" x14ac:dyDescent="0.2">
      <c r="L66" s="17">
        <v>21147</v>
      </c>
      <c r="M66" s="17" t="s">
        <v>8667</v>
      </c>
      <c r="N66" s="17">
        <v>9537</v>
      </c>
      <c r="O66" s="17">
        <v>8060</v>
      </c>
    </row>
    <row r="67" spans="12:15" x14ac:dyDescent="0.2">
      <c r="L67" s="17">
        <v>21504</v>
      </c>
      <c r="M67" s="17" t="s">
        <v>8668</v>
      </c>
      <c r="N67" s="17">
        <v>7860</v>
      </c>
      <c r="O67" s="17">
        <v>5107</v>
      </c>
    </row>
    <row r="68" spans="12:15" x14ac:dyDescent="0.2">
      <c r="L68" s="17">
        <v>22186</v>
      </c>
      <c r="M68" s="17" t="s">
        <v>8669</v>
      </c>
      <c r="N68" s="17">
        <v>2153</v>
      </c>
      <c r="O68" s="17">
        <v>1979</v>
      </c>
    </row>
    <row r="69" spans="12:15" x14ac:dyDescent="0.2">
      <c r="L69" s="17">
        <v>23028</v>
      </c>
      <c r="M69" s="17" t="s">
        <v>8670</v>
      </c>
      <c r="N69" s="17">
        <v>2476</v>
      </c>
      <c r="O69" s="17">
        <v>3365</v>
      </c>
    </row>
    <row r="70" spans="12:15" x14ac:dyDescent="0.2">
      <c r="L70" s="17">
        <v>23213</v>
      </c>
      <c r="M70" s="17" t="s">
        <v>8671</v>
      </c>
      <c r="N70" s="17">
        <v>4686</v>
      </c>
      <c r="O70" s="17">
        <v>9644</v>
      </c>
    </row>
    <row r="71" spans="12:15" x14ac:dyDescent="0.2">
      <c r="L71" s="17">
        <v>23687</v>
      </c>
      <c r="M71" s="17" t="s">
        <v>8672</v>
      </c>
      <c r="N71" s="17">
        <v>7510</v>
      </c>
      <c r="O71" s="17">
        <v>9983</v>
      </c>
    </row>
    <row r="72" spans="12:15" x14ac:dyDescent="0.2">
      <c r="L72" s="17">
        <v>23999</v>
      </c>
      <c r="M72" s="17" t="s">
        <v>8673</v>
      </c>
      <c r="N72" s="17">
        <v>5136</v>
      </c>
      <c r="O72" s="17">
        <v>2056</v>
      </c>
    </row>
    <row r="73" spans="12:15" x14ac:dyDescent="0.2">
      <c r="L73" s="17">
        <v>24556</v>
      </c>
      <c r="M73" s="17" t="s">
        <v>8674</v>
      </c>
      <c r="N73" s="17">
        <v>6419</v>
      </c>
      <c r="O73" s="17">
        <v>5170</v>
      </c>
    </row>
    <row r="74" spans="12:15" x14ac:dyDescent="0.2">
      <c r="L74" s="17">
        <v>24662</v>
      </c>
      <c r="M74" s="17" t="s">
        <v>8675</v>
      </c>
      <c r="N74" s="17">
        <v>1297</v>
      </c>
      <c r="O74" s="17">
        <v>1729</v>
      </c>
    </row>
    <row r="75" spans="12:15" x14ac:dyDescent="0.2">
      <c r="L75" s="17">
        <v>24816</v>
      </c>
      <c r="M75" s="17" t="s">
        <v>8676</v>
      </c>
      <c r="N75" s="17">
        <v>2060</v>
      </c>
      <c r="O75" s="17">
        <v>4544</v>
      </c>
    </row>
    <row r="76" spans="12:15" x14ac:dyDescent="0.2">
      <c r="L76" s="17">
        <v>25587</v>
      </c>
      <c r="M76" s="17" t="s">
        <v>8677</v>
      </c>
      <c r="N76" s="17">
        <v>6988</v>
      </c>
      <c r="O76" s="17">
        <v>4290</v>
      </c>
    </row>
    <row r="77" spans="12:15" x14ac:dyDescent="0.2">
      <c r="L77" s="17">
        <v>25705</v>
      </c>
      <c r="M77" s="17" t="s">
        <v>8678</v>
      </c>
      <c r="N77" s="17">
        <v>1215</v>
      </c>
      <c r="O77" s="17">
        <v>7915</v>
      </c>
    </row>
    <row r="78" spans="12:15" x14ac:dyDescent="0.2">
      <c r="L78" s="17">
        <v>26427</v>
      </c>
      <c r="M78" s="17" t="s">
        <v>8679</v>
      </c>
      <c r="N78" s="17">
        <v>2581</v>
      </c>
      <c r="O78" s="17">
        <v>6522</v>
      </c>
    </row>
    <row r="79" spans="12:15" x14ac:dyDescent="0.2">
      <c r="L79" s="17">
        <v>26516</v>
      </c>
      <c r="M79" s="17" t="s">
        <v>8680</v>
      </c>
      <c r="N79" s="17">
        <v>7296</v>
      </c>
      <c r="O79" s="17">
        <v>8145</v>
      </c>
    </row>
    <row r="80" spans="12:15" x14ac:dyDescent="0.2">
      <c r="L80" s="17">
        <v>26930</v>
      </c>
      <c r="M80" s="17" t="s">
        <v>8681</v>
      </c>
      <c r="N80" s="17">
        <v>1788</v>
      </c>
      <c r="O80" s="17">
        <v>8488</v>
      </c>
    </row>
    <row r="81" spans="12:15" x14ac:dyDescent="0.2">
      <c r="L81" s="17">
        <v>27906</v>
      </c>
      <c r="M81" s="17" t="s">
        <v>8682</v>
      </c>
      <c r="N81" s="17">
        <v>6437</v>
      </c>
      <c r="O81" s="17">
        <v>6039</v>
      </c>
    </row>
    <row r="82" spans="12:15" x14ac:dyDescent="0.2">
      <c r="L82" s="17">
        <v>28476</v>
      </c>
      <c r="M82" s="17" t="s">
        <v>8683</v>
      </c>
      <c r="N82" s="17">
        <v>1371</v>
      </c>
      <c r="O82" s="17">
        <v>8798</v>
      </c>
    </row>
    <row r="83" spans="12:15" x14ac:dyDescent="0.2">
      <c r="L83" s="17">
        <v>29309</v>
      </c>
      <c r="M83" s="17" t="s">
        <v>8684</v>
      </c>
      <c r="N83" s="17">
        <v>6243</v>
      </c>
      <c r="O83" s="17">
        <v>1520</v>
      </c>
    </row>
    <row r="84" spans="12:15" x14ac:dyDescent="0.2">
      <c r="L84" s="17">
        <v>30102</v>
      </c>
      <c r="M84" s="17" t="s">
        <v>8685</v>
      </c>
      <c r="N84" s="17">
        <v>4358</v>
      </c>
      <c r="O84" s="17">
        <v>3862</v>
      </c>
    </row>
    <row r="85" spans="12:15" x14ac:dyDescent="0.2">
      <c r="L85" s="17">
        <v>30355</v>
      </c>
      <c r="M85" s="17" t="s">
        <v>8686</v>
      </c>
      <c r="N85" s="17">
        <v>3274</v>
      </c>
      <c r="O85" s="17">
        <v>2347</v>
      </c>
    </row>
    <row r="86" spans="12:15" x14ac:dyDescent="0.2">
      <c r="L86" s="17">
        <v>30550</v>
      </c>
      <c r="M86" s="17" t="s">
        <v>8687</v>
      </c>
      <c r="N86" s="17">
        <v>8684</v>
      </c>
      <c r="O86" s="17">
        <v>6078</v>
      </c>
    </row>
    <row r="87" spans="12:15" x14ac:dyDescent="0.2">
      <c r="L87" s="17">
        <v>30952</v>
      </c>
      <c r="M87" s="17" t="s">
        <v>8688</v>
      </c>
      <c r="N87" s="17">
        <v>9255</v>
      </c>
      <c r="O87" s="17">
        <v>4632</v>
      </c>
    </row>
    <row r="88" spans="12:15" x14ac:dyDescent="0.2">
      <c r="L88" s="17">
        <v>31569</v>
      </c>
      <c r="M88" s="17" t="s">
        <v>8689</v>
      </c>
      <c r="N88" s="17">
        <v>8959</v>
      </c>
      <c r="O88" s="17">
        <v>7189</v>
      </c>
    </row>
    <row r="89" spans="12:15" x14ac:dyDescent="0.2">
      <c r="L89" s="17">
        <v>32446</v>
      </c>
      <c r="M89" s="17" t="s">
        <v>8690</v>
      </c>
      <c r="N89" s="17">
        <v>2525</v>
      </c>
      <c r="O89" s="17">
        <v>8611</v>
      </c>
    </row>
    <row r="90" spans="12:15" x14ac:dyDescent="0.2">
      <c r="L90" s="17">
        <v>32518</v>
      </c>
      <c r="M90" s="17" t="s">
        <v>8691</v>
      </c>
      <c r="N90" s="17">
        <v>2750</v>
      </c>
      <c r="O90" s="17">
        <v>3543</v>
      </c>
    </row>
    <row r="91" spans="12:15" x14ac:dyDescent="0.2">
      <c r="L91" s="17">
        <v>32846</v>
      </c>
      <c r="M91" s="17" t="s">
        <v>8692</v>
      </c>
      <c r="N91" s="17">
        <v>9816</v>
      </c>
      <c r="O91" s="17">
        <v>2747</v>
      </c>
    </row>
    <row r="92" spans="12:15" x14ac:dyDescent="0.2">
      <c r="L92" s="17">
        <v>32915</v>
      </c>
      <c r="M92" s="17" t="s">
        <v>8693</v>
      </c>
      <c r="N92" s="17">
        <v>2664</v>
      </c>
      <c r="O92" s="17">
        <v>6607</v>
      </c>
    </row>
    <row r="93" spans="12:15" x14ac:dyDescent="0.2">
      <c r="L93" s="17">
        <v>33732</v>
      </c>
      <c r="M93" s="17" t="s">
        <v>8694</v>
      </c>
      <c r="N93" s="17">
        <v>9236</v>
      </c>
      <c r="O93" s="17">
        <v>6228</v>
      </c>
    </row>
    <row r="94" spans="12:15" x14ac:dyDescent="0.2">
      <c r="L94" s="17">
        <v>34055</v>
      </c>
      <c r="M94" s="17" t="s">
        <v>8695</v>
      </c>
      <c r="N94" s="17">
        <v>4440</v>
      </c>
      <c r="O94" s="17">
        <v>5035</v>
      </c>
    </row>
    <row r="95" spans="12:15" x14ac:dyDescent="0.2">
      <c r="L95" s="17">
        <v>34179</v>
      </c>
      <c r="M95" s="17" t="s">
        <v>8696</v>
      </c>
      <c r="N95" s="17">
        <v>5787</v>
      </c>
      <c r="O95" s="17">
        <v>6350</v>
      </c>
    </row>
    <row r="96" spans="12:15" x14ac:dyDescent="0.2">
      <c r="L96" s="17">
        <v>34285</v>
      </c>
      <c r="M96" s="17" t="s">
        <v>8697</v>
      </c>
      <c r="N96" s="17">
        <v>7642</v>
      </c>
      <c r="O96" s="17">
        <v>4553</v>
      </c>
    </row>
    <row r="97" spans="12:15" x14ac:dyDescent="0.2">
      <c r="L97" s="17">
        <v>34305</v>
      </c>
      <c r="M97" s="17" t="s">
        <v>8698</v>
      </c>
      <c r="N97" s="17">
        <v>6619</v>
      </c>
      <c r="O97" s="17">
        <v>3477</v>
      </c>
    </row>
    <row r="98" spans="12:15" x14ac:dyDescent="0.2">
      <c r="L98" s="17">
        <v>34336</v>
      </c>
      <c r="M98" s="17" t="s">
        <v>8699</v>
      </c>
      <c r="N98" s="17">
        <v>5080</v>
      </c>
      <c r="O98" s="17">
        <v>7208</v>
      </c>
    </row>
    <row r="99" spans="12:15" x14ac:dyDescent="0.2">
      <c r="L99" s="17">
        <v>34471</v>
      </c>
      <c r="M99" s="17" t="s">
        <v>8700</v>
      </c>
      <c r="N99" s="17">
        <v>3194</v>
      </c>
      <c r="O99" s="17">
        <v>7996</v>
      </c>
    </row>
    <row r="100" spans="12:15" x14ac:dyDescent="0.2">
      <c r="L100" s="17">
        <v>34813</v>
      </c>
      <c r="M100" s="17" t="s">
        <v>8701</v>
      </c>
      <c r="N100" s="17">
        <v>3068</v>
      </c>
      <c r="O100" s="17">
        <v>3164</v>
      </c>
    </row>
    <row r="101" spans="12:15" x14ac:dyDescent="0.2">
      <c r="L101" s="17">
        <v>35054</v>
      </c>
      <c r="M101" s="17" t="s">
        <v>8702</v>
      </c>
      <c r="N101" s="17">
        <v>7906</v>
      </c>
      <c r="O101" s="17">
        <v>1041</v>
      </c>
    </row>
    <row r="102" spans="12:15" x14ac:dyDescent="0.2">
      <c r="L102" s="17">
        <v>35337</v>
      </c>
      <c r="M102" s="17" t="s">
        <v>8703</v>
      </c>
      <c r="N102" s="17">
        <v>2055</v>
      </c>
      <c r="O102" s="17">
        <v>7044</v>
      </c>
    </row>
    <row r="103" spans="12:15" x14ac:dyDescent="0.2">
      <c r="L103" s="17">
        <v>35454</v>
      </c>
      <c r="M103" s="17" t="s">
        <v>8704</v>
      </c>
      <c r="N103" s="17">
        <v>2053</v>
      </c>
      <c r="O103" s="17">
        <v>7456</v>
      </c>
    </row>
    <row r="104" spans="12:15" x14ac:dyDescent="0.2">
      <c r="L104" s="17">
        <v>36074</v>
      </c>
      <c r="M104" s="17" t="s">
        <v>8705</v>
      </c>
      <c r="N104" s="17">
        <v>4302</v>
      </c>
      <c r="O104" s="17">
        <v>4081</v>
      </c>
    </row>
    <row r="105" spans="12:15" x14ac:dyDescent="0.2">
      <c r="L105" s="17">
        <v>36357</v>
      </c>
      <c r="M105" s="17" t="s">
        <v>8706</v>
      </c>
      <c r="N105" s="17">
        <v>5862</v>
      </c>
      <c r="O105" s="17">
        <v>9779</v>
      </c>
    </row>
    <row r="106" spans="12:15" x14ac:dyDescent="0.2">
      <c r="L106" s="17">
        <v>36380</v>
      </c>
      <c r="M106" s="17" t="s">
        <v>8707</v>
      </c>
      <c r="N106" s="17">
        <v>7678</v>
      </c>
      <c r="O106" s="17">
        <v>3478</v>
      </c>
    </row>
    <row r="107" spans="12:15" x14ac:dyDescent="0.2">
      <c r="L107" s="17">
        <v>36497</v>
      </c>
      <c r="M107" s="17" t="s">
        <v>8708</v>
      </c>
      <c r="N107" s="17">
        <v>2222</v>
      </c>
      <c r="O107" s="17">
        <v>3085</v>
      </c>
    </row>
    <row r="108" spans="12:15" x14ac:dyDescent="0.2">
      <c r="L108" s="17">
        <v>37108</v>
      </c>
      <c r="M108" s="17" t="s">
        <v>8709</v>
      </c>
      <c r="N108" s="17">
        <v>1742</v>
      </c>
      <c r="O108" s="17">
        <v>8400</v>
      </c>
    </row>
    <row r="109" spans="12:15" x14ac:dyDescent="0.2">
      <c r="L109" s="17">
        <v>37124</v>
      </c>
      <c r="M109" s="17" t="s">
        <v>8710</v>
      </c>
      <c r="N109" s="17">
        <v>3710</v>
      </c>
      <c r="O109" s="17">
        <v>4206</v>
      </c>
    </row>
    <row r="110" spans="12:15" x14ac:dyDescent="0.2">
      <c r="L110" s="17">
        <v>37363</v>
      </c>
      <c r="M110" s="17" t="s">
        <v>8711</v>
      </c>
      <c r="N110" s="17">
        <v>7840</v>
      </c>
      <c r="O110" s="17">
        <v>7535</v>
      </c>
    </row>
    <row r="111" spans="12:15" x14ac:dyDescent="0.2">
      <c r="L111" s="17">
        <v>37530</v>
      </c>
      <c r="M111" s="17" t="s">
        <v>8712</v>
      </c>
      <c r="N111" s="17">
        <v>3047</v>
      </c>
      <c r="O111" s="17">
        <v>1497</v>
      </c>
    </row>
    <row r="112" spans="12:15" x14ac:dyDescent="0.2">
      <c r="L112" s="17">
        <v>37563</v>
      </c>
      <c r="M112" s="17" t="s">
        <v>8713</v>
      </c>
      <c r="N112" s="17">
        <v>6855</v>
      </c>
      <c r="O112" s="17">
        <v>6643</v>
      </c>
    </row>
    <row r="113" spans="12:15" x14ac:dyDescent="0.2">
      <c r="L113" s="17">
        <v>37585</v>
      </c>
      <c r="M113" s="17" t="s">
        <v>8714</v>
      </c>
      <c r="N113" s="17">
        <v>8020</v>
      </c>
      <c r="O113" s="17">
        <v>4604</v>
      </c>
    </row>
    <row r="114" spans="12:15" x14ac:dyDescent="0.2">
      <c r="L114" s="17">
        <v>37791</v>
      </c>
      <c r="M114" s="17" t="s">
        <v>8715</v>
      </c>
      <c r="N114" s="17">
        <v>7980</v>
      </c>
      <c r="O114" s="17">
        <v>3567</v>
      </c>
    </row>
    <row r="115" spans="12:15" x14ac:dyDescent="0.2">
      <c r="L115" s="17">
        <v>37948</v>
      </c>
      <c r="M115" s="17" t="s">
        <v>8716</v>
      </c>
      <c r="N115" s="17">
        <v>2106</v>
      </c>
      <c r="O115" s="17">
        <v>3710</v>
      </c>
    </row>
    <row r="116" spans="12:15" x14ac:dyDescent="0.2">
      <c r="L116" s="17">
        <v>38113</v>
      </c>
      <c r="M116" s="17" t="s">
        <v>8717</v>
      </c>
      <c r="N116" s="17">
        <v>5552</v>
      </c>
      <c r="O116" s="17">
        <v>1829</v>
      </c>
    </row>
    <row r="117" spans="12:15" x14ac:dyDescent="0.2">
      <c r="L117" s="17">
        <v>38235</v>
      </c>
      <c r="M117" s="17" t="s">
        <v>8718</v>
      </c>
      <c r="N117" s="17">
        <v>8696</v>
      </c>
      <c r="O117" s="17">
        <v>2252</v>
      </c>
    </row>
    <row r="118" spans="12:15" x14ac:dyDescent="0.2">
      <c r="L118" s="17">
        <v>38304</v>
      </c>
      <c r="M118" s="17" t="s">
        <v>8719</v>
      </c>
      <c r="N118" s="17">
        <v>5725</v>
      </c>
      <c r="O118" s="17">
        <v>2581</v>
      </c>
    </row>
    <row r="119" spans="12:15" x14ac:dyDescent="0.2">
      <c r="L119" s="17">
        <v>38536</v>
      </c>
      <c r="M119" s="17" t="s">
        <v>8720</v>
      </c>
      <c r="N119" s="17">
        <v>7482</v>
      </c>
      <c r="O119" s="17">
        <v>2069</v>
      </c>
    </row>
    <row r="120" spans="12:15" x14ac:dyDescent="0.2">
      <c r="L120" s="17">
        <v>38982</v>
      </c>
      <c r="M120" s="17" t="s">
        <v>8721</v>
      </c>
      <c r="N120" s="17">
        <v>2206</v>
      </c>
      <c r="O120" s="17">
        <v>1994</v>
      </c>
    </row>
    <row r="121" spans="12:15" x14ac:dyDescent="0.2">
      <c r="L121" s="17">
        <v>39486</v>
      </c>
      <c r="M121" s="17" t="s">
        <v>8680</v>
      </c>
      <c r="N121" s="17">
        <v>6428</v>
      </c>
      <c r="O121" s="17">
        <v>4927</v>
      </c>
    </row>
    <row r="122" spans="12:15" x14ac:dyDescent="0.2">
      <c r="L122" s="17">
        <v>39636</v>
      </c>
      <c r="M122" s="17" t="s">
        <v>8722</v>
      </c>
      <c r="N122" s="17">
        <v>1303</v>
      </c>
      <c r="O122" s="17">
        <v>3756</v>
      </c>
    </row>
    <row r="123" spans="12:15" x14ac:dyDescent="0.2">
      <c r="L123" s="17">
        <v>40484</v>
      </c>
      <c r="M123" s="17" t="s">
        <v>8723</v>
      </c>
      <c r="N123" s="17">
        <v>5292</v>
      </c>
      <c r="O123" s="17">
        <v>2836</v>
      </c>
    </row>
    <row r="124" spans="12:15" x14ac:dyDescent="0.2">
      <c r="L124" s="17">
        <v>40509</v>
      </c>
      <c r="M124" s="17" t="s">
        <v>8724</v>
      </c>
      <c r="N124" s="17">
        <v>3429</v>
      </c>
      <c r="O124" s="17">
        <v>1719</v>
      </c>
    </row>
    <row r="125" spans="12:15" x14ac:dyDescent="0.2">
      <c r="L125" s="17">
        <v>40630</v>
      </c>
      <c r="M125" s="17" t="s">
        <v>8725</v>
      </c>
      <c r="N125" s="17">
        <v>1094</v>
      </c>
      <c r="O125" s="17">
        <v>3489</v>
      </c>
    </row>
    <row r="126" spans="12:15" x14ac:dyDescent="0.2">
      <c r="L126" s="17">
        <v>40687</v>
      </c>
      <c r="M126" s="17" t="s">
        <v>8726</v>
      </c>
      <c r="N126" s="17">
        <v>4010</v>
      </c>
      <c r="O126" s="17">
        <v>5134</v>
      </c>
    </row>
    <row r="127" spans="12:15" x14ac:dyDescent="0.2">
      <c r="L127" s="17">
        <v>41085</v>
      </c>
      <c r="M127" s="17" t="s">
        <v>8673</v>
      </c>
      <c r="N127" s="17">
        <v>3740</v>
      </c>
      <c r="O127" s="17">
        <v>2396</v>
      </c>
    </row>
    <row r="128" spans="12:15" x14ac:dyDescent="0.2">
      <c r="L128" s="17">
        <v>41088</v>
      </c>
      <c r="M128" s="17" t="s">
        <v>8727</v>
      </c>
      <c r="N128" s="17">
        <v>8719</v>
      </c>
      <c r="O128" s="17">
        <v>9964</v>
      </c>
    </row>
    <row r="129" spans="12:15" x14ac:dyDescent="0.2">
      <c r="L129" s="17">
        <v>41121</v>
      </c>
      <c r="M129" s="17" t="s">
        <v>8728</v>
      </c>
      <c r="N129" s="17">
        <v>8582</v>
      </c>
      <c r="O129" s="17">
        <v>2033</v>
      </c>
    </row>
    <row r="130" spans="12:15" x14ac:dyDescent="0.2">
      <c r="L130" s="17">
        <v>41293</v>
      </c>
      <c r="M130" s="17" t="s">
        <v>8729</v>
      </c>
      <c r="N130" s="17">
        <v>7758</v>
      </c>
      <c r="O130" s="17">
        <v>9055</v>
      </c>
    </row>
    <row r="131" spans="12:15" x14ac:dyDescent="0.2">
      <c r="L131" s="17">
        <v>41501</v>
      </c>
      <c r="M131" s="17" t="s">
        <v>8730</v>
      </c>
      <c r="N131" s="17">
        <v>6276</v>
      </c>
      <c r="O131" s="17">
        <v>5832</v>
      </c>
    </row>
    <row r="132" spans="12:15" x14ac:dyDescent="0.2">
      <c r="L132" s="17">
        <v>41583</v>
      </c>
      <c r="M132" s="17" t="s">
        <v>8731</v>
      </c>
      <c r="N132" s="17">
        <v>9582</v>
      </c>
      <c r="O132" s="17">
        <v>1751</v>
      </c>
    </row>
    <row r="133" spans="12:15" x14ac:dyDescent="0.2">
      <c r="L133" s="17">
        <v>41826</v>
      </c>
      <c r="M133" s="17" t="s">
        <v>8732</v>
      </c>
      <c r="N133" s="17">
        <v>5447</v>
      </c>
      <c r="O133" s="17">
        <v>1865</v>
      </c>
    </row>
    <row r="134" spans="12:15" x14ac:dyDescent="0.2">
      <c r="L134" s="17">
        <v>41953</v>
      </c>
      <c r="M134" s="17" t="s">
        <v>8733</v>
      </c>
      <c r="N134" s="17">
        <v>5712</v>
      </c>
      <c r="O134" s="17">
        <v>3056</v>
      </c>
    </row>
    <row r="135" spans="12:15" x14ac:dyDescent="0.2">
      <c r="L135" s="17">
        <v>42319</v>
      </c>
      <c r="M135" s="17" t="s">
        <v>8734</v>
      </c>
      <c r="N135" s="17">
        <v>7419</v>
      </c>
      <c r="O135" s="17">
        <v>3093</v>
      </c>
    </row>
    <row r="136" spans="12:15" x14ac:dyDescent="0.2">
      <c r="L136" s="17">
        <v>42374</v>
      </c>
      <c r="M136" s="17" t="s">
        <v>8735</v>
      </c>
      <c r="N136" s="17">
        <v>9671</v>
      </c>
      <c r="O136" s="17">
        <v>1501</v>
      </c>
    </row>
    <row r="137" spans="12:15" x14ac:dyDescent="0.2">
      <c r="L137" s="17">
        <v>42874</v>
      </c>
      <c r="M137" s="17" t="s">
        <v>8736</v>
      </c>
      <c r="N137" s="17">
        <v>2758</v>
      </c>
      <c r="O137" s="17">
        <v>7062</v>
      </c>
    </row>
    <row r="138" spans="12:15" x14ac:dyDescent="0.2">
      <c r="L138" s="17">
        <v>42944</v>
      </c>
      <c r="M138" s="17" t="s">
        <v>8737</v>
      </c>
      <c r="N138" s="17">
        <v>5095</v>
      </c>
      <c r="O138" s="17">
        <v>2368</v>
      </c>
    </row>
    <row r="139" spans="12:15" x14ac:dyDescent="0.2">
      <c r="L139" s="17">
        <v>43369</v>
      </c>
      <c r="M139" s="17" t="s">
        <v>8738</v>
      </c>
      <c r="N139" s="17">
        <v>7799</v>
      </c>
      <c r="O139" s="17">
        <v>9353</v>
      </c>
    </row>
    <row r="140" spans="12:15" x14ac:dyDescent="0.2">
      <c r="L140" s="17">
        <v>43398</v>
      </c>
      <c r="M140" s="17" t="s">
        <v>8739</v>
      </c>
      <c r="N140" s="17">
        <v>8701</v>
      </c>
      <c r="O140" s="17">
        <v>2298</v>
      </c>
    </row>
    <row r="141" spans="12:15" x14ac:dyDescent="0.2">
      <c r="L141" s="17">
        <v>43550</v>
      </c>
      <c r="M141" s="17" t="s">
        <v>8740</v>
      </c>
      <c r="N141" s="17">
        <v>2430</v>
      </c>
      <c r="O141" s="17">
        <v>3424</v>
      </c>
    </row>
    <row r="142" spans="12:15" x14ac:dyDescent="0.2">
      <c r="L142" s="17">
        <v>43751</v>
      </c>
      <c r="M142" s="17" t="s">
        <v>8741</v>
      </c>
      <c r="N142" s="17">
        <v>1489</v>
      </c>
      <c r="O142" s="17">
        <v>3121</v>
      </c>
    </row>
    <row r="143" spans="12:15" x14ac:dyDescent="0.2">
      <c r="L143" s="17">
        <v>43933</v>
      </c>
      <c r="M143" s="17" t="s">
        <v>8742</v>
      </c>
      <c r="N143" s="17">
        <v>5436</v>
      </c>
      <c r="O143" s="17">
        <v>7297</v>
      </c>
    </row>
    <row r="144" spans="12:15" x14ac:dyDescent="0.2">
      <c r="L144" s="17">
        <v>43960</v>
      </c>
      <c r="M144" s="17" t="s">
        <v>8743</v>
      </c>
      <c r="N144" s="17">
        <v>7412</v>
      </c>
      <c r="O144" s="17">
        <v>2893</v>
      </c>
    </row>
    <row r="145" spans="12:15" x14ac:dyDescent="0.2">
      <c r="L145" s="17">
        <v>44165</v>
      </c>
      <c r="M145" s="17" t="s">
        <v>8744</v>
      </c>
      <c r="N145" s="17">
        <v>1963</v>
      </c>
      <c r="O145" s="17">
        <v>3641</v>
      </c>
    </row>
    <row r="146" spans="12:15" x14ac:dyDescent="0.2">
      <c r="L146" s="17">
        <v>44193</v>
      </c>
      <c r="M146" s="17" t="s">
        <v>8745</v>
      </c>
      <c r="N146" s="17">
        <v>8701</v>
      </c>
      <c r="O146" s="17">
        <v>5516</v>
      </c>
    </row>
    <row r="147" spans="12:15" x14ac:dyDescent="0.2">
      <c r="L147" s="17">
        <v>44457</v>
      </c>
      <c r="M147" s="17" t="s">
        <v>8746</v>
      </c>
      <c r="N147" s="17">
        <v>7620</v>
      </c>
      <c r="O147" s="17">
        <v>3765</v>
      </c>
    </row>
    <row r="148" spans="12:15" x14ac:dyDescent="0.2">
      <c r="L148" s="17">
        <v>44500</v>
      </c>
      <c r="M148" s="17" t="s">
        <v>8747</v>
      </c>
      <c r="N148" s="17">
        <v>7627</v>
      </c>
      <c r="O148" s="17">
        <v>2078</v>
      </c>
    </row>
    <row r="149" spans="12:15" x14ac:dyDescent="0.2">
      <c r="L149" s="17">
        <v>44557</v>
      </c>
      <c r="M149" s="17" t="s">
        <v>8748</v>
      </c>
      <c r="N149" s="17">
        <v>7754</v>
      </c>
      <c r="O149" s="17">
        <v>6448</v>
      </c>
    </row>
    <row r="150" spans="12:15" x14ac:dyDescent="0.2">
      <c r="L150" s="17">
        <v>44642</v>
      </c>
      <c r="M150" s="17" t="s">
        <v>8749</v>
      </c>
      <c r="N150" s="17">
        <v>7849</v>
      </c>
      <c r="O150" s="17">
        <v>8288</v>
      </c>
    </row>
    <row r="151" spans="12:15" x14ac:dyDescent="0.2">
      <c r="L151" s="17">
        <v>44868</v>
      </c>
      <c r="M151" s="17" t="s">
        <v>8750</v>
      </c>
      <c r="N151" s="17">
        <v>3798</v>
      </c>
      <c r="O151" s="17">
        <v>8972</v>
      </c>
    </row>
    <row r="152" spans="12:15" x14ac:dyDescent="0.2">
      <c r="L152" s="17">
        <v>45016</v>
      </c>
      <c r="M152" s="17" t="s">
        <v>8751</v>
      </c>
      <c r="N152" s="17">
        <v>9334</v>
      </c>
      <c r="O152" s="17">
        <v>9087</v>
      </c>
    </row>
    <row r="153" spans="12:15" x14ac:dyDescent="0.2">
      <c r="L153" s="17">
        <v>45239</v>
      </c>
      <c r="M153" s="17" t="s">
        <v>8752</v>
      </c>
      <c r="N153" s="17">
        <v>3282</v>
      </c>
      <c r="O153" s="17">
        <v>3481</v>
      </c>
    </row>
    <row r="154" spans="12:15" x14ac:dyDescent="0.2">
      <c r="L154" s="17">
        <v>45738</v>
      </c>
      <c r="M154" s="17" t="s">
        <v>8753</v>
      </c>
      <c r="N154" s="17">
        <v>8140</v>
      </c>
      <c r="O154" s="17">
        <v>8781</v>
      </c>
    </row>
    <row r="155" spans="12:15" x14ac:dyDescent="0.2">
      <c r="L155" s="17">
        <v>45855</v>
      </c>
      <c r="M155" s="17" t="s">
        <v>8754</v>
      </c>
      <c r="N155" s="17">
        <v>9815</v>
      </c>
      <c r="O155" s="17">
        <v>2587</v>
      </c>
    </row>
    <row r="156" spans="12:15" x14ac:dyDescent="0.2">
      <c r="L156" s="17">
        <v>46213</v>
      </c>
      <c r="M156" s="17" t="s">
        <v>8755</v>
      </c>
      <c r="N156" s="17">
        <v>3228</v>
      </c>
      <c r="O156" s="17">
        <v>7566</v>
      </c>
    </row>
    <row r="157" spans="12:15" x14ac:dyDescent="0.2">
      <c r="L157" s="17">
        <v>46474</v>
      </c>
      <c r="M157" s="17" t="s">
        <v>8756</v>
      </c>
      <c r="N157" s="17">
        <v>5896</v>
      </c>
      <c r="O157" s="17">
        <v>2448</v>
      </c>
    </row>
    <row r="158" spans="12:15" x14ac:dyDescent="0.2">
      <c r="L158" s="17">
        <v>46989</v>
      </c>
      <c r="M158" s="17" t="s">
        <v>8757</v>
      </c>
      <c r="N158" s="17">
        <v>6826</v>
      </c>
      <c r="O158" s="17">
        <v>6620</v>
      </c>
    </row>
    <row r="159" spans="12:15" x14ac:dyDescent="0.2">
      <c r="L159" s="17">
        <v>47249</v>
      </c>
      <c r="M159" s="17" t="s">
        <v>8758</v>
      </c>
      <c r="N159" s="17">
        <v>1714</v>
      </c>
      <c r="O159" s="17">
        <v>8806</v>
      </c>
    </row>
    <row r="160" spans="12:15" x14ac:dyDescent="0.2">
      <c r="L160" s="17">
        <v>47464</v>
      </c>
      <c r="M160" s="17" t="s">
        <v>8759</v>
      </c>
      <c r="N160" s="17">
        <v>3177</v>
      </c>
      <c r="O160" s="17">
        <v>1614</v>
      </c>
    </row>
    <row r="161" spans="12:15" x14ac:dyDescent="0.2">
      <c r="L161" s="17">
        <v>47614</v>
      </c>
      <c r="M161" s="17" t="s">
        <v>8760</v>
      </c>
      <c r="N161" s="17">
        <v>3921</v>
      </c>
      <c r="O161" s="17">
        <v>9389</v>
      </c>
    </row>
    <row r="162" spans="12:15" x14ac:dyDescent="0.2">
      <c r="L162" s="17">
        <v>48078</v>
      </c>
      <c r="M162" s="17" t="s">
        <v>8761</v>
      </c>
      <c r="N162" s="17">
        <v>4292</v>
      </c>
      <c r="O162" s="17">
        <v>9369</v>
      </c>
    </row>
    <row r="163" spans="12:15" x14ac:dyDescent="0.2">
      <c r="L163" s="17">
        <v>48113</v>
      </c>
      <c r="M163" s="17" t="s">
        <v>8758</v>
      </c>
      <c r="N163" s="17">
        <v>5689</v>
      </c>
      <c r="O163" s="17">
        <v>2228</v>
      </c>
    </row>
    <row r="164" spans="12:15" x14ac:dyDescent="0.2">
      <c r="L164" s="17">
        <v>48127</v>
      </c>
      <c r="M164" s="17" t="s">
        <v>8762</v>
      </c>
      <c r="N164" s="17">
        <v>4760</v>
      </c>
      <c r="O164" s="17">
        <v>2908</v>
      </c>
    </row>
    <row r="165" spans="12:15" x14ac:dyDescent="0.2">
      <c r="L165" s="17">
        <v>48150</v>
      </c>
      <c r="M165" s="17" t="s">
        <v>8763</v>
      </c>
      <c r="N165" s="17">
        <v>5678</v>
      </c>
      <c r="O165" s="17">
        <v>9361</v>
      </c>
    </row>
    <row r="166" spans="12:15" x14ac:dyDescent="0.2">
      <c r="L166" s="17">
        <v>48264</v>
      </c>
      <c r="M166" s="17" t="s">
        <v>8764</v>
      </c>
      <c r="N166" s="17">
        <v>6205</v>
      </c>
      <c r="O166" s="17">
        <v>1120</v>
      </c>
    </row>
    <row r="167" spans="12:15" x14ac:dyDescent="0.2">
      <c r="L167" s="17">
        <v>48433</v>
      </c>
      <c r="M167" s="17" t="s">
        <v>8765</v>
      </c>
      <c r="N167" s="17">
        <v>3881</v>
      </c>
      <c r="O167" s="17">
        <v>1406</v>
      </c>
    </row>
    <row r="168" spans="12:15" x14ac:dyDescent="0.2">
      <c r="L168" s="17">
        <v>48601</v>
      </c>
      <c r="M168" s="17" t="s">
        <v>8766</v>
      </c>
      <c r="N168" s="17">
        <v>6082</v>
      </c>
      <c r="O168" s="17">
        <v>3883</v>
      </c>
    </row>
    <row r="169" spans="12:15" x14ac:dyDescent="0.2">
      <c r="L169" s="17">
        <v>48906</v>
      </c>
      <c r="M169" s="17" t="s">
        <v>8767</v>
      </c>
      <c r="N169" s="17">
        <v>8064</v>
      </c>
      <c r="O169" s="17">
        <v>3859</v>
      </c>
    </row>
    <row r="170" spans="12:15" x14ac:dyDescent="0.2">
      <c r="L170" s="17">
        <v>48921</v>
      </c>
      <c r="M170" s="17" t="s">
        <v>8768</v>
      </c>
      <c r="N170" s="17">
        <v>7502</v>
      </c>
      <c r="O170" s="17">
        <v>9351</v>
      </c>
    </row>
    <row r="171" spans="12:15" x14ac:dyDescent="0.2">
      <c r="L171" s="17">
        <v>48999</v>
      </c>
      <c r="M171" s="17" t="s">
        <v>8769</v>
      </c>
      <c r="N171" s="17">
        <v>1849</v>
      </c>
      <c r="O171" s="17">
        <v>2758</v>
      </c>
    </row>
    <row r="172" spans="12:15" x14ac:dyDescent="0.2">
      <c r="L172" s="17">
        <v>49123</v>
      </c>
      <c r="M172" s="17" t="s">
        <v>8770</v>
      </c>
      <c r="N172" s="17">
        <v>6967</v>
      </c>
      <c r="O172" s="17">
        <v>3358</v>
      </c>
    </row>
    <row r="173" spans="12:15" x14ac:dyDescent="0.2">
      <c r="L173" s="17">
        <v>49413</v>
      </c>
      <c r="M173" s="17" t="s">
        <v>8771</v>
      </c>
      <c r="N173" s="17">
        <v>2169</v>
      </c>
      <c r="O173" s="17">
        <v>9426</v>
      </c>
    </row>
    <row r="174" spans="12:15" x14ac:dyDescent="0.2">
      <c r="L174" s="17">
        <v>49457</v>
      </c>
      <c r="M174" s="17" t="s">
        <v>8772</v>
      </c>
      <c r="N174" s="17">
        <v>4069</v>
      </c>
      <c r="O174" s="17">
        <v>6312</v>
      </c>
    </row>
    <row r="175" spans="12:15" x14ac:dyDescent="0.2">
      <c r="L175" s="17">
        <v>49468</v>
      </c>
      <c r="M175" s="17" t="s">
        <v>8773</v>
      </c>
      <c r="N175" s="17">
        <v>1795</v>
      </c>
      <c r="O175" s="17">
        <v>1712</v>
      </c>
    </row>
    <row r="176" spans="12:15" x14ac:dyDescent="0.2">
      <c r="L176" s="17">
        <v>49484</v>
      </c>
      <c r="M176" s="17" t="s">
        <v>8774</v>
      </c>
      <c r="N176" s="17">
        <v>4791</v>
      </c>
      <c r="O176" s="17">
        <v>5728</v>
      </c>
    </row>
    <row r="177" spans="12:15" x14ac:dyDescent="0.2">
      <c r="L177" s="17">
        <v>49555</v>
      </c>
      <c r="M177" s="17" t="s">
        <v>8775</v>
      </c>
      <c r="N177" s="17">
        <v>5977</v>
      </c>
      <c r="O177" s="17">
        <v>7470</v>
      </c>
    </row>
    <row r="178" spans="12:15" x14ac:dyDescent="0.2">
      <c r="L178" s="17">
        <v>49873</v>
      </c>
      <c r="M178" s="17" t="s">
        <v>8776</v>
      </c>
      <c r="N178" s="17">
        <v>8895</v>
      </c>
      <c r="O178" s="17">
        <v>5134</v>
      </c>
    </row>
    <row r="179" spans="12:15" x14ac:dyDescent="0.2">
      <c r="L179" s="17">
        <v>49886</v>
      </c>
      <c r="M179" s="17" t="s">
        <v>8777</v>
      </c>
      <c r="N179" s="17">
        <v>4300</v>
      </c>
      <c r="O179" s="17">
        <v>2924</v>
      </c>
    </row>
    <row r="180" spans="12:15" x14ac:dyDescent="0.2">
      <c r="L180" s="17">
        <v>50612</v>
      </c>
      <c r="M180" s="17" t="s">
        <v>8778</v>
      </c>
      <c r="N180" s="17">
        <v>5000</v>
      </c>
      <c r="O180" s="17">
        <v>2525</v>
      </c>
    </row>
    <row r="181" spans="12:15" x14ac:dyDescent="0.2">
      <c r="L181" s="17">
        <v>50684</v>
      </c>
      <c r="M181" s="17" t="s">
        <v>8779</v>
      </c>
      <c r="N181" s="17">
        <v>5470</v>
      </c>
      <c r="O181" s="17">
        <v>7769</v>
      </c>
    </row>
    <row r="182" spans="12:15" x14ac:dyDescent="0.2">
      <c r="L182" s="17">
        <v>51129</v>
      </c>
      <c r="M182" s="17" t="s">
        <v>8780</v>
      </c>
      <c r="N182" s="17">
        <v>3758</v>
      </c>
      <c r="O182" s="17">
        <v>7836</v>
      </c>
    </row>
    <row r="183" spans="12:15" x14ac:dyDescent="0.2">
      <c r="L183" s="17">
        <v>51674</v>
      </c>
      <c r="M183" s="17" t="s">
        <v>8781</v>
      </c>
      <c r="N183" s="17">
        <v>2360</v>
      </c>
      <c r="O183" s="17">
        <v>4612</v>
      </c>
    </row>
    <row r="184" spans="12:15" x14ac:dyDescent="0.2">
      <c r="L184" s="17">
        <v>52122</v>
      </c>
      <c r="M184" s="17" t="s">
        <v>8782</v>
      </c>
      <c r="N184" s="17">
        <v>6775</v>
      </c>
      <c r="O184" s="17">
        <v>6227</v>
      </c>
    </row>
    <row r="185" spans="12:15" x14ac:dyDescent="0.2">
      <c r="L185" s="17">
        <v>52172</v>
      </c>
      <c r="M185" s="17" t="s">
        <v>8783</v>
      </c>
      <c r="N185" s="17">
        <v>8810</v>
      </c>
      <c r="O185" s="17">
        <v>5976</v>
      </c>
    </row>
    <row r="186" spans="12:15" x14ac:dyDescent="0.2">
      <c r="L186" s="17">
        <v>52837</v>
      </c>
      <c r="M186" s="17" t="s">
        <v>8669</v>
      </c>
      <c r="N186" s="17">
        <v>6466</v>
      </c>
      <c r="O186" s="17">
        <v>9428</v>
      </c>
    </row>
    <row r="187" spans="12:15" x14ac:dyDescent="0.2">
      <c r="L187" s="17">
        <v>52934</v>
      </c>
      <c r="M187" s="17" t="s">
        <v>8784</v>
      </c>
      <c r="N187" s="17">
        <v>1096</v>
      </c>
      <c r="O187" s="17">
        <v>8401</v>
      </c>
    </row>
    <row r="188" spans="12:15" x14ac:dyDescent="0.2">
      <c r="L188" s="17">
        <v>53082</v>
      </c>
      <c r="M188" s="17" t="s">
        <v>8785</v>
      </c>
      <c r="N188" s="17">
        <v>4212</v>
      </c>
      <c r="O188" s="17">
        <v>5223</v>
      </c>
    </row>
    <row r="189" spans="12:15" x14ac:dyDescent="0.2">
      <c r="L189" s="17">
        <v>53106</v>
      </c>
      <c r="M189" s="17" t="s">
        <v>8786</v>
      </c>
      <c r="N189" s="17">
        <v>4398</v>
      </c>
      <c r="O189" s="17">
        <v>9602</v>
      </c>
    </row>
    <row r="190" spans="12:15" x14ac:dyDescent="0.2">
      <c r="L190" s="17">
        <v>53238</v>
      </c>
      <c r="M190" s="17" t="s">
        <v>8787</v>
      </c>
      <c r="N190" s="17">
        <v>8658</v>
      </c>
      <c r="O190" s="17">
        <v>9341</v>
      </c>
    </row>
    <row r="191" spans="12:15" x14ac:dyDescent="0.2">
      <c r="L191" s="17">
        <v>53401</v>
      </c>
      <c r="M191" s="17" t="s">
        <v>8788</v>
      </c>
      <c r="N191" s="17">
        <v>7295</v>
      </c>
      <c r="O191" s="17">
        <v>8202</v>
      </c>
    </row>
    <row r="192" spans="12:15" x14ac:dyDescent="0.2">
      <c r="L192" s="17">
        <v>53408</v>
      </c>
      <c r="M192" s="17" t="s">
        <v>8789</v>
      </c>
      <c r="N192" s="17">
        <v>7637</v>
      </c>
      <c r="O192" s="17">
        <v>7306</v>
      </c>
    </row>
    <row r="193" spans="12:15" x14ac:dyDescent="0.2">
      <c r="L193" s="17">
        <v>53654</v>
      </c>
      <c r="M193" s="17" t="s">
        <v>8790</v>
      </c>
      <c r="N193" s="17">
        <v>5374</v>
      </c>
      <c r="O193" s="17">
        <v>2309</v>
      </c>
    </row>
    <row r="194" spans="12:15" x14ac:dyDescent="0.2">
      <c r="L194" s="17">
        <v>54258</v>
      </c>
      <c r="M194" s="17" t="s">
        <v>8791</v>
      </c>
      <c r="N194" s="17">
        <v>3819</v>
      </c>
      <c r="O194" s="17">
        <v>6630</v>
      </c>
    </row>
    <row r="195" spans="12:15" x14ac:dyDescent="0.2">
      <c r="L195" s="17">
        <v>54641</v>
      </c>
      <c r="M195" s="17" t="s">
        <v>8689</v>
      </c>
      <c r="N195" s="17">
        <v>2031</v>
      </c>
      <c r="O195" s="17">
        <v>9316</v>
      </c>
    </row>
    <row r="196" spans="12:15" x14ac:dyDescent="0.2">
      <c r="L196" s="17">
        <v>54709</v>
      </c>
      <c r="M196" s="17" t="s">
        <v>8792</v>
      </c>
      <c r="N196" s="17">
        <v>4725</v>
      </c>
      <c r="O196" s="17">
        <v>7941</v>
      </c>
    </row>
    <row r="197" spans="12:15" x14ac:dyDescent="0.2">
      <c r="L197" s="17">
        <v>54861</v>
      </c>
      <c r="M197" s="17" t="s">
        <v>8793</v>
      </c>
      <c r="N197" s="17">
        <v>4397</v>
      </c>
      <c r="O197" s="17">
        <v>2953</v>
      </c>
    </row>
    <row r="198" spans="12:15" x14ac:dyDescent="0.2">
      <c r="L198" s="17">
        <v>54989</v>
      </c>
      <c r="M198" s="17" t="s">
        <v>8794</v>
      </c>
      <c r="N198" s="17">
        <v>3571</v>
      </c>
      <c r="O198" s="17">
        <v>9876</v>
      </c>
    </row>
    <row r="199" spans="12:15" x14ac:dyDescent="0.2">
      <c r="L199" s="17">
        <v>55134</v>
      </c>
      <c r="M199" s="17" t="s">
        <v>8795</v>
      </c>
      <c r="N199" s="17">
        <v>2450</v>
      </c>
      <c r="O199" s="17">
        <v>1256</v>
      </c>
    </row>
    <row r="200" spans="12:15" x14ac:dyDescent="0.2">
      <c r="L200" s="17">
        <v>55450</v>
      </c>
      <c r="M200" s="17" t="s">
        <v>8796</v>
      </c>
      <c r="N200" s="17">
        <v>2235</v>
      </c>
      <c r="O200" s="17">
        <v>8217</v>
      </c>
    </row>
    <row r="201" spans="12:15" x14ac:dyDescent="0.2">
      <c r="L201" s="17">
        <v>55575</v>
      </c>
      <c r="M201" s="17" t="s">
        <v>8797</v>
      </c>
      <c r="N201" s="17">
        <v>6109</v>
      </c>
      <c r="O201" s="17">
        <v>4388</v>
      </c>
    </row>
    <row r="202" spans="12:15" x14ac:dyDescent="0.2">
      <c r="L202" s="17">
        <v>55849</v>
      </c>
      <c r="M202" s="17" t="s">
        <v>8798</v>
      </c>
      <c r="N202" s="17">
        <v>2034</v>
      </c>
      <c r="O202" s="17">
        <v>8608</v>
      </c>
    </row>
    <row r="203" spans="12:15" x14ac:dyDescent="0.2">
      <c r="L203" s="17">
        <v>55856</v>
      </c>
      <c r="M203" s="17" t="s">
        <v>8799</v>
      </c>
      <c r="N203" s="17">
        <v>9486</v>
      </c>
      <c r="O203" s="17">
        <v>6354</v>
      </c>
    </row>
    <row r="204" spans="12:15" x14ac:dyDescent="0.2">
      <c r="L204" s="17">
        <v>56701</v>
      </c>
      <c r="M204" s="17" t="s">
        <v>8800</v>
      </c>
      <c r="N204" s="17">
        <v>1231</v>
      </c>
      <c r="O204" s="17">
        <v>1692</v>
      </c>
    </row>
    <row r="205" spans="12:15" x14ac:dyDescent="0.2">
      <c r="L205" s="17">
        <v>56961</v>
      </c>
      <c r="M205" s="17" t="s">
        <v>8801</v>
      </c>
      <c r="N205" s="17">
        <v>4637</v>
      </c>
      <c r="O205" s="17">
        <v>6678</v>
      </c>
    </row>
    <row r="206" spans="12:15" x14ac:dyDescent="0.2">
      <c r="L206" s="17">
        <v>57025</v>
      </c>
      <c r="M206" s="17" t="s">
        <v>8802</v>
      </c>
      <c r="N206" s="17">
        <v>6875</v>
      </c>
      <c r="O206" s="17">
        <v>6388</v>
      </c>
    </row>
    <row r="207" spans="12:15" x14ac:dyDescent="0.2">
      <c r="L207" s="17">
        <v>57032</v>
      </c>
      <c r="M207" s="17" t="s">
        <v>8803</v>
      </c>
      <c r="N207" s="17">
        <v>9042</v>
      </c>
      <c r="O207" s="17">
        <v>5490</v>
      </c>
    </row>
    <row r="208" spans="12:15" x14ac:dyDescent="0.2">
      <c r="L208" s="17">
        <v>57402</v>
      </c>
      <c r="M208" s="17" t="s">
        <v>8753</v>
      </c>
      <c r="N208" s="17">
        <v>1807</v>
      </c>
      <c r="O208" s="17">
        <v>6439</v>
      </c>
    </row>
    <row r="209" spans="12:15" x14ac:dyDescent="0.2">
      <c r="L209" s="17">
        <v>59325</v>
      </c>
      <c r="M209" s="17" t="s">
        <v>8804</v>
      </c>
      <c r="N209" s="17">
        <v>8059</v>
      </c>
      <c r="O209" s="17">
        <v>1357</v>
      </c>
    </row>
    <row r="210" spans="12:15" x14ac:dyDescent="0.2">
      <c r="L210" s="17">
        <v>59364</v>
      </c>
      <c r="M210" s="17" t="s">
        <v>8805</v>
      </c>
      <c r="N210" s="17">
        <v>3700</v>
      </c>
      <c r="O210" s="17">
        <v>2471</v>
      </c>
    </row>
    <row r="211" spans="12:15" x14ac:dyDescent="0.2">
      <c r="L211" s="17">
        <v>59728</v>
      </c>
      <c r="M211" s="17" t="s">
        <v>8806</v>
      </c>
      <c r="N211" s="17">
        <v>9970</v>
      </c>
      <c r="O211" s="17">
        <v>6333</v>
      </c>
    </row>
    <row r="212" spans="12:15" x14ac:dyDescent="0.2">
      <c r="L212" s="17">
        <v>59751</v>
      </c>
      <c r="M212" s="17" t="s">
        <v>8807</v>
      </c>
      <c r="N212" s="17">
        <v>1599</v>
      </c>
      <c r="O212" s="17">
        <v>6600</v>
      </c>
    </row>
    <row r="213" spans="12:15" x14ac:dyDescent="0.2">
      <c r="L213" s="17">
        <v>59787</v>
      </c>
      <c r="M213" s="17" t="s">
        <v>8808</v>
      </c>
      <c r="N213" s="17">
        <v>4372</v>
      </c>
      <c r="O213" s="17">
        <v>9770</v>
      </c>
    </row>
    <row r="214" spans="12:15" x14ac:dyDescent="0.2">
      <c r="L214" s="17">
        <v>60043</v>
      </c>
      <c r="M214" s="17" t="s">
        <v>8809</v>
      </c>
      <c r="N214" s="17">
        <v>5474</v>
      </c>
      <c r="O214" s="17">
        <v>9429</v>
      </c>
    </row>
    <row r="215" spans="12:15" x14ac:dyDescent="0.2">
      <c r="L215" s="17">
        <v>60552</v>
      </c>
      <c r="M215" s="17" t="s">
        <v>8810</v>
      </c>
      <c r="N215" s="17">
        <v>2646</v>
      </c>
      <c r="O215" s="17">
        <v>8500</v>
      </c>
    </row>
    <row r="216" spans="12:15" x14ac:dyDescent="0.2">
      <c r="L216" s="17">
        <v>60622</v>
      </c>
      <c r="M216" s="17" t="s">
        <v>8811</v>
      </c>
      <c r="N216" s="17">
        <v>3811</v>
      </c>
      <c r="O216" s="17">
        <v>8225</v>
      </c>
    </row>
    <row r="217" spans="12:15" x14ac:dyDescent="0.2">
      <c r="L217" s="17">
        <v>60839</v>
      </c>
      <c r="M217" s="17" t="s">
        <v>8812</v>
      </c>
      <c r="N217" s="17">
        <v>4129</v>
      </c>
      <c r="O217" s="17">
        <v>5807</v>
      </c>
    </row>
    <row r="218" spans="12:15" x14ac:dyDescent="0.2">
      <c r="L218" s="17">
        <v>61031</v>
      </c>
      <c r="M218" s="17" t="s">
        <v>8813</v>
      </c>
      <c r="N218" s="17">
        <v>3841</v>
      </c>
      <c r="O218" s="17">
        <v>2201</v>
      </c>
    </row>
    <row r="219" spans="12:15" x14ac:dyDescent="0.2">
      <c r="L219" s="17">
        <v>61276</v>
      </c>
      <c r="M219" s="17" t="s">
        <v>8814</v>
      </c>
      <c r="N219" s="17">
        <v>5306</v>
      </c>
      <c r="O219" s="17">
        <v>6300</v>
      </c>
    </row>
    <row r="220" spans="12:15" x14ac:dyDescent="0.2">
      <c r="L220" s="17">
        <v>61552</v>
      </c>
      <c r="M220" s="17" t="s">
        <v>8815</v>
      </c>
      <c r="N220" s="17">
        <v>1650</v>
      </c>
      <c r="O220" s="17">
        <v>7601</v>
      </c>
    </row>
    <row r="221" spans="12:15" x14ac:dyDescent="0.2">
      <c r="L221" s="17">
        <v>62262</v>
      </c>
      <c r="M221" s="17" t="s">
        <v>8816</v>
      </c>
      <c r="N221" s="17">
        <v>8403</v>
      </c>
      <c r="O221" s="17">
        <v>2416</v>
      </c>
    </row>
    <row r="222" spans="12:15" x14ac:dyDescent="0.2">
      <c r="L222" s="17">
        <v>62727</v>
      </c>
      <c r="M222" s="17" t="s">
        <v>8817</v>
      </c>
      <c r="N222" s="17">
        <v>3665</v>
      </c>
      <c r="O222" s="17">
        <v>2615</v>
      </c>
    </row>
    <row r="223" spans="12:15" x14ac:dyDescent="0.2">
      <c r="L223" s="17">
        <v>63032</v>
      </c>
      <c r="M223" s="17" t="s">
        <v>8818</v>
      </c>
      <c r="N223" s="17">
        <v>3668</v>
      </c>
      <c r="O223" s="17">
        <v>3818</v>
      </c>
    </row>
    <row r="224" spans="12:15" x14ac:dyDescent="0.2">
      <c r="L224" s="17">
        <v>63212</v>
      </c>
      <c r="M224" s="17" t="s">
        <v>8819</v>
      </c>
      <c r="N224" s="17">
        <v>3405</v>
      </c>
      <c r="O224" s="17">
        <v>4174</v>
      </c>
    </row>
    <row r="225" spans="12:15" x14ac:dyDescent="0.2">
      <c r="L225" s="17">
        <v>63217</v>
      </c>
      <c r="M225" s="17" t="s">
        <v>8820</v>
      </c>
      <c r="N225" s="17">
        <v>2568</v>
      </c>
      <c r="O225" s="17">
        <v>4157</v>
      </c>
    </row>
    <row r="226" spans="12:15" x14ac:dyDescent="0.2">
      <c r="L226" s="17">
        <v>63230</v>
      </c>
      <c r="M226" s="17" t="s">
        <v>8821</v>
      </c>
      <c r="N226" s="17">
        <v>2179</v>
      </c>
      <c r="O226" s="17">
        <v>6704</v>
      </c>
    </row>
    <row r="227" spans="12:15" x14ac:dyDescent="0.2">
      <c r="L227" s="17">
        <v>63234</v>
      </c>
      <c r="M227" s="17" t="s">
        <v>8822</v>
      </c>
      <c r="N227" s="17">
        <v>3987</v>
      </c>
      <c r="O227" s="17">
        <v>8788</v>
      </c>
    </row>
    <row r="228" spans="12:15" x14ac:dyDescent="0.2">
      <c r="L228" s="17">
        <v>63258</v>
      </c>
      <c r="M228" s="17" t="s">
        <v>8823</v>
      </c>
      <c r="N228" s="17">
        <v>5979</v>
      </c>
      <c r="O228" s="17">
        <v>2130</v>
      </c>
    </row>
    <row r="229" spans="12:15" x14ac:dyDescent="0.2">
      <c r="L229" s="17">
        <v>63480</v>
      </c>
      <c r="M229" s="17" t="s">
        <v>8824</v>
      </c>
      <c r="N229" s="17">
        <v>8818</v>
      </c>
      <c r="O229" s="17">
        <v>4608</v>
      </c>
    </row>
    <row r="230" spans="12:15" x14ac:dyDescent="0.2">
      <c r="L230" s="17">
        <v>63764</v>
      </c>
      <c r="M230" s="17" t="s">
        <v>8825</v>
      </c>
      <c r="N230" s="17">
        <v>3669</v>
      </c>
      <c r="O230" s="17">
        <v>7579</v>
      </c>
    </row>
    <row r="231" spans="12:15" x14ac:dyDescent="0.2">
      <c r="L231" s="17">
        <v>64322</v>
      </c>
      <c r="M231" s="17" t="s">
        <v>8826</v>
      </c>
      <c r="N231" s="17">
        <v>6724</v>
      </c>
      <c r="O231" s="17">
        <v>5783</v>
      </c>
    </row>
    <row r="232" spans="12:15" x14ac:dyDescent="0.2">
      <c r="L232" s="17">
        <v>64568</v>
      </c>
      <c r="M232" s="17" t="s">
        <v>8827</v>
      </c>
      <c r="N232" s="17">
        <v>2888</v>
      </c>
      <c r="O232" s="17">
        <v>8375</v>
      </c>
    </row>
    <row r="233" spans="12:15" x14ac:dyDescent="0.2">
      <c r="L233" s="17">
        <v>65035</v>
      </c>
      <c r="M233" s="17" t="s">
        <v>8828</v>
      </c>
      <c r="N233" s="17">
        <v>1958</v>
      </c>
      <c r="O233" s="17">
        <v>2213</v>
      </c>
    </row>
    <row r="234" spans="12:15" x14ac:dyDescent="0.2">
      <c r="L234" s="17">
        <v>65084</v>
      </c>
      <c r="M234" s="17" t="s">
        <v>8829</v>
      </c>
      <c r="N234" s="17">
        <v>7370</v>
      </c>
      <c r="O234" s="17">
        <v>2634</v>
      </c>
    </row>
    <row r="235" spans="12:15" x14ac:dyDescent="0.2">
      <c r="L235" s="17">
        <v>65460</v>
      </c>
      <c r="M235" s="17" t="s">
        <v>8830</v>
      </c>
      <c r="N235" s="17">
        <v>1333</v>
      </c>
      <c r="O235" s="17">
        <v>1644</v>
      </c>
    </row>
    <row r="236" spans="12:15" x14ac:dyDescent="0.2">
      <c r="L236" s="17">
        <v>65833</v>
      </c>
      <c r="M236" s="17" t="s">
        <v>8831</v>
      </c>
      <c r="N236" s="17">
        <v>4375</v>
      </c>
      <c r="O236" s="17">
        <v>9177</v>
      </c>
    </row>
    <row r="237" spans="12:15" x14ac:dyDescent="0.2">
      <c r="L237" s="17">
        <v>66420</v>
      </c>
      <c r="M237" s="17" t="s">
        <v>8832</v>
      </c>
      <c r="N237" s="17">
        <v>5871</v>
      </c>
      <c r="O237" s="17">
        <v>1894</v>
      </c>
    </row>
    <row r="238" spans="12:15" x14ac:dyDescent="0.2">
      <c r="L238" s="17">
        <v>67398</v>
      </c>
      <c r="M238" s="17" t="s">
        <v>8833</v>
      </c>
      <c r="N238" s="17">
        <v>8169</v>
      </c>
      <c r="O238" s="17">
        <v>9434</v>
      </c>
    </row>
    <row r="239" spans="12:15" x14ac:dyDescent="0.2">
      <c r="L239" s="17">
        <v>68216</v>
      </c>
      <c r="M239" s="17" t="s">
        <v>8834</v>
      </c>
      <c r="N239" s="17">
        <v>7943</v>
      </c>
      <c r="O239" s="17">
        <v>1741</v>
      </c>
    </row>
    <row r="240" spans="12:15" x14ac:dyDescent="0.2">
      <c r="L240" s="17">
        <v>68425</v>
      </c>
      <c r="M240" s="17" t="s">
        <v>8835</v>
      </c>
      <c r="N240" s="17">
        <v>8687</v>
      </c>
      <c r="O240" s="17">
        <v>1010</v>
      </c>
    </row>
    <row r="241" spans="12:15" x14ac:dyDescent="0.2">
      <c r="L241" s="17">
        <v>68514</v>
      </c>
      <c r="M241" s="17" t="s">
        <v>8836</v>
      </c>
      <c r="N241" s="17">
        <v>9255</v>
      </c>
      <c r="O241" s="17">
        <v>7834</v>
      </c>
    </row>
    <row r="242" spans="12:15" x14ac:dyDescent="0.2">
      <c r="L242" s="17">
        <v>68530</v>
      </c>
      <c r="M242" s="17" t="s">
        <v>8837</v>
      </c>
      <c r="N242" s="17">
        <v>3055</v>
      </c>
      <c r="O242" s="17">
        <v>7222</v>
      </c>
    </row>
    <row r="243" spans="12:15" x14ac:dyDescent="0.2">
      <c r="L243" s="17">
        <v>68671</v>
      </c>
      <c r="M243" s="17" t="s">
        <v>8838</v>
      </c>
      <c r="N243" s="17">
        <v>7981</v>
      </c>
      <c r="O243" s="17">
        <v>9194</v>
      </c>
    </row>
    <row r="244" spans="12:15" x14ac:dyDescent="0.2">
      <c r="L244" s="17">
        <v>69116</v>
      </c>
      <c r="M244" s="17" t="s">
        <v>8839</v>
      </c>
      <c r="N244" s="17">
        <v>3993</v>
      </c>
      <c r="O244" s="17">
        <v>2361</v>
      </c>
    </row>
    <row r="245" spans="12:15" x14ac:dyDescent="0.2">
      <c r="L245" s="17">
        <v>69187</v>
      </c>
      <c r="M245" s="17" t="s">
        <v>8840</v>
      </c>
      <c r="N245" s="17">
        <v>1864</v>
      </c>
      <c r="O245" s="17">
        <v>3122</v>
      </c>
    </row>
    <row r="246" spans="12:15" x14ac:dyDescent="0.2">
      <c r="L246" s="17">
        <v>69430</v>
      </c>
      <c r="M246" s="17" t="s">
        <v>8841</v>
      </c>
      <c r="N246" s="17">
        <v>1491</v>
      </c>
      <c r="O246" s="17">
        <v>7855</v>
      </c>
    </row>
    <row r="247" spans="12:15" x14ac:dyDescent="0.2">
      <c r="L247" s="17">
        <v>69739</v>
      </c>
      <c r="M247" s="17" t="s">
        <v>8735</v>
      </c>
      <c r="N247" s="17">
        <v>3475</v>
      </c>
      <c r="O247" s="17">
        <v>4693</v>
      </c>
    </row>
    <row r="248" spans="12:15" x14ac:dyDescent="0.2">
      <c r="L248" s="17">
        <v>69757</v>
      </c>
      <c r="M248" s="17" t="s">
        <v>8842</v>
      </c>
      <c r="N248" s="17">
        <v>5847</v>
      </c>
      <c r="O248" s="17">
        <v>5817</v>
      </c>
    </row>
    <row r="249" spans="12:15" x14ac:dyDescent="0.2">
      <c r="L249" s="17">
        <v>69872</v>
      </c>
      <c r="M249" s="17" t="s">
        <v>8843</v>
      </c>
      <c r="N249" s="17">
        <v>5116</v>
      </c>
      <c r="O249" s="17">
        <v>7413</v>
      </c>
    </row>
    <row r="250" spans="12:15" x14ac:dyDescent="0.2">
      <c r="L250" s="17">
        <v>69914</v>
      </c>
      <c r="M250" s="17" t="s">
        <v>8844</v>
      </c>
      <c r="N250" s="17">
        <v>8985</v>
      </c>
      <c r="O250" s="17">
        <v>4521</v>
      </c>
    </row>
    <row r="251" spans="12:15" x14ac:dyDescent="0.2">
      <c r="L251" s="17">
        <v>69977</v>
      </c>
      <c r="M251" s="17" t="s">
        <v>8845</v>
      </c>
      <c r="N251" s="17">
        <v>8097</v>
      </c>
      <c r="O251" s="17">
        <v>5541</v>
      </c>
    </row>
    <row r="252" spans="12:15" x14ac:dyDescent="0.2">
      <c r="L252" s="17">
        <v>70204</v>
      </c>
      <c r="M252" s="17" t="s">
        <v>8846</v>
      </c>
      <c r="N252" s="17">
        <v>6322</v>
      </c>
      <c r="O252" s="17">
        <v>6598</v>
      </c>
    </row>
    <row r="253" spans="12:15" x14ac:dyDescent="0.2">
      <c r="L253" s="17">
        <v>70325</v>
      </c>
      <c r="M253" s="17" t="s">
        <v>8847</v>
      </c>
      <c r="N253" s="17">
        <v>3205</v>
      </c>
      <c r="O253" s="17">
        <v>8945</v>
      </c>
    </row>
    <row r="254" spans="12:15" x14ac:dyDescent="0.2">
      <c r="L254" s="17">
        <v>71206</v>
      </c>
      <c r="M254" s="17" t="s">
        <v>8848</v>
      </c>
      <c r="N254" s="17">
        <v>4878</v>
      </c>
      <c r="O254" s="17">
        <v>2710</v>
      </c>
    </row>
    <row r="255" spans="12:15" x14ac:dyDescent="0.2">
      <c r="L255" s="17">
        <v>71321</v>
      </c>
      <c r="M255" s="17" t="s">
        <v>8849</v>
      </c>
      <c r="N255" s="17">
        <v>5106</v>
      </c>
      <c r="O255" s="17">
        <v>2965</v>
      </c>
    </row>
    <row r="256" spans="12:15" x14ac:dyDescent="0.2">
      <c r="L256" s="17">
        <v>71469</v>
      </c>
      <c r="M256" s="17" t="s">
        <v>8850</v>
      </c>
      <c r="N256" s="17">
        <v>7505</v>
      </c>
      <c r="O256" s="17">
        <v>4553</v>
      </c>
    </row>
    <row r="257" spans="12:15" x14ac:dyDescent="0.2">
      <c r="L257" s="17">
        <v>71539</v>
      </c>
      <c r="M257" s="17" t="s">
        <v>8851</v>
      </c>
      <c r="N257" s="17">
        <v>3690</v>
      </c>
      <c r="O257" s="17">
        <v>5349</v>
      </c>
    </row>
    <row r="258" spans="12:15" x14ac:dyDescent="0.2">
      <c r="L258" s="17">
        <v>72079</v>
      </c>
      <c r="M258" s="17" t="s">
        <v>8852</v>
      </c>
      <c r="N258" s="17">
        <v>6715</v>
      </c>
      <c r="O258" s="17">
        <v>8303</v>
      </c>
    </row>
    <row r="259" spans="12:15" x14ac:dyDescent="0.2">
      <c r="L259" s="17">
        <v>72344</v>
      </c>
      <c r="M259" s="17" t="s">
        <v>8853</v>
      </c>
      <c r="N259" s="17">
        <v>7321</v>
      </c>
      <c r="O259" s="17">
        <v>7297</v>
      </c>
    </row>
    <row r="260" spans="12:15" x14ac:dyDescent="0.2">
      <c r="L260" s="17">
        <v>72791</v>
      </c>
      <c r="M260" s="17" t="s">
        <v>8854</v>
      </c>
      <c r="N260" s="17">
        <v>2768</v>
      </c>
      <c r="O260" s="17">
        <v>7621</v>
      </c>
    </row>
    <row r="261" spans="12:15" x14ac:dyDescent="0.2">
      <c r="L261" s="17">
        <v>73378</v>
      </c>
      <c r="M261" s="17" t="s">
        <v>8855</v>
      </c>
      <c r="N261" s="17">
        <v>6328</v>
      </c>
      <c r="O261" s="17">
        <v>9474</v>
      </c>
    </row>
    <row r="262" spans="12:15" x14ac:dyDescent="0.2">
      <c r="L262" s="17">
        <v>73494</v>
      </c>
      <c r="M262" s="17" t="s">
        <v>8856</v>
      </c>
      <c r="N262" s="17">
        <v>8776</v>
      </c>
      <c r="O262" s="17">
        <v>3325</v>
      </c>
    </row>
    <row r="263" spans="12:15" x14ac:dyDescent="0.2">
      <c r="L263" s="17">
        <v>73694</v>
      </c>
      <c r="M263" s="17" t="s">
        <v>8857</v>
      </c>
      <c r="N263" s="17">
        <v>3695</v>
      </c>
      <c r="O263" s="17">
        <v>3288</v>
      </c>
    </row>
    <row r="264" spans="12:15" x14ac:dyDescent="0.2">
      <c r="L264" s="17">
        <v>74147</v>
      </c>
      <c r="M264" s="17" t="s">
        <v>8858</v>
      </c>
      <c r="N264" s="17">
        <v>5665</v>
      </c>
      <c r="O264" s="17">
        <v>9319</v>
      </c>
    </row>
    <row r="265" spans="12:15" x14ac:dyDescent="0.2">
      <c r="L265" s="17">
        <v>74205</v>
      </c>
      <c r="M265" s="17" t="s">
        <v>8859</v>
      </c>
      <c r="N265" s="17">
        <v>9721</v>
      </c>
      <c r="O265" s="17">
        <v>9302</v>
      </c>
    </row>
    <row r="266" spans="12:15" x14ac:dyDescent="0.2">
      <c r="L266" s="17">
        <v>74665</v>
      </c>
      <c r="M266" s="17" t="s">
        <v>8860</v>
      </c>
      <c r="N266" s="17">
        <v>6756</v>
      </c>
      <c r="O266" s="17">
        <v>9001</v>
      </c>
    </row>
    <row r="267" spans="12:15" x14ac:dyDescent="0.2">
      <c r="L267" s="17">
        <v>75465</v>
      </c>
      <c r="M267" s="17" t="s">
        <v>8861</v>
      </c>
      <c r="N267" s="17">
        <v>2699</v>
      </c>
      <c r="O267" s="17">
        <v>8830</v>
      </c>
    </row>
    <row r="268" spans="12:15" x14ac:dyDescent="0.2">
      <c r="L268" s="17">
        <v>75589</v>
      </c>
      <c r="M268" s="17" t="s">
        <v>8862</v>
      </c>
      <c r="N268" s="17">
        <v>9269</v>
      </c>
      <c r="O268" s="17">
        <v>4541</v>
      </c>
    </row>
    <row r="269" spans="12:15" x14ac:dyDescent="0.2">
      <c r="L269" s="17">
        <v>76268</v>
      </c>
      <c r="M269" s="17" t="s">
        <v>8863</v>
      </c>
      <c r="N269" s="17">
        <v>2003</v>
      </c>
      <c r="O269" s="17">
        <v>9543</v>
      </c>
    </row>
    <row r="270" spans="12:15" x14ac:dyDescent="0.2">
      <c r="L270" s="17">
        <v>76491</v>
      </c>
      <c r="M270" s="17" t="s">
        <v>8864</v>
      </c>
      <c r="N270" s="17">
        <v>6390</v>
      </c>
      <c r="O270" s="17">
        <v>7222</v>
      </c>
    </row>
    <row r="271" spans="12:15" x14ac:dyDescent="0.2">
      <c r="L271" s="17">
        <v>76493</v>
      </c>
      <c r="M271" s="17" t="s">
        <v>8865</v>
      </c>
      <c r="N271" s="17">
        <v>4643</v>
      </c>
      <c r="O271" s="17">
        <v>6643</v>
      </c>
    </row>
    <row r="272" spans="12:15" x14ac:dyDescent="0.2">
      <c r="L272" s="17">
        <v>76498</v>
      </c>
      <c r="M272" s="17" t="s">
        <v>8866</v>
      </c>
      <c r="N272" s="17">
        <v>9241</v>
      </c>
      <c r="O272" s="17">
        <v>1535</v>
      </c>
    </row>
    <row r="273" spans="12:15" x14ac:dyDescent="0.2">
      <c r="L273" s="17">
        <v>77111</v>
      </c>
      <c r="M273" s="17" t="s">
        <v>8867</v>
      </c>
      <c r="N273" s="17">
        <v>3640</v>
      </c>
      <c r="O273" s="17">
        <v>7999</v>
      </c>
    </row>
    <row r="274" spans="12:15" x14ac:dyDescent="0.2">
      <c r="L274" s="17">
        <v>77246</v>
      </c>
      <c r="M274" s="17" t="s">
        <v>8868</v>
      </c>
      <c r="N274" s="17">
        <v>9005</v>
      </c>
      <c r="O274" s="17">
        <v>6468</v>
      </c>
    </row>
    <row r="275" spans="12:15" x14ac:dyDescent="0.2">
      <c r="L275" s="17">
        <v>77308</v>
      </c>
      <c r="M275" s="17" t="s">
        <v>8869</v>
      </c>
      <c r="N275" s="17">
        <v>6978</v>
      </c>
      <c r="O275" s="17">
        <v>2132</v>
      </c>
    </row>
    <row r="276" spans="12:15" x14ac:dyDescent="0.2">
      <c r="L276" s="17">
        <v>77579</v>
      </c>
      <c r="M276" s="17" t="s">
        <v>8754</v>
      </c>
      <c r="N276" s="17">
        <v>9870</v>
      </c>
      <c r="O276" s="17">
        <v>5794</v>
      </c>
    </row>
    <row r="277" spans="12:15" x14ac:dyDescent="0.2">
      <c r="L277" s="17">
        <v>78475</v>
      </c>
      <c r="M277" s="17" t="s">
        <v>8870</v>
      </c>
      <c r="N277" s="17">
        <v>8289</v>
      </c>
      <c r="O277" s="17">
        <v>8248</v>
      </c>
    </row>
    <row r="278" spans="12:15" x14ac:dyDescent="0.2">
      <c r="L278" s="17">
        <v>79902</v>
      </c>
      <c r="M278" s="17" t="s">
        <v>8871</v>
      </c>
      <c r="N278" s="17">
        <v>1923</v>
      </c>
      <c r="O278" s="17">
        <v>2998</v>
      </c>
    </row>
    <row r="279" spans="12:15" x14ac:dyDescent="0.2">
      <c r="L279" s="17">
        <v>80030</v>
      </c>
      <c r="M279" s="17" t="s">
        <v>8872</v>
      </c>
      <c r="N279" s="17">
        <v>9937</v>
      </c>
      <c r="O279" s="17">
        <v>2106</v>
      </c>
    </row>
    <row r="280" spans="12:15" x14ac:dyDescent="0.2">
      <c r="L280" s="17">
        <v>80780</v>
      </c>
      <c r="M280" s="17" t="s">
        <v>8873</v>
      </c>
      <c r="N280" s="17">
        <v>8939</v>
      </c>
      <c r="O280" s="17">
        <v>8317</v>
      </c>
    </row>
    <row r="281" spans="12:15" x14ac:dyDescent="0.2">
      <c r="L281" s="17">
        <v>85964</v>
      </c>
      <c r="M281" s="17" t="s">
        <v>8874</v>
      </c>
      <c r="N281" s="17">
        <v>3818</v>
      </c>
      <c r="O281" s="17">
        <v>9060</v>
      </c>
    </row>
    <row r="282" spans="12:15" x14ac:dyDescent="0.2">
      <c r="L282" s="17">
        <v>86099</v>
      </c>
      <c r="M282" s="17" t="s">
        <v>8875</v>
      </c>
      <c r="N282" s="17">
        <v>9525</v>
      </c>
      <c r="O282" s="17">
        <v>3368</v>
      </c>
    </row>
    <row r="283" spans="12:15" x14ac:dyDescent="0.2">
      <c r="L283" s="17">
        <v>86137</v>
      </c>
      <c r="M283" s="17" t="s">
        <v>8876</v>
      </c>
      <c r="N283" s="17">
        <v>9081</v>
      </c>
      <c r="O283" s="17">
        <v>4839</v>
      </c>
    </row>
    <row r="284" spans="12:15" x14ac:dyDescent="0.2">
      <c r="L284" s="17">
        <v>86262</v>
      </c>
      <c r="M284" s="17" t="s">
        <v>8877</v>
      </c>
      <c r="N284" s="17">
        <v>7783</v>
      </c>
      <c r="O284" s="17">
        <v>1251</v>
      </c>
    </row>
    <row r="285" spans="12:15" x14ac:dyDescent="0.2">
      <c r="L285" s="17">
        <v>86628</v>
      </c>
      <c r="M285" s="17" t="s">
        <v>8878</v>
      </c>
      <c r="N285" s="17">
        <v>3986</v>
      </c>
      <c r="O285" s="17">
        <v>6344</v>
      </c>
    </row>
    <row r="286" spans="12:15" x14ac:dyDescent="0.2">
      <c r="L286" s="17">
        <v>87020</v>
      </c>
      <c r="M286" s="17" t="s">
        <v>8879</v>
      </c>
      <c r="N286" s="17">
        <v>3070</v>
      </c>
      <c r="O286" s="17">
        <v>5175</v>
      </c>
    </row>
    <row r="287" spans="12:15" x14ac:dyDescent="0.2">
      <c r="L287" s="17">
        <v>87663</v>
      </c>
      <c r="M287" s="17" t="s">
        <v>8880</v>
      </c>
      <c r="N287" s="17">
        <v>2791</v>
      </c>
      <c r="O287" s="17">
        <v>3135</v>
      </c>
    </row>
    <row r="288" spans="12:15" x14ac:dyDescent="0.2">
      <c r="L288" s="17">
        <v>87672</v>
      </c>
      <c r="M288" s="17" t="s">
        <v>8881</v>
      </c>
      <c r="N288" s="17">
        <v>5034</v>
      </c>
      <c r="O288" s="17">
        <v>1808</v>
      </c>
    </row>
    <row r="289" spans="12:15" x14ac:dyDescent="0.2">
      <c r="L289" s="17">
        <v>87779</v>
      </c>
      <c r="M289" s="17" t="s">
        <v>8882</v>
      </c>
      <c r="N289" s="17">
        <v>4886</v>
      </c>
      <c r="O289" s="17">
        <v>1062</v>
      </c>
    </row>
    <row r="290" spans="12:15" x14ac:dyDescent="0.2">
      <c r="L290" s="17">
        <v>88449</v>
      </c>
      <c r="M290" s="17" t="s">
        <v>8883</v>
      </c>
      <c r="N290" s="17">
        <v>5085</v>
      </c>
      <c r="O290" s="17">
        <v>9224</v>
      </c>
    </row>
    <row r="291" spans="12:15" x14ac:dyDescent="0.2">
      <c r="L291" s="17">
        <v>89250</v>
      </c>
      <c r="M291" s="17" t="s">
        <v>8884</v>
      </c>
      <c r="N291" s="17">
        <v>7817</v>
      </c>
      <c r="O291" s="17">
        <v>6064</v>
      </c>
    </row>
    <row r="292" spans="12:15" x14ac:dyDescent="0.2">
      <c r="L292" s="17">
        <v>89291</v>
      </c>
      <c r="M292" s="17" t="s">
        <v>8885</v>
      </c>
      <c r="N292" s="17">
        <v>4105</v>
      </c>
      <c r="O292" s="17">
        <v>5895</v>
      </c>
    </row>
    <row r="293" spans="12:15" x14ac:dyDescent="0.2">
      <c r="L293" s="17">
        <v>89499</v>
      </c>
      <c r="M293" s="17" t="s">
        <v>8886</v>
      </c>
      <c r="N293" s="17">
        <v>2501</v>
      </c>
      <c r="O293" s="17">
        <v>8634</v>
      </c>
    </row>
    <row r="294" spans="12:15" x14ac:dyDescent="0.2">
      <c r="L294" s="17">
        <v>89515</v>
      </c>
      <c r="M294" s="17" t="s">
        <v>8887</v>
      </c>
      <c r="N294" s="17">
        <v>7222</v>
      </c>
      <c r="O294" s="17">
        <v>2437</v>
      </c>
    </row>
    <row r="295" spans="12:15" x14ac:dyDescent="0.2">
      <c r="L295" s="17">
        <v>89787</v>
      </c>
      <c r="M295" s="17" t="s">
        <v>8888</v>
      </c>
      <c r="N295" s="17">
        <v>9595</v>
      </c>
      <c r="O295" s="17">
        <v>5932</v>
      </c>
    </row>
    <row r="296" spans="12:15" x14ac:dyDescent="0.2">
      <c r="L296" s="17">
        <v>89907</v>
      </c>
      <c r="M296" s="17" t="s">
        <v>8889</v>
      </c>
      <c r="N296" s="17">
        <v>4047</v>
      </c>
      <c r="O296" s="17">
        <v>7827</v>
      </c>
    </row>
    <row r="297" spans="12:15" x14ac:dyDescent="0.2">
      <c r="L297" s="17">
        <v>91873</v>
      </c>
      <c r="M297" s="17" t="s">
        <v>8890</v>
      </c>
      <c r="N297" s="17">
        <v>5589</v>
      </c>
      <c r="O297" s="17">
        <v>3849</v>
      </c>
    </row>
    <row r="298" spans="12:15" x14ac:dyDescent="0.2">
      <c r="L298" s="17">
        <v>91948</v>
      </c>
      <c r="M298" s="17" t="s">
        <v>8710</v>
      </c>
      <c r="N298" s="17">
        <v>5695</v>
      </c>
      <c r="O298" s="17">
        <v>1142</v>
      </c>
    </row>
    <row r="299" spans="12:15" x14ac:dyDescent="0.2">
      <c r="L299" s="17">
        <v>92037</v>
      </c>
      <c r="M299" s="17" t="s">
        <v>8891</v>
      </c>
      <c r="N299" s="17">
        <v>6818</v>
      </c>
      <c r="O299" s="17">
        <v>1771</v>
      </c>
    </row>
    <row r="300" spans="12:15" x14ac:dyDescent="0.2">
      <c r="L300" s="17">
        <v>92094</v>
      </c>
      <c r="M300" s="17" t="s">
        <v>8892</v>
      </c>
      <c r="N300" s="17">
        <v>6985</v>
      </c>
      <c r="O300" s="17">
        <v>2671</v>
      </c>
    </row>
    <row r="301" spans="12:15" x14ac:dyDescent="0.2">
      <c r="L301" s="17">
        <v>92227</v>
      </c>
      <c r="M301" s="17" t="s">
        <v>8893</v>
      </c>
      <c r="N301" s="17">
        <v>1428</v>
      </c>
      <c r="O301" s="17">
        <v>4677</v>
      </c>
    </row>
    <row r="302" spans="12:15" x14ac:dyDescent="0.2">
      <c r="L302" s="17">
        <v>92647</v>
      </c>
      <c r="M302" s="17" t="s">
        <v>8894</v>
      </c>
      <c r="N302" s="17">
        <v>1073</v>
      </c>
      <c r="O302" s="17">
        <v>7383</v>
      </c>
    </row>
    <row r="303" spans="12:15" x14ac:dyDescent="0.2">
      <c r="L303" s="17">
        <v>93248</v>
      </c>
      <c r="M303" s="17" t="s">
        <v>8895</v>
      </c>
      <c r="N303" s="17">
        <v>5598</v>
      </c>
      <c r="O303" s="17">
        <v>3043</v>
      </c>
    </row>
    <row r="304" spans="12:15" x14ac:dyDescent="0.2">
      <c r="L304" s="17">
        <v>93291</v>
      </c>
      <c r="M304" s="17" t="s">
        <v>8896</v>
      </c>
      <c r="N304" s="17">
        <v>8600</v>
      </c>
      <c r="O304" s="17">
        <v>2780</v>
      </c>
    </row>
    <row r="305" spans="12:15" x14ac:dyDescent="0.2">
      <c r="L305" s="17">
        <v>95096</v>
      </c>
      <c r="M305" s="17" t="s">
        <v>8897</v>
      </c>
      <c r="N305" s="17">
        <v>6299</v>
      </c>
      <c r="O305" s="17">
        <v>6551</v>
      </c>
    </row>
    <row r="306" spans="12:15" x14ac:dyDescent="0.2">
      <c r="L306" s="17">
        <v>96910</v>
      </c>
      <c r="M306" s="17" t="s">
        <v>8898</v>
      </c>
      <c r="N306" s="17">
        <v>4973</v>
      </c>
      <c r="O306" s="17">
        <v>1462</v>
      </c>
    </row>
    <row r="307" spans="12:15" x14ac:dyDescent="0.2">
      <c r="L307" s="17">
        <v>97765</v>
      </c>
      <c r="M307" s="17" t="s">
        <v>8899</v>
      </c>
      <c r="N307" s="17">
        <v>3764</v>
      </c>
      <c r="O307" s="17">
        <v>4941</v>
      </c>
    </row>
    <row r="308" spans="12:15" x14ac:dyDescent="0.2">
      <c r="L308" s="17">
        <v>98181</v>
      </c>
      <c r="M308" s="17" t="s">
        <v>8900</v>
      </c>
      <c r="N308" s="17">
        <v>9515</v>
      </c>
      <c r="O308" s="17">
        <v>5492</v>
      </c>
    </row>
    <row r="309" spans="12:15" x14ac:dyDescent="0.2">
      <c r="L309" s="17">
        <v>98314</v>
      </c>
      <c r="M309" s="17" t="s">
        <v>8901</v>
      </c>
      <c r="N309" s="17">
        <v>1707</v>
      </c>
      <c r="O309" s="17">
        <v>7115</v>
      </c>
    </row>
    <row r="310" spans="12:15" x14ac:dyDescent="0.2">
      <c r="L310" s="17">
        <v>98651</v>
      </c>
      <c r="M310" s="17" t="s">
        <v>8902</v>
      </c>
      <c r="N310" s="17">
        <v>1788</v>
      </c>
      <c r="O310" s="17">
        <v>4453</v>
      </c>
    </row>
  </sheetData>
  <sheetProtection algorithmName="SHA-512" hashValue="gFIo1SzuVUxYCZv7ZY+Sffh3Th8jFsL5pXSmJodUMpQmDVWMbaHSw8JYldkyrfhW4LcC36h9dIhoCBG3LJwCbA==" saltValue="RfYBRHb/vtgTZFa8hxR5Fw==" spinCount="100000" sheet="1" objects="1" scenarios="1"/>
  <mergeCells count="3">
    <mergeCell ref="D8:E8"/>
    <mergeCell ref="D12:E12"/>
    <mergeCell ref="D22:E22"/>
  </mergeCells>
  <phoneticPr fontId="2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steps</vt:lpstr>
      <vt:lpstr>tweets</vt:lpstr>
      <vt:lpstr>scratch</vt:lpstr>
      <vt:lpstr>keywords</vt:lpstr>
      <vt:lpstr>hidden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 Bujouves</dc:creator>
  <cp:lastModifiedBy>Shenghua He</cp:lastModifiedBy>
  <dcterms:created xsi:type="dcterms:W3CDTF">2022-03-08T02:55:40Z</dcterms:created>
  <dcterms:modified xsi:type="dcterms:W3CDTF">2022-03-17T20:41:43Z</dcterms:modified>
</cp:coreProperties>
</file>